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b265b959504c09" /></Relationships>
</file>

<file path=xl/workbook.xml><?xml version="1.0" encoding="utf-8"?>
<x:workbook xmlns:x="http://schemas.openxmlformats.org/spreadsheetml/2006/main">
  <x:sheets>
    <x:sheet xmlns:r="http://schemas.openxmlformats.org/officeDocument/2006/relationships" name="Dashboard" sheetId="1" r:id="Rd3935cdde1b545fc"/>
    <x:sheet xmlns:r="http://schemas.openxmlformats.org/officeDocument/2006/relationships" name="Personnages" sheetId="2" r:id="Ra2765563233345cf"/>
    <x:sheet xmlns:r="http://schemas.openxmlformats.org/officeDocument/2006/relationships" name="PNJ" sheetId="3" r:id="Rc384f5015c3749ad"/>
    <x:sheet xmlns:r="http://schemas.openxmlformats.org/officeDocument/2006/relationships" name="Especes_factions" sheetId="4" r:id="Rca3afbd73a29461b"/>
    <x:sheet xmlns:r="http://schemas.openxmlformats.org/officeDocument/2006/relationships" name="Mondes" sheetId="5" r:id="R9879621b192c47f0"/>
    <x:sheet xmlns:r="http://schemas.openxmlformats.org/officeDocument/2006/relationships" name="Zones" sheetId="6" r:id="R897d71afc8f8452b"/>
    <x:sheet xmlns:r="http://schemas.openxmlformats.org/officeDocument/2006/relationships" name="Liaisons" sheetId="7" r:id="Rc40a20adb7ac4bd5"/>
    <x:sheet xmlns:r="http://schemas.openxmlformats.org/officeDocument/2006/relationships" name="Decors" sheetId="8" r:id="Rc97ca82076ae428f"/>
    <x:sheet xmlns:r="http://schemas.openxmlformats.org/officeDocument/2006/relationships" name="Props" sheetId="9" r:id="R82ce0fb08a2f4a13"/>
    <x:sheet xmlns:r="http://schemas.openxmlformats.org/officeDocument/2006/relationships" name="Ennemis_boss" sheetId="10" r:id="Rc4b369d83ef64c78"/>
    <x:sheet xmlns:r="http://schemas.openxmlformats.org/officeDocument/2006/relationships" name="Missions" sheetId="11" r:id="Rf4098aa4bae2441e"/>
    <x:sheet xmlns:r="http://schemas.openxmlformats.org/officeDocument/2006/relationships" name="Secondaires_DLC" sheetId="12" r:id="Rbe88252e7a4a40fe"/>
    <x:sheet xmlns:r="http://schemas.openxmlformats.org/officeDocument/2006/relationships" name="Choix_relations" sheetId="13" r:id="R38a6746a352b4857"/>
    <x:sheet xmlns:r="http://schemas.openxmlformats.org/officeDocument/2006/relationships" name="Dialogues" sheetId="14" r:id="Re62e563a03054f9f"/>
    <x:sheet xmlns:r="http://schemas.openxmlformats.org/officeDocument/2006/relationships" name="Cinematiques" sheetId="15" r:id="R4e1c80fb3ffe4c15"/>
    <x:sheet xmlns:r="http://schemas.openxmlformats.org/officeDocument/2006/relationships" name="Armes" sheetId="16" r:id="Rc6e45c41d23f4939"/>
    <x:sheet xmlns:r="http://schemas.openxmlformats.org/officeDocument/2006/relationships" name="Armures_equipement" sheetId="17" r:id="Rb4ba216d12604715"/>
    <x:sheet xmlns:r="http://schemas.openxmlformats.org/officeDocument/2006/relationships" name="Pouvoirs" sheetId="18" r:id="R9ce67f1398b141c3"/>
    <x:sheet xmlns:r="http://schemas.openxmlformats.org/officeDocument/2006/relationships" name="Movesets_allies" sheetId="19" r:id="R4e1c3ec981524bc4"/>
    <x:sheet xmlns:r="http://schemas.openxmlformats.org/officeDocument/2006/relationships" name="Movesets_ennemis" sheetId="20" r:id="R405fc057e93f430a"/>
    <x:sheet xmlns:r="http://schemas.openxmlformats.org/officeDocument/2006/relationships" name="Animations" sheetId="21" r:id="R193e3308f1e546e8"/>
    <x:sheet xmlns:r="http://schemas.openxmlformats.org/officeDocument/2006/relationships" name="Sprites" sheetId="22" r:id="R019aed40ecf841d3"/>
    <x:sheet xmlns:r="http://schemas.openxmlformats.org/officeDocument/2006/relationships" name="VFX" sheetId="23" r:id="R56d5f3cec2554a02"/>
    <x:sheet xmlns:r="http://schemas.openxmlformats.org/officeDocument/2006/relationships" name="Audio" sheetId="24" r:id="R1e9f9236bddd428a"/>
    <x:sheet xmlns:r="http://schemas.openxmlformats.org/officeDocument/2006/relationships" name="UI_systemes" sheetId="25" r:id="R1c157c69c4ba49bf"/>
    <x:sheet xmlns:r="http://schemas.openxmlformats.org/officeDocument/2006/relationships" name="QA" sheetId="26" r:id="Rd0d5c785048c4740"/>
    <x:sheet xmlns:r="http://schemas.openxmlformats.org/officeDocument/2006/relationships" name="Continuite" sheetId="27" r:id="R260452a8d635409c"/>
    <x:sheet xmlns:r="http://schemas.openxmlformats.org/officeDocument/2006/relationships" name="Guide" sheetId="28" r:id="R5304ac5f3837414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8">
    <x:font>
      <x:sz val="11"/>
      <x:name val="Carlito"/>
    </x:font>
    <x:font>
      <x:sz val="10"/>
      <x:color rgb="FF183044"/>
      <x:name val="Arial"/>
    </x:font>
    <x:font>
      <x:b/>
      <x:sz val="14"/>
      <x:color rgb="FF102438"/>
      <x:name val="Arial"/>
    </x:font>
    <x:font>
      <x:i/>
      <x:sz val="10"/>
      <x:color rgb="FF4A6374"/>
      <x:name val="Arial"/>
    </x:font>
    <x:font>
      <x:sz val="10"/>
      <x:color rgb="FF557283"/>
      <x:name val="Arial"/>
    </x:font>
    <x:font>
      <x:b/>
      <x:sz val="10"/>
      <x:color rgb="FFFFFFFF"/>
      <x:name val="Arial"/>
    </x:font>
    <x:font>
      <x:b/>
      <x:sz val="14"/>
      <x:color rgb="FF087F8C"/>
      <x:name val="Arial"/>
    </x:font>
    <x:font>
      <x:i/>
      <x:sz val="10"/>
      <x:color rgb="FF183044"/>
      <x:name val="Arial"/>
    </x:font>
  </x:fonts>
  <x:fills count="6">
    <x:fill>
      <x:patternFill patternType="none"/>
    </x:fill>
    <x:fill>
      <x:patternFill patternType="gray125"/>
    </x:fill>
    <x:fill>
      <x:patternFill patternType="solid">
        <x:fgColor rgb="FFF8FBFC"/>
      </x:patternFill>
    </x:fill>
    <x:fill>
      <x:patternFill patternType="solid">
        <x:fgColor rgb="FFFFF0C7"/>
      </x:patternFill>
    </x:fill>
    <x:fill>
      <x:patternFill patternType="solid">
        <x:fgColor rgb="FF102438"/>
      </x:patternFill>
    </x:fill>
    <x:fill>
      <x:patternFill patternType="solid">
        <x:fgColor rgb="FFEDF5F7"/>
      </x:patternFill>
    </x:fill>
  </x:fills>
  <x:borders count="5">
    <x:border>
      <x:left/>
      <x:right/>
      <x:top/>
      <x:bottom/>
      <x:diagonal/>
    </x:border>
    <x:border>
      <x:left/>
      <x:right/>
      <x:top/>
      <x:bottom style="thin">
        <x:color rgb="FF087F8C"/>
      </x:bottom>
      <x:diagonal/>
    </x:border>
    <x:border>
      <x:left/>
      <x:right style="thin">
        <x:color rgb="FFFFFFFF"/>
      </x:right>
      <x:top/>
      <x:bottom style="thin">
        <x:color rgb="FF087F8C"/>
      </x:bottom>
      <x:diagonal/>
    </x:border>
    <x:border>
      <x:left style="thin">
        <x:color rgb="FFFFFFFF"/>
      </x:left>
      <x:right style="thin">
        <x:color rgb="FFFFFFFF"/>
      </x:right>
      <x:top/>
      <x:bottom style="thin">
        <x:color rgb="FF087F8C"/>
      </x:bottom>
      <x:diagonal/>
    </x:border>
    <x:border>
      <x:left style="thin">
        <x:color rgb="FFFFFFFF"/>
      </x:left>
      <x:right/>
      <x:top/>
      <x:bottom style="thin">
        <x:color rgb="FF087F8C"/>
      </x:bottom>
      <x:diagonal/>
    </x:border>
  </x:borders>
  <x:cellStyleXfs count="1">
    <x:xf numFmtId="0" fontId="0" fillId="0" borderId="0"/>
  </x:cellStyleXfs>
  <x:cellXfs count="4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4"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2"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1" fillId="5"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5" fillId="4"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top" wrapText="1"/>
    </x:xf>
  </x:cellXfs>
  <x:cellStyles count="1">
    <x:cellStyle name="Normal" xfId="0"/>
  </x:cellStyles>
  <x:dxfs count="104">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s>
</x:styleSheet>
</file>

<file path=xl/_rels/workbook.xml.rels>&#65279;<?xml version="1.0" encoding="utf-8"?><Relationships xmlns="http://schemas.openxmlformats.org/package/2006/relationships"><Relationship Type="http://schemas.openxmlformats.org/officeDocument/2006/relationships/styles" Target="/xl/styles.xml" Id="R480f928ecc7542db" /><Relationship Type="http://schemas.openxmlformats.org/officeDocument/2006/relationships/theme" Target="/xl/theme/theme1.xml" Id="R33c5062dea194a80" /><Relationship Type="http://schemas.openxmlformats.org/officeDocument/2006/relationships/sharedStrings" Target="/xl/sharedStrings.xml" Id="Rd8ba0bfcfe5e4e4d" /><Relationship Type="http://schemas.openxmlformats.org/officeDocument/2006/relationships/worksheet" Target="/xl/worksheets/sheet1.xml" Id="Rd3935cdde1b545fc" /><Relationship Type="http://schemas.openxmlformats.org/officeDocument/2006/relationships/worksheet" Target="/xl/worksheets/sheet2.xml" Id="Ra2765563233345cf" /><Relationship Type="http://schemas.openxmlformats.org/officeDocument/2006/relationships/worksheet" Target="/xl/worksheets/sheet3.xml" Id="Rc384f5015c3749ad" /><Relationship Type="http://schemas.openxmlformats.org/officeDocument/2006/relationships/worksheet" Target="/xl/worksheets/sheet4.xml" Id="Rca3afbd73a29461b" /><Relationship Type="http://schemas.openxmlformats.org/officeDocument/2006/relationships/worksheet" Target="/xl/worksheets/sheet5.xml" Id="R9879621b192c47f0" /><Relationship Type="http://schemas.openxmlformats.org/officeDocument/2006/relationships/worksheet" Target="/xl/worksheets/sheet6.xml" Id="R897d71afc8f8452b" /><Relationship Type="http://schemas.openxmlformats.org/officeDocument/2006/relationships/worksheet" Target="/xl/worksheets/sheet7.xml" Id="Rc40a20adb7ac4bd5" /><Relationship Type="http://schemas.openxmlformats.org/officeDocument/2006/relationships/worksheet" Target="/xl/worksheets/sheet8.xml" Id="Rc97ca82076ae428f" /><Relationship Type="http://schemas.openxmlformats.org/officeDocument/2006/relationships/worksheet" Target="/xl/worksheets/sheet9.xml" Id="R82ce0fb08a2f4a13" /><Relationship Type="http://schemas.openxmlformats.org/officeDocument/2006/relationships/worksheet" Target="/xl/worksheets/sheet10.xml" Id="Rc4b369d83ef64c78" /><Relationship Type="http://schemas.openxmlformats.org/officeDocument/2006/relationships/worksheet" Target="/xl/worksheets/sheet11.xml" Id="Rf4098aa4bae2441e" /><Relationship Type="http://schemas.openxmlformats.org/officeDocument/2006/relationships/worksheet" Target="/xl/worksheets/sheet12.xml" Id="Rbe88252e7a4a40fe" /><Relationship Type="http://schemas.openxmlformats.org/officeDocument/2006/relationships/worksheet" Target="/xl/worksheets/sheet13.xml" Id="R38a6746a352b4857" /><Relationship Type="http://schemas.openxmlformats.org/officeDocument/2006/relationships/worksheet" Target="/xl/worksheets/sheet14.xml" Id="Re62e563a03054f9f" /><Relationship Type="http://schemas.openxmlformats.org/officeDocument/2006/relationships/worksheet" Target="/xl/worksheets/sheet15.xml" Id="R4e1c80fb3ffe4c15" /><Relationship Type="http://schemas.openxmlformats.org/officeDocument/2006/relationships/worksheet" Target="/xl/worksheets/sheet16.xml" Id="Rc6e45c41d23f4939" /><Relationship Type="http://schemas.openxmlformats.org/officeDocument/2006/relationships/worksheet" Target="/xl/worksheets/sheet17.xml" Id="Rb4ba216d12604715" /><Relationship Type="http://schemas.openxmlformats.org/officeDocument/2006/relationships/worksheet" Target="/xl/worksheets/sheet18.xml" Id="R9ce67f1398b141c3" /><Relationship Type="http://schemas.openxmlformats.org/officeDocument/2006/relationships/worksheet" Target="/xl/worksheets/sheet19.xml" Id="R4e1c3ec981524bc4" /><Relationship Type="http://schemas.openxmlformats.org/officeDocument/2006/relationships/worksheet" Target="/xl/worksheets/sheet20.xml" Id="R405fc057e93f430a" /><Relationship Type="http://schemas.openxmlformats.org/officeDocument/2006/relationships/worksheet" Target="/xl/worksheets/sheet21.xml" Id="R193e3308f1e546e8" /><Relationship Type="http://schemas.openxmlformats.org/officeDocument/2006/relationships/worksheet" Target="/xl/worksheets/sheet22.xml" Id="R019aed40ecf841d3" /><Relationship Type="http://schemas.openxmlformats.org/officeDocument/2006/relationships/worksheet" Target="/xl/worksheets/sheet23.xml" Id="R56d5f3cec2554a02" /><Relationship Type="http://schemas.openxmlformats.org/officeDocument/2006/relationships/worksheet" Target="/xl/worksheets/sheet24.xml" Id="R1e9f9236bddd428a" /><Relationship Type="http://schemas.openxmlformats.org/officeDocument/2006/relationships/worksheet" Target="/xl/worksheets/sheet25.xml" Id="R1c157c69c4ba49bf" /><Relationship Type="http://schemas.openxmlformats.org/officeDocument/2006/relationships/worksheet" Target="/xl/worksheets/sheet26.xml" Id="Rd0d5c785048c4740" /><Relationship Type="http://schemas.openxmlformats.org/officeDocument/2006/relationships/worksheet" Target="/xl/worksheets/sheet27.xml" Id="R260452a8d635409c" /><Relationship Type="http://schemas.openxmlformats.org/officeDocument/2006/relationships/worksheet" Target="/xl/worksheets/sheet28.xml" Id="R5304ac5f38374146" /></Relationships>
</file>

<file path=xl/tables/table1.xml><?xml version="1.0" encoding="utf-8"?>
<x:table xmlns:x="http://schemas.openxmlformats.org/spreadsheetml/2006/main" id="1" name="ME2_characters" displayName="ME2_characters" ref="A6:S22" headerRowCount="1" totalsRowCount="0" totalsRowShown="0">
  <x:autoFilter ref="A6:S2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xml><?xml version="1.0" encoding="utf-8"?>
<x:table xmlns:x="http://schemas.openxmlformats.org/spreadsheetml/2006/main" id="2" name="ME2_npcs" displayName="ME2_npcs" ref="A6:S46" headerRowCount="1" totalsRowCount="0" totalsRowShown="0">
  <x:autoFilter ref="A6:S4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3.xml><?xml version="1.0" encoding="utf-8"?>
<x:table xmlns:x="http://schemas.openxmlformats.org/spreadsheetml/2006/main" id="3" name="ME2_lore" displayName="ME2_lore" ref="A6:S20" headerRowCount="1" totalsRowCount="0" totalsRowShown="0">
  <x:autoFilter ref="A6:S2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4.xml><?xml version="1.0" encoding="utf-8"?>
<x:table xmlns:x="http://schemas.openxmlformats.org/spreadsheetml/2006/main" id="4" name="ME2_worlds" displayName="ME2_worlds" ref="A6:S25" headerRowCount="1" totalsRowCount="0" totalsRowShown="0">
  <x:autoFilter ref="A6:S2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5.xml><?xml version="1.0" encoding="utf-8"?>
<x:table xmlns:x="http://schemas.openxmlformats.org/spreadsheetml/2006/main" id="5" name="ME2_zones" displayName="ME2_zones" ref="A6:S44" headerRowCount="1" totalsRowCount="0" totalsRowShown="0">
  <x:autoFilter ref="A6:S4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6.xml><?xml version="1.0" encoding="utf-8"?>
<x:table xmlns:x="http://schemas.openxmlformats.org/spreadsheetml/2006/main" id="6" name="ME2_links" displayName="ME2_links" ref="A6:S22" headerRowCount="1" totalsRowCount="0" totalsRowShown="0">
  <x:autoFilter ref="A6:S2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7.xml><?xml version="1.0" encoding="utf-8"?>
<x:table xmlns:x="http://schemas.openxmlformats.org/spreadsheetml/2006/main" id="7" name="ME2_scenery" displayName="ME2_scenery" ref="A6:S24" headerRowCount="1" totalsRowCount="0" totalsRowShown="0">
  <x:autoFilter ref="A6:S2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8.xml><?xml version="1.0" encoding="utf-8"?>
<x:table xmlns:x="http://schemas.openxmlformats.org/spreadsheetml/2006/main" id="8" name="ME2_props" displayName="ME2_props" ref="A6:S26" headerRowCount="1" totalsRowCount="0" totalsRowShown="0">
  <x:autoFilter ref="A6:S2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9.xml><?xml version="1.0" encoding="utf-8"?>
<x:table xmlns:x="http://schemas.openxmlformats.org/spreadsheetml/2006/main" id="9" name="ME2_enemies" displayName="ME2_enemies" ref="A6:S50" headerRowCount="1" totalsRowCount="0" totalsRowShown="0">
  <x:autoFilter ref="A6:S5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0.xml><?xml version="1.0" encoding="utf-8"?>
<x:table xmlns:x="http://schemas.openxmlformats.org/spreadsheetml/2006/main" id="10" name="ME2_main_quests" displayName="ME2_main_quests" ref="A6:S45" headerRowCount="1" totalsRowCount="0" totalsRowShown="0">
  <x:autoFilter ref="A6:S4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1.xml><?xml version="1.0" encoding="utf-8"?>
<x:table xmlns:x="http://schemas.openxmlformats.org/spreadsheetml/2006/main" id="11" name="ME2_side_quests" displayName="ME2_side_quests" ref="A6:S59" headerRowCount="1" totalsRowCount="0" totalsRowShown="0">
  <x:autoFilter ref="A6:S5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2.xml><?xml version="1.0" encoding="utf-8"?>
<x:table xmlns:x="http://schemas.openxmlformats.org/spreadsheetml/2006/main" id="12" name="ME2_choices" displayName="ME2_choices" ref="A6:S32" headerRowCount="1" totalsRowCount="0" totalsRowShown="0">
  <x:autoFilter ref="A6:S3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3.xml><?xml version="1.0" encoding="utf-8"?>
<x:table xmlns:x="http://schemas.openxmlformats.org/spreadsheetml/2006/main" id="13" name="ME2_dialogues" displayName="ME2_dialogues" ref="A6:S18" headerRowCount="1" totalsRowCount="0" totalsRowShown="0">
  <x:autoFilter ref="A6:S1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4.xml><?xml version="1.0" encoding="utf-8"?>
<x:table xmlns:x="http://schemas.openxmlformats.org/spreadsheetml/2006/main" id="14" name="ME2_cinematics" displayName="ME2_cinematics"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5.xml><?xml version="1.0" encoding="utf-8"?>
<x:table xmlns:x="http://schemas.openxmlformats.org/spreadsheetml/2006/main" id="15" name="ME2_weapons" displayName="ME2_weapons" ref="A6:S35" headerRowCount="1" totalsRowCount="0" totalsRowShown="0">
  <x:autoFilter ref="A6:S3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6.xml><?xml version="1.0" encoding="utf-8"?>
<x:table xmlns:x="http://schemas.openxmlformats.org/spreadsheetml/2006/main" id="16" name="ME2_equipment" displayName="ME2_equipment" ref="A6:S26" headerRowCount="1" totalsRowCount="0" totalsRowShown="0">
  <x:autoFilter ref="A6:S2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7.xml><?xml version="1.0" encoding="utf-8"?>
<x:table xmlns:x="http://schemas.openxmlformats.org/spreadsheetml/2006/main" id="17" name="ME2_powers" displayName="ME2_powers" ref="A6:S40" headerRowCount="1" totalsRowCount="0" totalsRowShown="0">
  <x:autoFilter ref="A6:S4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8.xml><?xml version="1.0" encoding="utf-8"?>
<x:table xmlns:x="http://schemas.openxmlformats.org/spreadsheetml/2006/main" id="18" name="ME2_ally_moves" displayName="ME2_ally_moves" ref="A6:S22" headerRowCount="1" totalsRowCount="0" totalsRowShown="0">
  <x:autoFilter ref="A6:S2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9.xml><?xml version="1.0" encoding="utf-8"?>
<x:table xmlns:x="http://schemas.openxmlformats.org/spreadsheetml/2006/main" id="19" name="ME2_enemy_moves" displayName="ME2_enemy_moves" ref="A6:S50" headerRowCount="1" totalsRowCount="0" totalsRowShown="0">
  <x:autoFilter ref="A6:S5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0.xml><?xml version="1.0" encoding="utf-8"?>
<x:table xmlns:x="http://schemas.openxmlformats.org/spreadsheetml/2006/main" id="20" name="ME2_animations" displayName="ME2_animations" ref="A6:S26" headerRowCount="1" totalsRowCount="0" totalsRowShown="0">
  <x:autoFilter ref="A6:S2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1.xml><?xml version="1.0" encoding="utf-8"?>
<x:table xmlns:x="http://schemas.openxmlformats.org/spreadsheetml/2006/main" id="21" name="ME2_sprites" displayName="ME2_sprites" ref="A6:S66" headerRowCount="1" totalsRowCount="0" totalsRowShown="0">
  <x:autoFilter ref="A6:S6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2.xml><?xml version="1.0" encoding="utf-8"?>
<x:table xmlns:x="http://schemas.openxmlformats.org/spreadsheetml/2006/main" id="22" name="ME2_vfx" displayName="ME2_vfx" ref="A6:S21" headerRowCount="1" totalsRowCount="0" totalsRowShown="0">
  <x:autoFilter ref="A6:S2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3.xml><?xml version="1.0" encoding="utf-8"?>
<x:table xmlns:x="http://schemas.openxmlformats.org/spreadsheetml/2006/main" id="23" name="ME2_audio" displayName="ME2_audio" ref="A6:S21" headerRowCount="1" totalsRowCount="0" totalsRowShown="0">
  <x:autoFilter ref="A6:S2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4.xml><?xml version="1.0" encoding="utf-8"?>
<x:table xmlns:x="http://schemas.openxmlformats.org/spreadsheetml/2006/main" id="24" name="ME2_systems" displayName="ME2_systems" ref="A6:S26" headerRowCount="1" totalsRowCount="0" totalsRowShown="0">
  <x:autoFilter ref="A6:S2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5.xml><?xml version="1.0" encoding="utf-8"?>
<x:table xmlns:x="http://schemas.openxmlformats.org/spreadsheetml/2006/main" id="25" name="ME2_qa" displayName="ME2_qa" ref="A6:S26" headerRowCount="1" totalsRowCount="0" totalsRowShown="0">
  <x:autoFilter ref="A6:S2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6.xml><?xml version="1.0" encoding="utf-8"?>
<x:table xmlns:x="http://schemas.openxmlformats.org/spreadsheetml/2006/main" id="26" name="ME2_continuity" displayName="ME2_continuity" ref="A6:S18" headerRowCount="1" totalsRowCount="0" totalsRowShown="0">
  <x:autoFilter ref="A6:S1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124f617a98c4170" /></Relationships>
</file>

<file path=xl/worksheets/_rels/sheet3.xml.rels>&#65279;<?xml version="1.0" encoding="utf-8"?><Relationships xmlns="http://schemas.openxmlformats.org/package/2006/relationships"><Relationship Type="http://schemas.openxmlformats.org/officeDocument/2006/relationships/table" Target="/xl/tables/table2.xml" Id="R5900ce2533f544c3" /></Relationships>
</file>

<file path=xl/worksheets/_rels/sheet4.xml.rels>&#65279;<?xml version="1.0" encoding="utf-8"?><Relationships xmlns="http://schemas.openxmlformats.org/package/2006/relationships"><Relationship Type="http://schemas.openxmlformats.org/officeDocument/2006/relationships/table" Target="/xl/tables/table3.xml" Id="Rc803c58a945e4915" /></Relationships>
</file>

<file path=xl/worksheets/_rels/sheet5.xml.rels>&#65279;<?xml version="1.0" encoding="utf-8"?><Relationships xmlns="http://schemas.openxmlformats.org/package/2006/relationships"><Relationship Type="http://schemas.openxmlformats.org/officeDocument/2006/relationships/table" Target="/xl/tables/table4.xml" Id="R16eea246881e43f2" /></Relationships>
</file>

<file path=xl/worksheets/_rels/sheet6.xml.rels>&#65279;<?xml version="1.0" encoding="utf-8"?><Relationships xmlns="http://schemas.openxmlformats.org/package/2006/relationships"><Relationship Type="http://schemas.openxmlformats.org/officeDocument/2006/relationships/table" Target="/xl/tables/table5.xml" Id="R3dec87cdfd4c47f5" /></Relationships>
</file>

<file path=xl/worksheets/_rels/sheet7.xml.rels>&#65279;<?xml version="1.0" encoding="utf-8"?><Relationships xmlns="http://schemas.openxmlformats.org/package/2006/relationships"><Relationship Type="http://schemas.openxmlformats.org/officeDocument/2006/relationships/table" Target="/xl/tables/table6.xml" Id="Re76770c7dc7f4a05" /></Relationships>
</file>

<file path=xl/worksheets/_rels/sheet8.xml.rels>&#65279;<?xml version="1.0" encoding="utf-8"?><Relationships xmlns="http://schemas.openxmlformats.org/package/2006/relationships"><Relationship Type="http://schemas.openxmlformats.org/officeDocument/2006/relationships/table" Target="/xl/tables/table7.xml" Id="R09dca75f2ff24003" /></Relationships>
</file>

<file path=xl/worksheets/_rels/sheet9.xml.rels>&#65279;<?xml version="1.0" encoding="utf-8"?><Relationships xmlns="http://schemas.openxmlformats.org/package/2006/relationships"><Relationship Type="http://schemas.openxmlformats.org/officeDocument/2006/relationships/table" Target="/xl/tables/table8.xml" Id="Rcddddb42b17c4236" /></Relationships>
</file>

<file path=xl/worksheets/_rels/sheet10.xml.rels>&#65279;<?xml version="1.0" encoding="utf-8"?><Relationships xmlns="http://schemas.openxmlformats.org/package/2006/relationships"><Relationship Type="http://schemas.openxmlformats.org/officeDocument/2006/relationships/table" Target="/xl/tables/table9.xml" Id="Rd323e45968c54389" /></Relationships>
</file>

<file path=xl/worksheets/_rels/sheet11.xml.rels>&#65279;<?xml version="1.0" encoding="utf-8"?><Relationships xmlns="http://schemas.openxmlformats.org/package/2006/relationships"><Relationship Type="http://schemas.openxmlformats.org/officeDocument/2006/relationships/table" Target="/xl/tables/table10.xml" Id="R6b74cb1d601f4845" /></Relationships>
</file>

<file path=xl/worksheets/_rels/sheet12.xml.rels>&#65279;<?xml version="1.0" encoding="utf-8"?><Relationships xmlns="http://schemas.openxmlformats.org/package/2006/relationships"><Relationship Type="http://schemas.openxmlformats.org/officeDocument/2006/relationships/table" Target="/xl/tables/table11.xml" Id="R0783aec161044ac4" /></Relationships>
</file>

<file path=xl/worksheets/_rels/sheet13.xml.rels>&#65279;<?xml version="1.0" encoding="utf-8"?><Relationships xmlns="http://schemas.openxmlformats.org/package/2006/relationships"><Relationship Type="http://schemas.openxmlformats.org/officeDocument/2006/relationships/table" Target="/xl/tables/table12.xml" Id="Rbe2bbb0151234642" /></Relationships>
</file>

<file path=xl/worksheets/_rels/sheet14.xml.rels>&#65279;<?xml version="1.0" encoding="utf-8"?><Relationships xmlns="http://schemas.openxmlformats.org/package/2006/relationships"><Relationship Type="http://schemas.openxmlformats.org/officeDocument/2006/relationships/table" Target="/xl/tables/table13.xml" Id="R815b362e83404bb4" /></Relationships>
</file>

<file path=xl/worksheets/_rels/sheet15.xml.rels>&#65279;<?xml version="1.0" encoding="utf-8"?><Relationships xmlns="http://schemas.openxmlformats.org/package/2006/relationships"><Relationship Type="http://schemas.openxmlformats.org/officeDocument/2006/relationships/table" Target="/xl/tables/table14.xml" Id="Rbf1ff53711b64c43" /></Relationships>
</file>

<file path=xl/worksheets/_rels/sheet16.xml.rels>&#65279;<?xml version="1.0" encoding="utf-8"?><Relationships xmlns="http://schemas.openxmlformats.org/package/2006/relationships"><Relationship Type="http://schemas.openxmlformats.org/officeDocument/2006/relationships/table" Target="/xl/tables/table15.xml" Id="Rfa430da8563747da" /></Relationships>
</file>

<file path=xl/worksheets/_rels/sheet17.xml.rels>&#65279;<?xml version="1.0" encoding="utf-8"?><Relationships xmlns="http://schemas.openxmlformats.org/package/2006/relationships"><Relationship Type="http://schemas.openxmlformats.org/officeDocument/2006/relationships/table" Target="/xl/tables/table16.xml" Id="R60e3a0d19d6c4afa" /></Relationships>
</file>

<file path=xl/worksheets/_rels/sheet18.xml.rels>&#65279;<?xml version="1.0" encoding="utf-8"?><Relationships xmlns="http://schemas.openxmlformats.org/package/2006/relationships"><Relationship Type="http://schemas.openxmlformats.org/officeDocument/2006/relationships/table" Target="/xl/tables/table17.xml" Id="R48e510c2ac6b4291" /></Relationships>
</file>

<file path=xl/worksheets/_rels/sheet19.xml.rels>&#65279;<?xml version="1.0" encoding="utf-8"?><Relationships xmlns="http://schemas.openxmlformats.org/package/2006/relationships"><Relationship Type="http://schemas.openxmlformats.org/officeDocument/2006/relationships/table" Target="/xl/tables/table18.xml" Id="R067e74e63ec74c24" /></Relationships>
</file>

<file path=xl/worksheets/_rels/sheet20.xml.rels>&#65279;<?xml version="1.0" encoding="utf-8"?><Relationships xmlns="http://schemas.openxmlformats.org/package/2006/relationships"><Relationship Type="http://schemas.openxmlformats.org/officeDocument/2006/relationships/table" Target="/xl/tables/table19.xml" Id="R37ac79e27d814a64" /></Relationships>
</file>

<file path=xl/worksheets/_rels/sheet21.xml.rels>&#65279;<?xml version="1.0" encoding="utf-8"?><Relationships xmlns="http://schemas.openxmlformats.org/package/2006/relationships"><Relationship Type="http://schemas.openxmlformats.org/officeDocument/2006/relationships/table" Target="/xl/tables/table20.xml" Id="Rb8d594834bf34e99" /></Relationships>
</file>

<file path=xl/worksheets/_rels/sheet22.xml.rels>&#65279;<?xml version="1.0" encoding="utf-8"?><Relationships xmlns="http://schemas.openxmlformats.org/package/2006/relationships"><Relationship Type="http://schemas.openxmlformats.org/officeDocument/2006/relationships/table" Target="/xl/tables/table21.xml" Id="R6e3d6ac919c54cc3" /></Relationships>
</file>

<file path=xl/worksheets/_rels/sheet23.xml.rels>&#65279;<?xml version="1.0" encoding="utf-8"?><Relationships xmlns="http://schemas.openxmlformats.org/package/2006/relationships"><Relationship Type="http://schemas.openxmlformats.org/officeDocument/2006/relationships/table" Target="/xl/tables/table22.xml" Id="R14f4068b179e4353" /></Relationships>
</file>

<file path=xl/worksheets/_rels/sheet24.xml.rels>&#65279;<?xml version="1.0" encoding="utf-8"?><Relationships xmlns="http://schemas.openxmlformats.org/package/2006/relationships"><Relationship Type="http://schemas.openxmlformats.org/officeDocument/2006/relationships/table" Target="/xl/tables/table23.xml" Id="R60c5b4b5fbaf4e74" /></Relationships>
</file>

<file path=xl/worksheets/_rels/sheet25.xml.rels>&#65279;<?xml version="1.0" encoding="utf-8"?><Relationships xmlns="http://schemas.openxmlformats.org/package/2006/relationships"><Relationship Type="http://schemas.openxmlformats.org/officeDocument/2006/relationships/table" Target="/xl/tables/table24.xml" Id="Rfec77753785847dc" /></Relationships>
</file>

<file path=xl/worksheets/_rels/sheet26.xml.rels>&#65279;<?xml version="1.0" encoding="utf-8"?><Relationships xmlns="http://schemas.openxmlformats.org/package/2006/relationships"><Relationship Type="http://schemas.openxmlformats.org/officeDocument/2006/relationships/table" Target="/xl/tables/table25.xml" Id="R3078a6a4486f473d" /></Relationships>
</file>

<file path=xl/worksheets/_rels/sheet27.xml.rels>&#65279;<?xml version="1.0" encoding="utf-8"?><Relationships xmlns="http://schemas.openxmlformats.org/package/2006/relationships"><Relationship Type="http://schemas.openxmlformats.org/officeDocument/2006/relationships/table" Target="/xl/tables/table26.xml" Id="Rbb998f5cb92e426f" /></Relationships>
</file>

<file path=xl/worksheets/sheet1.xml><?xml version="1.0" encoding="utf-8"?>
<x:worksheet xmlns:x="http://schemas.openxmlformats.org/spreadsheetml/2006/main">
  <x:sheetPr>
    <x:tabColor rgb="FF102438"/>
  </x:sheetPr>
  <x:sheetViews>
    <x:sheetView showGridLines="0" workbookViewId="0"/>
  </x:sheetViews>
  <x:sheetFormatPr defaultRowHeight="15"/>
  <x:cols>
    <x:col min="1" max="1" width="28" hidden="0" customWidth="1"/>
    <x:col min="2" max="2" width="12" hidden="0" customWidth="1"/>
    <x:col min="3" max="3" width="13" hidden="0" customWidth="1"/>
    <x:col min="4" max="4" width="13" hidden="0" customWidth="1"/>
    <x:col min="5" max="5" width="13" hidden="0" customWidth="1"/>
    <x:col min="6" max="6" width="13" hidden="0" customWidth="1"/>
    <x:col min="7" max="7" width="14" hidden="0" customWidth="1"/>
    <x:col min="8" max="8" width="15" hidden="0" customWidth="1"/>
    <x:col min="9" max="9" width="16" hidden="0" customWidth="1"/>
    <x:col min="10" max="10" width="17" hidden="0" customWidth="1"/>
    <x:col min="11" max="11" width="17" hidden="0" customWidth="1"/>
    <x:col min="12" max="12" width="17" hidden="0" customWidth="1"/>
    <x:col min="13" max="13" width="14" hidden="0" customWidth="1"/>
  </x:cols>
  <x:sheetData>
    <x:row r="1" ht="22" customHeight="1">
      <x:c r="A1" s="2"/>
      <x:c r="B1" s="2"/>
      <x:c r="C1" s="2"/>
      <x:c r="D1" s="2"/>
      <x:c r="E1" s="2"/>
      <x:c r="F1" s="2"/>
      <x:c r="G1" s="2"/>
      <x:c r="H1" s="2"/>
      <x:c r="I1" s="2"/>
      <x:c r="J1" s="2"/>
      <x:c r="K1" s="2"/>
      <x:c r="L1" s="2"/>
      <x:c r="M1" s="2"/>
    </x:row>
    <x:row r="2" ht="22" customHeight="1">
      <x:c r="A2" s="3" t="str">
        <x:v>Mass Effect 2</x:v>
      </x:c>
      <x:c r="B2" s="2"/>
      <x:c r="C2" s="2"/>
      <x:c r="D2" s="2"/>
      <x:c r="E2" s="2"/>
      <x:c r="F2" s="2"/>
      <x:c r="G2" s="2"/>
      <x:c r="H2" s="2"/>
      <x:c r="I2" s="2"/>
      <x:c r="J2" s="2"/>
      <x:c r="K2" s="2"/>
      <x:c r="L2" s="2"/>
      <x:c r="M2" s="2"/>
    </x:row>
    <x:row r="3" ht="22" customHeight="1">
      <x:c r="A3" s="4" t="str">
        <x:v>Catalogue de production. Statuts et références calculés depuis les fiches.</x:v>
      </x:c>
      <x:c r="B3" s="2"/>
      <x:c r="C3" s="2"/>
      <x:c r="D3" s="2"/>
      <x:c r="E3" s="2"/>
      <x:c r="F3" s="2"/>
      <x:c r="G3" s="2"/>
      <x:c r="H3" s="2"/>
      <x:c r="I3" s="2"/>
      <x:c r="J3" s="2"/>
      <x:c r="K3" s="2"/>
      <x:c r="L3" s="2"/>
      <x:c r="M3" s="2"/>
    </x:row>
    <x:row r="4" ht="22" customHeight="1">
      <x:c r="A4" s="5"/>
      <x:c r="B4" s="5"/>
      <x:c r="C4" s="5"/>
      <x:c r="D4" s="5"/>
      <x:c r="E4" s="5"/>
      <x:c r="F4" s="5"/>
      <x:c r="G4" s="5"/>
      <x:c r="H4" s="5"/>
      <x:c r="I4" s="5"/>
      <x:c r="J4" s="5"/>
      <x:c r="K4" s="5"/>
      <x:c r="L4" s="5"/>
      <x:c r="M4" s="5"/>
    </x:row>
    <x:row r="5" ht="22" customHeight="1">
      <x:c r="A5" s="2" t="str">
        <x:v>Fiches suivies</x:v>
      </x:c>
      <x:c r="B5" s="33" t="n">
        <x:f>SUM(B10:B35)</x:f>
        <x:v>670</x:v>
      </x:c>
      <x:c r="C5" s="2"/>
      <x:c r="D5" s="2" t="str">
        <x:v>Intégrés</x:v>
      </x:c>
      <x:c r="E5" s="33" t="n">
        <x:f>SUM(E10:F35)</x:f>
        <x:v>0</x:v>
      </x:c>
      <x:c r="F5" s="2"/>
      <x:c r="G5" s="2" t="str">
        <x:v>À vérifier</x:v>
      </x:c>
      <x:c r="H5" s="33" t="n">
        <x:f>SUM(H10:H35)</x:f>
        <x:v>0</x:v>
      </x:c>
      <x:c r="I5" s="2"/>
      <x:c r="J5" s="2" t="str">
        <x:v>Extrapolations</x:v>
      </x:c>
      <x:c r="K5" s="33" t="n">
        <x:f>SUM(I10:I35)</x:f>
        <x:v>286</x:v>
      </x:c>
      <x:c r="L5" s="2"/>
      <x:c r="M5" s="2"/>
    </x:row>
    <x:row r="6" ht="22" customHeight="1">
      <x:c r="A6" s="2"/>
      <x:c r="B6" s="2"/>
      <x:c r="C6" s="2"/>
      <x:c r="D6" s="2"/>
      <x:c r="E6" s="2"/>
      <x:c r="F6" s="2"/>
      <x:c r="G6" s="2"/>
      <x:c r="H6" s="2"/>
      <x:c r="I6" s="2"/>
      <x:c r="J6" s="2"/>
      <x:c r="K6" s="2"/>
      <x:c r="L6" s="2"/>
      <x:c r="M6" s="2"/>
    </x:row>
    <x:row r="7" ht="22" customHeight="1">
      <x:c r="A7" s="34" t="str">
        <x:v>Défini = spécification. Établi = référence documentée. Les colonnes d’adaptation restent des propositions.</x:v>
      </x:c>
      <x:c r="B7" s="2"/>
      <x:c r="C7" s="2"/>
      <x:c r="D7" s="2"/>
      <x:c r="E7" s="2"/>
      <x:c r="F7" s="2"/>
      <x:c r="G7" s="2"/>
      <x:c r="H7" s="2"/>
      <x:c r="I7" s="2"/>
      <x:c r="J7" s="2"/>
      <x:c r="K7" s="2"/>
      <x:c r="L7" s="2"/>
      <x:c r="M7" s="2"/>
    </x:row>
    <x:row r="8" ht="22" customHeight="1">
      <x:c r="A8" s="2"/>
      <x:c r="B8" s="2"/>
      <x:c r="C8" s="2"/>
      <x:c r="D8" s="2"/>
      <x:c r="E8" s="2"/>
      <x:c r="F8" s="2"/>
      <x:c r="G8" s="2"/>
      <x:c r="H8" s="2"/>
      <x:c r="I8" s="2"/>
      <x:c r="J8" s="2"/>
      <x:c r="K8" s="2"/>
      <x:c r="L8" s="2"/>
      <x:c r="M8" s="2"/>
    </x:row>
    <x:row r="9" ht="34" customHeight="1">
      <x:c r="A9" s="30" t="str">
        <x:v>Domaine</x:v>
      </x:c>
      <x:c r="B9" s="31" t="str">
        <x:v>Total</x:v>
      </x:c>
      <x:c r="C9" s="31" t="str">
        <x:v>Défini</x:v>
      </x:c>
      <x:c r="D9" s="31" t="str">
        <x:v>Prototype</x:v>
      </x:c>
      <x:c r="E9" s="31" t="str">
        <x:v>Intégré</x:v>
      </x:c>
      <x:c r="F9" s="31" t="str">
        <x:v>Validé</x:v>
      </x:c>
      <x:c r="G9" s="31" t="str">
        <x:v>Établi</x:v>
      </x:c>
      <x:c r="H9" s="31" t="str">
        <x:v>À vérifier</x:v>
      </x:c>
      <x:c r="I9" s="31" t="str">
        <x:v>Extrapolation</x:v>
      </x:c>
      <x:c r="J9" s="31" t="str">
        <x:v>Coupé attesté</x:v>
      </x:c>
      <x:c r="K9" s="31" t="str">
        <x:v>Concept abandonné</x:v>
      </x:c>
      <x:c r="L9" s="31" t="str">
        <x:v>Allégation écartée</x:v>
      </x:c>
      <x:c r="M9" s="32" t="str">
        <x:v>Priorité P0</x:v>
      </x:c>
    </x:row>
    <x:row r="10" ht="22" customHeight="1">
      <x:c r="A10" s="35" t="str">
        <x:v>Personnages</x:v>
      </x:c>
      <x:c r="B10" s="39" t="n">
        <x:f>COUNTA('Personnages'!$A$7:$A$22)</x:f>
        <x:v>16</x:v>
      </x:c>
      <x:c r="C10" s="39" t="n">
        <x:f>COUNTIFS('Personnages'!$C$7:$C$22,"Défini")</x:f>
        <x:v>4</x:v>
      </x:c>
      <x:c r="D10" s="39" t="n">
        <x:f>COUNTIFS('Personnages'!$C$7:$C$22,"Prototype")</x:f>
        <x:v>12</x:v>
      </x:c>
      <x:c r="E10" s="39" t="n">
        <x:f>COUNTIFS('Personnages'!$C$7:$C$22,"Intégré")</x:f>
        <x:v>0</x:v>
      </x:c>
      <x:c r="F10" s="39" t="n">
        <x:f>COUNTIFS('Personnages'!$C$7:$C$22,"Validé")</x:f>
        <x:v>0</x:v>
      </x:c>
      <x:c r="G10" s="39" t="n">
        <x:f>COUNTIFS('Personnages'!$D$7:$D$22,"Établi")</x:f>
        <x:v>16</x:v>
      </x:c>
      <x:c r="H10" s="39" t="n">
        <x:f>COUNTIFS('Personnages'!$D$7:$D$22,"À vérifier")</x:f>
        <x:v>0</x:v>
      </x:c>
      <x:c r="I10" s="39" t="n">
        <x:f>COUNTIFS('Personnages'!$D$7:$D$22,"Extrapolation")</x:f>
        <x:v>0</x:v>
      </x:c>
      <x:c r="J10" s="39" t="n">
        <x:f>COUNTIFS('Personnages'!$D$7:$D$22,"Coupé attesté")</x:f>
        <x:v>0</x:v>
      </x:c>
      <x:c r="K10" s="39" t="n">
        <x:f>COUNTIFS('Personnages'!$D$7:$D$22,"Concept abandonné")</x:f>
        <x:v>0</x:v>
      </x:c>
      <x:c r="L10" s="39" t="n">
        <x:f>COUNTIFS('Personnages'!$D$7:$D$22,"Allégation écartée")</x:f>
        <x:v>0</x:v>
      </x:c>
      <x:c r="M10" s="39" t="n">
        <x:f>COUNTIFS('Personnages'!$E$7:$E$22,"P0")</x:f>
        <x:v>0</x:v>
      </x:c>
    </x:row>
    <x:row r="11" ht="22" customHeight="1">
      <x:c r="A11" s="2" t="str">
        <x:v>PNJ</x:v>
      </x:c>
      <x:c r="B11" s="40" t="n">
        <x:f>COUNTA('PNJ'!$A$7:$A$46)</x:f>
        <x:v>40</x:v>
      </x:c>
      <x:c r="C11" s="40" t="n">
        <x:f>COUNTIFS('PNJ'!$C$7:$C$46,"Défini")</x:f>
        <x:v>40</x:v>
      </x:c>
      <x:c r="D11" s="40" t="n">
        <x:f>COUNTIFS('PNJ'!$C$7:$C$46,"Prototype")</x:f>
        <x:v>0</x:v>
      </x:c>
      <x:c r="E11" s="40" t="n">
        <x:f>COUNTIFS('PNJ'!$C$7:$C$46,"Intégré")</x:f>
        <x:v>0</x:v>
      </x:c>
      <x:c r="F11" s="40" t="n">
        <x:f>COUNTIFS('PNJ'!$C$7:$C$46,"Validé")</x:f>
        <x:v>0</x:v>
      </x:c>
      <x:c r="G11" s="40" t="n">
        <x:f>COUNTIFS('PNJ'!$D$7:$D$46,"Établi")</x:f>
        <x:v>40</x:v>
      </x:c>
      <x:c r="H11" s="40" t="n">
        <x:f>COUNTIFS('PNJ'!$D$7:$D$46,"À vérifier")</x:f>
        <x:v>0</x:v>
      </x:c>
      <x:c r="I11" s="40" t="n">
        <x:f>COUNTIFS('PNJ'!$D$7:$D$46,"Extrapolation")</x:f>
        <x:v>0</x:v>
      </x:c>
      <x:c r="J11" s="40" t="n">
        <x:f>COUNTIFS('PNJ'!$D$7:$D$46,"Coupé attesté")</x:f>
        <x:v>0</x:v>
      </x:c>
      <x:c r="K11" s="40" t="n">
        <x:f>COUNTIFS('PNJ'!$D$7:$D$46,"Concept abandonné")</x:f>
        <x:v>0</x:v>
      </x:c>
      <x:c r="L11" s="40" t="n">
        <x:f>COUNTIFS('PNJ'!$D$7:$D$46,"Allégation écartée")</x:f>
        <x:v>0</x:v>
      </x:c>
      <x:c r="M11" s="40" t="n">
        <x:f>COUNTIFS('PNJ'!$E$7:$E$46,"P0")</x:f>
        <x:v>0</x:v>
      </x:c>
    </x:row>
    <x:row r="12" ht="22" customHeight="1">
      <x:c r="A12" s="35" t="str">
        <x:v>Espèces et factions</x:v>
      </x:c>
      <x:c r="B12" s="39" t="n">
        <x:f>COUNTA('Especes_factions'!$A$7:$A$20)</x:f>
        <x:v>14</x:v>
      </x:c>
      <x:c r="C12" s="39" t="n">
        <x:f>COUNTIFS('Especes_factions'!$C$7:$C$20,"Défini")</x:f>
        <x:v>14</x:v>
      </x:c>
      <x:c r="D12" s="39" t="n">
        <x:f>COUNTIFS('Especes_factions'!$C$7:$C$20,"Prototype")</x:f>
        <x:v>0</x:v>
      </x:c>
      <x:c r="E12" s="39" t="n">
        <x:f>COUNTIFS('Especes_factions'!$C$7:$C$20,"Intégré")</x:f>
        <x:v>0</x:v>
      </x:c>
      <x:c r="F12" s="39" t="n">
        <x:f>COUNTIFS('Especes_factions'!$C$7:$C$20,"Validé")</x:f>
        <x:v>0</x:v>
      </x:c>
      <x:c r="G12" s="39" t="n">
        <x:f>COUNTIFS('Especes_factions'!$D$7:$D$20,"Établi")</x:f>
        <x:v>14</x:v>
      </x:c>
      <x:c r="H12" s="39" t="n">
        <x:f>COUNTIFS('Especes_factions'!$D$7:$D$20,"À vérifier")</x:f>
        <x:v>0</x:v>
      </x:c>
      <x:c r="I12" s="39" t="n">
        <x:f>COUNTIFS('Especes_factions'!$D$7:$D$20,"Extrapolation")</x:f>
        <x:v>0</x:v>
      </x:c>
      <x:c r="J12" s="39" t="n">
        <x:f>COUNTIFS('Especes_factions'!$D$7:$D$20,"Coupé attesté")</x:f>
        <x:v>0</x:v>
      </x:c>
      <x:c r="K12" s="39" t="n">
        <x:f>COUNTIFS('Especes_factions'!$D$7:$D$20,"Concept abandonné")</x:f>
        <x:v>0</x:v>
      </x:c>
      <x:c r="L12" s="39" t="n">
        <x:f>COUNTIFS('Especes_factions'!$D$7:$D$20,"Allégation écartée")</x:f>
        <x:v>0</x:v>
      </x:c>
      <x:c r="M12" s="39" t="n">
        <x:f>COUNTIFS('Especes_factions'!$E$7:$E$20,"P0")</x:f>
        <x:v>0</x:v>
      </x:c>
    </x:row>
    <x:row r="13" ht="22" customHeight="1">
      <x:c r="A13" s="2" t="str">
        <x:v>Mondes</x:v>
      </x:c>
      <x:c r="B13" s="40" t="n">
        <x:f>COUNTA('Mondes'!$A$7:$A$25)</x:f>
        <x:v>19</x:v>
      </x:c>
      <x:c r="C13" s="40" t="n">
        <x:f>COUNTIFS('Mondes'!$C$7:$C$25,"Défini")</x:f>
        <x:v>19</x:v>
      </x:c>
      <x:c r="D13" s="40" t="n">
        <x:f>COUNTIFS('Mondes'!$C$7:$C$25,"Prototype")</x:f>
        <x:v>0</x:v>
      </x:c>
      <x:c r="E13" s="40" t="n">
        <x:f>COUNTIFS('Mondes'!$C$7:$C$25,"Intégré")</x:f>
        <x:v>0</x:v>
      </x:c>
      <x:c r="F13" s="40" t="n">
        <x:f>COUNTIFS('Mondes'!$C$7:$C$25,"Validé")</x:f>
        <x:v>0</x:v>
      </x:c>
      <x:c r="G13" s="40" t="n">
        <x:f>COUNTIFS('Mondes'!$D$7:$D$25,"Établi")</x:f>
        <x:v>19</x:v>
      </x:c>
      <x:c r="H13" s="40" t="n">
        <x:f>COUNTIFS('Mondes'!$D$7:$D$25,"À vérifier")</x:f>
        <x:v>0</x:v>
      </x:c>
      <x:c r="I13" s="40" t="n">
        <x:f>COUNTIFS('Mondes'!$D$7:$D$25,"Extrapolation")</x:f>
        <x:v>0</x:v>
      </x:c>
      <x:c r="J13" s="40" t="n">
        <x:f>COUNTIFS('Mondes'!$D$7:$D$25,"Coupé attesté")</x:f>
        <x:v>0</x:v>
      </x:c>
      <x:c r="K13" s="40" t="n">
        <x:f>COUNTIFS('Mondes'!$D$7:$D$25,"Concept abandonné")</x:f>
        <x:v>0</x:v>
      </x:c>
      <x:c r="L13" s="40" t="n">
        <x:f>COUNTIFS('Mondes'!$D$7:$D$25,"Allégation écartée")</x:f>
        <x:v>0</x:v>
      </x:c>
      <x:c r="M13" s="40" t="n">
        <x:f>COUNTIFS('Mondes'!$E$7:$E$25,"P0")</x:f>
        <x:v>0</x:v>
      </x:c>
    </x:row>
    <x:row r="14" ht="22" customHeight="1">
      <x:c r="A14" s="35" t="str">
        <x:v>Zones</x:v>
      </x:c>
      <x:c r="B14" s="39" t="n">
        <x:f>COUNTA('Zones'!$A$7:$A$44)</x:f>
        <x:v>38</x:v>
      </x:c>
      <x:c r="C14" s="39" t="n">
        <x:f>COUNTIFS('Zones'!$C$7:$C$44,"Défini")</x:f>
        <x:v>38</x:v>
      </x:c>
      <x:c r="D14" s="39" t="n">
        <x:f>COUNTIFS('Zones'!$C$7:$C$44,"Prototype")</x:f>
        <x:v>0</x:v>
      </x:c>
      <x:c r="E14" s="39" t="n">
        <x:f>COUNTIFS('Zones'!$C$7:$C$44,"Intégré")</x:f>
        <x:v>0</x:v>
      </x:c>
      <x:c r="F14" s="39" t="n">
        <x:f>COUNTIFS('Zones'!$C$7:$C$44,"Validé")</x:f>
        <x:v>0</x:v>
      </x:c>
      <x:c r="G14" s="39" t="n">
        <x:f>COUNTIFS('Zones'!$D$7:$D$44,"Établi")</x:f>
        <x:v>38</x:v>
      </x:c>
      <x:c r="H14" s="39" t="n">
        <x:f>COUNTIFS('Zones'!$D$7:$D$44,"À vérifier")</x:f>
        <x:v>0</x:v>
      </x:c>
      <x:c r="I14" s="39" t="n">
        <x:f>COUNTIFS('Zones'!$D$7:$D$44,"Extrapolation")</x:f>
        <x:v>0</x:v>
      </x:c>
      <x:c r="J14" s="39" t="n">
        <x:f>COUNTIFS('Zones'!$D$7:$D$44,"Coupé attesté")</x:f>
        <x:v>0</x:v>
      </x:c>
      <x:c r="K14" s="39" t="n">
        <x:f>COUNTIFS('Zones'!$D$7:$D$44,"Concept abandonné")</x:f>
        <x:v>0</x:v>
      </x:c>
      <x:c r="L14" s="39" t="n">
        <x:f>COUNTIFS('Zones'!$D$7:$D$44,"Allégation écartée")</x:f>
        <x:v>0</x:v>
      </x:c>
      <x:c r="M14" s="39" t="n">
        <x:f>COUNTIFS('Zones'!$E$7:$E$44,"P0")</x:f>
        <x:v>0</x:v>
      </x:c>
    </x:row>
    <x:row r="15" ht="22" customHeight="1">
      <x:c r="A15" s="2" t="str">
        <x:v>Liaisons</x:v>
      </x:c>
      <x:c r="B15" s="40" t="n">
        <x:f>COUNTA('Liaisons'!$A$7:$A$22)</x:f>
        <x:v>16</x:v>
      </x:c>
      <x:c r="C15" s="40" t="n">
        <x:f>COUNTIFS('Liaisons'!$C$7:$C$22,"Défini")</x:f>
        <x:v>16</x:v>
      </x:c>
      <x:c r="D15" s="40" t="n">
        <x:f>COUNTIFS('Liaisons'!$C$7:$C$22,"Prototype")</x:f>
        <x:v>0</x:v>
      </x:c>
      <x:c r="E15" s="40" t="n">
        <x:f>COUNTIFS('Liaisons'!$C$7:$C$22,"Intégré")</x:f>
        <x:v>0</x:v>
      </x:c>
      <x:c r="F15" s="40" t="n">
        <x:f>COUNTIFS('Liaisons'!$C$7:$C$22,"Validé")</x:f>
        <x:v>0</x:v>
      </x:c>
      <x:c r="G15" s="40" t="n">
        <x:f>COUNTIFS('Liaisons'!$D$7:$D$22,"Établi")</x:f>
        <x:v>0</x:v>
      </x:c>
      <x:c r="H15" s="40" t="n">
        <x:f>COUNTIFS('Liaisons'!$D$7:$D$22,"À vérifier")</x:f>
        <x:v>0</x:v>
      </x:c>
      <x:c r="I15" s="40" t="n">
        <x:f>COUNTIFS('Liaisons'!$D$7:$D$22,"Extrapolation")</x:f>
        <x:v>16</x:v>
      </x:c>
      <x:c r="J15" s="40" t="n">
        <x:f>COUNTIFS('Liaisons'!$D$7:$D$22,"Coupé attesté")</x:f>
        <x:v>0</x:v>
      </x:c>
      <x:c r="K15" s="40" t="n">
        <x:f>COUNTIFS('Liaisons'!$D$7:$D$22,"Concept abandonné")</x:f>
        <x:v>0</x:v>
      </x:c>
      <x:c r="L15" s="40" t="n">
        <x:f>COUNTIFS('Liaisons'!$D$7:$D$22,"Allégation écartée")</x:f>
        <x:v>0</x:v>
      </x:c>
      <x:c r="M15" s="40" t="n">
        <x:f>COUNTIFS('Liaisons'!$E$7:$E$22,"P0")</x:f>
        <x:v>0</x:v>
      </x:c>
    </x:row>
    <x:row r="16" ht="22" customHeight="1">
      <x:c r="A16" s="35" t="str">
        <x:v>Décors</x:v>
      </x:c>
      <x:c r="B16" s="39" t="n">
        <x:f>COUNTA('Decors'!$A$7:$A$24)</x:f>
        <x:v>18</x:v>
      </x:c>
      <x:c r="C16" s="39" t="n">
        <x:f>COUNTIFS('Decors'!$C$7:$C$24,"Défini")</x:f>
        <x:v>18</x:v>
      </x:c>
      <x:c r="D16" s="39" t="n">
        <x:f>COUNTIFS('Decors'!$C$7:$C$24,"Prototype")</x:f>
        <x:v>0</x:v>
      </x:c>
      <x:c r="E16" s="39" t="n">
        <x:f>COUNTIFS('Decors'!$C$7:$C$24,"Intégré")</x:f>
        <x:v>0</x:v>
      </x:c>
      <x:c r="F16" s="39" t="n">
        <x:f>COUNTIFS('Decors'!$C$7:$C$24,"Validé")</x:f>
        <x:v>0</x:v>
      </x:c>
      <x:c r="G16" s="39" t="n">
        <x:f>COUNTIFS('Decors'!$D$7:$D$24,"Établi")</x:f>
        <x:v>0</x:v>
      </x:c>
      <x:c r="H16" s="39" t="n">
        <x:f>COUNTIFS('Decors'!$D$7:$D$24,"À vérifier")</x:f>
        <x:v>0</x:v>
      </x:c>
      <x:c r="I16" s="39" t="n">
        <x:f>COUNTIFS('Decors'!$D$7:$D$24,"Extrapolation")</x:f>
        <x:v>18</x:v>
      </x:c>
      <x:c r="J16" s="39" t="n">
        <x:f>COUNTIFS('Decors'!$D$7:$D$24,"Coupé attesté")</x:f>
        <x:v>0</x:v>
      </x:c>
      <x:c r="K16" s="39" t="n">
        <x:f>COUNTIFS('Decors'!$D$7:$D$24,"Concept abandonné")</x:f>
        <x:v>0</x:v>
      </x:c>
      <x:c r="L16" s="39" t="n">
        <x:f>COUNTIFS('Decors'!$D$7:$D$24,"Allégation écartée")</x:f>
        <x:v>0</x:v>
      </x:c>
      <x:c r="M16" s="39" t="n">
        <x:f>COUNTIFS('Decors'!$E$7:$E$24,"P0")</x:f>
        <x:v>0</x:v>
      </x:c>
    </x:row>
    <x:row r="17" ht="22" customHeight="1">
      <x:c r="A17" s="2" t="str">
        <x:v>Props</x:v>
      </x:c>
      <x:c r="B17" s="40" t="n">
        <x:f>COUNTA('Props'!$A$7:$A$26)</x:f>
        <x:v>20</x:v>
      </x:c>
      <x:c r="C17" s="40" t="n">
        <x:f>COUNTIFS('Props'!$C$7:$C$26,"Défini")</x:f>
        <x:v>20</x:v>
      </x:c>
      <x:c r="D17" s="40" t="n">
        <x:f>COUNTIFS('Props'!$C$7:$C$26,"Prototype")</x:f>
        <x:v>0</x:v>
      </x:c>
      <x:c r="E17" s="40" t="n">
        <x:f>COUNTIFS('Props'!$C$7:$C$26,"Intégré")</x:f>
        <x:v>0</x:v>
      </x:c>
      <x:c r="F17" s="40" t="n">
        <x:f>COUNTIFS('Props'!$C$7:$C$26,"Validé")</x:f>
        <x:v>0</x:v>
      </x:c>
      <x:c r="G17" s="40" t="n">
        <x:f>COUNTIFS('Props'!$D$7:$D$26,"Établi")</x:f>
        <x:v>0</x:v>
      </x:c>
      <x:c r="H17" s="40" t="n">
        <x:f>COUNTIFS('Props'!$D$7:$D$26,"À vérifier")</x:f>
        <x:v>0</x:v>
      </x:c>
      <x:c r="I17" s="40" t="n">
        <x:f>COUNTIFS('Props'!$D$7:$D$26,"Extrapolation")</x:f>
        <x:v>20</x:v>
      </x:c>
      <x:c r="J17" s="40" t="n">
        <x:f>COUNTIFS('Props'!$D$7:$D$26,"Coupé attesté")</x:f>
        <x:v>0</x:v>
      </x:c>
      <x:c r="K17" s="40" t="n">
        <x:f>COUNTIFS('Props'!$D$7:$D$26,"Concept abandonné")</x:f>
        <x:v>0</x:v>
      </x:c>
      <x:c r="L17" s="40" t="n">
        <x:f>COUNTIFS('Props'!$D$7:$D$26,"Allégation écartée")</x:f>
        <x:v>0</x:v>
      </x:c>
      <x:c r="M17" s="40" t="n">
        <x:f>COUNTIFS('Props'!$E$7:$E$26,"P0")</x:f>
        <x:v>0</x:v>
      </x:c>
    </x:row>
    <x:row r="18" ht="22" customHeight="1">
      <x:c r="A18" s="35" t="str">
        <x:v>Ennemis et boss</x:v>
      </x:c>
      <x:c r="B18" s="39" t="n">
        <x:f>COUNTA('Ennemis_boss'!$A$7:$A$50)</x:f>
        <x:v>44</x:v>
      </x:c>
      <x:c r="C18" s="39" t="n">
        <x:f>COUNTIFS('Ennemis_boss'!$C$7:$C$50,"Défini")</x:f>
        <x:v>44</x:v>
      </x:c>
      <x:c r="D18" s="39" t="n">
        <x:f>COUNTIFS('Ennemis_boss'!$C$7:$C$50,"Prototype")</x:f>
        <x:v>0</x:v>
      </x:c>
      <x:c r="E18" s="39" t="n">
        <x:f>COUNTIFS('Ennemis_boss'!$C$7:$C$50,"Intégré")</x:f>
        <x:v>0</x:v>
      </x:c>
      <x:c r="F18" s="39" t="n">
        <x:f>COUNTIFS('Ennemis_boss'!$C$7:$C$50,"Validé")</x:f>
        <x:v>0</x:v>
      </x:c>
      <x:c r="G18" s="39" t="n">
        <x:f>COUNTIFS('Ennemis_boss'!$D$7:$D$50,"Établi")</x:f>
        <x:v>44</x:v>
      </x:c>
      <x:c r="H18" s="39" t="n">
        <x:f>COUNTIFS('Ennemis_boss'!$D$7:$D$50,"À vérifier")</x:f>
        <x:v>0</x:v>
      </x:c>
      <x:c r="I18" s="39" t="n">
        <x:f>COUNTIFS('Ennemis_boss'!$D$7:$D$50,"Extrapolation")</x:f>
        <x:v>0</x:v>
      </x:c>
      <x:c r="J18" s="39" t="n">
        <x:f>COUNTIFS('Ennemis_boss'!$D$7:$D$50,"Coupé attesté")</x:f>
        <x:v>0</x:v>
      </x:c>
      <x:c r="K18" s="39" t="n">
        <x:f>COUNTIFS('Ennemis_boss'!$D$7:$D$50,"Concept abandonné")</x:f>
        <x:v>0</x:v>
      </x:c>
      <x:c r="L18" s="39" t="n">
        <x:f>COUNTIFS('Ennemis_boss'!$D$7:$D$50,"Allégation écartée")</x:f>
        <x:v>0</x:v>
      </x:c>
      <x:c r="M18" s="39" t="n">
        <x:f>COUNTIFS('Ennemis_boss'!$E$7:$E$50,"P0")</x:f>
        <x:v>0</x:v>
      </x:c>
    </x:row>
    <x:row r="19" ht="22" customHeight="1">
      <x:c r="A19" s="2" t="str">
        <x:v>Missions</x:v>
      </x:c>
      <x:c r="B19" s="40" t="n">
        <x:f>COUNTA('Missions'!$A$7:$A$45)</x:f>
        <x:v>39</x:v>
      </x:c>
      <x:c r="C19" s="40" t="n">
        <x:f>COUNTIFS('Missions'!$C$7:$C$45,"Défini")</x:f>
        <x:v>39</x:v>
      </x:c>
      <x:c r="D19" s="40" t="n">
        <x:f>COUNTIFS('Missions'!$C$7:$C$45,"Prototype")</x:f>
        <x:v>0</x:v>
      </x:c>
      <x:c r="E19" s="40" t="n">
        <x:f>COUNTIFS('Missions'!$C$7:$C$45,"Intégré")</x:f>
        <x:v>0</x:v>
      </x:c>
      <x:c r="F19" s="40" t="n">
        <x:f>COUNTIFS('Missions'!$C$7:$C$45,"Validé")</x:f>
        <x:v>0</x:v>
      </x:c>
      <x:c r="G19" s="40" t="n">
        <x:f>COUNTIFS('Missions'!$D$7:$D$45,"Établi")</x:f>
        <x:v>39</x:v>
      </x:c>
      <x:c r="H19" s="40" t="n">
        <x:f>COUNTIFS('Missions'!$D$7:$D$45,"À vérifier")</x:f>
        <x:v>0</x:v>
      </x:c>
      <x:c r="I19" s="40" t="n">
        <x:f>COUNTIFS('Missions'!$D$7:$D$45,"Extrapolation")</x:f>
        <x:v>0</x:v>
      </x:c>
      <x:c r="J19" s="40" t="n">
        <x:f>COUNTIFS('Missions'!$D$7:$D$45,"Coupé attesté")</x:f>
        <x:v>0</x:v>
      </x:c>
      <x:c r="K19" s="40" t="n">
        <x:f>COUNTIFS('Missions'!$D$7:$D$45,"Concept abandonné")</x:f>
        <x:v>0</x:v>
      </x:c>
      <x:c r="L19" s="40" t="n">
        <x:f>COUNTIFS('Missions'!$D$7:$D$45,"Allégation écartée")</x:f>
        <x:v>0</x:v>
      </x:c>
      <x:c r="M19" s="40" t="n">
        <x:f>COUNTIFS('Missions'!$E$7:$E$45,"P0")</x:f>
        <x:v>39</x:v>
      </x:c>
    </x:row>
    <x:row r="20" ht="22" customHeight="1">
      <x:c r="A20" s="35" t="str">
        <x:v>Secondaires et DLC</x:v>
      </x:c>
      <x:c r="B20" s="39" t="n">
        <x:f>COUNTA('Secondaires_DLC'!$A$7:$A$59)</x:f>
        <x:v>53</x:v>
      </x:c>
      <x:c r="C20" s="39" t="n">
        <x:f>COUNTIFS('Secondaires_DLC'!$C$7:$C$59,"Défini")</x:f>
        <x:v>53</x:v>
      </x:c>
      <x:c r="D20" s="39" t="n">
        <x:f>COUNTIFS('Secondaires_DLC'!$C$7:$C$59,"Prototype")</x:f>
        <x:v>0</x:v>
      </x:c>
      <x:c r="E20" s="39" t="n">
        <x:f>COUNTIFS('Secondaires_DLC'!$C$7:$C$59,"Intégré")</x:f>
        <x:v>0</x:v>
      </x:c>
      <x:c r="F20" s="39" t="n">
        <x:f>COUNTIFS('Secondaires_DLC'!$C$7:$C$59,"Validé")</x:f>
        <x:v>0</x:v>
      </x:c>
      <x:c r="G20" s="39" t="n">
        <x:f>COUNTIFS('Secondaires_DLC'!$D$7:$D$59,"Établi")</x:f>
        <x:v>53</x:v>
      </x:c>
      <x:c r="H20" s="39" t="n">
        <x:f>COUNTIFS('Secondaires_DLC'!$D$7:$D$59,"À vérifier")</x:f>
        <x:v>0</x:v>
      </x:c>
      <x:c r="I20" s="39" t="n">
        <x:f>COUNTIFS('Secondaires_DLC'!$D$7:$D$59,"Extrapolation")</x:f>
        <x:v>0</x:v>
      </x:c>
      <x:c r="J20" s="39" t="n">
        <x:f>COUNTIFS('Secondaires_DLC'!$D$7:$D$59,"Coupé attesté")</x:f>
        <x:v>0</x:v>
      </x:c>
      <x:c r="K20" s="39" t="n">
        <x:f>COUNTIFS('Secondaires_DLC'!$D$7:$D$59,"Concept abandonné")</x:f>
        <x:v>0</x:v>
      </x:c>
      <x:c r="L20" s="39" t="n">
        <x:f>COUNTIFS('Secondaires_DLC'!$D$7:$D$59,"Allégation écartée")</x:f>
        <x:v>0</x:v>
      </x:c>
      <x:c r="M20" s="39" t="n">
        <x:f>COUNTIFS('Secondaires_DLC'!$E$7:$E$59,"P0")</x:f>
        <x:v>0</x:v>
      </x:c>
    </x:row>
    <x:row r="21" ht="22" customHeight="1">
      <x:c r="A21" s="2" t="str">
        <x:v>Choix et relations</x:v>
      </x:c>
      <x:c r="B21" s="40" t="n">
        <x:f>COUNTA('Choix_relations'!$A$7:$A$32)</x:f>
        <x:v>26</x:v>
      </x:c>
      <x:c r="C21" s="40" t="n">
        <x:f>COUNTIFS('Choix_relations'!$C$7:$C$32,"Défini")</x:f>
        <x:v>26</x:v>
      </x:c>
      <x:c r="D21" s="40" t="n">
        <x:f>COUNTIFS('Choix_relations'!$C$7:$C$32,"Prototype")</x:f>
        <x:v>0</x:v>
      </x:c>
      <x:c r="E21" s="40" t="n">
        <x:f>COUNTIFS('Choix_relations'!$C$7:$C$32,"Intégré")</x:f>
        <x:v>0</x:v>
      </x:c>
      <x:c r="F21" s="40" t="n">
        <x:f>COUNTIFS('Choix_relations'!$C$7:$C$32,"Validé")</x:f>
        <x:v>0</x:v>
      </x:c>
      <x:c r="G21" s="40" t="n">
        <x:f>COUNTIFS('Choix_relations'!$D$7:$D$32,"Établi")</x:f>
        <x:v>26</x:v>
      </x:c>
      <x:c r="H21" s="40" t="n">
        <x:f>COUNTIFS('Choix_relations'!$D$7:$D$32,"À vérifier")</x:f>
        <x:v>0</x:v>
      </x:c>
      <x:c r="I21" s="40" t="n">
        <x:f>COUNTIFS('Choix_relations'!$D$7:$D$32,"Extrapolation")</x:f>
        <x:v>0</x:v>
      </x:c>
      <x:c r="J21" s="40" t="n">
        <x:f>COUNTIFS('Choix_relations'!$D$7:$D$32,"Coupé attesté")</x:f>
        <x:v>0</x:v>
      </x:c>
      <x:c r="K21" s="40" t="n">
        <x:f>COUNTIFS('Choix_relations'!$D$7:$D$32,"Concept abandonné")</x:f>
        <x:v>0</x:v>
      </x:c>
      <x:c r="L21" s="40" t="n">
        <x:f>COUNTIFS('Choix_relations'!$D$7:$D$32,"Allégation écartée")</x:f>
        <x:v>0</x:v>
      </x:c>
      <x:c r="M21" s="40" t="n">
        <x:f>COUNTIFS('Choix_relations'!$E$7:$E$32,"P0")</x:f>
        <x:v>0</x:v>
      </x:c>
    </x:row>
    <x:row r="22" ht="22" customHeight="1">
      <x:c r="A22" s="35" t="str">
        <x:v>Dialogues</x:v>
      </x:c>
      <x:c r="B22" s="39" t="n">
        <x:f>COUNTA('Dialogues'!$A$7:$A$18)</x:f>
        <x:v>12</x:v>
      </x:c>
      <x:c r="C22" s="39" t="n">
        <x:f>COUNTIFS('Dialogues'!$C$7:$C$18,"Défini")</x:f>
        <x:v>12</x:v>
      </x:c>
      <x:c r="D22" s="39" t="n">
        <x:f>COUNTIFS('Dialogues'!$C$7:$C$18,"Prototype")</x:f>
        <x:v>0</x:v>
      </x:c>
      <x:c r="E22" s="39" t="n">
        <x:f>COUNTIFS('Dialogues'!$C$7:$C$18,"Intégré")</x:f>
        <x:v>0</x:v>
      </x:c>
      <x:c r="F22" s="39" t="n">
        <x:f>COUNTIFS('Dialogues'!$C$7:$C$18,"Validé")</x:f>
        <x:v>0</x:v>
      </x:c>
      <x:c r="G22" s="39" t="n">
        <x:f>COUNTIFS('Dialogues'!$D$7:$D$18,"Établi")</x:f>
        <x:v>0</x:v>
      </x:c>
      <x:c r="H22" s="39" t="n">
        <x:f>COUNTIFS('Dialogues'!$D$7:$D$18,"À vérifier")</x:f>
        <x:v>0</x:v>
      </x:c>
      <x:c r="I22" s="39" t="n">
        <x:f>COUNTIFS('Dialogues'!$D$7:$D$18,"Extrapolation")</x:f>
        <x:v>12</x:v>
      </x:c>
      <x:c r="J22" s="39" t="n">
        <x:f>COUNTIFS('Dialogues'!$D$7:$D$18,"Coupé attesté")</x:f>
        <x:v>0</x:v>
      </x:c>
      <x:c r="K22" s="39" t="n">
        <x:f>COUNTIFS('Dialogues'!$D$7:$D$18,"Concept abandonné")</x:f>
        <x:v>0</x:v>
      </x:c>
      <x:c r="L22" s="39" t="n">
        <x:f>COUNTIFS('Dialogues'!$D$7:$D$18,"Allégation écartée")</x:f>
        <x:v>0</x:v>
      </x:c>
      <x:c r="M22" s="39" t="n">
        <x:f>COUNTIFS('Dialogues'!$E$7:$E$18,"P0")</x:f>
        <x:v>0</x:v>
      </x:c>
    </x:row>
    <x:row r="23" ht="22" customHeight="1">
      <x:c r="A23" s="2" t="str">
        <x:v>Cinématiques</x:v>
      </x:c>
      <x:c r="B23" s="40" t="n">
        <x:f>COUNTA('Cinematiques'!$A$7:$A$16)</x:f>
        <x:v>10</x:v>
      </x:c>
      <x:c r="C23" s="40" t="n">
        <x:f>COUNTIFS('Cinematiques'!$C$7:$C$16,"Défini")</x:f>
        <x:v>10</x:v>
      </x:c>
      <x:c r="D23" s="40" t="n">
        <x:f>COUNTIFS('Cinematiques'!$C$7:$C$16,"Prototype")</x:f>
        <x:v>0</x:v>
      </x:c>
      <x:c r="E23" s="40" t="n">
        <x:f>COUNTIFS('Cinematiques'!$C$7:$C$16,"Intégré")</x:f>
        <x:v>0</x:v>
      </x:c>
      <x:c r="F23" s="40" t="n">
        <x:f>COUNTIFS('Cinematiques'!$C$7:$C$16,"Validé")</x:f>
        <x:v>0</x:v>
      </x:c>
      <x:c r="G23" s="40" t="n">
        <x:f>COUNTIFS('Cinematiques'!$D$7:$D$16,"Établi")</x:f>
        <x:v>0</x:v>
      </x:c>
      <x:c r="H23" s="40" t="n">
        <x:f>COUNTIFS('Cinematiques'!$D$7:$D$16,"À vérifier")</x:f>
        <x:v>0</x:v>
      </x:c>
      <x:c r="I23" s="40" t="n">
        <x:f>COUNTIFS('Cinematiques'!$D$7:$D$16,"Extrapolation")</x:f>
        <x:v>10</x:v>
      </x:c>
      <x:c r="J23" s="40" t="n">
        <x:f>COUNTIFS('Cinematiques'!$D$7:$D$16,"Coupé attesté")</x:f>
        <x:v>0</x:v>
      </x:c>
      <x:c r="K23" s="40" t="n">
        <x:f>COUNTIFS('Cinematiques'!$D$7:$D$16,"Concept abandonné")</x:f>
        <x:v>0</x:v>
      </x:c>
      <x:c r="L23" s="40" t="n">
        <x:f>COUNTIFS('Cinematiques'!$D$7:$D$16,"Allégation écartée")</x:f>
        <x:v>0</x:v>
      </x:c>
      <x:c r="M23" s="40" t="n">
        <x:f>COUNTIFS('Cinematiques'!$E$7:$E$16,"P0")</x:f>
        <x:v>0</x:v>
      </x:c>
    </x:row>
    <x:row r="24" ht="22" customHeight="1">
      <x:c r="A24" s="35" t="str">
        <x:v>Armes</x:v>
      </x:c>
      <x:c r="B24" s="39" t="n">
        <x:f>COUNTA('Armes'!$A$7:$A$35)</x:f>
        <x:v>29</x:v>
      </x:c>
      <x:c r="C24" s="39" t="n">
        <x:f>COUNTIFS('Armes'!$C$7:$C$35,"Défini")</x:f>
        <x:v>19</x:v>
      </x:c>
      <x:c r="D24" s="39" t="n">
        <x:f>COUNTIFS('Armes'!$C$7:$C$35,"Prototype")</x:f>
        <x:v>10</x:v>
      </x:c>
      <x:c r="E24" s="39" t="n">
        <x:f>COUNTIFS('Armes'!$C$7:$C$35,"Intégré")</x:f>
        <x:v>0</x:v>
      </x:c>
      <x:c r="F24" s="39" t="n">
        <x:f>COUNTIFS('Armes'!$C$7:$C$35,"Validé")</x:f>
        <x:v>0</x:v>
      </x:c>
      <x:c r="G24" s="39" t="n">
        <x:f>COUNTIFS('Armes'!$D$7:$D$35,"Établi")</x:f>
        <x:v>29</x:v>
      </x:c>
      <x:c r="H24" s="39" t="n">
        <x:f>COUNTIFS('Armes'!$D$7:$D$35,"À vérifier")</x:f>
        <x:v>0</x:v>
      </x:c>
      <x:c r="I24" s="39" t="n">
        <x:f>COUNTIFS('Armes'!$D$7:$D$35,"Extrapolation")</x:f>
        <x:v>0</x:v>
      </x:c>
      <x:c r="J24" s="39" t="n">
        <x:f>COUNTIFS('Armes'!$D$7:$D$35,"Coupé attesté")</x:f>
        <x:v>0</x:v>
      </x:c>
      <x:c r="K24" s="39" t="n">
        <x:f>COUNTIFS('Armes'!$D$7:$D$35,"Concept abandonné")</x:f>
        <x:v>0</x:v>
      </x:c>
      <x:c r="L24" s="39" t="n">
        <x:f>COUNTIFS('Armes'!$D$7:$D$35,"Allégation écartée")</x:f>
        <x:v>0</x:v>
      </x:c>
      <x:c r="M24" s="39" t="n">
        <x:f>COUNTIFS('Armes'!$E$7:$E$35,"P0")</x:f>
        <x:v>0</x:v>
      </x:c>
    </x:row>
    <x:row r="25" ht="22" customHeight="1">
      <x:c r="A25" s="2" t="str">
        <x:v>Armures et équipement</x:v>
      </x:c>
      <x:c r="B25" s="40" t="n">
        <x:f>COUNTA('Armures_equipement'!$A$7:$A$26)</x:f>
        <x:v>20</x:v>
      </x:c>
      <x:c r="C25" s="40" t="n">
        <x:f>COUNTIFS('Armures_equipement'!$C$7:$C$26,"Défini")</x:f>
        <x:v>19</x:v>
      </x:c>
      <x:c r="D25" s="40" t="n">
        <x:f>COUNTIFS('Armures_equipement'!$C$7:$C$26,"Prototype")</x:f>
        <x:v>1</x:v>
      </x:c>
      <x:c r="E25" s="40" t="n">
        <x:f>COUNTIFS('Armures_equipement'!$C$7:$C$26,"Intégré")</x:f>
        <x:v>0</x:v>
      </x:c>
      <x:c r="F25" s="40" t="n">
        <x:f>COUNTIFS('Armures_equipement'!$C$7:$C$26,"Validé")</x:f>
        <x:v>0</x:v>
      </x:c>
      <x:c r="G25" s="40" t="n">
        <x:f>COUNTIFS('Armures_equipement'!$D$7:$D$26,"Établi")</x:f>
        <x:v>20</x:v>
      </x:c>
      <x:c r="H25" s="40" t="n">
        <x:f>COUNTIFS('Armures_equipement'!$D$7:$D$26,"À vérifier")</x:f>
        <x:v>0</x:v>
      </x:c>
      <x:c r="I25" s="40" t="n">
        <x:f>COUNTIFS('Armures_equipement'!$D$7:$D$26,"Extrapolation")</x:f>
        <x:v>0</x:v>
      </x:c>
      <x:c r="J25" s="40" t="n">
        <x:f>COUNTIFS('Armures_equipement'!$D$7:$D$26,"Coupé attesté")</x:f>
        <x:v>0</x:v>
      </x:c>
      <x:c r="K25" s="40" t="n">
        <x:f>COUNTIFS('Armures_equipement'!$D$7:$D$26,"Concept abandonné")</x:f>
        <x:v>0</x:v>
      </x:c>
      <x:c r="L25" s="40" t="n">
        <x:f>COUNTIFS('Armures_equipement'!$D$7:$D$26,"Allégation écartée")</x:f>
        <x:v>0</x:v>
      </x:c>
      <x:c r="M25" s="40" t="n">
        <x:f>COUNTIFS('Armures_equipement'!$E$7:$E$26,"P0")</x:f>
        <x:v>0</x:v>
      </x:c>
    </x:row>
    <x:row r="26" ht="22" customHeight="1">
      <x:c r="A26" s="35" t="str">
        <x:v>Pouvoirs</x:v>
      </x:c>
      <x:c r="B26" s="39" t="n">
        <x:f>COUNTA('Pouvoirs'!$A$7:$A$40)</x:f>
        <x:v>34</x:v>
      </x:c>
      <x:c r="C26" s="39" t="n">
        <x:f>COUNTIFS('Pouvoirs'!$C$7:$C$40,"Défini")</x:f>
        <x:v>34</x:v>
      </x:c>
      <x:c r="D26" s="39" t="n">
        <x:f>COUNTIFS('Pouvoirs'!$C$7:$C$40,"Prototype")</x:f>
        <x:v>0</x:v>
      </x:c>
      <x:c r="E26" s="39" t="n">
        <x:f>COUNTIFS('Pouvoirs'!$C$7:$C$40,"Intégré")</x:f>
        <x:v>0</x:v>
      </x:c>
      <x:c r="F26" s="39" t="n">
        <x:f>COUNTIFS('Pouvoirs'!$C$7:$C$40,"Validé")</x:f>
        <x:v>0</x:v>
      </x:c>
      <x:c r="G26" s="39" t="n">
        <x:f>COUNTIFS('Pouvoirs'!$D$7:$D$40,"Établi")</x:f>
        <x:v>34</x:v>
      </x:c>
      <x:c r="H26" s="39" t="n">
        <x:f>COUNTIFS('Pouvoirs'!$D$7:$D$40,"À vérifier")</x:f>
        <x:v>0</x:v>
      </x:c>
      <x:c r="I26" s="39" t="n">
        <x:f>COUNTIFS('Pouvoirs'!$D$7:$D$40,"Extrapolation")</x:f>
        <x:v>0</x:v>
      </x:c>
      <x:c r="J26" s="39" t="n">
        <x:f>COUNTIFS('Pouvoirs'!$D$7:$D$40,"Coupé attesté")</x:f>
        <x:v>0</x:v>
      </x:c>
      <x:c r="K26" s="39" t="n">
        <x:f>COUNTIFS('Pouvoirs'!$D$7:$D$40,"Concept abandonné")</x:f>
        <x:v>0</x:v>
      </x:c>
      <x:c r="L26" s="39" t="n">
        <x:f>COUNTIFS('Pouvoirs'!$D$7:$D$40,"Allégation écartée")</x:f>
        <x:v>0</x:v>
      </x:c>
      <x:c r="M26" s="39" t="n">
        <x:f>COUNTIFS('Pouvoirs'!$E$7:$E$40,"P0")</x:f>
        <x:v>0</x:v>
      </x:c>
    </x:row>
    <x:row r="27" ht="22" customHeight="1">
      <x:c r="A27" s="2" t="str">
        <x:v>Movesets alliés</x:v>
      </x:c>
      <x:c r="B27" s="40" t="n">
        <x:f>COUNTA('Movesets_allies'!$A$7:$A$22)</x:f>
        <x:v>16</x:v>
      </x:c>
      <x:c r="C27" s="40" t="n">
        <x:f>COUNTIFS('Movesets_allies'!$C$7:$C$22,"Défini")</x:f>
        <x:v>16</x:v>
      </x:c>
      <x:c r="D27" s="40" t="n">
        <x:f>COUNTIFS('Movesets_allies'!$C$7:$C$22,"Prototype")</x:f>
        <x:v>0</x:v>
      </x:c>
      <x:c r="E27" s="40" t="n">
        <x:f>COUNTIFS('Movesets_allies'!$C$7:$C$22,"Intégré")</x:f>
        <x:v>0</x:v>
      </x:c>
      <x:c r="F27" s="40" t="n">
        <x:f>COUNTIFS('Movesets_allies'!$C$7:$C$22,"Validé")</x:f>
        <x:v>0</x:v>
      </x:c>
      <x:c r="G27" s="40" t="n">
        <x:f>COUNTIFS('Movesets_allies'!$D$7:$D$22,"Établi")</x:f>
        <x:v>0</x:v>
      </x:c>
      <x:c r="H27" s="40" t="n">
        <x:f>COUNTIFS('Movesets_allies'!$D$7:$D$22,"À vérifier")</x:f>
        <x:v>0</x:v>
      </x:c>
      <x:c r="I27" s="40" t="n">
        <x:f>COUNTIFS('Movesets_allies'!$D$7:$D$22,"Extrapolation")</x:f>
        <x:v>16</x:v>
      </x:c>
      <x:c r="J27" s="40" t="n">
        <x:f>COUNTIFS('Movesets_allies'!$D$7:$D$22,"Coupé attesté")</x:f>
        <x:v>0</x:v>
      </x:c>
      <x:c r="K27" s="40" t="n">
        <x:f>COUNTIFS('Movesets_allies'!$D$7:$D$22,"Concept abandonné")</x:f>
        <x:v>0</x:v>
      </x:c>
      <x:c r="L27" s="40" t="n">
        <x:f>COUNTIFS('Movesets_allies'!$D$7:$D$22,"Allégation écartée")</x:f>
        <x:v>0</x:v>
      </x:c>
      <x:c r="M27" s="40" t="n">
        <x:f>COUNTIFS('Movesets_allies'!$E$7:$E$22,"P0")</x:f>
        <x:v>0</x:v>
      </x:c>
    </x:row>
    <x:row r="28" ht="22" customHeight="1">
      <x:c r="A28" s="35" t="str">
        <x:v>Movesets ennemis</x:v>
      </x:c>
      <x:c r="B28" s="39" t="n">
        <x:f>COUNTA('Movesets_ennemis'!$A$7:$A$50)</x:f>
        <x:v>44</x:v>
      </x:c>
      <x:c r="C28" s="39" t="n">
        <x:f>COUNTIFS('Movesets_ennemis'!$C$7:$C$50,"Défini")</x:f>
        <x:v>44</x:v>
      </x:c>
      <x:c r="D28" s="39" t="n">
        <x:f>COUNTIFS('Movesets_ennemis'!$C$7:$C$50,"Prototype")</x:f>
        <x:v>0</x:v>
      </x:c>
      <x:c r="E28" s="39" t="n">
        <x:f>COUNTIFS('Movesets_ennemis'!$C$7:$C$50,"Intégré")</x:f>
        <x:v>0</x:v>
      </x:c>
      <x:c r="F28" s="39" t="n">
        <x:f>COUNTIFS('Movesets_ennemis'!$C$7:$C$50,"Validé")</x:f>
        <x:v>0</x:v>
      </x:c>
      <x:c r="G28" s="39" t="n">
        <x:f>COUNTIFS('Movesets_ennemis'!$D$7:$D$50,"Établi")</x:f>
        <x:v>0</x:v>
      </x:c>
      <x:c r="H28" s="39" t="n">
        <x:f>COUNTIFS('Movesets_ennemis'!$D$7:$D$50,"À vérifier")</x:f>
        <x:v>0</x:v>
      </x:c>
      <x:c r="I28" s="39" t="n">
        <x:f>COUNTIFS('Movesets_ennemis'!$D$7:$D$50,"Extrapolation")</x:f>
        <x:v>44</x:v>
      </x:c>
      <x:c r="J28" s="39" t="n">
        <x:f>COUNTIFS('Movesets_ennemis'!$D$7:$D$50,"Coupé attesté")</x:f>
        <x:v>0</x:v>
      </x:c>
      <x:c r="K28" s="39" t="n">
        <x:f>COUNTIFS('Movesets_ennemis'!$D$7:$D$50,"Concept abandonné")</x:f>
        <x:v>0</x:v>
      </x:c>
      <x:c r="L28" s="39" t="n">
        <x:f>COUNTIFS('Movesets_ennemis'!$D$7:$D$50,"Allégation écartée")</x:f>
        <x:v>0</x:v>
      </x:c>
      <x:c r="M28" s="39" t="n">
        <x:f>COUNTIFS('Movesets_ennemis'!$E$7:$E$50,"P0")</x:f>
        <x:v>0</x:v>
      </x:c>
    </x:row>
    <x:row r="29" ht="22" customHeight="1">
      <x:c r="A29" s="2" t="str">
        <x:v>Animations</x:v>
      </x:c>
      <x:c r="B29" s="40" t="n">
        <x:f>COUNTA('Animations'!$A$7:$A$26)</x:f>
        <x:v>20</x:v>
      </x:c>
      <x:c r="C29" s="40" t="n">
        <x:f>COUNTIFS('Animations'!$C$7:$C$26,"Défini")</x:f>
        <x:v>20</x:v>
      </x:c>
      <x:c r="D29" s="40" t="n">
        <x:f>COUNTIFS('Animations'!$C$7:$C$26,"Prototype")</x:f>
        <x:v>0</x:v>
      </x:c>
      <x:c r="E29" s="40" t="n">
        <x:f>COUNTIFS('Animations'!$C$7:$C$26,"Intégré")</x:f>
        <x:v>0</x:v>
      </x:c>
      <x:c r="F29" s="40" t="n">
        <x:f>COUNTIFS('Animations'!$C$7:$C$26,"Validé")</x:f>
        <x:v>0</x:v>
      </x:c>
      <x:c r="G29" s="40" t="n">
        <x:f>COUNTIFS('Animations'!$D$7:$D$26,"Établi")</x:f>
        <x:v>0</x:v>
      </x:c>
      <x:c r="H29" s="40" t="n">
        <x:f>COUNTIFS('Animations'!$D$7:$D$26,"À vérifier")</x:f>
        <x:v>0</x:v>
      </x:c>
      <x:c r="I29" s="40" t="n">
        <x:f>COUNTIFS('Animations'!$D$7:$D$26,"Extrapolation")</x:f>
        <x:v>20</x:v>
      </x:c>
      <x:c r="J29" s="40" t="n">
        <x:f>COUNTIFS('Animations'!$D$7:$D$26,"Coupé attesté")</x:f>
        <x:v>0</x:v>
      </x:c>
      <x:c r="K29" s="40" t="n">
        <x:f>COUNTIFS('Animations'!$D$7:$D$26,"Concept abandonné")</x:f>
        <x:v>0</x:v>
      </x:c>
      <x:c r="L29" s="40" t="n">
        <x:f>COUNTIFS('Animations'!$D$7:$D$26,"Allégation écartée")</x:f>
        <x:v>0</x:v>
      </x:c>
      <x:c r="M29" s="40" t="n">
        <x:f>COUNTIFS('Animations'!$E$7:$E$26,"P0")</x:f>
        <x:v>0</x:v>
      </x:c>
    </x:row>
    <x:row r="30" ht="22" customHeight="1">
      <x:c r="A30" s="35" t="str">
        <x:v>Sprites</x:v>
      </x:c>
      <x:c r="B30" s="39" t="n">
        <x:f>COUNTA('Sprites'!$A$7:$A$66)</x:f>
        <x:v>60</x:v>
      </x:c>
      <x:c r="C30" s="39" t="n">
        <x:f>COUNTIFS('Sprites'!$C$7:$C$66,"Défini")</x:f>
        <x:v>60</x:v>
      </x:c>
      <x:c r="D30" s="39" t="n">
        <x:f>COUNTIFS('Sprites'!$C$7:$C$66,"Prototype")</x:f>
        <x:v>0</x:v>
      </x:c>
      <x:c r="E30" s="39" t="n">
        <x:f>COUNTIFS('Sprites'!$C$7:$C$66,"Intégré")</x:f>
        <x:v>0</x:v>
      </x:c>
      <x:c r="F30" s="39" t="n">
        <x:f>COUNTIFS('Sprites'!$C$7:$C$66,"Validé")</x:f>
        <x:v>0</x:v>
      </x:c>
      <x:c r="G30" s="39" t="n">
        <x:f>COUNTIFS('Sprites'!$D$7:$D$66,"Établi")</x:f>
        <x:v>0</x:v>
      </x:c>
      <x:c r="H30" s="39" t="n">
        <x:f>COUNTIFS('Sprites'!$D$7:$D$66,"À vérifier")</x:f>
        <x:v>0</x:v>
      </x:c>
      <x:c r="I30" s="39" t="n">
        <x:f>COUNTIFS('Sprites'!$D$7:$D$66,"Extrapolation")</x:f>
        <x:v>60</x:v>
      </x:c>
      <x:c r="J30" s="39" t="n">
        <x:f>COUNTIFS('Sprites'!$D$7:$D$66,"Coupé attesté")</x:f>
        <x:v>0</x:v>
      </x:c>
      <x:c r="K30" s="39" t="n">
        <x:f>COUNTIFS('Sprites'!$D$7:$D$66,"Concept abandonné")</x:f>
        <x:v>0</x:v>
      </x:c>
      <x:c r="L30" s="39" t="n">
        <x:f>COUNTIFS('Sprites'!$D$7:$D$66,"Allégation écartée")</x:f>
        <x:v>0</x:v>
      </x:c>
      <x:c r="M30" s="39" t="n">
        <x:f>COUNTIFS('Sprites'!$E$7:$E$66,"P0")</x:f>
        <x:v>0</x:v>
      </x:c>
    </x:row>
    <x:row r="31" ht="22" customHeight="1">
      <x:c r="A31" s="2" t="str">
        <x:v>VFX</x:v>
      </x:c>
      <x:c r="B31" s="40" t="n">
        <x:f>COUNTA('VFX'!$A$7:$A$21)</x:f>
        <x:v>15</x:v>
      </x:c>
      <x:c r="C31" s="40" t="n">
        <x:f>COUNTIFS('VFX'!$C$7:$C$21,"Défini")</x:f>
        <x:v>15</x:v>
      </x:c>
      <x:c r="D31" s="40" t="n">
        <x:f>COUNTIFS('VFX'!$C$7:$C$21,"Prototype")</x:f>
        <x:v>0</x:v>
      </x:c>
      <x:c r="E31" s="40" t="n">
        <x:f>COUNTIFS('VFX'!$C$7:$C$21,"Intégré")</x:f>
        <x:v>0</x:v>
      </x:c>
      <x:c r="F31" s="40" t="n">
        <x:f>COUNTIFS('VFX'!$C$7:$C$21,"Validé")</x:f>
        <x:v>0</x:v>
      </x:c>
      <x:c r="G31" s="40" t="n">
        <x:f>COUNTIFS('VFX'!$D$7:$D$21,"Établi")</x:f>
        <x:v>0</x:v>
      </x:c>
      <x:c r="H31" s="40" t="n">
        <x:f>COUNTIFS('VFX'!$D$7:$D$21,"À vérifier")</x:f>
        <x:v>0</x:v>
      </x:c>
      <x:c r="I31" s="40" t="n">
        <x:f>COUNTIFS('VFX'!$D$7:$D$21,"Extrapolation")</x:f>
        <x:v>15</x:v>
      </x:c>
      <x:c r="J31" s="40" t="n">
        <x:f>COUNTIFS('VFX'!$D$7:$D$21,"Coupé attesté")</x:f>
        <x:v>0</x:v>
      </x:c>
      <x:c r="K31" s="40" t="n">
        <x:f>COUNTIFS('VFX'!$D$7:$D$21,"Concept abandonné")</x:f>
        <x:v>0</x:v>
      </x:c>
      <x:c r="L31" s="40" t="n">
        <x:f>COUNTIFS('VFX'!$D$7:$D$21,"Allégation écartée")</x:f>
        <x:v>0</x:v>
      </x:c>
      <x:c r="M31" s="40" t="n">
        <x:f>COUNTIFS('VFX'!$E$7:$E$21,"P0")</x:f>
        <x:v>0</x:v>
      </x:c>
    </x:row>
    <x:row r="32" ht="22" customHeight="1">
      <x:c r="A32" s="35" t="str">
        <x:v>Audio</x:v>
      </x:c>
      <x:c r="B32" s="39" t="n">
        <x:f>COUNTA('Audio'!$A$7:$A$21)</x:f>
        <x:v>15</x:v>
      </x:c>
      <x:c r="C32" s="39" t="n">
        <x:f>COUNTIFS('Audio'!$C$7:$C$21,"Défini")</x:f>
        <x:v>15</x:v>
      </x:c>
      <x:c r="D32" s="39" t="n">
        <x:f>COUNTIFS('Audio'!$C$7:$C$21,"Prototype")</x:f>
        <x:v>0</x:v>
      </x:c>
      <x:c r="E32" s="39" t="n">
        <x:f>COUNTIFS('Audio'!$C$7:$C$21,"Intégré")</x:f>
        <x:v>0</x:v>
      </x:c>
      <x:c r="F32" s="39" t="n">
        <x:f>COUNTIFS('Audio'!$C$7:$C$21,"Validé")</x:f>
        <x:v>0</x:v>
      </x:c>
      <x:c r="G32" s="39" t="n">
        <x:f>COUNTIFS('Audio'!$D$7:$D$21,"Établi")</x:f>
        <x:v>0</x:v>
      </x:c>
      <x:c r="H32" s="39" t="n">
        <x:f>COUNTIFS('Audio'!$D$7:$D$21,"À vérifier")</x:f>
        <x:v>0</x:v>
      </x:c>
      <x:c r="I32" s="39" t="n">
        <x:f>COUNTIFS('Audio'!$D$7:$D$21,"Extrapolation")</x:f>
        <x:v>15</x:v>
      </x:c>
      <x:c r="J32" s="39" t="n">
        <x:f>COUNTIFS('Audio'!$D$7:$D$21,"Coupé attesté")</x:f>
        <x:v>0</x:v>
      </x:c>
      <x:c r="K32" s="39" t="n">
        <x:f>COUNTIFS('Audio'!$D$7:$D$21,"Concept abandonné")</x:f>
        <x:v>0</x:v>
      </x:c>
      <x:c r="L32" s="39" t="n">
        <x:f>COUNTIFS('Audio'!$D$7:$D$21,"Allégation écartée")</x:f>
        <x:v>0</x:v>
      </x:c>
      <x:c r="M32" s="39" t="n">
        <x:f>COUNTIFS('Audio'!$E$7:$E$21,"P0")</x:f>
        <x:v>0</x:v>
      </x:c>
    </x:row>
    <x:row r="33" ht="22" customHeight="1">
      <x:c r="A33" s="2" t="str">
        <x:v>Systèmes et UI</x:v>
      </x:c>
      <x:c r="B33" s="40" t="n">
        <x:f>COUNTA('UI_systemes'!$A$7:$A$26)</x:f>
        <x:v>20</x:v>
      </x:c>
      <x:c r="C33" s="40" t="n">
        <x:f>COUNTIFS('UI_systemes'!$C$7:$C$26,"Défini")</x:f>
        <x:v>20</x:v>
      </x:c>
      <x:c r="D33" s="40" t="n">
        <x:f>COUNTIFS('UI_systemes'!$C$7:$C$26,"Prototype")</x:f>
        <x:v>0</x:v>
      </x:c>
      <x:c r="E33" s="40" t="n">
        <x:f>COUNTIFS('UI_systemes'!$C$7:$C$26,"Intégré")</x:f>
        <x:v>0</x:v>
      </x:c>
      <x:c r="F33" s="40" t="n">
        <x:f>COUNTIFS('UI_systemes'!$C$7:$C$26,"Validé")</x:f>
        <x:v>0</x:v>
      </x:c>
      <x:c r="G33" s="40" t="n">
        <x:f>COUNTIFS('UI_systemes'!$D$7:$D$26,"Établi")</x:f>
        <x:v>0</x:v>
      </x:c>
      <x:c r="H33" s="40" t="n">
        <x:f>COUNTIFS('UI_systemes'!$D$7:$D$26,"À vérifier")</x:f>
        <x:v>0</x:v>
      </x:c>
      <x:c r="I33" s="40" t="n">
        <x:f>COUNTIFS('UI_systemes'!$D$7:$D$26,"Extrapolation")</x:f>
        <x:v>20</x:v>
      </x:c>
      <x:c r="J33" s="40" t="n">
        <x:f>COUNTIFS('UI_systemes'!$D$7:$D$26,"Coupé attesté")</x:f>
        <x:v>0</x:v>
      </x:c>
      <x:c r="K33" s="40" t="n">
        <x:f>COUNTIFS('UI_systemes'!$D$7:$D$26,"Concept abandonné")</x:f>
        <x:v>0</x:v>
      </x:c>
      <x:c r="L33" s="40" t="n">
        <x:f>COUNTIFS('UI_systemes'!$D$7:$D$26,"Allégation écartée")</x:f>
        <x:v>0</x:v>
      </x:c>
      <x:c r="M33" s="40" t="n">
        <x:f>COUNTIFS('UI_systemes'!$E$7:$E$26,"P0")</x:f>
        <x:v>20</x:v>
      </x:c>
    </x:row>
    <x:row r="34" ht="22" customHeight="1">
      <x:c r="A34" s="35" t="str">
        <x:v>QA</x:v>
      </x:c>
      <x:c r="B34" s="39" t="n">
        <x:f>COUNTA('QA'!$A$7:$A$26)</x:f>
        <x:v>20</x:v>
      </x:c>
      <x:c r="C34" s="39" t="n">
        <x:f>COUNTIFS('QA'!$C$7:$C$26,"Défini")</x:f>
        <x:v>20</x:v>
      </x:c>
      <x:c r="D34" s="39" t="n">
        <x:f>COUNTIFS('QA'!$C$7:$C$26,"Prototype")</x:f>
        <x:v>0</x:v>
      </x:c>
      <x:c r="E34" s="39" t="n">
        <x:f>COUNTIFS('QA'!$C$7:$C$26,"Intégré")</x:f>
        <x:v>0</x:v>
      </x:c>
      <x:c r="F34" s="39" t="n">
        <x:f>COUNTIFS('QA'!$C$7:$C$26,"Validé")</x:f>
        <x:v>0</x:v>
      </x:c>
      <x:c r="G34" s="39" t="n">
        <x:f>COUNTIFS('QA'!$D$7:$D$26,"Établi")</x:f>
        <x:v>0</x:v>
      </x:c>
      <x:c r="H34" s="39" t="n">
        <x:f>COUNTIFS('QA'!$D$7:$D$26,"À vérifier")</x:f>
        <x:v>0</x:v>
      </x:c>
      <x:c r="I34" s="39" t="n">
        <x:f>COUNTIFS('QA'!$D$7:$D$26,"Extrapolation")</x:f>
        <x:v>20</x:v>
      </x:c>
      <x:c r="J34" s="39" t="n">
        <x:f>COUNTIFS('QA'!$D$7:$D$26,"Coupé attesté")</x:f>
        <x:v>0</x:v>
      </x:c>
      <x:c r="K34" s="39" t="n">
        <x:f>COUNTIFS('QA'!$D$7:$D$26,"Concept abandonné")</x:f>
        <x:v>0</x:v>
      </x:c>
      <x:c r="L34" s="39" t="n">
        <x:f>COUNTIFS('QA'!$D$7:$D$26,"Allégation écartée")</x:f>
        <x:v>0</x:v>
      </x:c>
      <x:c r="M34" s="39" t="n">
        <x:f>COUNTIFS('QA'!$E$7:$E$26,"P0")</x:f>
        <x:v>0</x:v>
      </x:c>
    </x:row>
    <x:row r="35" ht="22" customHeight="1">
      <x:c r="A35" s="2" t="str">
        <x:v>Continuité</x:v>
      </x:c>
      <x:c r="B35" s="40" t="n">
        <x:f>COUNTA('Continuite'!$A$7:$A$18)</x:f>
        <x:v>12</x:v>
      </x:c>
      <x:c r="C35" s="40" t="n">
        <x:f>COUNTIFS('Continuite'!$C$7:$C$18,"Défini")</x:f>
        <x:v>12</x:v>
      </x:c>
      <x:c r="D35" s="40" t="n">
        <x:f>COUNTIFS('Continuite'!$C$7:$C$18,"Prototype")</x:f>
        <x:v>0</x:v>
      </x:c>
      <x:c r="E35" s="40" t="n">
        <x:f>COUNTIFS('Continuite'!$C$7:$C$18,"Intégré")</x:f>
        <x:v>0</x:v>
      </x:c>
      <x:c r="F35" s="40" t="n">
        <x:f>COUNTIFS('Continuite'!$C$7:$C$18,"Validé")</x:f>
        <x:v>0</x:v>
      </x:c>
      <x:c r="G35" s="40" t="n">
        <x:f>COUNTIFS('Continuite'!$D$7:$D$18,"Établi")</x:f>
        <x:v>12</x:v>
      </x:c>
      <x:c r="H35" s="40" t="n">
        <x:f>COUNTIFS('Continuite'!$D$7:$D$18,"À vérifier")</x:f>
        <x:v>0</x:v>
      </x:c>
      <x:c r="I35" s="40" t="n">
        <x:f>COUNTIFS('Continuite'!$D$7:$D$18,"Extrapolation")</x:f>
        <x:v>0</x:v>
      </x:c>
      <x:c r="J35" s="40" t="n">
        <x:f>COUNTIFS('Continuite'!$D$7:$D$18,"Coupé attesté")</x:f>
        <x:v>0</x:v>
      </x:c>
      <x:c r="K35" s="40" t="n">
        <x:f>COUNTIFS('Continuite'!$D$7:$D$18,"Concept abandonné")</x:f>
        <x:v>0</x:v>
      </x:c>
      <x:c r="L35" s="40" t="n">
        <x:f>COUNTIFS('Continuite'!$D$7:$D$18,"Allégation écartée")</x:f>
        <x:v>0</x:v>
      </x:c>
      <x:c r="M35" s="40" t="n">
        <x:f>COUNTIFS('Continuite'!$E$7:$E$18,"P0")</x:f>
        <x:v>0</x:v>
      </x:c>
    </x:row>
    <x:row r="36" ht="22" customHeight="1">
      <x:c r="A36" s="2"/>
      <x:c r="B36" s="40"/>
      <x:c r="C36" s="40"/>
      <x:c r="D36" s="40"/>
      <x:c r="E36" s="40"/>
      <x:c r="F36" s="40"/>
      <x:c r="G36" s="40"/>
      <x:c r="H36" s="40"/>
      <x:c r="I36" s="40"/>
      <x:c r="J36" s="40"/>
      <x:c r="K36" s="40"/>
      <x:c r="L36" s="40"/>
      <x:c r="M36" s="40"/>
    </x:row>
    <x:row r="37" ht="28" customHeight="1">
      <x:c r="A37" s="23" t="str">
        <x:v>TOTAL</x:v>
      </x:c>
      <x:c r="B37" s="41" t="n">
        <x:f>SUM(B10:B35)</x:f>
        <x:v>670</x:v>
      </x:c>
      <x:c r="C37" s="41" t="n">
        <x:f>SUM(C10:C35)</x:f>
        <x:v>647</x:v>
      </x:c>
      <x:c r="D37" s="41" t="n">
        <x:f>SUM(D10:D35)</x:f>
        <x:v>23</x:v>
      </x:c>
      <x:c r="E37" s="41" t="n">
        <x:f>SUM(E10:E35)</x:f>
        <x:v>0</x:v>
      </x:c>
      <x:c r="F37" s="41" t="n">
        <x:f>SUM(F10:F35)</x:f>
        <x:v>0</x:v>
      </x:c>
      <x:c r="G37" s="41" t="n">
        <x:f>SUM(G10:G35)</x:f>
        <x:v>384</x:v>
      </x:c>
      <x:c r="H37" s="41" t="n">
        <x:f>SUM(H10:H35)</x:f>
        <x:v>0</x:v>
      </x:c>
      <x:c r="I37" s="41" t="n">
        <x:f>SUM(I10:I35)</x:f>
        <x:v>286</x:v>
      </x:c>
      <x:c r="J37" s="41" t="n">
        <x:f>SUM(J10:J35)</x:f>
        <x:v>0</x:v>
      </x:c>
      <x:c r="K37" s="41" t="n">
        <x:f>SUM(K10:K35)</x:f>
        <x:v>0</x:v>
      </x:c>
      <x:c r="L37" s="41" t="n">
        <x:f>SUM(L10:L35)</x:f>
        <x:v>0</x:v>
      </x:c>
      <x:c r="M37" s="41" t="n">
        <x:f>SUM(M10:M35)</x:f>
        <x:v>59</x:v>
      </x:c>
    </x:row>
    <x:row r="38" ht="22" customHeight="1">
      <x:c r="A38" s="2"/>
      <x:c r="B38" s="2"/>
      <x:c r="C38" s="2"/>
      <x:c r="D38" s="2"/>
      <x:c r="E38" s="2"/>
      <x:c r="F38" s="2"/>
      <x:c r="G38" s="2"/>
      <x:c r="H38" s="2"/>
      <x:c r="I38" s="2"/>
      <x:c r="J38" s="2"/>
      <x:c r="K38" s="2"/>
      <x:c r="L38" s="2"/>
      <x:c r="M38" s="2"/>
    </x:row>
    <x:row r="39" ht="22" customHeight="1">
      <x:c r="A39" s="2" t="str">
        <x:v>Les compteurs mesurent les fiches présentes, pas un pourcentage d’exhaustivité ou de réalisation.</x:v>
      </x:c>
      <x:c r="B39" s="2"/>
      <x:c r="C39" s="2"/>
      <x:c r="D39" s="2"/>
      <x:c r="E39" s="2"/>
      <x:c r="F39" s="2"/>
      <x:c r="G39" s="2"/>
      <x:c r="H39" s="2"/>
      <x:c r="I39" s="2"/>
      <x:c r="J39" s="2"/>
      <x:c r="K39" s="2"/>
      <x:c r="L39" s="2"/>
      <x:c r="M39" s="2"/>
    </x:row>
    <x:row r="40" ht="22" customHeight="1">
      <x:c r="A40" s="2"/>
      <x:c r="B40" s="2"/>
      <x:c r="C40" s="2"/>
      <x:c r="D40" s="2"/>
      <x:c r="E40" s="2"/>
      <x:c r="F40" s="2"/>
      <x:c r="G40" s="2"/>
      <x:c r="H40" s="2"/>
      <x:c r="I40" s="2"/>
      <x:c r="J40" s="2"/>
      <x:c r="K40" s="2"/>
      <x:c r="L40" s="2"/>
      <x:c r="M40" s="2"/>
    </x:row>
    <x:row r="41" ht="22" customHeight="1">
      <x:c r="A41" s="2" t="str">
        <x:v>Périmètre, sources, incertitudes et méthode de suivi : voir Guide.</x:v>
      </x:c>
      <x:c r="B41" s="2"/>
      <x:c r="C41" s="2"/>
      <x:c r="D41" s="2"/>
      <x:c r="E41" s="2"/>
      <x:c r="F41" s="2"/>
      <x:c r="G41" s="2"/>
      <x:c r="H41" s="2"/>
      <x:c r="I41" s="2"/>
      <x:c r="J41" s="2"/>
      <x:c r="K41" s="2"/>
      <x:c r="L41" s="2"/>
      <x:c r="M41" s="2"/>
    </x:row>
    <x:row r="42" ht="22" customHeight="1">
      <x:c r="A42" s="2"/>
      <x:c r="B42" s="2"/>
      <x:c r="C42" s="2"/>
      <x:c r="D42" s="2"/>
      <x:c r="E42" s="2"/>
      <x:c r="F42" s="2"/>
      <x:c r="G42" s="2"/>
      <x:c r="H42" s="2"/>
      <x:c r="I42" s="2"/>
      <x:c r="J42" s="2"/>
      <x:c r="K42" s="2"/>
      <x:c r="L42" s="2"/>
      <x:c r="M4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Personnages</x:v>
      </x:c>
      <x:c r="B2" s="2"/>
      <x:c r="C2" s="2"/>
      <x:c r="D2" s="2"/>
      <x:c r="E2" s="2"/>
      <x:c r="F2" s="2"/>
      <x:c r="G2" s="2"/>
      <x:c r="H2" s="2"/>
      <x:c r="I2" s="2"/>
      <x:c r="J2" s="2"/>
      <x:c r="K2" s="2"/>
      <x:c r="L2" s="2"/>
      <x:c r="M2" s="2"/>
      <x:c r="N2" s="2"/>
      <x:c r="O2" s="2"/>
      <x:c r="P2" s="2"/>
      <x:c r="Q2" s="2"/>
      <x:c r="R2" s="2"/>
      <x:c r="S2" s="2"/>
    </x:row>
    <x:row r="3" ht="22" customHeight="1">
      <x:c r="A3" s="4" t="str">
        <x:v>Mass Effect 2 — Identités et fonctions dans l’œuvre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ME2-CHR-SHEPARD</x:v>
      </x:c>
      <x:c r="B7" s="9" t="str">
        <x:v>Commandant Shepard</x:v>
      </x:c>
      <x:c r="C7" s="15" t="str">
        <x:v>Prototype</x:v>
      </x:c>
      <x:c r="D7" s="16" t="str">
        <x:v>Établi</x:v>
      </x:c>
      <x:c r="E7" s="16" t="str">
        <x:v>P1</x:v>
      </x:c>
      <x:c r="F7" s="9" t="str">
        <x:v>Protagoniste personnalisable de ME2.</x:v>
      </x:c>
      <x:c r="G7" s="9" t="str">
        <x:v>Chef de groupe ATB : donner un ordre collectif ou conserver sa jauge pour une interruption contextuelle.</x:v>
      </x:c>
      <x:c r="H7" s="9" t="str">
        <x:v>Chef de groupe ATB : donner un ordre collectif ou conserver sa jauge pour une interruption contextuelle.</x:v>
      </x:c>
      <x:c r="I7" s="9" t="str">
        <x:v>Armure N7 modulable, visage et carrure paramétrables ; cicatrices en calque séparé.</x:v>
      </x:c>
      <x:c r="J7" s="9" t="str">
        <x:v>Prévoir attente, orientation et réaction au contexte ; conserver les repères décrits dans la silhouette pendant les changements de direction. Les mouvements sont des créations du fan game.</x:v>
      </x:c>
      <x:c r="K7" s="9" t="str">
        <x:v>Créer des bruitages et ambiances originaux adaptés au livrable ; sous-titrer les indices utiles et proposer un réglage indépendant des effets. Aucune extraction audio demandée.</x:v>
      </x:c>
      <x:c r="L7" s="9" t="str">
        <x:v>Prototype Chroniques : src/universe-actors.js, src/chronicles.js. Identifiant runtime ME2-CHR-SHEPARD ; contexte d’œuvre/segment et sélection de scène obligatoires.</x:v>
      </x:c>
      <x:c r="M7" s="9" t="str">
        <x:v>Historique et état importés ; aucune apparence unique imposée.</x:v>
      </x:c>
      <x:c r="N7" s="9" t="str">
        <x:v>Le livrable « Commandant Shepard » possède une scène ou un scénario de contrôle ; ses règles proposées, ses conditions et ses retours visuels sont vérifiables séparément.</x:v>
      </x:c>
      <x:c r="O7" s="9" t="str"/>
      <x:c r="P7" s="9" t="str">
        <x:v>Commandant Shepard</x:v>
      </x:c>
      <x:c r="Q7" s="9" t="str">
        <x:v>ME2-SRC-EA-LE</x:v>
      </x:c>
      <x:c r="R7" s="20" t="str">
        <x:v>https://www.ea.com/fr/games/mass-effect/mass-effect-legendary-edition</x:v>
      </x:c>
      <x:c r="S7" s="20"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8" ht="68" customHeight="1">
      <x:c r="A8" s="19" t="str">
        <x:v>ME2-CHR-MIRANDA</x:v>
      </x:c>
      <x:c r="B8" s="7" t="str">
        <x:v>Miranda Lawson</x:v>
      </x:c>
      <x:c r="C8" s="15" t="str">
        <x:v>Prototype</x:v>
      </x:c>
      <x:c r="D8" s="17" t="str">
        <x:v>Établi</x:v>
      </x:c>
      <x:c r="E8" s="17" t="str">
        <x:v>P1</x:v>
      </x:c>
      <x:c r="F8" s="7" t="str">
        <x:v>Équipière de Cerberus.</x:v>
      </x:c>
      <x:c r="G8" s="7" t="str">
        <x:v>Soutien hybride : préparer une cible par Surcharge, puis choisir Distorsion ou protection de l’équipe.</x:v>
      </x:c>
      <x:c r="H8" s="7" t="str">
        <x:v>Soutien hybride : préparer une cible par Surcharge, puis choisir Distorsion ou protection de l’équipe.</x:v>
      </x:c>
      <x:c r="I8" s="7" t="str">
        <x:v>Combinaison claire à panneaux noirs ; silhouette droite et démarche maîtrisée.</x:v>
      </x:c>
      <x:c r="J8" s="7" t="str">
        <x:v>Prévoir attente, orientation et réaction au contexte ; conserver les repères décrits dans la silhouette pendant les changements de direction. Les mouvements sont des créations du fan game.</x:v>
      </x:c>
      <x:c r="K8" s="7" t="str">
        <x:v>Créer des bruitages et ambiances originaux adaptés au livrable ; sous-titrer les indices utiles et proposer un réglage indépendant des effets. Aucune extraction audio demandée.</x:v>
      </x:c>
      <x:c r="L8" s="7" t="str">
        <x:v>Prototype Chroniques : src/universe-actors.js, src/chronicles.js. Identifiant runtime ME2-CHR-MIRANDA ; contexte d’œuvre/segment et sélection de scène obligatoires.</x:v>
      </x:c>
      <x:c r="M8" s="7" t="str"/>
      <x:c r="N8" s="7" t="str">
        <x:v>Le livrable « Miranda Lawson » possède une scène ou un scénario de contrôle ; ses règles proposées, ses conditions et ses retours visuels sont vérifiables séparément.</x:v>
      </x:c>
      <x:c r="O8" s="7" t="str"/>
      <x:c r="P8" s="7" t="str">
        <x:v>Miranda Lawson</x:v>
      </x:c>
      <x:c r="Q8" s="7" t="str">
        <x:v>ME2-SRC-SQUAD</x:v>
      </x:c>
      <x:c r="R8" s="21" t="str">
        <x:v>https://masseffect.fandom.com/wiki/Squad_Members_Guide_%28Mass_Effect_2%29</x:v>
      </x:c>
      <x:c r="S8" s="21"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9" ht="68" customHeight="1">
      <x:c r="A9" s="18" t="str">
        <x:v>ME2-CHR-JACOB</x:v>
      </x:c>
      <x:c r="B9" s="9" t="str">
        <x:v>Jacob Taylor</x:v>
      </x:c>
      <x:c r="C9" s="15" t="str">
        <x:v>Prototype</x:v>
      </x:c>
      <x:c r="D9" s="16" t="str">
        <x:v>Établi</x:v>
      </x:c>
      <x:c r="E9" s="16" t="str">
        <x:v>P1</x:v>
      </x:c>
      <x:c r="F9" s="9" t="str">
        <x:v>Équipier de Cerberus.</x:v>
      </x:c>
      <x:c r="G9" s="9" t="str">
        <x:v>Avant-garde de protection : attirer une menace proche puis la suspendre pour ouvrir un tir allié.</x:v>
      </x:c>
      <x:c r="H9" s="9" t="str">
        <x:v>Avant-garde de protection : attirer une menace proche puis la suspendre pour ouvrir un tir allié.</x:v>
      </x:c>
      <x:c r="I9" s="9" t="str">
        <x:v>Tenue noire Cerberus, épaules larges et fusil compact.</x:v>
      </x:c>
      <x:c r="J9" s="9" t="str">
        <x:v>Prévoir attente, orientation et réaction au contexte ; conserver les repères décrits dans la silhouette pendant les changements de direction. Les mouvements sont des créations du fan game.</x:v>
      </x:c>
      <x:c r="K9" s="9" t="str">
        <x:v>Créer des bruitages et ambiances originaux adaptés au livrable ; sous-titrer les indices utiles et proposer un réglage indépendant des effets. Aucune extraction audio demandée.</x:v>
      </x:c>
      <x:c r="L9" s="9" t="str">
        <x:v>Prototype Chroniques : src/universe-actors.js, src/chronicles.js. Identifiant runtime ME2-CHR-JACOB ; contexte d’œuvre/segment et sélection de scène obligatoires.</x:v>
      </x:c>
      <x:c r="M9" s="9" t="str"/>
      <x:c r="N9" s="9" t="str">
        <x:v>Le livrable « Jacob Taylor » possède une scène ou un scénario de contrôle ; ses règles proposées, ses conditions et ses retours visuels sont vérifiables séparément.</x:v>
      </x:c>
      <x:c r="O9" s="9" t="str"/>
      <x:c r="P9" s="9" t="str">
        <x:v>Jacob Taylor</x:v>
      </x:c>
      <x:c r="Q9" s="9" t="str">
        <x:v>ME2-SRC-SQUAD</x:v>
      </x:c>
      <x:c r="R9" s="20" t="str">
        <x:v>https://masseffect.fandom.com/wiki/Squad_Members_Guide_%28Mass_Effect_2%29</x:v>
      </x:c>
      <x:c r="S9" s="20"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10" ht="68" customHeight="1">
      <x:c r="A10" s="19" t="str">
        <x:v>ME2-CHR-MORDIN</x:v>
      </x:c>
      <x:c r="B10" s="7" t="str">
        <x:v>Mordin Solus</x:v>
      </x:c>
      <x:c r="C10" s="15" t="str">
        <x:v>Prototype</x:v>
      </x:c>
      <x:c r="D10" s="17" t="str">
        <x:v>Établi</x:v>
      </x:c>
      <x:c r="E10" s="17" t="str">
        <x:v>P1</x:v>
      </x:c>
      <x:c r="F10" s="7" t="str">
        <x:v>Scientifique galarien recruté à Omega.</x:v>
      </x:c>
      <x:c r="G10" s="7" t="str">
        <x:v>Médecin offensif : diagnostic des protections, Incinération et retrait rapide derrière la ligne de front.</x:v>
      </x:c>
      <x:c r="H10" s="7" t="str">
        <x:v>Médecin offensif : diagnostic des protections, Incinération et retrait rapide derrière la ligne de front.</x:v>
      </x:c>
      <x:c r="I10" s="7" t="str">
        <x:v>Visage anguleux, crête asymétrique, manteau clair ; gestes précis.</x:v>
      </x:c>
      <x:c r="J10" s="7" t="str">
        <x:v>Prévoir attente, orientation et réaction au contexte ; conserver les repères décrits dans la silhouette pendant les changements de direction. Les mouvements sont des créations du fan game.</x:v>
      </x:c>
      <x:c r="K10" s="7" t="str">
        <x:v>Créer des bruitages et ambiances originaux adaptés au livrable ; sous-titrer les indices utiles et proposer un réglage indépendant des effets. Aucune extraction audio demandée.</x:v>
      </x:c>
      <x:c r="L10" s="7" t="str">
        <x:v>Prototype Chroniques : src/universe-actors.js, src/chronicles.js. Identifiant runtime ME2-CHR-MORDIN ; contexte d’œuvre/segment et sélection de scène obligatoires.</x:v>
      </x:c>
      <x:c r="M10" s="7" t="str"/>
      <x:c r="N10" s="7" t="str">
        <x:v>Le livrable « Mordin Solus » possède une scène ou un scénario de contrôle ; ses règles proposées, ses conditions et ses retours visuels sont vérifiables séparément.</x:v>
      </x:c>
      <x:c r="O10" s="7" t="str"/>
      <x:c r="P10" s="7" t="str">
        <x:v>Mordin Solus</x:v>
      </x:c>
      <x:c r="Q10" s="7" t="str">
        <x:v>ME2-SRC-PROF</x:v>
      </x:c>
      <x:c r="R10" s="21" t="str">
        <x:v>https://masseffect.fandom.com/wiki/Dossier%3A_The_Professor</x:v>
      </x:c>
      <x:c r="S10" s="21"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11" ht="68" customHeight="1">
      <x:c r="A11" s="18" t="str">
        <x:v>ME2-CHR-GARRUS</x:v>
      </x:c>
      <x:c r="B11" s="9" t="str">
        <x:v>Garrus Vakarian</x:v>
      </x:c>
      <x:c r="C11" s="15" t="str">
        <x:v>Prototype</x:v>
      </x:c>
      <x:c r="D11" s="16" t="str">
        <x:v>Établi</x:v>
      </x:c>
      <x:c r="E11" s="16" t="str">
        <x:v>P1</x:v>
      </x:c>
      <x:c r="F11" s="9" t="str">
        <x:v>Garrus est Archangel.</x:v>
      </x:c>
      <x:c r="G11" s="9" t="str">
        <x:v>Tireur : marquer une ligne de tir, briser un bouclier puis armer une visée différée.</x:v>
      </x:c>
      <x:c r="H11" s="9" t="str">
        <x:v>Tireur : marquer une ligne de tir, briser un bouclier puis armer une visée différée.</x:v>
      </x:c>
      <x:c r="I11" s="9" t="str">
        <x:v>Armure bleue abîmée, viseur, mandibule cicatrisée ; asymétrie conservée.</x:v>
      </x:c>
      <x:c r="J11" s="9" t="str">
        <x:v>Prévoir attente, orientation et réaction au contexte ; conserver les repères décrits dans la silhouette pendant les changements de direction. Les mouvements sont des créations du fan game.</x:v>
      </x:c>
      <x:c r="K11" s="9" t="str">
        <x:v>Créer des bruitages et ambiances originaux adaptés au livrable ; sous-titrer les indices utiles et proposer un réglage indépendant des effets. Aucune extraction audio demandée.</x:v>
      </x:c>
      <x:c r="L11" s="9" t="str">
        <x:v>Prototype Chroniques : src/universe-actors.js, src/chronicles.js. Identifiant runtime ME2-CHR-GARRUS ; contexte d’œuvre/segment et sélection de scène obligatoires.</x:v>
      </x:c>
      <x:c r="M11" s="9" t="str"/>
      <x:c r="N11" s="9" t="str">
        <x:v>Le livrable « Garrus Vakarian » possède une scène ou un scénario de contrôle ; ses règles proposées, ses conditions et ses retours visuels sont vérifiables séparément.</x:v>
      </x:c>
      <x:c r="O11" s="9" t="str"/>
      <x:c r="P11" s="9" t="str">
        <x:v>Garrus Vakarian</x:v>
      </x:c>
      <x:c r="Q11" s="9" t="str">
        <x:v>ME2-SRC-ARCHANGEL</x:v>
      </x:c>
      <x:c r="R11" s="20" t="str">
        <x:v>https://masseffect.fandom.com/wiki/Dossier%3A_Archangel</x:v>
      </x:c>
      <x:c r="S11" s="20"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12" ht="68" customHeight="1">
      <x:c r="A12" s="19" t="str">
        <x:v>ME2-CHR-GRUNT</x:v>
      </x:c>
      <x:c r="B12" s="7" t="str">
        <x:v>Grunt</x:v>
      </x:c>
      <x:c r="C12" s="15" t="str">
        <x:v>Prototype</x:v>
      </x:c>
      <x:c r="D12" s="17" t="str">
        <x:v>Établi</x:v>
      </x:c>
      <x:c r="E12" s="17" t="str">
        <x:v>P1</x:v>
      </x:c>
      <x:c r="F12" s="7" t="str">
        <x:v>Krogan récupéré dans la cuve d’Okeer.</x:v>
      </x:c>
      <x:c r="G12" s="7" t="str">
        <x:v>Briseur de ligne : accumuler de l’élan au contact, dépenser Fortification pour protéger un allié.</x:v>
      </x:c>
      <x:c r="H12" s="7" t="str">
        <x:v>Briseur de ligne : accumuler de l’élan au contact, dépenser Fortification pour protéger un allié.</x:v>
      </x:c>
      <x:c r="I12" s="7" t="str">
        <x:v>Masse krogan, carapace claire et armure sombre ; centre de gravité bas.</x:v>
      </x:c>
      <x:c r="J12" s="7" t="str">
        <x:v>Prévoir attente, orientation et réaction au contexte ; conserver les repères décrits dans la silhouette pendant les changements de direction. Les mouvements sont des créations du fan game.</x:v>
      </x:c>
      <x:c r="K12" s="7" t="str">
        <x:v>Créer des bruitages et ambiances originaux adaptés au livrable ; sous-titrer les indices utiles et proposer un réglage indépendant des effets. Aucune extraction audio demandée.</x:v>
      </x:c>
      <x:c r="L12" s="7" t="str">
        <x:v>Prototype Chroniques : src/universe-actors.js, src/chronicles.js. Identifiant runtime ME2-CHR-GRUNT ; contexte d’œuvre/segment et sélection de scène obligatoires.</x:v>
      </x:c>
      <x:c r="M12" s="7" t="str">
        <x:v>Activation de la cuve nécessaire.</x:v>
      </x:c>
      <x:c r="N12" s="7" t="str">
        <x:v>Le livrable « Grunt » possède une scène ou un scénario de contrôle ; ses règles proposées, ses conditions et ses retours visuels sont vérifiables séparément.</x:v>
      </x:c>
      <x:c r="O12" s="7" t="str"/>
      <x:c r="P12" s="7" t="str">
        <x:v>Grunt</x:v>
      </x:c>
      <x:c r="Q12" s="7" t="str">
        <x:v>ME2-SRC-WARLORD</x:v>
      </x:c>
      <x:c r="R12" s="21" t="str">
        <x:v>https://masseffect.fandom.com/wiki/Dossier%3A_The_Warlord</x:v>
      </x:c>
      <x:c r="S12" s="21"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13" ht="68" customHeight="1">
      <x:c r="A13" s="18" t="str">
        <x:v>ME2-CHR-JACK</x:v>
      </x:c>
      <x:c r="B13" s="9" t="str">
        <x:v>Jack</x:v>
      </x:c>
      <x:c r="C13" s="15" t="str">
        <x:v>Prototype</x:v>
      </x:c>
      <x:c r="D13" s="16" t="str">
        <x:v>Établi</x:v>
      </x:c>
      <x:c r="E13" s="16" t="str">
        <x:v>P1</x:v>
      </x:c>
      <x:c r="F13" s="9" t="str">
        <x:v>Biotique libérée de Purgatory.</x:v>
      </x:c>
      <x:c r="G13" s="9" t="str">
        <x:v>Contrôle de foule : tracer une onde de choc au sol et repousser les ennemis regroupés.</x:v>
      </x:c>
      <x:c r="H13" s="9" t="str">
        <x:v>Contrôle de foule : tracer une onde de choc au sol et repousser les ennemis regroupés.</x:v>
      </x:c>
      <x:c r="I13" s="9" t="str">
        <x:v>Crâne rasé, tatouages simplifiés lisibles, posture nerveuse.</x:v>
      </x:c>
      <x:c r="J13" s="9" t="str">
        <x:v>Prévoir attente, orientation et réaction au contexte ; conserver les repères décrits dans la silhouette pendant les changements de direction. Les mouvements sont des créations du fan game.</x:v>
      </x:c>
      <x:c r="K13" s="9" t="str">
        <x:v>Créer des bruitages et ambiances originaux adaptés au livrable ; sous-titrer les indices utiles et proposer un réglage indépendant des effets. Aucune extraction audio demandée.</x:v>
      </x:c>
      <x:c r="L13" s="9" t="str">
        <x:v>Prototype Chroniques : src/universe-actors.js, src/chronicles.js. Identifiant runtime ME2-CHR-JACK ; contexte d’œuvre/segment et sélection de scène obligatoires.</x:v>
      </x:c>
      <x:c r="M13" s="9" t="str"/>
      <x:c r="N13" s="9" t="str">
        <x:v>Le livrable « Jack » possède une scène ou un scénario de contrôle ; ses règles proposées, ses conditions et ses retours visuels sont vérifiables séparément.</x:v>
      </x:c>
      <x:c r="O13" s="9" t="str"/>
      <x:c r="P13" s="9" t="str">
        <x:v>Jack</x:v>
      </x:c>
      <x:c r="Q13" s="9" t="str">
        <x:v>ME2-SRC-CONVICT</x:v>
      </x:c>
      <x:c r="R13" s="20" t="str">
        <x:v>https://masseffect.fandom.com/wiki/Dossier%3A_The_Convict</x:v>
      </x:c>
      <x:c r="S13" s="20"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14" ht="68" customHeight="1">
      <x:c r="A14" s="19" t="str">
        <x:v>ME2-CHR-TALI</x:v>
      </x:c>
      <x:c r="B14" s="7" t="str">
        <x:v>Tali’Zorah vas Neema / vas Normandy</x:v>
      </x:c>
      <x:c r="C14" s="15" t="str">
        <x:v>Prototype</x:v>
      </x:c>
      <x:c r="D14" s="17" t="str">
        <x:v>Établi</x:v>
      </x:c>
      <x:c r="E14" s="17" t="str">
        <x:v>P1</x:v>
      </x:c>
      <x:c r="F14" s="7" t="str">
        <x:v>Tali rejoint l’équipe après Haestrom.</x:v>
      </x:c>
      <x:c r="G14" s="7" t="str">
        <x:v>Ingénieure : drone placé, piratage synthétique et récupération de bouclier sous conditions.</x:v>
      </x:c>
      <x:c r="H14" s="7" t="str">
        <x:v>Ingénieure : drone placé, piratage synthétique et récupération de bouclier sous conditions.</x:v>
      </x:c>
      <x:c r="I14" s="7" t="str">
        <x:v>Capuche violette, visière opaque lumineuse, jambes et mains quariens.</x:v>
      </x:c>
      <x:c r="J14" s="7" t="str">
        <x:v>Prévoir attente, orientation et réaction au contexte ; conserver les repères décrits dans la silhouette pendant les changements de direction. Les mouvements sont des créations du fan game.</x:v>
      </x:c>
      <x:c r="K14" s="7" t="str">
        <x:v>Créer des bruitages et ambiances originaux adaptés au livrable ; sous-titrer les indices utiles et proposer un réglage indépendant des effets. Aucune extraction audio demandée.</x:v>
      </x:c>
      <x:c r="L14" s="7" t="str">
        <x:v>Prototype Chroniques : src/universe-actors.js, src/chronicles.js. Identifiant runtime ME2-CHR-TALI ; contexte d’œuvre/segment et sélection de scène obligatoires.</x:v>
      </x:c>
      <x:c r="M14" s="7" t="str">
        <x:v>Nom selon étape du procès ; ne pas l’uniformiser.</x:v>
      </x:c>
      <x:c r="N14" s="7" t="str">
        <x:v>Le livrable « Tali’Zorah vas Neema / vas Normandy » possède une scène ou un scénario de contrôle ; ses règles proposées, ses conditions et ses retours visuels sont vérifiables séparément.</x:v>
      </x:c>
      <x:c r="O14" s="7" t="str"/>
      <x:c r="P14" s="7" t="str">
        <x:v>Tali’Zorah vas Neema / vas Normandy</x:v>
      </x:c>
      <x:c r="Q14" s="7" t="str">
        <x:v>ME2-SRC-TALI, ME2-SRC-TREASON</x:v>
      </x:c>
      <x:c r="R14" s="21" t="str">
        <x:v>https://masseffect.fandom.com/wiki/Dossier%3A_Tali
https://masseffect.fandom.com/wiki/Tali%3A_Treason</x:v>
      </x:c>
      <x:c r="S14" s="21"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15" ht="68" customHeight="1">
      <x:c r="A15" s="18" t="str">
        <x:v>ME2-CHR-THANE</x:v>
      </x:c>
      <x:c r="B15" s="9" t="str">
        <x:v>Thane Krios</x:v>
      </x:c>
      <x:c r="C15" s="15" t="str">
        <x:v>Prototype</x:v>
      </x:c>
      <x:c r="D15" s="16" t="str">
        <x:v>Établi</x:v>
      </x:c>
      <x:c r="E15" s="16" t="str">
        <x:v>P1</x:v>
      </x:c>
      <x:c r="F15" s="9" t="str">
        <x:v>Assassin drell recruté sur Illium.</x:v>
      </x:c>
      <x:c r="G15" s="9" t="str">
        <x:v>Précision biotique : suspendre une cible et consommer une fenêtre de visée pour un tir préparé.</x:v>
      </x:c>
      <x:c r="H15" s="9" t="str">
        <x:v>Précision biotique : suspendre une cible et consommer une fenêtre de visée pour un tir préparé.</x:v>
      </x:c>
      <x:c r="I15" s="9" t="str">
        <x:v>Écailles vertes, yeux sombres, manteau noir à ouverture thoracique.</x:v>
      </x:c>
      <x:c r="J15" s="9" t="str">
        <x:v>Prévoir attente, orientation et réaction au contexte ; conserver les repères décrits dans la silhouette pendant les changements de direction. Les mouvements sont des créations du fan game.</x:v>
      </x:c>
      <x:c r="K15" s="9" t="str">
        <x:v>Créer des bruitages et ambiances originaux adaptés au livrable ; sous-titrer les indices utiles et proposer un réglage indépendant des effets. Aucune extraction audio demandée.</x:v>
      </x:c>
      <x:c r="L15" s="9" t="str">
        <x:v>Prototype Chroniques : src/universe-actors.js, src/chronicles.js. Identifiant runtime ME2-CHR-THANE ; contexte d’œuvre/segment et sélection de scène obligatoires.</x:v>
      </x:c>
      <x:c r="M15" s="9" t="str"/>
      <x:c r="N15" s="9" t="str">
        <x:v>Le livrable « Thane Krios » possède une scène ou un scénario de contrôle ; ses règles proposées, ses conditions et ses retours visuels sont vérifiables séparément.</x:v>
      </x:c>
      <x:c r="O15" s="9" t="str"/>
      <x:c r="P15" s="9" t="str">
        <x:v>Thane Krios</x:v>
      </x:c>
      <x:c r="Q15" s="9" t="str">
        <x:v>ME2-SRC-ASSASSIN</x:v>
      </x:c>
      <x:c r="R15" s="20" t="str">
        <x:v>https://masseffect.fandom.com/wiki/Dossier%3A_The_Assassin</x:v>
      </x:c>
      <x:c r="S15" s="20"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16" ht="68" customHeight="1">
      <x:c r="A16" s="19" t="str">
        <x:v>ME2-CHR-SAMARA</x:v>
      </x:c>
      <x:c r="B16" s="7" t="str">
        <x:v>Samara</x:v>
      </x:c>
      <x:c r="C16" s="15" t="str">
        <x:v>Prototype</x:v>
      </x:c>
      <x:c r="D16" s="17" t="str">
        <x:v>Établi</x:v>
      </x:c>
      <x:c r="E16" s="17" t="str">
        <x:v>P1</x:v>
      </x:c>
      <x:c r="F16" s="7" t="str">
        <x:v>Justicari asari recrutée sur Illium.</x:v>
      </x:c>
      <x:c r="G16" s="7" t="str">
        <x:v>Contrôle discipliné : projection et Reave pour maintenir une zone sûre autour du groupe.</x:v>
      </x:c>
      <x:c r="H16" s="7" t="str">
        <x:v>Contrôle discipliné : projection et Reave pour maintenir une zone sûre autour du groupe.</x:v>
      </x:c>
      <x:c r="I16" s="7" t="str">
        <x:v>Armure rouge, tête bleue et posture verticale ; mains ouvertes en préparation.</x:v>
      </x:c>
      <x:c r="J16" s="7" t="str">
        <x:v>Prévoir attente, orientation et réaction au contexte ; conserver les repères décrits dans la silhouette pendant les changements de direction. Les mouvements sont des créations du fan game.</x:v>
      </x:c>
      <x:c r="K16" s="7" t="str">
        <x:v>Créer des bruitages et ambiances originaux adaptés au livrable ; sous-titrer les indices utiles et proposer un réglage indépendant des effets. Aucune extraction audio demandée.</x:v>
      </x:c>
      <x:c r="L16" s="7" t="str">
        <x:v>Prototype Chroniques : src/universe-actors.js, src/chronicles.js. Identifiant runtime ME2-CHR-SAMARA ; contexte d’œuvre/segment et sélection de scène obligatoires.</x:v>
      </x:c>
      <x:c r="M16" s="7" t="str"/>
      <x:c r="N16" s="7" t="str">
        <x:v>Le livrable « Samara » possède une scène ou un scénario de contrôle ; ses règles proposées, ses conditions et ses retours visuels sont vérifiables séparément.</x:v>
      </x:c>
      <x:c r="O16" s="7" t="str"/>
      <x:c r="P16" s="7" t="str">
        <x:v>Samara</x:v>
      </x:c>
      <x:c r="Q16" s="7" t="str">
        <x:v>ME2-SRC-JUSTICAR</x:v>
      </x:c>
      <x:c r="R16" s="21" t="str">
        <x:v>https://masseffect.fandom.com/wiki/Dossier%3A_The_Justicar</x:v>
      </x:c>
      <x:c r="S16" s="21"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17" ht="68" customHeight="1">
      <x:c r="A17" s="18" t="str">
        <x:v>ME2-CHR-MORINTH</x:v>
      </x:c>
      <x:c r="B17" s="9" t="str">
        <x:v>Morinth</x:v>
      </x:c>
      <x:c r="C17" s="15" t="str">
        <x:v>Prototype</x:v>
      </x:c>
      <x:c r="D17" s="16" t="str">
        <x:v>Établi</x:v>
      </x:c>
      <x:c r="E17" s="16" t="str">
        <x:v>P1</x:v>
      </x:c>
      <x:c r="F17" s="9" t="str">
        <x:v>Elle peut remplacer Samara.</x:v>
      </x:c>
      <x:c r="G17" s="9" t="str">
        <x:v>Spécialiste de domination : convertir brièvement une unité organique vulnérable ; afficher l’identité cachée uniquement au joueur informé.</x:v>
      </x:c>
      <x:c r="H17" s="9" t="str">
        <x:v>Spécialiste de domination : convertir brièvement une unité organique vulnérable ; afficher l’identité cachée uniquement au joueur informé.</x:v>
      </x:c>
      <x:c r="I17" s="9" t="str">
        <x:v>Variante de Samara avec détails faciaux séparés ; portrait de secret facultatif.</x:v>
      </x:c>
      <x:c r="J17" s="9" t="str">
        <x:v>Prévoir attente, orientation et réaction au contexte ; conserver les repères décrits dans la silhouette pendant les changements de direction. Les mouvements sont des créations du fan game.</x:v>
      </x:c>
      <x:c r="K17" s="9" t="str">
        <x:v>Créer des bruitages et ambiances originaux adaptés au livrable ; sous-titrer les indices utiles et proposer un réglage indépendant des effets. Aucune extraction audio demandée.</x:v>
      </x:c>
      <x:c r="L17" s="9" t="str">
        <x:v>Prototype Chroniques : src/universe-actors.js, src/chronicles.js. Identifiant runtime ME2-CHR-MORINTH ; contexte d’œuvre/segment et sélection de scène obligatoires.</x:v>
      </x:c>
      <x:c r="M17" s="9" t="str">
        <x:v>Exclusivité Samara/Morinth ; embranchement de loyauté.</x:v>
      </x:c>
      <x:c r="N17" s="9" t="str">
        <x:v>Le livrable « Morinth » possède une scène ou un scénario de contrôle ; ses règles proposées, ses conditions et ses retours visuels sont vérifiables séparément.</x:v>
      </x:c>
      <x:c r="O17" s="9" t="str"/>
      <x:c r="P17" s="9" t="str">
        <x:v>Morinth</x:v>
      </x:c>
      <x:c r="Q17" s="9" t="str">
        <x:v>ME2-SRC-SAMARA</x:v>
      </x:c>
      <x:c r="R17" s="20" t="str">
        <x:v>https://masseffect.fandom.com/wiki/Samara%3A_The_Ardat-Yakshi</x:v>
      </x:c>
      <x:c r="S17" s="20"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18" ht="68" customHeight="1">
      <x:c r="A18" s="19" t="str">
        <x:v>ME2-CHR-LEGION</x:v>
      </x:c>
      <x:c r="B18" s="7" t="str">
        <x:v>Legion</x:v>
      </x:c>
      <x:c r="C18" s="15" t="str">
        <x:v>Prototype</x:v>
      </x:c>
      <x:c r="D18" s="17" t="str">
        <x:v>Établi</x:v>
      </x:c>
      <x:c r="E18" s="17" t="str">
        <x:v>P1</x:v>
      </x:c>
      <x:c r="F18" s="7" t="str">
        <x:v>Unité geth recrutabile après l’IFF.</x:v>
      </x:c>
      <x:c r="G18" s="7" t="str">
        <x:v>Analyste synthétique : drone de diversion et piratage, puis tir lourd lorsque la cible expose son flanc.</x:v>
      </x:c>
      <x:c r="H18" s="7" t="str">
        <x:v>Analyste synthétique : drone de diversion et piratage, puis tir lourd lorsque la cible expose son flanc.</x:v>
      </x:c>
      <x:c r="I18" s="7" t="str">
        <x:v>Optique unique, plaques geth, partie d’armure N7 rapportée et trou thoracique.</x:v>
      </x:c>
      <x:c r="J18" s="7" t="str">
        <x:v>Prévoir attente, orientation et réaction au contexte ; conserver les repères décrits dans la silhouette pendant les changements de direction. Les mouvements sont des créations du fan game.</x:v>
      </x:c>
      <x:c r="K18" s="7" t="str">
        <x:v>Créer des bruitages et ambiances originaux adaptés au livrable ; sous-titrer les indices utiles et proposer un réglage indépendant des effets. Aucune extraction audio demandée.</x:v>
      </x:c>
      <x:c r="L18" s="7" t="str">
        <x:v>Prototype Chroniques : src/universe-actors.js, src/chronicles.js. Identifiant runtime ME2-CHR-LEGION ; contexte d’œuvre/segment et sélection de scène obligatoires.</x:v>
      </x:c>
      <x:c r="M18" s="7" t="str">
        <x:v>Décision d’activation ; disponibilité tardive.</x:v>
      </x:c>
      <x:c r="N18" s="7" t="str">
        <x:v>Le livrable « Legion » possède une scène ou un scénario de contrôle ; ses règles proposées, ses conditions et ses retours visuels sont vérifiables séparément.</x:v>
      </x:c>
      <x:c r="O18" s="7" t="str"/>
      <x:c r="P18" s="7" t="str">
        <x:v>Legion</x:v>
      </x:c>
      <x:c r="Q18" s="7" t="str">
        <x:v>ME2-SRC-CHAR, ME2-SRC-SQUAD, ME2-SRC-STOP</x:v>
      </x:c>
      <x:c r="R18" s="21" t="str">
        <x:v>https://masseffect.fandom.com/wiki/Characters/Mass_Effect_2
https://masseffect.fandom.com/wiki/Squad_Members_Guide_%28Mass_Effect_2%29
https://masseffect.fandom.com/wiki/Stop_the_Collectors</x:v>
      </x:c>
      <x:c r="S18" s="21"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19" ht="68" customHeight="1">
      <x:c r="A19" s="18" t="str">
        <x:v>ME2-CHR-KASUMI</x:v>
      </x:c>
      <x:c r="B19" s="9" t="str">
        <x:v>Kasumi Goto</x:v>
      </x:c>
      <x:c r="C19" s="15" t="str">
        <x:v>Défini</x:v>
      </x:c>
      <x:c r="D19" s="16" t="str">
        <x:v>Établi</x:v>
      </x:c>
      <x:c r="E19" s="16" t="str">
        <x:v>P1</x:v>
      </x:c>
      <x:c r="F19" s="9" t="str">
        <x:v>Équipière du pack Stolen Memory.</x:v>
      </x:c>
      <x:c r="G19" s="9" t="str">
        <x:v>Infiltration : marquer une cible isolée, disparaître pendant l’approche et revenir après une attaque de dos.</x:v>
      </x:c>
      <x:c r="H19" s="9" t="str">
        <x:v>Infiltration : marquer une cible isolée, disparaître pendant l’approche et revenir après une attaque de dos.</x:v>
      </x:c>
      <x:c r="I19" s="9" t="str">
        <x:v>Capuche sombre, bordures ocre, un œil visible ; ombre distincte.</x:v>
      </x:c>
      <x:c r="J19" s="9" t="str">
        <x:v>Prévoir attente, orientation et réaction au contexte ; conserver les repères décrits dans la silhouette pendant les changements de direction. Les mouvements sont des créations du fan game.</x:v>
      </x:c>
      <x:c r="K19" s="9" t="str">
        <x:v>Créer des bruitages et ambiances originaux adaptés au livrable ; sous-titrer les indices utiles et proposer un réglage indépendant des effets. Aucune extraction audio demandée.</x:v>
      </x:c>
      <x:c r="L19" s="9" t="str">
        <x:v>Prévu : fiche de données me2/characters/kasumi ; rattacher les ressources et états cités à cet identifiant. Aucun fichier de jeu créé par ce catalogue.</x:v>
      </x:c>
      <x:c r="M19" s="9" t="str"/>
      <x:c r="N19" s="9" t="str">
        <x:v>Le livrable « Kasumi Goto » possède une scène ou un scénario de contrôle ; ses règles proposées, ses conditions et ses retours visuels sont vérifiables séparément.</x:v>
      </x:c>
      <x:c r="O19" s="9" t="str"/>
      <x:c r="P19" s="9" t="str">
        <x:v>Kasumi Goto</x:v>
      </x:c>
      <x:c r="Q19" s="9" t="str">
        <x:v>ME2-SRC-KASUMI</x:v>
      </x:c>
      <x:c r="R19" s="20" t="str">
        <x:v>https://masseffect.fandom.com/wiki/Kasumi%3A_Stealing_Memory</x:v>
      </x:c>
      <x:c r="S19" s="20" t="str">
        <x:v>Spécification à réaliser. Les champs adaptation, gameplay, visual, animation, audio et implementation décrivent le fan game ; ils ne donnent pas des caractéristiques officielles de l’œuvre.</x:v>
      </x:c>
    </x:row>
    <x:row r="20" ht="68" customHeight="1">
      <x:c r="A20" s="19" t="str">
        <x:v>ME2-CHR-ZAEED</x:v>
      </x:c>
      <x:c r="B20" s="7" t="str">
        <x:v>Zaeed Massani</x:v>
      </x:c>
      <x:c r="C20" s="15" t="str">
        <x:v>Défini</x:v>
      </x:c>
      <x:c r="D20" s="17" t="str">
        <x:v>Établi</x:v>
      </x:c>
      <x:c r="E20" s="17" t="str">
        <x:v>P1</x:v>
      </x:c>
      <x:c r="F20" s="7" t="str">
        <x:v>Équipier du pack The Price of Revenge.</x:v>
      </x:c>
      <x:c r="G20" s="7" t="str">
        <x:v>Mercenaire : feu de couverture et grenade incendiaire pour isoler une voie d’approche.</x:v>
      </x:c>
      <x:c r="H20" s="7" t="str">
        <x:v>Mercenaire : feu de couverture et grenade incendiaire pour isoler une voie d’approche.</x:v>
      </x:c>
      <x:c r="I20" s="7" t="str">
        <x:v>Armure usée, visage marqué, œil altéré et fusil tenu sans cérémonie.</x:v>
      </x:c>
      <x:c r="J20" s="7" t="str">
        <x:v>Prévoir attente, orientation et réaction au contexte ; conserver les repères décrits dans la silhouette pendant les changements de direction. Les mouvements sont des créations du fan game.</x:v>
      </x:c>
      <x:c r="K20" s="7" t="str">
        <x:v>Créer des bruitages et ambiances originaux adaptés au livrable ; sous-titrer les indices utiles et proposer un réglage indépendant des effets. Aucune extraction audio demandée.</x:v>
      </x:c>
      <x:c r="L20" s="7" t="str">
        <x:v>Prévu : fiche de données me2/characters/zaeed ; rattacher les ressources et états cités à cet identifiant. Aucun fichier de jeu créé par ce catalogue.</x:v>
      </x:c>
      <x:c r="M20" s="7" t="str"/>
      <x:c r="N20" s="7" t="str">
        <x:v>Le livrable « Zaeed Massani » possède une scène ou un scénario de contrôle ; ses règles proposées, ses conditions et ses retours visuels sont vérifiables séparément.</x:v>
      </x:c>
      <x:c r="O20" s="7" t="str"/>
      <x:c r="P20" s="7" t="str">
        <x:v>Zaeed Massani</x:v>
      </x:c>
      <x:c r="Q20" s="7" t="str">
        <x:v>ME2-SRC-ZAEED</x:v>
      </x:c>
      <x:c r="R20" s="21" t="str">
        <x:v>https://masseffect.fandom.com/wiki/Zaeed%3A_The_Price_of_Revenge</x:v>
      </x:c>
      <x:c r="S20" s="21" t="str">
        <x:v>Spécification à réaliser. Les champs adaptation, gameplay, visual, animation, audio et implementation décrivent le fan game ; ils ne donnent pas des caractéristiques officielles de l’œuvre.</x:v>
      </x:c>
    </x:row>
    <x:row r="21" ht="68" customHeight="1">
      <x:c r="A21" s="18" t="str">
        <x:v>ME2-CHR-LIARA</x:v>
      </x:c>
      <x:c r="B21" s="9" t="str">
        <x:v>Liara T’Soni — équipière temporaire</x:v>
      </x:c>
      <x:c r="C21" s="15" t="str">
        <x:v>Défini</x:v>
      </x:c>
      <x:c r="D21" s="16" t="str">
        <x:v>Établi</x:v>
      </x:c>
      <x:c r="E21" s="16" t="str">
        <x:v>P1</x:v>
      </x:c>
      <x:c r="F21" s="9" t="str">
        <x:v>Liara accompagne le DLC Shadow Broker.</x:v>
      </x:c>
      <x:c r="G21" s="9" t="str">
        <x:v>Biotique de siège : singularité de courte zone et stase pour interrompre une menace protégée.</x:v>
      </x:c>
      <x:c r="H21" s="9" t="str">
        <x:v>Biotique de siège : singularité de courte zone et stase pour interrompre une menace protégée.</x:v>
      </x:c>
      <x:c r="I21" s="9" t="str">
        <x:v>Combinaison blanche, bleu asari et détails de ceinture.</x:v>
      </x:c>
      <x:c r="J21" s="9" t="str">
        <x:v>Prévoir attente, orientation et réaction au contexte ; conserver les repères décrits dans la silhouette pendant les changements de direction. Les mouvements sont des créations du fan game.</x:v>
      </x:c>
      <x:c r="K21" s="9" t="str">
        <x:v>Créer des bruitages et ambiances originaux adaptés au livrable ; sous-titrer les indices utiles et proposer un réglage indépendant des effets. Aucune extraction audio demandée.</x:v>
      </x:c>
      <x:c r="L21" s="9" t="str">
        <x:v>Prévu : fiche de données me2/characters/liara ; rattacher les ressources et états cités à cet identifiant. Aucun fichier de jeu créé par ce catalogue.</x:v>
      </x:c>
      <x:c r="M21" s="9" t="str">
        <x:v>Équipière limitée à cette extension ; contacts possibles ailleurs.</x:v>
      </x:c>
      <x:c r="N21" s="9" t="str">
        <x:v>Le livrable « Liara T’Soni — équipière temporaire » possède une scène ou un scénario de contrôle ; ses règles proposées, ses conditions et ses retours visuels sont vérifiables séparément.</x:v>
      </x:c>
      <x:c r="O21" s="9" t="str"/>
      <x:c r="P21" s="9" t="str">
        <x:v>Liara T’Soni — équipière temporaire</x:v>
      </x:c>
      <x:c r="Q21" s="9" t="str">
        <x:v>ME2-SRC-SHADOW, ME2-SRC-SQUAD</x:v>
      </x:c>
      <x:c r="R21" s="20" t="str">
        <x:v>https://masseffect.fandom.com/wiki/Lair_of_the_Shadow_Broker_%28mission%29
https://masseffect.fandom.com/wiki/Squad_Members_Guide_%28Mass_Effect_2%29</x:v>
      </x:c>
      <x:c r="S21" s="20" t="str">
        <x:v>Spécification à réaliser. Les champs adaptation, gameplay, visual, animation, audio et implementation décrivent le fan game ; ils ne donnent pas des caractéristiques officielles de l’œuvre.</x:v>
      </x:c>
    </x:row>
    <x:row r="22" ht="68" customHeight="1">
      <x:c r="A22" s="19" t="str">
        <x:v>ME2-CHR-KENSON</x:v>
      </x:c>
      <x:c r="B22" s="7" t="str">
        <x:v>Amanda Kenson — alliée temporaire</x:v>
      </x:c>
      <x:c r="C22" s="15" t="str">
        <x:v>Défini</x:v>
      </x:c>
      <x:c r="D22" s="17" t="str">
        <x:v>Établi</x:v>
      </x:c>
      <x:c r="E22" s="17" t="str">
        <x:v>P1</x:v>
      </x:c>
      <x:c r="F22" s="7" t="str">
        <x:v>Kenson accompagne une partie d’Arrival.</x:v>
      </x:c>
      <x:c r="G22" s="7" t="str">
        <x:v>Escorte scriptée : protéger sa progression vers une console, sans la rendre sélectionnable dans le groupe permanent.</x:v>
      </x:c>
      <x:c r="H22" s="7" t="str">
        <x:v>Escorte scriptée : protéger sa progression vers une console, sans la rendre sélectionnable dans le groupe permanent.</x:v>
      </x:c>
      <x:c r="I22" s="7" t="str">
        <x:v>Scientifique humaine en tenue technique sobre.</x:v>
      </x:c>
      <x:c r="J22" s="7" t="str">
        <x:v>Prévoir attente, orientation et réaction au contexte ; conserver les repères décrits dans la silhouette pendant les changements de direction. Les mouvements sont des créations du fan game.</x:v>
      </x:c>
      <x:c r="K22" s="7" t="str">
        <x:v>Créer des bruitages et ambiances originaux adaptés au livrable ; sous-titrer les indices utiles et proposer un réglage indépendant des effets. Aucune extraction audio demandée.</x:v>
      </x:c>
      <x:c r="L22" s="7" t="str">
        <x:v>Prévu : fiche de données me2/characters/kenson ; rattacher les ressources et états cités à cet identifiant. Aucun fichier de jeu créé par ce catalogue.</x:v>
      </x:c>
      <x:c r="M22" s="7" t="str">
        <x:v>Arc Arrival uniquement ; son rôle change pendant l’histoire.</x:v>
      </x:c>
      <x:c r="N22" s="7" t="str">
        <x:v>Le livrable « Amanda Kenson — alliée temporaire » possède une scène ou un scénario de contrôle ; ses règles proposées, ses conditions et ses retours visuels sont vérifiables séparément.</x:v>
      </x:c>
      <x:c r="O22" s="7" t="str"/>
      <x:c r="P22" s="7" t="str">
        <x:v>Amanda Kenson — alliée temporaire</x:v>
      </x:c>
      <x:c r="Q22" s="7" t="str">
        <x:v>ME2-SRC-ARRIVAL</x:v>
      </x:c>
      <x:c r="R22" s="21" t="str">
        <x:v>https://masseffect.fandom.com/wiki/Arrival_%28assignment%29</x:v>
      </x:c>
      <x:c r="S22" s="21" t="str">
        <x:v>Spécification à réaliser. Les champs adaptation, gameplay, visual, animation, audio et implementation décrivent le fan game ; ils ne donnent pas des caractéristiques officielles de l’œuvre.</x:v>
      </x:c>
    </x:row>
  </x:sheetData>
  <x:conditionalFormatting sqref="D7:D22">
    <x:cfRule type="cellIs" dxfId="0" priority="1" operator="equal">
      <x:formula>"À vérifier"</x:formula>
    </x:cfRule>
    <x:cfRule type="cellIs" dxfId="1" priority="2" operator="equal">
      <x:formula>"Extrapolation"</x:formula>
    </x:cfRule>
  </x:conditionalFormatting>
  <x:conditionalFormatting sqref="C7:C22">
    <x:cfRule type="cellIs" dxfId="2" priority="3" operator="equal">
      <x:formula>"Validé"</x:formula>
    </x:cfRule>
  </x:conditionalFormatting>
  <x:conditionalFormatting sqref="E7:E22">
    <x:cfRule type="cellIs" dxfId="3" priority="4" operator="equal">
      <x:formula>"P0"</x:formula>
    </x:cfRule>
  </x:conditionalFormatting>
  <x:dataValidations count="3">
    <x:dataValidation type="list" sqref="C7:C22">
      <x:formula1>"Défini,Prototype,Intégré,Validé"</x:formula1>
    </x:dataValidation>
    <x:dataValidation type="list" sqref="D7:D22">
      <x:formula1>"Établi,À vérifier,Extrapolation,Coupé attesté,Concept abandonné,Allégation écartée"</x:formula1>
    </x:dataValidation>
    <x:dataValidation type="list" sqref="E7:E22">
      <x:formula1>"P0,P1,P2"</x:formula1>
    </x:dataValidation>
  </x:dataValidations>
  <x:pageMargins left="0.7" right="0.7" top="0.75" bottom="0.75" header="0.3" footer="0.3"/>
  <x:tableParts count="1">
    <x:tablePart xmlns:r="http://schemas.openxmlformats.org/officeDocument/2006/relationships" r:id="R7124f617a98c4170"/>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158"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PNJ</x:v>
      </x:c>
      <x:c r="B2" s="2"/>
      <x:c r="C2" s="2"/>
      <x:c r="D2" s="2"/>
      <x:c r="E2" s="2"/>
      <x:c r="F2" s="2"/>
      <x:c r="G2" s="2"/>
      <x:c r="H2" s="2"/>
      <x:c r="I2" s="2"/>
      <x:c r="J2" s="2"/>
      <x:c r="K2" s="2"/>
      <x:c r="L2" s="2"/>
      <x:c r="M2" s="2"/>
      <x:c r="N2" s="2"/>
      <x:c r="O2" s="2"/>
      <x:c r="P2" s="2"/>
      <x:c r="Q2" s="2"/>
      <x:c r="R2" s="2"/>
      <x:c r="S2" s="2"/>
    </x:row>
    <x:row r="3" ht="22" customHeight="1">
      <x:c r="A3" s="4" t="str">
        <x:v>Mass Effect 2 — Personnages de rencontre et services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ME2-NPC-ILLUSIVE</x:v>
      </x:c>
      <x:c r="B7" s="9" t="str">
        <x:v>L’Homme Trouble</x:v>
      </x:c>
      <x:c r="C7" s="15" t="str">
        <x:v>Défini</x:v>
      </x:c>
      <x:c r="D7" s="16" t="str">
        <x:v>Établi</x:v>
      </x:c>
      <x:c r="E7" s="16" t="str">
        <x:v>P1</x:v>
      </x:c>
      <x:c r="F7" s="9" t="str">
        <x:v>Dirige Cerberus et contacte Shepard.</x:v>
      </x:c>
      <x:c r="G7" s="9" t="str">
        <x:v>Dialogue à distance qui expose objectifs et divergences ; journaliser la confiance sans jauge morale cachée.</x:v>
      </x:c>
      <x:c r="H7" s="9" t="str">
        <x:v>Dialogue à distance qui expose objectifs et divergences ; journaliser la confiance sans jauge morale cachée.</x:v>
      </x:c>
      <x:c r="I7" s="9" t="str">
        <x:v>Siège isolé, cigarette stylisée, regard lumineux et baie stellaire.</x:v>
      </x:c>
      <x:c r="J7" s="9" t="str">
        <x:v>Prévoir attente, orientation et réaction au contexte ; conserver les repères décrits dans la silhouette pendant les changements de direction. Les mouvements sont des créations du fan game.</x:v>
      </x:c>
      <x:c r="K7" s="9" t="str">
        <x:v>Créer des bruitages et ambiances originaux adaptés au livrable ; sous-titrer les indices utiles et proposer un réglage indépendant des effets. Aucune extraction audio demandée.</x:v>
      </x:c>
      <x:c r="L7" s="9" t="str">
        <x:v>Prévu : fiche de données me2/npcs/illusive ; rattacher les ressources et états cités à cet identifiant. Aucun fichier de jeu créé par ce catalogue.</x:v>
      </x:c>
      <x:c r="M7" s="9" t="str">
        <x:v>Ne pas confondre alliance circonstancielle et adhésion.</x:v>
      </x:c>
      <x:c r="N7" s="9" t="str">
        <x:v>Le livrable « L’Homme Trouble » possède une scène ou un scénario de contrôle ; ses règles proposées, ses conditions et ses retours visuels sont vérifiables séparément.</x:v>
      </x:c>
      <x:c r="O7" s="9" t="str"/>
      <x:c r="P7" s="9" t="str">
        <x:v>L’Homme Trouble</x:v>
      </x:c>
      <x:c r="Q7" s="9" t="str">
        <x:v>ME2-SRC-CHAR</x:v>
      </x:c>
      <x:c r="R7" s="20" t="str">
        <x:v>https://masseffect.fandom.com/wiki/Characters/Mass_Effect_2</x:v>
      </x:c>
      <x:c r="S7" s="20" t="str">
        <x:v>Spécification à réaliser. Les champs adaptation, gameplay, visual, animation, audio et implementation décrivent le fan game ; ils ne donnent pas des caractéristiques officielles de l’œuvre.</x:v>
      </x:c>
    </x:row>
    <x:row r="8" ht="68" customHeight="1">
      <x:c r="A8" s="19" t="str">
        <x:v>ME2-NPC-JOKER</x:v>
      </x:c>
      <x:c r="B8" s="7" t="str">
        <x:v>Jeff « Joker » Moreau</x:v>
      </x:c>
      <x:c r="C8" s="15" t="str">
        <x:v>Défini</x:v>
      </x:c>
      <x:c r="D8" s="17" t="str">
        <x:v>Établi</x:v>
      </x:c>
      <x:c r="E8" s="17" t="str">
        <x:v>P1</x:v>
      </x:c>
      <x:c r="F8" s="7" t="str">
        <x:v>Pilote du Normandy.</x:v>
      </x:c>
      <x:c r="G8" s="7" t="str">
        <x:v>PNJ mobile à vitesse adaptée pendant l’attaque ; trajet d’évasion lisible et sans mécanique de tir ajoutée.</x:v>
      </x:c>
      <x:c r="H8" s="7" t="str">
        <x:v>PNJ mobile à vitesse adaptée pendant l’attaque ; trajet d’évasion lisible et sans mécanique de tir ajoutée.</x:v>
      </x:c>
      <x:c r="I8" s="7" t="str">
        <x:v>Casquette et uniforme ; démarche prudente.</x:v>
      </x:c>
      <x:c r="J8" s="7" t="str">
        <x:v>Prévoir attente, orientation et réaction au contexte ; conserver les repères décrits dans la silhouette pendant les changements de direction. Les mouvements sont des créations du fan game.</x:v>
      </x:c>
      <x:c r="K8" s="7" t="str">
        <x:v>Créer des bruitages et ambiances originaux adaptés au livrable ; sous-titrer les indices utiles et proposer un réglage indépendant des effets. Aucune extraction audio demandée.</x:v>
      </x:c>
      <x:c r="L8" s="7" t="str">
        <x:v>Prévu : fiche de données me2/npcs/joker ; rattacher les ressources et états cités à cet identifiant. Aucun fichier de jeu créé par ce catalogue.</x:v>
      </x:c>
      <x:c r="M8" s="7" t="str"/>
      <x:c r="N8" s="7" t="str">
        <x:v>Le livrable « Jeff « Joker » Moreau » possède une scène ou un scénario de contrôle ; ses règles proposées, ses conditions et ses retours visuels sont vérifiables séparément.</x:v>
      </x:c>
      <x:c r="O8" s="7" t="str"/>
      <x:c r="P8" s="7" t="str">
        <x:v>Jeff « Joker » Moreau</x:v>
      </x:c>
      <x:c r="Q8" s="7" t="str">
        <x:v>ME2-SRC-STORY</x:v>
      </x:c>
      <x:c r="R8" s="21" t="str">
        <x:v>https://masseffect.fandom.com/wiki/Storyline_II</x:v>
      </x:c>
      <x:c r="S8" s="21" t="str">
        <x:v>Spécification à réaliser. Les champs adaptation, gameplay, visual, animation, audio et implementation décrivent le fan game ; ils ne donnent pas des caractéristiques officielles de l’œuvre.</x:v>
      </x:c>
    </x:row>
    <x:row r="9" ht="68" customHeight="1">
      <x:c r="A9" s="18" t="str">
        <x:v>ME2-NPC-EDI</x:v>
      </x:c>
      <x:c r="B9" s="9" t="str">
        <x:v>EDI — intelligence du Normandy</x:v>
      </x:c>
      <x:c r="C9" s="15" t="str">
        <x:v>Défini</x:v>
      </x:c>
      <x:c r="D9" s="16" t="str">
        <x:v>Établi</x:v>
      </x:c>
      <x:c r="E9" s="16" t="str">
        <x:v>P1</x:v>
      </x:c>
      <x:c r="F9" s="9" t="str">
        <x:v>EDI intervient lors de l’enlèvement.</x:v>
      </x:c>
      <x:c r="G9" s="9" t="str">
        <x:v>Projection et voix de bord donnant un avertissement d’itinéraire ; contrôle du vaisseau sous état narratif.</x:v>
      </x:c>
      <x:c r="H9" s="9" t="str">
        <x:v>Projection et voix de bord donnant un avertissement d’itinéraire ; contrôle du vaisseau sous état narratif.</x:v>
      </x:c>
      <x:c r="I9" s="9" t="str">
        <x:v>Hologramme bleuté ; aucune enveloppe synthétique ME3.</x:v>
      </x:c>
      <x:c r="J9" s="9" t="str">
        <x:v>Prévoir attente, orientation et réaction au contexte ; conserver les repères décrits dans la silhouette pendant les changements de direction. Les mouvements sont des créations du fan game.</x:v>
      </x:c>
      <x:c r="K9" s="9" t="str">
        <x:v>Créer des bruitages et ambiances originaux adaptés au livrable ; sous-titrer les indices utiles et proposer un réglage indépendant des effets. Aucune extraction audio demandée.</x:v>
      </x:c>
      <x:c r="L9" s="9" t="str">
        <x:v>Prévu : fiche de données me2/npcs/edi ; rattacher les ressources et états cités à cet identifiant. Aucun fichier de jeu créé par ce catalogue.</x:v>
      </x:c>
      <x:c r="M9" s="9" t="str"/>
      <x:c r="N9" s="9" t="str">
        <x:v>Le livrable « EDI — intelligence du Normandy » possède une scène ou un scénario de contrôle ; ses règles proposées, ses conditions et ses retours visuels sont vérifiables séparément.</x:v>
      </x:c>
      <x:c r="O9" s="9" t="str"/>
      <x:c r="P9" s="9" t="str">
        <x:v>EDI — intelligence du Normandy</x:v>
      </x:c>
      <x:c r="Q9" s="9" t="str">
        <x:v>ME2-SRC-STORY</x:v>
      </x:c>
      <x:c r="R9" s="20" t="str">
        <x:v>https://masseffect.fandom.com/wiki/Storyline_II</x:v>
      </x:c>
      <x:c r="S9" s="20" t="str">
        <x:v>Spécification à réaliser. Les champs adaptation, gameplay, visual, animation, audio et implementation décrivent le fan game ; ils ne donnent pas des caractéristiques officielles de l’œuvre.</x:v>
      </x:c>
    </x:row>
    <x:row r="10" ht="68" customHeight="1">
      <x:c r="A10" s="19" t="str">
        <x:v>ME2-NPC-KELLY</x:v>
      </x:c>
      <x:c r="B10" s="7" t="str">
        <x:v>Kelly Chambers</x:v>
      </x:c>
      <x:c r="C10" s="15" t="str">
        <x:v>Défini</x:v>
      </x:c>
      <x:c r="D10" s="17" t="str">
        <x:v>Établi</x:v>
      </x:c>
      <x:c r="E10" s="17" t="str">
        <x:v>P1</x:v>
      </x:c>
      <x:c r="F10" s="7" t="str">
        <x:v>Membre de l’équipage du Normandy.</x:v>
      </x:c>
      <x:c r="G10" s="7" t="str">
        <x:v>Relais des demandes de loyauté ; file de messages annotée par provenance et disponibilité.</x:v>
      </x:c>
      <x:c r="H10" s="7" t="str">
        <x:v>Relais des demandes de loyauté ; file de messages annotée par provenance et disponibilité.</x:v>
      </x:c>
      <x:c r="I10" s="7" t="str">
        <x:v>Uniforme Cerberus et station d’accueil CIC.</x:v>
      </x:c>
      <x:c r="J10" s="7" t="str">
        <x:v>Prévoir attente, orientation et réaction au contexte ; conserver les repères décrits dans la silhouette pendant les changements de direction. Les mouvements sont des créations du fan game.</x:v>
      </x:c>
      <x:c r="K10" s="7" t="str">
        <x:v>Créer des bruitages et ambiances originaux adaptés au livrable ; sous-titrer les indices utiles et proposer un réglage indépendant des effets. Aucune extraction audio demandée.</x:v>
      </x:c>
      <x:c r="L10" s="7" t="str">
        <x:v>Prévu : fiche de données me2/npcs/kelly ; rattacher les ressources et états cités à cet identifiant. Aucun fichier de jeu créé par ce catalogue.</x:v>
      </x:c>
      <x:c r="M10" s="7" t="str"/>
      <x:c r="N10" s="7" t="str">
        <x:v>Le livrable « Kelly Chambers » possède une scène ou un scénario de contrôle ; ses règles proposées, ses conditions et ses retours visuels sont vérifiables séparément.</x:v>
      </x:c>
      <x:c r="O10" s="7" t="str"/>
      <x:c r="P10" s="7" t="str">
        <x:v>Kelly Chambers</x:v>
      </x:c>
      <x:c r="Q10" s="7" t="str">
        <x:v>ME2-SRC-CHAR</x:v>
      </x:c>
      <x:c r="R10" s="21" t="str">
        <x:v>https://masseffect.fandom.com/wiki/Characters/Mass_Effect_2</x:v>
      </x:c>
      <x:c r="S10" s="21" t="str">
        <x:v>Spécification à réaliser. Les champs adaptation, gameplay, visual, animation, audio et implementation décrivent le fan game ; ils ne donnent pas des caractéristiques officielles de l’œuvre.</x:v>
      </x:c>
    </x:row>
    <x:row r="11" ht="68" customHeight="1">
      <x:c r="A11" s="18" t="str">
        <x:v>ME2-NPC-CHAKWAS</x:v>
      </x:c>
      <x:c r="B11" s="9" t="str">
        <x:v>Karin Chakwas</x:v>
      </x:c>
      <x:c r="C11" s="15" t="str">
        <x:v>Défini</x:v>
      </x:c>
      <x:c r="D11" s="16" t="str">
        <x:v>Établi</x:v>
      </x:c>
      <x:c r="E11" s="16" t="str">
        <x:v>P1</x:v>
      </x:c>
      <x:c r="F11" s="9" t="str">
        <x:v>Médecin à bord du Normandy.</x:v>
      </x:c>
      <x:c r="G11" s="9" t="str">
        <x:v>Entretien de repos et point de soins ; dialogue particulier après sa demande de brandy.</x:v>
      </x:c>
      <x:c r="H11" s="9" t="str">
        <x:v>Entretien de repos et point de soins ; dialogue particulier après sa demande de brandy.</x:v>
      </x:c>
      <x:c r="I11" s="9" t="str">
        <x:v>Blouse médicale et plateau de soins ; gestes rassurants.</x:v>
      </x:c>
      <x:c r="J11" s="9" t="str">
        <x:v>Prévoir attente, orientation et réaction au contexte ; conserver les repères décrits dans la silhouette pendant les changements de direction. Les mouvements sont des créations du fan game.</x:v>
      </x:c>
      <x:c r="K11" s="9" t="str">
        <x:v>Créer des bruitages et ambiances originaux adaptés au livrable ; sous-titrer les indices utiles et proposer un réglage indépendant des effets. Aucune extraction audio demandée.</x:v>
      </x:c>
      <x:c r="L11" s="9" t="str">
        <x:v>Prévu : fiche de données me2/npcs/chakwas ; rattacher les ressources et états cités à cet identifiant. Aucun fichier de jeu créé par ce catalogue.</x:v>
      </x:c>
      <x:c r="M11" s="9" t="str"/>
      <x:c r="N11" s="9" t="str">
        <x:v>Le livrable « Karin Chakwas » possède une scène ou un scénario de contrôle ; ses règles proposées, ses conditions et ses retours visuels sont vérifiables séparément.</x:v>
      </x:c>
      <x:c r="O11" s="9" t="str"/>
      <x:c r="P11" s="9" t="str">
        <x:v>Karin Chakwas</x:v>
      </x:c>
      <x:c r="Q11" s="9" t="str">
        <x:v>ME2-SRC-CHAR, ME2-SRC-ASSIGN</x:v>
      </x:c>
      <x:c r="R11" s="20" t="str">
        <x:v>https://masseffect.fandom.com/wiki/Characters/Mass_Effect_2
https://masseffect.fandom.com/wiki/Assignments</x:v>
      </x:c>
      <x:c r="S11" s="20" t="str">
        <x:v>Spécification à réaliser. Les champs adaptation, gameplay, visual, animation, audio et implementation décrivent le fan game ; ils ne donnent pas des caractéristiques officielles de l’œuvre.</x:v>
      </x:c>
    </x:row>
    <x:row r="12" ht="68" customHeight="1">
      <x:c r="A12" s="19" t="str">
        <x:v>ME2-NPC-KEN</x:v>
      </x:c>
      <x:c r="B12" s="7" t="str">
        <x:v>Kenneth Donnelly</x:v>
      </x:c>
      <x:c r="C12" s="15" t="str">
        <x:v>Défini</x:v>
      </x:c>
      <x:c r="D12" s="17" t="str">
        <x:v>Établi</x:v>
      </x:c>
      <x:c r="E12" s="17" t="str">
        <x:v>P1</x:v>
      </x:c>
      <x:c r="F12" s="7" t="str">
        <x:v>Technicien associé à la demande de coupleurs.</x:v>
      </x:c>
      <x:c r="G12" s="7" t="str">
        <x:v>Repère visuel des recherches mécaniques ; réplique originale déclenchée après livraison.</x:v>
      </x:c>
      <x:c r="H12" s="7" t="str">
        <x:v>Repère visuel des recherches mécaniques ; réplique originale déclenchée après livraison.</x:v>
      </x:c>
      <x:c r="I12" s="7" t="str">
        <x:v>Poste de maintenance et combinaison de service.</x:v>
      </x:c>
      <x:c r="J12" s="7" t="str">
        <x:v>Prévoir attente, orientation et réaction au contexte ; conserver les repères décrits dans la silhouette pendant les changements de direction. Les mouvements sont des créations du fan game.</x:v>
      </x:c>
      <x:c r="K12" s="7" t="str">
        <x:v>Créer des bruitages et ambiances originaux adaptés au livrable ; sous-titrer les indices utiles et proposer un réglage indépendant des effets. Aucune extraction audio demandée.</x:v>
      </x:c>
      <x:c r="L12" s="7" t="str">
        <x:v>Prévu : fiche de données me2/npcs/ken ; rattacher les ressources et états cités à cet identifiant. Aucun fichier de jeu créé par ce catalogue.</x:v>
      </x:c>
      <x:c r="M12" s="7" t="str"/>
      <x:c r="N12" s="7" t="str">
        <x:v>Le livrable « Kenneth Donnelly » possède une scène ou un scénario de contrôle ; ses règles proposées, ses conditions et ses retours visuels sont vérifiables séparément.</x:v>
      </x:c>
      <x:c r="O12" s="7" t="str"/>
      <x:c r="P12" s="7" t="str">
        <x:v>Kenneth Donnelly</x:v>
      </x:c>
      <x:c r="Q12" s="7" t="str">
        <x:v>ME2-SRC-ASSIGN</x:v>
      </x:c>
      <x:c r="R12" s="21" t="str">
        <x:v>https://masseffect.fandom.com/wiki/Assignments</x:v>
      </x:c>
      <x:c r="S12" s="21" t="str">
        <x:v>Spécification à réaliser. Les champs adaptation, gameplay, visual, animation, audio et implementation décrivent le fan game ; ils ne donnent pas des caractéristiques officielles de l’œuvre.</x:v>
      </x:c>
    </x:row>
    <x:row r="13" ht="68" customHeight="1">
      <x:c r="A13" s="18" t="str">
        <x:v>ME2-NPC-GABBY</x:v>
      </x:c>
      <x:c r="B13" s="9" t="str">
        <x:v>Gabriella Daniels</x:v>
      </x:c>
      <x:c r="C13" s="15" t="str">
        <x:v>Défini</x:v>
      </x:c>
      <x:c r="D13" s="16" t="str">
        <x:v>Établi</x:v>
      </x:c>
      <x:c r="E13" s="16" t="str">
        <x:v>P1</x:v>
      </x:c>
      <x:c r="F13" s="9" t="str">
        <x:v>Technicienne liée aux coupleurs FBA.</x:v>
      </x:c>
      <x:c r="G13" s="9" t="str">
        <x:v>Dialogue d’atelier à deux interlocuteurs ; l’état de livraison ne doit se déclencher qu’une fois.</x:v>
      </x:c>
      <x:c r="H13" s="9" t="str">
        <x:v>Dialogue d’atelier à deux interlocuteurs ; l’état de livraison ne doit se déclencher qu’une fois.</x:v>
      </x:c>
      <x:c r="I13" s="9" t="str">
        <x:v>Silhouette humaine sur passerelle d’ingénierie.</x:v>
      </x:c>
      <x:c r="J13" s="9" t="str">
        <x:v>Prévoir attente, orientation et réaction au contexte ; conserver les repères décrits dans la silhouette pendant les changements de direction. Les mouvements sont des créations du fan game.</x:v>
      </x:c>
      <x:c r="K13" s="9" t="str">
        <x:v>Créer des bruitages et ambiances originaux adaptés au livrable ; sous-titrer les indices utiles et proposer un réglage indépendant des effets. Aucune extraction audio demandée.</x:v>
      </x:c>
      <x:c r="L13" s="9" t="str">
        <x:v>Prévu : fiche de données me2/npcs/gabby ; rattacher les ressources et états cités à cet identifiant. Aucun fichier de jeu créé par ce catalogue.</x:v>
      </x:c>
      <x:c r="M13" s="9" t="str"/>
      <x:c r="N13" s="9" t="str">
        <x:v>Le livrable « Gabriella Daniels » possède une scène ou un scénario de contrôle ; ses règles proposées, ses conditions et ses retours visuels sont vérifiables séparément.</x:v>
      </x:c>
      <x:c r="O13" s="9" t="str"/>
      <x:c r="P13" s="9" t="str">
        <x:v>Gabriella Daniels</x:v>
      </x:c>
      <x:c r="Q13" s="9" t="str">
        <x:v>ME2-SRC-ASSIGN</x:v>
      </x:c>
      <x:c r="R13" s="20" t="str">
        <x:v>https://masseffect.fandom.com/wiki/Assignments</x:v>
      </x:c>
      <x:c r="S13" s="20" t="str">
        <x:v>Spécification à réaliser. Les champs adaptation, gameplay, visual, animation, audio et implementation décrivent le fan game ; ils ne donnent pas des caractéristiques officielles de l’œuvre.</x:v>
      </x:c>
    </x:row>
    <x:row r="14" ht="68" customHeight="1">
      <x:c r="A14" s="19" t="str">
        <x:v>ME2-NPC-GARDNER</x:v>
      </x:c>
      <x:c r="B14" s="7" t="str">
        <x:v>Rupert Gardner</x:v>
      </x:c>
      <x:c r="C14" s="15" t="str">
        <x:v>Défini</x:v>
      </x:c>
      <x:c r="D14" s="17" t="str">
        <x:v>Établi</x:v>
      </x:c>
      <x:c r="E14" s="17" t="str">
        <x:v>P1</x:v>
      </x:c>
      <x:c r="F14" s="7" t="str">
        <x:v>Demande des ingrédients pour le Normandy.</x:v>
      </x:c>
      <x:c r="G14" s="7" t="str">
        <x:v>Petit circuit d’approvisionnement sans combat obligatoire ; retour culinaire visible dans le mess.</x:v>
      </x:c>
      <x:c r="H14" s="7" t="str">
        <x:v>Petit circuit d’approvisionnement sans combat obligatoire ; retour culinaire visible dans le mess.</x:v>
      </x:c>
      <x:c r="I14" s="7" t="str">
        <x:v>Tablier de cuisine et poste multifonction.</x:v>
      </x:c>
      <x:c r="J14" s="7" t="str">
        <x:v>Prévoir attente, orientation et réaction au contexte ; conserver les repères décrits dans la silhouette pendant les changements de direction. Les mouvements sont des créations du fan game.</x:v>
      </x:c>
      <x:c r="K14" s="7" t="str">
        <x:v>Créer des bruitages et ambiances originaux adaptés au livrable ; sous-titrer les indices utiles et proposer un réglage indépendant des effets. Aucune extraction audio demandée.</x:v>
      </x:c>
      <x:c r="L14" s="7" t="str">
        <x:v>Prévu : fiche de données me2/npcs/gardner ; rattacher les ressources et états cités à cet identifiant. Aucun fichier de jeu créé par ce catalogue.</x:v>
      </x:c>
      <x:c r="M14" s="7" t="str"/>
      <x:c r="N14" s="7" t="str">
        <x:v>Le livrable « Rupert Gardner » possède une scène ou un scénario de contrôle ; ses règles proposées, ses conditions et ses retours visuels sont vérifiables séparément.</x:v>
      </x:c>
      <x:c r="O14" s="7" t="str"/>
      <x:c r="P14" s="7" t="str">
        <x:v>Rupert Gardner</x:v>
      </x:c>
      <x:c r="Q14" s="7" t="str">
        <x:v>ME2-SRC-ASSIGN</x:v>
      </x:c>
      <x:c r="R14" s="21" t="str">
        <x:v>https://masseffect.fandom.com/wiki/Assignments</x:v>
      </x:c>
      <x:c r="S14" s="21" t="str">
        <x:v>Spécification à réaliser. Les champs adaptation, gameplay, visual, animation, audio et implementation décrivent le fan game ; ils ne donnent pas des caractéristiques officielles de l’œuvre.</x:v>
      </x:c>
    </x:row>
    <x:row r="15" ht="68" customHeight="1">
      <x:c r="A15" s="18" t="str">
        <x:v>ME2-NPC-ARIA</x:v>
      </x:c>
      <x:c r="B15" s="9" t="str">
        <x:v>Aria T’Loak</x:v>
      </x:c>
      <x:c r="C15" s="15" t="str">
        <x:v>Défini</x:v>
      </x:c>
      <x:c r="D15" s="16" t="str">
        <x:v>Établi</x:v>
      </x:c>
      <x:c r="E15" s="16" t="str">
        <x:v>P1</x:v>
      </x:c>
      <x:c r="F15" s="9" t="str">
        <x:v>Dirige Omega depuis Afterlife.</x:v>
      </x:c>
      <x:c r="G15" s="9" t="str">
        <x:v>Centre de renseignement : fournir plusieurs pistes sans forcer un ordre de recrutement.</x:v>
      </x:c>
      <x:c r="H15" s="9" t="str">
        <x:v>Centre de renseignement : fournir plusieurs pistes sans forcer un ordre de recrutement.</x:v>
      </x:c>
      <x:c r="I15" s="9" t="str">
        <x:v>Asari violette, tenue sombre et banquette surélevée.</x:v>
      </x:c>
      <x:c r="J15" s="9" t="str">
        <x:v>Prévoir attente, orientation et réaction au contexte ; conserver les repères décrits dans la silhouette pendant les changements de direction. Les mouvements sont des créations du fan game.</x:v>
      </x:c>
      <x:c r="K15" s="9" t="str">
        <x:v>Créer des bruitages et ambiances originaux adaptés au livrable ; sous-titrer les indices utiles et proposer un réglage indépendant des effets. Aucune extraction audio demandée.</x:v>
      </x:c>
      <x:c r="L15" s="9" t="str">
        <x:v>Prévu : fiche de données me2/npcs/aria ; rattacher les ressources et états cités à cet identifiant. Aucun fichier de jeu créé par ce catalogue.</x:v>
      </x:c>
      <x:c r="M15" s="9" t="str"/>
      <x:c r="N15" s="9" t="str">
        <x:v>Le livrable « Aria T’Loak » possède une scène ou un scénario de contrôle ; ses règles proposées, ses conditions et ses retours visuels sont vérifiables séparément.</x:v>
      </x:c>
      <x:c r="O15" s="9" t="str"/>
      <x:c r="P15" s="9" t="str">
        <x:v>Aria T’Loak</x:v>
      </x:c>
      <x:c r="Q15" s="9" t="str">
        <x:v>ME2-SRC-OMEGA, ME2-SRC-PROF</x:v>
      </x:c>
      <x:c r="R15" s="20" t="str">
        <x:v>https://masseffect.fandom.com/wiki/Omega
https://masseffect.fandom.com/wiki/Dossier%3A_The_Professor</x:v>
      </x:c>
      <x:c r="S15" s="20" t="str">
        <x:v>Spécification à réaliser. Les champs adaptation, gameplay, visual, animation, audio et implementation décrivent le fan game ; ils ne donnent pas des caractéristiques officielles de l’œuvre.</x:v>
      </x:c>
    </x:row>
    <x:row r="16" ht="68" customHeight="1">
      <x:c r="A16" s="19" t="str">
        <x:v>ME2-NPC-PATRIARCH</x:v>
      </x:c>
      <x:c r="B16" s="7" t="str">
        <x:v>Le Patriarche</x:v>
      </x:c>
      <x:c r="C16" s="15" t="str">
        <x:v>Défini</x:v>
      </x:c>
      <x:c r="D16" s="17" t="str">
        <x:v>Établi</x:v>
      </x:c>
      <x:c r="E16" s="17" t="str">
        <x:v>P1</x:v>
      </x:c>
      <x:c r="F16" s="7" t="str">
        <x:v>PNJ d’une affectation d’Omega.</x:v>
      </x:c>
      <x:c r="G16" s="7" t="str">
        <x:v>Entretien sur la protection personnelle ; choisir aide discrète ou confrontation annoncée.</x:v>
      </x:c>
      <x:c r="H16" s="7" t="str">
        <x:v>Entretien sur la protection personnelle ; choisir aide discrète ou confrontation annoncée.</x:v>
      </x:c>
      <x:c r="I16" s="7" t="str">
        <x:v>Krogan âgé assis dans un coin du club.</x:v>
      </x:c>
      <x:c r="J16" s="7" t="str">
        <x:v>Prévoir attente, orientation et réaction au contexte ; conserver les repères décrits dans la silhouette pendant les changements de direction. Les mouvements sont des créations du fan game.</x:v>
      </x:c>
      <x:c r="K16" s="7" t="str">
        <x:v>Créer des bruitages et ambiances originaux adaptés au livrable ; sous-titrer les indices utiles et proposer un réglage indépendant des effets. Aucune extraction audio demandée.</x:v>
      </x:c>
      <x:c r="L16" s="7" t="str">
        <x:v>Prévu : fiche de données me2/npcs/patriarch ; rattacher les ressources et états cités à cet identifiant. Aucun fichier de jeu créé par ce catalogue.</x:v>
      </x:c>
      <x:c r="M16" s="7" t="str"/>
      <x:c r="N16" s="7" t="str">
        <x:v>Le livrable « Le Patriarche » possède une scène ou un scénario de contrôle ; ses règles proposées, ses conditions et ses retours visuels sont vérifiables séparément.</x:v>
      </x:c>
      <x:c r="O16" s="7" t="str"/>
      <x:c r="P16" s="7" t="str">
        <x:v>Le Patriarche</x:v>
      </x:c>
      <x:c r="Q16" s="7" t="str">
        <x:v>ME2-SRC-ASSIGN</x:v>
      </x:c>
      <x:c r="R16" s="21" t="str">
        <x:v>https://masseffect.fandom.com/wiki/Assignments</x:v>
      </x:c>
      <x:c r="S16" s="21" t="str">
        <x:v>Spécification à réaliser. Les champs adaptation, gameplay, visual, animation, audio et implementation décrivent le fan game ; ils ne donnent pas des caractéristiques officielles de l’œuvre.</x:v>
      </x:c>
    </x:row>
    <x:row r="17" ht="68" customHeight="1">
      <x:c r="A17" s="18" t="str">
        <x:v>ME2-NPC-KENN</x:v>
      </x:c>
      <x:c r="B17" s="9" t="str">
        <x:v>Kenn</x:v>
      </x:c>
      <x:c r="C17" s="15" t="str">
        <x:v>Défini</x:v>
      </x:c>
      <x:c r="D17" s="16" t="str">
        <x:v>Établi</x:v>
      </x:c>
      <x:c r="E17" s="16" t="str">
        <x:v>P1</x:v>
      </x:c>
      <x:c r="F17" s="9" t="str">
        <x:v>Quarien de l’affectation Struggling Quarian.</x:v>
      </x:c>
      <x:c r="G17" s="9" t="str">
        <x:v>Marchand associé à une aide au départ ; prix et aide narrative restent deux états séparés.</x:v>
      </x:c>
      <x:c r="H17" s="9" t="str">
        <x:v>Marchand associé à une aide au départ ; prix et aide narrative restent deux états séparés.</x:v>
      </x:c>
      <x:c r="I17" s="9" t="str">
        <x:v>Combinaison quariène d’ouvrier et étal de récupération.</x:v>
      </x:c>
      <x:c r="J17" s="9" t="str">
        <x:v>Prévoir attente, orientation et réaction au contexte ; conserver les repères décrits dans la silhouette pendant les changements de direction. Les mouvements sont des créations du fan game.</x:v>
      </x:c>
      <x:c r="K17" s="9" t="str">
        <x:v>Créer des bruitages et ambiances originaux adaptés au livrable ; sous-titrer les indices utiles et proposer un réglage indépendant des effets. Aucune extraction audio demandée.</x:v>
      </x:c>
      <x:c r="L17" s="9" t="str">
        <x:v>Prévu : fiche de données me2/npcs/kenn ; rattacher les ressources et états cités à cet identifiant. Aucun fichier de jeu créé par ce catalogue.</x:v>
      </x:c>
      <x:c r="M17" s="9" t="str"/>
      <x:c r="N17" s="9" t="str">
        <x:v>Le livrable « Kenn » possède une scène ou un scénario de contrôle ; ses règles proposées, ses conditions et ses retours visuels sont vérifiables séparément.</x:v>
      </x:c>
      <x:c r="O17" s="9" t="str"/>
      <x:c r="P17" s="9" t="str">
        <x:v>Kenn</x:v>
      </x:c>
      <x:c r="Q17" s="9" t="str">
        <x:v>ME2-SRC-ASSIGN</x:v>
      </x:c>
      <x:c r="R17" s="20" t="str">
        <x:v>https://masseffect.fandom.com/wiki/Assignments</x:v>
      </x:c>
      <x:c r="S17" s="20" t="str">
        <x:v>Spécification à réaliser. Les champs adaptation, gameplay, visual, animation, audio et implementation décrivent le fan game ; ils ne donnent pas des caractéristiques officielles de l’œuvre.</x:v>
      </x:c>
    </x:row>
    <x:row r="18" ht="68" customHeight="1">
      <x:c r="A18" s="19" t="str">
        <x:v>ME2-NPC-ISH</x:v>
      </x:c>
      <x:c r="B18" s="7" t="str">
        <x:v>Ish</x:v>
      </x:c>
      <x:c r="C18" s="15" t="str">
        <x:v>Défini</x:v>
      </x:c>
      <x:c r="D18" s="17" t="str">
        <x:v>Établi</x:v>
      </x:c>
      <x:c r="E18" s="17" t="str">
        <x:v>P1</x:v>
      </x:c>
      <x:c r="F18" s="7" t="str">
        <x:v>Donneur de Packages for Ish.</x:v>
      </x:c>
      <x:c r="G18" s="7" t="str">
        <x:v>Remise de colis avec aperçu du destinataire ; laisser une issue de refus claire.</x:v>
      </x:c>
      <x:c r="H18" s="7" t="str">
        <x:v>Remise de colis avec aperçu du destinataire ; laisser une issue de refus claire.</x:v>
      </x:c>
      <x:c r="I18" s="7" t="str">
        <x:v>Salarien près d’une zone de transit.</x:v>
      </x:c>
      <x:c r="J18" s="7" t="str">
        <x:v>Prévoir attente, orientation et réaction au contexte ; conserver les repères décrits dans la silhouette pendant les changements de direction. Les mouvements sont des créations du fan game.</x:v>
      </x:c>
      <x:c r="K18" s="7" t="str">
        <x:v>Créer des bruitages et ambiances originaux adaptés au livrable ; sous-titrer les indices utiles et proposer un réglage indépendant des effets. Aucune extraction audio demandée.</x:v>
      </x:c>
      <x:c r="L18" s="7" t="str">
        <x:v>Prévu : fiche de données me2/npcs/ish ; rattacher les ressources et états cités à cet identifiant. Aucun fichier de jeu créé par ce catalogue.</x:v>
      </x:c>
      <x:c r="M18" s="7" t="str"/>
      <x:c r="N18" s="7" t="str">
        <x:v>Le livrable « Ish » possède une scène ou un scénario de contrôle ; ses règles proposées, ses conditions et ses retours visuels sont vérifiables séparément.</x:v>
      </x:c>
      <x:c r="O18" s="7" t="str"/>
      <x:c r="P18" s="7" t="str">
        <x:v>Ish</x:v>
      </x:c>
      <x:c r="Q18" s="7" t="str">
        <x:v>ME2-SRC-ASSIGN</x:v>
      </x:c>
      <x:c r="R18" s="21" t="str">
        <x:v>https://masseffect.fandom.com/wiki/Assignments</x:v>
      </x:c>
      <x:c r="S18" s="21" t="str">
        <x:v>Spécification à réaliser. Les champs adaptation, gameplay, visual, animation, audio et implementation décrivent le fan game ; ils ne donnent pas des caractéristiques officielles de l’œuvre.</x:v>
      </x:c>
    </x:row>
    <x:row r="19" ht="68" customHeight="1">
      <x:c r="A19" s="18" t="str">
        <x:v>ME2-NPC-DANIEL</x:v>
      </x:c>
      <x:c r="B19" s="9" t="str">
        <x:v>Daniel Abrams</x:v>
      </x:c>
      <x:c r="C19" s="15" t="str">
        <x:v>Défini</x:v>
      </x:c>
      <x:c r="D19" s="16" t="str">
        <x:v>Établi</x:v>
      </x:c>
      <x:c r="E19" s="16" t="str">
        <x:v>P1</x:v>
      </x:c>
      <x:c r="F19" s="9" t="str">
        <x:v>Assistant de Mordin porté disparu.</x:v>
      </x:c>
      <x:c r="G19" s="9" t="str">
        <x:v>Résoudre un face-à-face de civils ; la sortie pacifique exige une lecture de la situation, pas une attaque.</x:v>
      </x:c>
      <x:c r="H19" s="9" t="str">
        <x:v>Résoudre un face-à-face de civils ; la sortie pacifique exige une lecture de la situation, pas une attaque.</x:v>
      </x:c>
      <x:c r="I19" s="9" t="str">
        <x:v>Tenue médicale au milieu d’un quartier hostile.</x:v>
      </x:c>
      <x:c r="J19" s="9" t="str">
        <x:v>Prévoir attente, orientation et réaction au contexte ; conserver les repères décrits dans la silhouette pendant les changements de direction. Les mouvements sont des créations du fan game.</x:v>
      </x:c>
      <x:c r="K19" s="9" t="str">
        <x:v>Créer des bruitages et ambiances originaux adaptés au livrable ; sous-titrer les indices utiles et proposer un réglage indépendant des effets. Aucune extraction audio demandée.</x:v>
      </x:c>
      <x:c r="L19" s="9" t="str">
        <x:v>Prévu : fiche de données me2/npcs/daniel ; rattacher les ressources et états cités à cet identifiant. Aucun fichier de jeu créé par ce catalogue.</x:v>
      </x:c>
      <x:c r="M19" s="9" t="str"/>
      <x:c r="N19" s="9" t="str">
        <x:v>Le livrable « Daniel Abrams » possède une scène ou un scénario de contrôle ; ses règles proposées, ses conditions et ses retours visuels sont vérifiables séparément.</x:v>
      </x:c>
      <x:c r="O19" s="9" t="str"/>
      <x:c r="P19" s="9" t="str">
        <x:v>Daniel Abrams</x:v>
      </x:c>
      <x:c r="Q19" s="9" t="str">
        <x:v>ME2-SRC-PROF</x:v>
      </x:c>
      <x:c r="R19" s="20" t="str">
        <x:v>https://masseffect.fandom.com/wiki/Dossier%3A_The_Professor</x:v>
      </x:c>
      <x:c r="S19" s="20" t="str">
        <x:v>Spécification à réaliser. Les champs adaptation, gameplay, visual, animation, audio et implementation décrivent le fan game ; ils ne donnent pas des caractéristiques officielles de l’œuvre.</x:v>
      </x:c>
    </x:row>
    <x:row r="20" ht="68" customHeight="1">
      <x:c r="A20" s="19" t="str">
        <x:v>ME2-NPC-VEETOR</x:v>
      </x:c>
      <x:c r="B20" s="7" t="str">
        <x:v>Veetor’Nara</x:v>
      </x:c>
      <x:c r="C20" s="15" t="str">
        <x:v>Défini</x:v>
      </x:c>
      <x:c r="D20" s="17" t="str">
        <x:v>Établi</x:v>
      </x:c>
      <x:c r="E20" s="17" t="str">
        <x:v>P1</x:v>
      </x:c>
      <x:c r="F20" s="7" t="str">
        <x:v>Survivant retrouvé à Freedom’s Progress.</x:v>
      </x:c>
      <x:c r="G20" s="7" t="str">
        <x:v>Dialogue de stress avec espace et rythme contrôlés ; acquisition d’un témoignage sans combat contre lui.</x:v>
      </x:c>
      <x:c r="H20" s="7" t="str">
        <x:v>Dialogue de stress avec espace et rythme contrôlés ; acquisition d’un témoignage sans combat contre lui.</x:v>
      </x:c>
      <x:c r="I20" s="7" t="str">
        <x:v>Quarien entouré d’écrans de surveillance.</x:v>
      </x:c>
      <x:c r="J20" s="7" t="str">
        <x:v>Prévoir attente, orientation et réaction au contexte ; conserver les repères décrits dans la silhouette pendant les changements de direction. Les mouvements sont des créations du fan game.</x:v>
      </x:c>
      <x:c r="K20" s="7" t="str">
        <x:v>Créer des bruitages et ambiances originaux adaptés au livrable ; sous-titrer les indices utiles et proposer un réglage indépendant des effets. Aucune extraction audio demandée.</x:v>
      </x:c>
      <x:c r="L20" s="7" t="str">
        <x:v>Prévu : fiche de données me2/npcs/veetor ; rattacher les ressources et états cités à cet identifiant. Aucun fichier de jeu créé par ce catalogue.</x:v>
      </x:c>
      <x:c r="M20" s="7" t="str"/>
      <x:c r="N20" s="7" t="str">
        <x:v>Le livrable « Veetor’Nara » possède une scène ou un scénario de contrôle ; ses règles proposées, ses conditions et ses retours visuels sont vérifiables séparément.</x:v>
      </x:c>
      <x:c r="O20" s="7" t="str"/>
      <x:c r="P20" s="7" t="str">
        <x:v>Veetor’Nara</x:v>
      </x:c>
      <x:c r="Q20" s="7" t="str">
        <x:v>ME2-SRC-FREEDOM</x:v>
      </x:c>
      <x:c r="R20" s="21" t="str">
        <x:v>https://masseffect.fandom.com/wiki/Freedom%27s_Progress_%28mission%29</x:v>
      </x:c>
      <x:c r="S20" s="21" t="str">
        <x:v>Spécification à réaliser. Les champs adaptation, gameplay, visual, animation, audio et implementation décrivent le fan game ; ils ne donnent pas des caractéristiques officielles de l’œuvre.</x:v>
      </x:c>
    </x:row>
    <x:row r="21" ht="68" customHeight="1">
      <x:c r="A21" s="18" t="str">
        <x:v>ME2-NPC-RENEGAR</x:v>
      </x:c>
      <x:c r="B21" s="9" t="str">
        <x:v>Kal’Reegar</x:v>
      </x:c>
      <x:c r="C21" s="15" t="str">
        <x:v>Défini</x:v>
      </x:c>
      <x:c r="D21" s="16" t="str">
        <x:v>Établi</x:v>
      </x:c>
      <x:c r="E21" s="16" t="str">
        <x:v>P1</x:v>
      </x:c>
      <x:c r="F21" s="9" t="str">
        <x:v>Soldat quarian présent à Haestrom.</x:v>
      </x:c>
      <x:c r="G21" s="9" t="str">
        <x:v>Soutien facultatif au Colosse ; afficher son exposition avant d’accepter son aide.</x:v>
      </x:c>
      <x:c r="H21" s="9" t="str">
        <x:v>Soutien facultatif au Colosse ; afficher son exposition avant d’accepter son aide.</x:v>
      </x:c>
      <x:c r="I21" s="9" t="str">
        <x:v>Armure quariène militaire ; arme lourde et blessures indiquées sobrement.</x:v>
      </x:c>
      <x:c r="J21" s="9" t="str">
        <x:v>Prévoir attente, orientation et réaction au contexte ; conserver les repères décrits dans la silhouette pendant les changements de direction. Les mouvements sont des créations du fan game.</x:v>
      </x:c>
      <x:c r="K21" s="9" t="str">
        <x:v>Créer des bruitages et ambiances originaux adaptés au livrable ; sous-titrer les indices utiles et proposer un réglage indépendant des effets. Aucune extraction audio demandée.</x:v>
      </x:c>
      <x:c r="L21" s="9" t="str">
        <x:v>Prévu : fiche de données me2/npcs/renegar ; rattacher les ressources et états cités à cet identifiant. Aucun fichier de jeu créé par ce catalogue.</x:v>
      </x:c>
      <x:c r="M21" s="9" t="str"/>
      <x:c r="N21" s="9" t="str">
        <x:v>Le livrable « Kal’Reegar » possède une scène ou un scénario de contrôle ; ses règles proposées, ses conditions et ses retours visuels sont vérifiables séparément.</x:v>
      </x:c>
      <x:c r="O21" s="9" t="str"/>
      <x:c r="P21" s="9" t="str">
        <x:v>Kal’Reegar</x:v>
      </x:c>
      <x:c r="Q21" s="9" t="str">
        <x:v>ME2-SRC-TALI</x:v>
      </x:c>
      <x:c r="R21" s="20" t="str">
        <x:v>https://masseffect.fandom.com/wiki/Dossier%3A_Tali</x:v>
      </x:c>
      <x:c r="S21" s="20" t="str">
        <x:v>Spécification à réaliser. Les champs adaptation, gameplay, visual, animation, audio et implementation décrivent le fan game ; ils ne donnent pas des caractéristiques officielles de l’œuvre.</x:v>
      </x:c>
    </x:row>
    <x:row r="22" ht="68" customHeight="1">
      <x:c r="A22" s="19" t="str">
        <x:v>ME2-NPC-OKEER</x:v>
      </x:c>
      <x:c r="B22" s="7" t="str">
        <x:v>Okeer</x:v>
      </x:c>
      <x:c r="C22" s="15" t="str">
        <x:v>Défini</x:v>
      </x:c>
      <x:c r="D22" s="17" t="str">
        <x:v>Établi</x:v>
      </x:c>
      <x:c r="E22" s="17" t="str">
        <x:v>P1</x:v>
      </x:c>
      <x:c r="F22" s="7" t="str">
        <x:v>Scientifique krogan à Korlus.</x:v>
      </x:c>
      <x:c r="G22" s="7" t="str">
        <x:v>Scène de laboratoire centrée sur son projet ; sa cuve constitue un résultat récupérable distinct du PNJ.</x:v>
      </x:c>
      <x:c r="H22" s="7" t="str">
        <x:v>Scène de laboratoire centrée sur son projet ; sa cuve constitue un résultat récupérable distinct du PNJ.</x:v>
      </x:c>
      <x:c r="I22" s="7" t="str">
        <x:v>Krogan âgé près de cuves de croissance.</x:v>
      </x:c>
      <x:c r="J22" s="7" t="str">
        <x:v>Prévoir attente, orientation et réaction au contexte ; conserver les repères décrits dans la silhouette pendant les changements de direction. Les mouvements sont des créations du fan game.</x:v>
      </x:c>
      <x:c r="K22" s="7" t="str">
        <x:v>Créer des bruitages et ambiances originaux adaptés au livrable ; sous-titrer les indices utiles et proposer un réglage indépendant des effets. Aucune extraction audio demandée.</x:v>
      </x:c>
      <x:c r="L22" s="7" t="str">
        <x:v>Prévu : fiche de données me2/npcs/okeer ; rattacher les ressources et états cités à cet identifiant. Aucun fichier de jeu créé par ce catalogue.</x:v>
      </x:c>
      <x:c r="M22" s="7" t="str"/>
      <x:c r="N22" s="7" t="str">
        <x:v>Le livrable « Okeer » possède une scène ou un scénario de contrôle ; ses règles proposées, ses conditions et ses retours visuels sont vérifiables séparément.</x:v>
      </x:c>
      <x:c r="O22" s="7" t="str"/>
      <x:c r="P22" s="7" t="str">
        <x:v>Okeer</x:v>
      </x:c>
      <x:c r="Q22" s="7" t="str">
        <x:v>ME2-SRC-WARLORD</x:v>
      </x:c>
      <x:c r="R22" s="21" t="str">
        <x:v>https://masseffect.fandom.com/wiki/Dossier%3A_The_Warlord</x:v>
      </x:c>
      <x:c r="S22" s="21" t="str">
        <x:v>Spécification à réaliser. Les champs adaptation, gameplay, visual, animation, audio et implementation décrivent le fan game ; ils ne donnent pas des caractéristiques officielles de l’œuvre.</x:v>
      </x:c>
    </x:row>
    <x:row r="23" ht="68" customHeight="1">
      <x:c r="A23" s="18" t="str">
        <x:v>ME2-NPC-JEDORE</x:v>
      </x:c>
      <x:c r="B23" s="9" t="str">
        <x:v>Jedore</x:v>
      </x:c>
      <x:c r="C23" s="15" t="str">
        <x:v>Défini</x:v>
      </x:c>
      <x:c r="D23" s="16" t="str">
        <x:v>Établi</x:v>
      </x:c>
      <x:c r="E23" s="16" t="str">
        <x:v>P1</x:v>
      </x:c>
      <x:c r="F23" s="9" t="str">
        <x:v>Commande les mercenaires de Korlus.</x:v>
      </x:c>
      <x:c r="G23" s="9" t="str">
        <x:v>Antagoniste de rencontre : ordre de renfort lisible avant l’ouverture des cuves.</x:v>
      </x:c>
      <x:c r="H23" s="9" t="str">
        <x:v>Antagoniste de rencontre : ordre de renfort lisible avant l’ouverture des cuves.</x:v>
      </x:c>
      <x:c r="I23" s="9" t="str">
        <x:v>Officier humaine en position dominante.</x:v>
      </x:c>
      <x:c r="J23" s="9" t="str">
        <x:v>Prévoir attente, orientation et réaction au contexte ; conserver les repères décrits dans la silhouette pendant les changements de direction. Les mouvements sont des créations du fan game.</x:v>
      </x:c>
      <x:c r="K23" s="9" t="str">
        <x:v>Créer des bruitages et ambiances originaux adaptés au livrable ; sous-titrer les indices utiles et proposer un réglage indépendant des effets. Aucune extraction audio demandée.</x:v>
      </x:c>
      <x:c r="L23" s="9" t="str">
        <x:v>Prévu : fiche de données me2/npcs/jedore ; rattacher les ressources et états cités à cet identifiant. Aucun fichier de jeu créé par ce catalogue.</x:v>
      </x:c>
      <x:c r="M23" s="9" t="str"/>
      <x:c r="N23" s="9" t="str">
        <x:v>Le livrable « Jedore » possède une scène ou un scénario de contrôle ; ses règles proposées, ses conditions et ses retours visuels sont vérifiables séparément.</x:v>
      </x:c>
      <x:c r="O23" s="9" t="str"/>
      <x:c r="P23" s="9" t="str">
        <x:v>Jedore</x:v>
      </x:c>
      <x:c r="Q23" s="9" t="str">
        <x:v>ME2-SRC-WARLORD</x:v>
      </x:c>
      <x:c r="R23" s="20" t="str">
        <x:v>https://masseffect.fandom.com/wiki/Dossier%3A_The_Warlord</x:v>
      </x:c>
      <x:c r="S23" s="20" t="str">
        <x:v>Spécification à réaliser. Les champs adaptation, gameplay, visual, animation, audio et implementation décrivent le fan game ; ils ne donnent pas des caractéristiques officielles de l’œuvre.</x:v>
      </x:c>
    </x:row>
    <x:row r="24" ht="68" customHeight="1">
      <x:c r="A24" s="19" t="str">
        <x:v>ME2-NPC-KURIL</x:v>
      </x:c>
      <x:c r="B24" s="7" t="str">
        <x:v>Gardien Kuril</x:v>
      </x:c>
      <x:c r="C24" s="15" t="str">
        <x:v>Défini</x:v>
      </x:c>
      <x:c r="D24" s="17" t="str">
        <x:v>Établi</x:v>
      </x:c>
      <x:c r="E24" s="17" t="str">
        <x:v>P1</x:v>
      </x:c>
      <x:c r="F24" s="7" t="str">
        <x:v>Antagoniste de Purgatory.</x:v>
      </x:c>
      <x:c r="G24" s="7" t="str">
        <x:v>Mettre le marché de prisonnier et le combat sur deux états exclusifs ; l’hostilité ne débute qu’après la trahison.</x:v>
      </x:c>
      <x:c r="H24" s="7" t="str">
        <x:v>Mettre le marché de prisonnier et le combat sur deux états exclusifs ; l’hostilité ne débute qu’après la trahison.</x:v>
      </x:c>
      <x:c r="I24" s="7" t="str">
        <x:v>Turien en armure de garde et position de contrôle.</x:v>
      </x:c>
      <x:c r="J24" s="7" t="str">
        <x:v>Prévoir attente, orientation et réaction au contexte ; conserver les repères décrits dans la silhouette pendant les changements de direction. Les mouvements sont des créations du fan game.</x:v>
      </x:c>
      <x:c r="K24" s="7" t="str">
        <x:v>Créer des bruitages et ambiances originaux adaptés au livrable ; sous-titrer les indices utiles et proposer un réglage indépendant des effets. Aucune extraction audio demandée.</x:v>
      </x:c>
      <x:c r="L24" s="7" t="str">
        <x:v>Prévu : fiche de données me2/npcs/kuril ; rattacher les ressources et états cités à cet identifiant. Aucun fichier de jeu créé par ce catalogue.</x:v>
      </x:c>
      <x:c r="M24" s="7" t="str"/>
      <x:c r="N24" s="7" t="str">
        <x:v>Le livrable « Gardien Kuril » possède une scène ou un scénario de contrôle ; ses règles proposées, ses conditions et ses retours visuels sont vérifiables séparément.</x:v>
      </x:c>
      <x:c r="O24" s="7" t="str"/>
      <x:c r="P24" s="7" t="str">
        <x:v>Gardien Kuril</x:v>
      </x:c>
      <x:c r="Q24" s="7" t="str">
        <x:v>ME2-SRC-CONVICT</x:v>
      </x:c>
      <x:c r="R24" s="21" t="str">
        <x:v>https://masseffect.fandom.com/wiki/Dossier%3A_The_Convict</x:v>
      </x:c>
      <x:c r="S24" s="21" t="str">
        <x:v>Spécification à réaliser. Les champs adaptation, gameplay, visual, animation, audio et implementation décrivent le fan game ; ils ne donnent pas des caractéristiques officielles de l’œuvre.</x:v>
      </x:c>
    </x:row>
    <x:row r="25" ht="68" customHeight="1">
      <x:c r="A25" s="18" t="str">
        <x:v>ME2-NPC-ANDERSON</x:v>
      </x:c>
      <x:c r="B25" s="9" t="str">
        <x:v>David Anderson</x:v>
      </x:c>
      <x:c r="C25" s="15" t="str">
        <x:v>Défini</x:v>
      </x:c>
      <x:c r="D25" s="16" t="str">
        <x:v>Établi</x:v>
      </x:c>
      <x:c r="E25" s="16" t="str">
        <x:v>P1</x:v>
      </x:c>
      <x:c r="F25" s="9" t="str">
        <x:v>Personnage de la rencontre au Conseil.</x:v>
      </x:c>
      <x:c r="G25" s="9" t="str">
        <x:v>Entretien de retrouvailles variable selon l’import ; aucun statut politique figé par défaut.</x:v>
      </x:c>
      <x:c r="H25" s="9" t="str">
        <x:v>Entretien de retrouvailles variable selon l’import ; aucun statut politique figé par défaut.</x:v>
      </x:c>
      <x:c r="I25" s="9" t="str">
        <x:v>Uniforme de l’Alliance, bureau Citadelle.</x:v>
      </x:c>
      <x:c r="J25" s="9" t="str">
        <x:v>Prévoir attente, orientation et réaction au contexte ; conserver les repères décrits dans la silhouette pendant les changements de direction. Les mouvements sont des créations du fan game.</x:v>
      </x:c>
      <x:c r="K25" s="9" t="str">
        <x:v>Créer des bruitages et ambiances originaux adaptés au livrable ; sous-titrer les indices utiles et proposer un réglage indépendant des effets. Aucune extraction audio demandée.</x:v>
      </x:c>
      <x:c r="L25" s="9" t="str">
        <x:v>Prévu : fiche de données me2/npcs/anderson ; rattacher les ressources et états cités à cet identifiant. Aucun fichier de jeu créé par ce catalogue.</x:v>
      </x:c>
      <x:c r="M25" s="9" t="str">
        <x:v>Fonction exacte conditionnée par la sauvegarde.</x:v>
      </x:c>
      <x:c r="N25" s="9" t="str">
        <x:v>Le livrable « David Anderson » possède une scène ou un scénario de contrôle ; ses règles proposées, ses conditions et ses retours visuels sont vérifiables séparément.</x:v>
      </x:c>
      <x:c r="O25" s="9" t="str"/>
      <x:c r="P25" s="9" t="str">
        <x:v>David Anderson</x:v>
      </x:c>
      <x:c r="Q25" s="9" t="str">
        <x:v>ME2-SRC-MISSIONS, ME2-SRC-SAVE</x:v>
      </x:c>
      <x:c r="R25" s="20" t="str">
        <x:v>https://masseffect.fandom.com/wiki/Missions
https://masseffect.fandom.com/wiki/Save_File_Transfer</x:v>
      </x:c>
      <x:c r="S25" s="20" t="str">
        <x:v>Spécification à réaliser. Les champs adaptation, gameplay, visual, animation, audio et implementation décrivent le fan game ; ils ne donnent pas des caractéristiques officielles de l’œuvre.</x:v>
      </x:c>
    </x:row>
    <x:row r="26" ht="68" customHeight="1">
      <x:c r="A26" s="19" t="str">
        <x:v>ME2-NPC-BAILEY</x:v>
      </x:c>
      <x:c r="B26" s="7" t="str">
        <x:v>Capitaine Bailey</x:v>
      </x:c>
      <x:c r="C26" s="15" t="str">
        <x:v>Défini</x:v>
      </x:c>
      <x:c r="D26" s="17" t="str">
        <x:v>Établi</x:v>
      </x:c>
      <x:c r="E26" s="17" t="str">
        <x:v>P1</x:v>
      </x:c>
      <x:c r="F26" s="7" t="str">
        <x:v>Contact C-Sec des missions de Citadelle.</x:v>
      </x:c>
      <x:c r="G26" s="7" t="str">
        <x:v>Intermédiaire judiciaire : afficher ce qui relève de sa décision et ce qui relève de Shepard.</x:v>
      </x:c>
      <x:c r="H26" s="7" t="str">
        <x:v>Intermédiaire judiciaire : afficher ce qui relève de sa décision et ce qui relève de Shepard.</x:v>
      </x:c>
      <x:c r="I26" s="7" t="str">
        <x:v>Uniforme C-Sec, bureau aux écrans cyan.</x:v>
      </x:c>
      <x:c r="J26" s="7" t="str">
        <x:v>Prévoir attente, orientation et réaction au contexte ; conserver les repères décrits dans la silhouette pendant les changements de direction. Les mouvements sont des créations du fan game.</x:v>
      </x:c>
      <x:c r="K26" s="7" t="str">
        <x:v>Créer des bruitages et ambiances originaux adaptés au livrable ; sous-titrer les indices utiles et proposer un réglage indépendant des effets. Aucune extraction audio demandée.</x:v>
      </x:c>
      <x:c r="L26" s="7" t="str">
        <x:v>Prévu : fiche de données me2/npcs/bailey ; rattacher les ressources et états cités à cet identifiant. Aucun fichier de jeu créé par ce catalogue.</x:v>
      </x:c>
      <x:c r="M26" s="7" t="str"/>
      <x:c r="N26" s="7" t="str">
        <x:v>Le livrable « Capitaine Bailey » possède une scène ou un scénario de contrôle ; ses règles proposées, ses conditions et ses retours visuels sont vérifiables séparément.</x:v>
      </x:c>
      <x:c r="O26" s="7" t="str"/>
      <x:c r="P26" s="7" t="str">
        <x:v>Capitaine Bailey</x:v>
      </x:c>
      <x:c r="Q26" s="7" t="str">
        <x:v>ME2-SRC-MISSIONS, ME2-SRC-THANE</x:v>
      </x:c>
      <x:c r="R26" s="21" t="str">
        <x:v>https://masseffect.fandom.com/wiki/Missions
https://masseffect.fandom.com/wiki/Thane%3A_Sins_of_the_Father</x:v>
      </x:c>
      <x:c r="S26" s="21" t="str">
        <x:v>Spécification à réaliser. Les champs adaptation, gameplay, visual, animation, audio et implementation décrivent le fan game ; ils ne donnent pas des caractéristiques officielles de l’œuvre.</x:v>
      </x:c>
    </x:row>
    <x:row r="27" ht="68" customHeight="1">
      <x:c r="A27" s="18" t="str">
        <x:v>ME2-NPC-HARKIN</x:v>
      </x:c>
      <x:c r="B27" s="9" t="str">
        <x:v>Harkin / Fade</x:v>
      </x:c>
      <x:c r="C27" s="15" t="str">
        <x:v>Défini</x:v>
      </x:c>
      <x:c r="D27" s="16" t="str">
        <x:v>Établi</x:v>
      </x:c>
      <x:c r="E27" s="16" t="str">
        <x:v>P1</x:v>
      </x:c>
      <x:c r="F27" s="9" t="str">
        <x:v>Garrus cherche Fade pour atteindre Sidonis.</x:v>
      </x:c>
      <x:c r="G27" s="9" t="str">
        <x:v>Interrogatoire avec preuve et pression ; interaction pouvant exposer un chemin de service.</x:v>
      </x:c>
      <x:c r="H27" s="9" t="str">
        <x:v>Interrogatoire avec preuve et pression ; interaction pouvant exposer un chemin de service.</x:v>
      </x:c>
      <x:c r="I27" s="9" t="str">
        <x:v>Tenue civile usée dans le quartier industriel.</x:v>
      </x:c>
      <x:c r="J27" s="9" t="str">
        <x:v>Prévoir attente, orientation et réaction au contexte ; conserver les repères décrits dans la silhouette pendant les changements de direction. Les mouvements sont des créations du fan game.</x:v>
      </x:c>
      <x:c r="K27" s="9" t="str">
        <x:v>Créer des bruitages et ambiances originaux adaptés au livrable ; sous-titrer les indices utiles et proposer un réglage indépendant des effets. Aucune extraction audio demandée.</x:v>
      </x:c>
      <x:c r="L27" s="9" t="str">
        <x:v>Prévu : fiche de données me2/npcs/harkin ; rattacher les ressources et états cités à cet identifiant. Aucun fichier de jeu créé par ce catalogue.</x:v>
      </x:c>
      <x:c r="M27" s="9" t="str"/>
      <x:c r="N27" s="9" t="str">
        <x:v>Le livrable « Harkin / Fade » possède une scène ou un scénario de contrôle ; ses règles proposées, ses conditions et ses retours visuels sont vérifiables séparément.</x:v>
      </x:c>
      <x:c r="O27" s="9" t="str"/>
      <x:c r="P27" s="9" t="str">
        <x:v>Harkin / Fade</x:v>
      </x:c>
      <x:c r="Q27" s="9" t="str">
        <x:v>ME2-SRC-GARRUS</x:v>
      </x:c>
      <x:c r="R27" s="20" t="str">
        <x:v>https://masseffect.fandom.com/wiki/Garrus%3A_Eye_for_an_Eye</x:v>
      </x:c>
      <x:c r="S27" s="20" t="str">
        <x:v>Spécification à réaliser. Les champs adaptation, gameplay, visual, animation, audio et implementation décrivent le fan game ; ils ne donnent pas des caractéristiques officielles de l’œuvre.</x:v>
      </x:c>
    </x:row>
    <x:row r="28" ht="68" customHeight="1">
      <x:c r="A28" s="19" t="str">
        <x:v>ME2-NPC-SIDONIS</x:v>
      </x:c>
      <x:c r="B28" s="7" t="str">
        <x:v>Sidonis</x:v>
      </x:c>
      <x:c r="C28" s="15" t="str">
        <x:v>Défini</x:v>
      </x:c>
      <x:c r="D28" s="17" t="str">
        <x:v>Établi</x:v>
      </x:c>
      <x:c r="E28" s="17" t="str">
        <x:v>P1</x:v>
      </x:c>
      <x:c r="F28" s="7" t="str">
        <x:v>Ancien membre de l’équipe de Garrus.</x:v>
      </x:c>
      <x:c r="G28" s="7" t="str">
        <x:v>Entretien dans une ligne de tir ; positionner Shepard entre la cible et le viseur avant le choix final.</x:v>
      </x:c>
      <x:c r="H28" s="7" t="str">
        <x:v>Entretien dans une ligne de tir ; positionner Shepard entre la cible et le viseur avant le choix final.</x:v>
      </x:c>
      <x:c r="I28" s="7" t="str">
        <x:v>Turien civil sur belvédère urbain.</x:v>
      </x:c>
      <x:c r="J28" s="7" t="str">
        <x:v>Prévoir attente, orientation et réaction au contexte ; conserver les repères décrits dans la silhouette pendant les changements de direction. Les mouvements sont des créations du fan game.</x:v>
      </x:c>
      <x:c r="K28" s="7" t="str">
        <x:v>Créer des bruitages et ambiances originaux adaptés au livrable ; sous-titrer les indices utiles et proposer un réglage indépendant des effets. Aucune extraction audio demandée.</x:v>
      </x:c>
      <x:c r="L28" s="7" t="str">
        <x:v>Prévu : fiche de données me2/npcs/sidonis ; rattacher les ressources et états cités à cet identifiant. Aucun fichier de jeu créé par ce catalogue.</x:v>
      </x:c>
      <x:c r="M28" s="7" t="str"/>
      <x:c r="N28" s="7" t="str">
        <x:v>Le livrable « Sidonis » possède une scène ou un scénario de contrôle ; ses règles proposées, ses conditions et ses retours visuels sont vérifiables séparément.</x:v>
      </x:c>
      <x:c r="O28" s="7" t="str"/>
      <x:c r="P28" s="7" t="str">
        <x:v>Sidonis</x:v>
      </x:c>
      <x:c r="Q28" s="7" t="str">
        <x:v>ME2-SRC-GARRUS</x:v>
      </x:c>
      <x:c r="R28" s="21" t="str">
        <x:v>https://masseffect.fandom.com/wiki/Garrus%3A_Eye_for_an_Eye</x:v>
      </x:c>
      <x:c r="S28" s="21" t="str">
        <x:v>Spécification à réaliser. Les champs adaptation, gameplay, visual, animation, audio et implementation décrivent le fan game ; ils ne donnent pas des caractéristiques officielles de l’œuvre.</x:v>
      </x:c>
    </x:row>
    <x:row r="29" ht="68" customHeight="1">
      <x:c r="A29" s="18" t="str">
        <x:v>ME2-NPC-NIKET</x:v>
      </x:c>
      <x:c r="B29" s="9" t="str">
        <x:v>Niket</x:v>
      </x:c>
      <x:c r="C29" s="15" t="str">
        <x:v>Défini</x:v>
      </x:c>
      <x:c r="D29" s="16" t="str">
        <x:v>Établi</x:v>
      </x:c>
      <x:c r="E29" s="16" t="str">
        <x:v>P1</x:v>
      </x:c>
      <x:c r="F29" s="9" t="str">
        <x:v>Ami d’enfance impliqué dans l’arc de Miranda.</x:v>
      </x:c>
      <x:c r="G29" s="9" t="str">
        <x:v>Confrontation à plusieurs regards ; état de révélation sépare identité, intention et résolution.</x:v>
      </x:c>
      <x:c r="H29" s="9" t="str">
        <x:v>Confrontation à plusieurs regards ; état de révélation sépare identité, intention et résolution.</x:v>
      </x:c>
      <x:c r="I29" s="9" t="str">
        <x:v>Humain en costume dans le terminal de fret.</x:v>
      </x:c>
      <x:c r="J29" s="9" t="str">
        <x:v>Prévoir attente, orientation et réaction au contexte ; conserver les repères décrits dans la silhouette pendant les changements de direction. Les mouvements sont des créations du fan game.</x:v>
      </x:c>
      <x:c r="K29" s="9" t="str">
        <x:v>Créer des bruitages et ambiances originaux adaptés au livrable ; sous-titrer les indices utiles et proposer un réglage indépendant des effets. Aucune extraction audio demandée.</x:v>
      </x:c>
      <x:c r="L29" s="9" t="str">
        <x:v>Prévu : fiche de données me2/npcs/niket ; rattacher les ressources et états cités à cet identifiant. Aucun fichier de jeu créé par ce catalogue.</x:v>
      </x:c>
      <x:c r="M29" s="9" t="str"/>
      <x:c r="N29" s="9" t="str">
        <x:v>Le livrable « Niket » possède une scène ou un scénario de contrôle ; ses règles proposées, ses conditions et ses retours visuels sont vérifiables séparément.</x:v>
      </x:c>
      <x:c r="O29" s="9" t="str"/>
      <x:c r="P29" s="9" t="str">
        <x:v>Niket</x:v>
      </x:c>
      <x:c r="Q29" s="9" t="str">
        <x:v>ME2-SRC-MIRANDA</x:v>
      </x:c>
      <x:c r="R29" s="20" t="str">
        <x:v>https://masseffect.fandom.com/wiki/Miranda%3A_The_Prodigal</x:v>
      </x:c>
      <x:c r="S29" s="20" t="str">
        <x:v>Spécification à réaliser. Les champs adaptation, gameplay, visual, animation, audio et implementation décrivent le fan game ; ils ne donnent pas des caractéristiques officielles de l’œuvre.</x:v>
      </x:c>
    </x:row>
    <x:row r="30" ht="68" customHeight="1">
      <x:c r="A30" s="19" t="str">
        <x:v>ME2-NPC-ORIANA</x:v>
      </x:c>
      <x:c r="B30" s="7" t="str">
        <x:v>Oriana Lawson</x:v>
      </x:c>
      <x:c r="C30" s="15" t="str">
        <x:v>Défini</x:v>
      </x:c>
      <x:c r="D30" s="17" t="str">
        <x:v>Établi</x:v>
      </x:c>
      <x:c r="E30" s="17" t="str">
        <x:v>P1</x:v>
      </x:c>
      <x:c r="F30" s="7" t="str">
        <x:v>Sœur de Miranda au cœur de sa loyauté.</x:v>
      </x:c>
      <x:c r="G30" s="7" t="str">
        <x:v>Brève scène familiale après sécurisation ; aucune escorte combattante artificielle.</x:v>
      </x:c>
      <x:c r="H30" s="7" t="str">
        <x:v>Brève scène familiale après sécurisation ; aucune escorte combattante artificielle.</x:v>
      </x:c>
      <x:c r="I30" s="7" t="str">
        <x:v>Civile et famille en zone sûre.</x:v>
      </x:c>
      <x:c r="J30" s="7" t="str">
        <x:v>Prévoir attente, orientation et réaction au contexte ; conserver les repères décrits dans la silhouette pendant les changements de direction. Les mouvements sont des créations du fan game.</x:v>
      </x:c>
      <x:c r="K30" s="7" t="str">
        <x:v>Créer des bruitages et ambiances originaux adaptés au livrable ; sous-titrer les indices utiles et proposer un réglage indépendant des effets. Aucune extraction audio demandée.</x:v>
      </x:c>
      <x:c r="L30" s="7" t="str">
        <x:v>Prévu : fiche de données me2/npcs/oriana ; rattacher les ressources et états cités à cet identifiant. Aucun fichier de jeu créé par ce catalogue.</x:v>
      </x:c>
      <x:c r="M30" s="7" t="str"/>
      <x:c r="N30" s="7" t="str">
        <x:v>Le livrable « Oriana Lawson » possède une scène ou un scénario de contrôle ; ses règles proposées, ses conditions et ses retours visuels sont vérifiables séparément.</x:v>
      </x:c>
      <x:c r="O30" s="7" t="str"/>
      <x:c r="P30" s="7" t="str">
        <x:v>Oriana Lawson</x:v>
      </x:c>
      <x:c r="Q30" s="7" t="str">
        <x:v>ME2-SRC-MIRANDA</x:v>
      </x:c>
      <x:c r="R30" s="21" t="str">
        <x:v>https://masseffect.fandom.com/wiki/Miranda%3A_The_Prodigal</x:v>
      </x:c>
      <x:c r="S30" s="21" t="str">
        <x:v>Spécification à réaliser. Les champs adaptation, gameplay, visual, animation, audio et implementation décrivent le fan game ; ils ne donnent pas des caractéristiques officielles de l’œuvre.</x:v>
      </x:c>
    </x:row>
    <x:row r="31" ht="68" customHeight="1">
      <x:c r="A31" s="18" t="str">
        <x:v>ME2-NPC-MAELON</x:v>
      </x:c>
      <x:c r="B31" s="9" t="str">
        <x:v>Maelon</x:v>
      </x:c>
      <x:c r="C31" s="15" t="str">
        <x:v>Défini</x:v>
      </x:c>
      <x:c r="D31" s="16" t="str">
        <x:v>Établi</x:v>
      </x:c>
      <x:c r="E31" s="16" t="str">
        <x:v>P1</x:v>
      </x:c>
      <x:c r="F31" s="9" t="str">
        <x:v>Ancien assistant de Mordin.</x:v>
      </x:c>
      <x:c r="G31" s="9" t="str">
        <x:v>Confrontation éthique : dissocier sort du chercheur et conservation de ses données.</x:v>
      </x:c>
      <x:c r="H31" s="9" t="str">
        <x:v>Confrontation éthique : dissocier sort du chercheur et conservation de ses données.</x:v>
      </x:c>
      <x:c r="I31" s="9" t="str">
        <x:v>Salarien dans un laboratoire dégradé.</x:v>
      </x:c>
      <x:c r="J31" s="9" t="str">
        <x:v>Prévoir attente, orientation et réaction au contexte ; conserver les repères décrits dans la silhouette pendant les changements de direction. Les mouvements sont des créations du fan game.</x:v>
      </x:c>
      <x:c r="K31" s="9" t="str">
        <x:v>Créer des bruitages et ambiances originaux adaptés au livrable ; sous-titrer les indices utiles et proposer un réglage indépendant des effets. Aucune extraction audio demandée.</x:v>
      </x:c>
      <x:c r="L31" s="9" t="str">
        <x:v>Prévu : fiche de données me2/npcs/maelon ; rattacher les ressources et états cités à cet identifiant. Aucun fichier de jeu créé par ce catalogue.</x:v>
      </x:c>
      <x:c r="M31" s="9" t="str"/>
      <x:c r="N31" s="9" t="str">
        <x:v>Le livrable « Maelon » possède une scène ou un scénario de contrôle ; ses règles proposées, ses conditions et ses retours visuels sont vérifiables séparément.</x:v>
      </x:c>
      <x:c r="O31" s="9" t="str"/>
      <x:c r="P31" s="9" t="str">
        <x:v>Maelon</x:v>
      </x:c>
      <x:c r="Q31" s="9" t="str">
        <x:v>ME2-SRC-MORDIN</x:v>
      </x:c>
      <x:c r="R31" s="20" t="str">
        <x:v>https://masseffect.fandom.com/wiki/Mordin%3A_Old_Blood</x:v>
      </x:c>
      <x:c r="S31" s="20" t="str">
        <x:v>Spécification à réaliser. Les champs adaptation, gameplay, visual, animation, audio et implementation décrivent le fan game ; ils ne donnent pas des caractéristiques officielles de l’œuvre.</x:v>
      </x:c>
    </x:row>
    <x:row r="32" ht="68" customHeight="1">
      <x:c r="A32" s="19" t="str">
        <x:v>ME2-NPC-RONALD</x:v>
      </x:c>
      <x:c r="B32" s="7" t="str">
        <x:v>Ronald Taylor</x:v>
      </x:c>
      <x:c r="C32" s="15" t="str">
        <x:v>Défini</x:v>
      </x:c>
      <x:c r="D32" s="17" t="str">
        <x:v>Établi</x:v>
      </x:c>
      <x:c r="E32" s="17" t="str">
        <x:v>P1</x:v>
      </x:c>
      <x:c r="F32" s="7" t="str">
        <x:v>Père de Jacob sur Aeia.</x:v>
      </x:c>
      <x:c r="G32" s="7" t="str">
        <x:v>Révélation des journaux avant jugement ; conserver une trace distincte du sort des survivants.</x:v>
      </x:c>
      <x:c r="H32" s="7" t="str">
        <x:v>Révélation des journaux avant jugement ; conserver une trace distincte du sort des survivants.</x:v>
      </x:c>
      <x:c r="I32" s="7" t="str">
        <x:v>Uniforme usé, installation de fortune et entourage armé.</x:v>
      </x:c>
      <x:c r="J32" s="7" t="str">
        <x:v>Prévoir attente, orientation et réaction au contexte ; conserver les repères décrits dans la silhouette pendant les changements de direction. Les mouvements sont des créations du fan game.</x:v>
      </x:c>
      <x:c r="K32" s="7" t="str">
        <x:v>Créer des bruitages et ambiances originaux adaptés au livrable ; sous-titrer les indices utiles et proposer un réglage indépendant des effets. Aucune extraction audio demandée.</x:v>
      </x:c>
      <x:c r="L32" s="7" t="str">
        <x:v>Prévu : fiche de données me2/npcs/ronald ; rattacher les ressources et états cités à cet identifiant. Aucun fichier de jeu créé par ce catalogue.</x:v>
      </x:c>
      <x:c r="M32" s="7" t="str"/>
      <x:c r="N32" s="7" t="str">
        <x:v>Le livrable « Ronald Taylor » possède une scène ou un scénario de contrôle ; ses règles proposées, ses conditions et ses retours visuels sont vérifiables séparément.</x:v>
      </x:c>
      <x:c r="O32" s="7" t="str"/>
      <x:c r="P32" s="7" t="str">
        <x:v>Ronald Taylor</x:v>
      </x:c>
      <x:c r="Q32" s="7" t="str">
        <x:v>ME2-SRC-JACOB</x:v>
      </x:c>
      <x:c r="R32" s="21" t="str">
        <x:v>https://masseffect.fandom.com/wiki/Jacob%3A_The_Gift_of_Greatness</x:v>
      </x:c>
      <x:c r="S32" s="21" t="str">
        <x:v>Spécification à réaliser. Les champs adaptation, gameplay, visual, animation, audio et implementation décrivent le fan game ; ils ne donnent pas des caractéristiques officielles de l’œuvre.</x:v>
      </x:c>
    </x:row>
    <x:row r="33" ht="68" customHeight="1">
      <x:c r="A33" s="18" t="str">
        <x:v>ME2-NPC-ARESH</x:v>
      </x:c>
      <x:c r="B33" s="9" t="str">
        <x:v>Aresh</x:v>
      </x:c>
      <x:c r="C33" s="15" t="str">
        <x:v>Défini</x:v>
      </x:c>
      <x:c r="D33" s="16" t="str">
        <x:v>Établi</x:v>
      </x:c>
      <x:c r="E33" s="16" t="str">
        <x:v>P1</x:v>
      </x:c>
      <x:c r="F33" s="9" t="str">
        <x:v>Rencontré pendant le retour de Jack.</x:v>
      </x:c>
      <x:c r="G33" s="9" t="str">
        <x:v>Dialogue de confrontation près de la charge ; interruption de désescalade lisible.</x:v>
      </x:c>
      <x:c r="H33" s="9" t="str">
        <x:v>Dialogue de confrontation près de la charge ; interruption de désescalade lisible.</x:v>
      </x:c>
      <x:c r="I33" s="9" t="str">
        <x:v>Humain isolé dans le centre de détention abandonné.</x:v>
      </x:c>
      <x:c r="J33" s="9" t="str">
        <x:v>Prévoir attente, orientation et réaction au contexte ; conserver les repères décrits dans la silhouette pendant les changements de direction. Les mouvements sont des créations du fan game.</x:v>
      </x:c>
      <x:c r="K33" s="9" t="str">
        <x:v>Créer des bruitages et ambiances originaux adaptés au livrable ; sous-titrer les indices utiles et proposer un réglage indépendant des effets. Aucune extraction audio demandée.</x:v>
      </x:c>
      <x:c r="L33" s="9" t="str">
        <x:v>Prévu : fiche de données me2/npcs/aresh ; rattacher les ressources et états cités à cet identifiant. Aucun fichier de jeu créé par ce catalogue.</x:v>
      </x:c>
      <x:c r="M33" s="9" t="str"/>
      <x:c r="N33" s="9" t="str">
        <x:v>Le livrable « Aresh » possède une scène ou un scénario de contrôle ; ses règles proposées, ses conditions et ses retours visuels sont vérifiables séparément.</x:v>
      </x:c>
      <x:c r="O33" s="9" t="str"/>
      <x:c r="P33" s="9" t="str">
        <x:v>Aresh</x:v>
      </x:c>
      <x:c r="Q33" s="9" t="str">
        <x:v>ME2-SRC-JACK, ME2-SRC-INTERRUPT</x:v>
      </x:c>
      <x:c r="R33" s="20" t="str">
        <x:v>https://masseffect.fandom.com/wiki/Jack%3A_Subject_Zero
https://masseffect.fandom.com/wiki/Interrupt</x:v>
      </x:c>
      <x:c r="S33" s="20" t="str">
        <x:v>Spécification à réaliser. Les champs adaptation, gameplay, visual, animation, audio et implementation décrivent le fan game ; ils ne donnent pas des caractéristiques officielles de l’œuvre.</x:v>
      </x:c>
    </x:row>
    <x:row r="34" ht="68" customHeight="1">
      <x:c r="A34" s="19" t="str">
        <x:v>ME2-NPC-KOLYAT</x:v>
      </x:c>
      <x:c r="B34" s="7" t="str">
        <x:v>Kolyat Krios</x:v>
      </x:c>
      <x:c r="C34" s="15" t="str">
        <x:v>Défini</x:v>
      </x:c>
      <x:c r="D34" s="17" t="str">
        <x:v>Établi</x:v>
      </x:c>
      <x:c r="E34" s="17" t="str">
        <x:v>P1</x:v>
      </x:c>
      <x:c r="F34" s="7" t="str">
        <x:v>Fils de Thane impliqué dans un contrat.</x:v>
      </x:c>
      <x:c r="G34" s="7" t="str">
        <x:v>Filature suivie d’une scène d’interception ; pas de combat requis pour réussir.</x:v>
      </x:c>
      <x:c r="H34" s="7" t="str">
        <x:v>Filature suivie d’une scène d’interception ; pas de combat requis pour réussir.</x:v>
      </x:c>
      <x:c r="I34" s="7" t="str">
        <x:v>Drell jeune, arme de poing ; silhouette distincte du père.</x:v>
      </x:c>
      <x:c r="J34" s="7" t="str">
        <x:v>Prévoir attente, orientation et réaction au contexte ; conserver les repères décrits dans la silhouette pendant les changements de direction. Les mouvements sont des créations du fan game.</x:v>
      </x:c>
      <x:c r="K34" s="7" t="str">
        <x:v>Créer des bruitages et ambiances originaux adaptés au livrable ; sous-titrer les indices utiles et proposer un réglage indépendant des effets. Aucune extraction audio demandée.</x:v>
      </x:c>
      <x:c r="L34" s="7" t="str">
        <x:v>Prévu : fiche de données me2/npcs/kolyat ; rattacher les ressources et états cités à cet identifiant. Aucun fichier de jeu créé par ce catalogue.</x:v>
      </x:c>
      <x:c r="M34" s="7" t="str"/>
      <x:c r="N34" s="7" t="str">
        <x:v>Le livrable « Kolyat Krios » possède une scène ou un scénario de contrôle ; ses règles proposées, ses conditions et ses retours visuels sont vérifiables séparément.</x:v>
      </x:c>
      <x:c r="O34" s="7" t="str"/>
      <x:c r="P34" s="7" t="str">
        <x:v>Kolyat Krios</x:v>
      </x:c>
      <x:c r="Q34" s="7" t="str">
        <x:v>ME2-SRC-THANE</x:v>
      </x:c>
      <x:c r="R34" s="21" t="str">
        <x:v>https://masseffect.fandom.com/wiki/Thane%3A_Sins_of_the_Father</x:v>
      </x:c>
      <x:c r="S34" s="21" t="str">
        <x:v>Spécification à réaliser. Les champs adaptation, gameplay, visual, animation, audio et implementation décrivent le fan game ; ils ne donnent pas des caractéristiques officielles de l’œuvre.</x:v>
      </x:c>
    </x:row>
    <x:row r="35" ht="68" customHeight="1">
      <x:c r="A35" s="18" t="str">
        <x:v>ME2-NPC-TALID</x:v>
      </x:c>
      <x:c r="B35" s="9" t="str">
        <x:v>Joram Talid</x:v>
      </x:c>
      <x:c r="C35" s="15" t="str">
        <x:v>Défini</x:v>
      </x:c>
      <x:c r="D35" s="16" t="str">
        <x:v>Établi</x:v>
      </x:c>
      <x:c r="E35" s="16" t="str">
        <x:v>P1</x:v>
      </x:c>
      <x:c r="F35" s="9" t="str">
        <x:v>Cible du contrat de Kolyat.</x:v>
      </x:c>
      <x:c r="G35" s="9" t="str">
        <x:v>Personnage de filature avec arrêts lisibles ; ne pas lui attribuer des actions de combat inventées comme canon.</x:v>
      </x:c>
      <x:c r="H35" s="9" t="str">
        <x:v>Personnage de filature avec arrêts lisibles ; ne pas lui attribuer des actions de combat inventées comme canon.</x:v>
      </x:c>
      <x:c r="I35" s="9" t="str">
        <x:v>Turien en tenue politique et garde du corps.</x:v>
      </x:c>
      <x:c r="J35" s="9" t="str">
        <x:v>Prévoir attente, orientation et réaction au contexte ; conserver les repères décrits dans la silhouette pendant les changements de direction. Les mouvements sont des créations du fan game.</x:v>
      </x:c>
      <x:c r="K35" s="9" t="str">
        <x:v>Créer des bruitages et ambiances originaux adaptés au livrable ; sous-titrer les indices utiles et proposer un réglage indépendant des effets. Aucune extraction audio demandée.</x:v>
      </x:c>
      <x:c r="L35" s="9" t="str">
        <x:v>Prévu : fiche de données me2/npcs/talid ; rattacher les ressources et états cités à cet identifiant. Aucun fichier de jeu créé par ce catalogue.</x:v>
      </x:c>
      <x:c r="M35" s="9" t="str"/>
      <x:c r="N35" s="9" t="str">
        <x:v>Le livrable « Joram Talid » possède une scène ou un scénario de contrôle ; ses règles proposées, ses conditions et ses retours visuels sont vérifiables séparément.</x:v>
      </x:c>
      <x:c r="O35" s="9" t="str"/>
      <x:c r="P35" s="9" t="str">
        <x:v>Joram Talid</x:v>
      </x:c>
      <x:c r="Q35" s="9" t="str">
        <x:v>ME2-SRC-THANE</x:v>
      </x:c>
      <x:c r="R35" s="20" t="str">
        <x:v>https://masseffect.fandom.com/wiki/Thane%3A_Sins_of_the_Father</x:v>
      </x:c>
      <x:c r="S35" s="20" t="str">
        <x:v>Spécification à réaliser. Les champs adaptation, gameplay, visual, animation, audio et implementation décrivent le fan game ; ils ne donnent pas des caractéristiques officielles de l’œuvre.</x:v>
      </x:c>
    </x:row>
    <x:row r="36" ht="68" customHeight="1">
      <x:c r="A36" s="19" t="str">
        <x:v>ME2-NPC-RAAN</x:v>
      </x:c>
      <x:c r="B36" s="7" t="str">
        <x:v>Shala’Raan</x:v>
      </x:c>
      <x:c r="C36" s="15" t="str">
        <x:v>Défini</x:v>
      </x:c>
      <x:c r="D36" s="17" t="str">
        <x:v>Établi</x:v>
      </x:c>
      <x:c r="E36" s="17" t="str">
        <x:v>P1</x:v>
      </x:c>
      <x:c r="F36" s="7" t="str">
        <x:v>Amirale présente au procès de Tali.</x:v>
      </x:c>
      <x:c r="G36" s="7" t="str">
        <x:v>Interlocutrice de soutien ; afficher le rôle institutionnel indépendamment de l’affection.</x:v>
      </x:c>
      <x:c r="H36" s="7" t="str">
        <x:v>Interlocutrice de soutien ; afficher le rôle institutionnel indépendamment de l’affection.</x:v>
      </x:c>
      <x:c r="I36" s="7" t="str">
        <x:v>Combinaison quariène d’officier et lumière d’audience.</x:v>
      </x:c>
      <x:c r="J36" s="7" t="str">
        <x:v>Prévoir attente, orientation et réaction au contexte ; conserver les repères décrits dans la silhouette pendant les changements de direction. Les mouvements sont des créations du fan game.</x:v>
      </x:c>
      <x:c r="K36" s="7" t="str">
        <x:v>Créer des bruitages et ambiances originaux adaptés au livrable ; sous-titrer les indices utiles et proposer un réglage indépendant des effets. Aucune extraction audio demandée.</x:v>
      </x:c>
      <x:c r="L36" s="7" t="str">
        <x:v>Prévu : fiche de données me2/npcs/raan ; rattacher les ressources et états cités à cet identifiant. Aucun fichier de jeu créé par ce catalogue.</x:v>
      </x:c>
      <x:c r="M36" s="7" t="str"/>
      <x:c r="N36" s="7" t="str">
        <x:v>Le livrable « Shala’Raan » possède une scène ou un scénario de contrôle ; ses règles proposées, ses conditions et ses retours visuels sont vérifiables séparément.</x:v>
      </x:c>
      <x:c r="O36" s="7" t="str"/>
      <x:c r="P36" s="7" t="str">
        <x:v>Shala’Raan</x:v>
      </x:c>
      <x:c r="Q36" s="7" t="str">
        <x:v>ME2-SRC-TREASON</x:v>
      </x:c>
      <x:c r="R36" s="21" t="str">
        <x:v>https://masseffect.fandom.com/wiki/Tali%3A_Treason</x:v>
      </x:c>
      <x:c r="S36" s="21" t="str">
        <x:v>Spécification à réaliser. Les champs adaptation, gameplay, visual, animation, audio et implementation décrivent le fan game ; ils ne donnent pas des caractéristiques officielles de l’œuvre.</x:v>
      </x:c>
    </x:row>
    <x:row r="37" ht="68" customHeight="1">
      <x:c r="A37" s="18" t="str">
        <x:v>ME2-NPC-KORIS</x:v>
      </x:c>
      <x:c r="B37" s="9" t="str">
        <x:v>Zaal’Koris</x:v>
      </x:c>
      <x:c r="C37" s="15" t="str">
        <x:v>Défini</x:v>
      </x:c>
      <x:c r="D37" s="16" t="str">
        <x:v>Établi</x:v>
      </x:c>
      <x:c r="E37" s="16" t="str">
        <x:v>P1</x:v>
      </x:c>
      <x:c r="F37" s="9" t="str">
        <x:v>Amiral du procès de Tali.</x:v>
      </x:c>
      <x:c r="G37" s="9" t="str">
        <x:v>Point de vue politique opposé à la guerre ; dialogue original appuyé sur les preuves disponibles.</x:v>
      </x:c>
      <x:c r="H37" s="9" t="str">
        <x:v>Point de vue politique opposé à la guerre ; dialogue original appuyé sur les preuves disponibles.</x:v>
      </x:c>
      <x:c r="I37" s="9" t="str">
        <x:v>Quarien aux signes d’amiral distincts.</x:v>
      </x:c>
      <x:c r="J37" s="9" t="str">
        <x:v>Prévoir attente, orientation et réaction au contexte ; conserver les repères décrits dans la silhouette pendant les changements de direction. Les mouvements sont des créations du fan game.</x:v>
      </x:c>
      <x:c r="K37" s="9" t="str">
        <x:v>Créer des bruitages et ambiances originaux adaptés au livrable ; sous-titrer les indices utiles et proposer un réglage indépendant des effets. Aucune extraction audio demandée.</x:v>
      </x:c>
      <x:c r="L37" s="9" t="str">
        <x:v>Prévu : fiche de données me2/npcs/koris ; rattacher les ressources et états cités à cet identifiant. Aucun fichier de jeu créé par ce catalogue.</x:v>
      </x:c>
      <x:c r="M37" s="9" t="str"/>
      <x:c r="N37" s="9" t="str">
        <x:v>Le livrable « Zaal’Koris » possède une scène ou un scénario de contrôle ; ses règles proposées, ses conditions et ses retours visuels sont vérifiables séparément.</x:v>
      </x:c>
      <x:c r="O37" s="9" t="str"/>
      <x:c r="P37" s="9" t="str">
        <x:v>Zaal’Koris</x:v>
      </x:c>
      <x:c r="Q37" s="9" t="str">
        <x:v>ME2-SRC-TREASON</x:v>
      </x:c>
      <x:c r="R37" s="20" t="str">
        <x:v>https://masseffect.fandom.com/wiki/Tali%3A_Treason</x:v>
      </x:c>
      <x:c r="S37" s="20" t="str">
        <x:v>Spécification à réaliser. Les champs adaptation, gameplay, visual, animation, audio et implementation décrivent le fan game ; ils ne donnent pas des caractéristiques officielles de l’œuvre.</x:v>
      </x:c>
    </x:row>
    <x:row r="38" ht="68" customHeight="1">
      <x:c r="A38" s="19" t="str">
        <x:v>ME2-NPC-GERREL</x:v>
      </x:c>
      <x:c r="B38" s="7" t="str">
        <x:v>Han’Gerrel</x:v>
      </x:c>
      <x:c r="C38" s="15" t="str">
        <x:v>Défini</x:v>
      </x:c>
      <x:c r="D38" s="17" t="str">
        <x:v>Établi</x:v>
      </x:c>
      <x:c r="E38" s="17" t="str">
        <x:v>P1</x:v>
      </x:c>
      <x:c r="F38" s="7" t="str">
        <x:v>Amiral du procès de Tali.</x:v>
      </x:c>
      <x:c r="G38" s="7" t="str">
        <x:v>Position martiale du débat ; ses interventions ne remplacent pas le verdict.</x:v>
      </x:c>
      <x:c r="H38" s="7" t="str">
        <x:v>Position martiale du débat ; ses interventions ne remplacent pas le verdict.</x:v>
      </x:c>
      <x:c r="I38" s="7" t="str">
        <x:v>Quarien d’allure militaire.</x:v>
      </x:c>
      <x:c r="J38" s="7" t="str">
        <x:v>Prévoir attente, orientation et réaction au contexte ; conserver les repères décrits dans la silhouette pendant les changements de direction. Les mouvements sont des créations du fan game.</x:v>
      </x:c>
      <x:c r="K38" s="7" t="str">
        <x:v>Créer des bruitages et ambiances originaux adaptés au livrable ; sous-titrer les indices utiles et proposer un réglage indépendant des effets. Aucune extraction audio demandée.</x:v>
      </x:c>
      <x:c r="L38" s="7" t="str">
        <x:v>Prévu : fiche de données me2/npcs/gerrel ; rattacher les ressources et états cités à cet identifiant. Aucun fichier de jeu créé par ce catalogue.</x:v>
      </x:c>
      <x:c r="M38" s="7" t="str"/>
      <x:c r="N38" s="7" t="str">
        <x:v>Le livrable « Han’Gerrel » possède une scène ou un scénario de contrôle ; ses règles proposées, ses conditions et ses retours visuels sont vérifiables séparément.</x:v>
      </x:c>
      <x:c r="O38" s="7" t="str"/>
      <x:c r="P38" s="7" t="str">
        <x:v>Han’Gerrel</x:v>
      </x:c>
      <x:c r="Q38" s="7" t="str">
        <x:v>ME2-SRC-TREASON</x:v>
      </x:c>
      <x:c r="R38" s="21" t="str">
        <x:v>https://masseffect.fandom.com/wiki/Tali%3A_Treason</x:v>
      </x:c>
      <x:c r="S38" s="21" t="str">
        <x:v>Spécification à réaliser. Les champs adaptation, gameplay, visual, animation, audio et implementation décrivent le fan game ; ils ne donnent pas des caractéristiques officielles de l’œuvre.</x:v>
      </x:c>
    </x:row>
    <x:row r="39" ht="68" customHeight="1">
      <x:c r="A39" s="18" t="str">
        <x:v>ME2-NPC-XEN</x:v>
      </x:c>
      <x:c r="B39" s="9" t="str">
        <x:v>Daro’Xen</x:v>
      </x:c>
      <x:c r="C39" s="15" t="str">
        <x:v>Défini</x:v>
      </x:c>
      <x:c r="D39" s="16" t="str">
        <x:v>Établi</x:v>
      </x:c>
      <x:c r="E39" s="16" t="str">
        <x:v>P1</x:v>
      </x:c>
      <x:c r="F39" s="9" t="str">
        <x:v>Amirale du procès de Tali.</x:v>
      </x:c>
      <x:c r="G39" s="9" t="str">
        <x:v>Perspective technologique ; questionner les preuves geth avec un volet de codex séparé.</x:v>
      </x:c>
      <x:c r="H39" s="9" t="str">
        <x:v>Perspective technologique ; questionner les preuves geth avec un volet de codex séparé.</x:v>
      </x:c>
      <x:c r="I39" s="9" t="str">
        <x:v>Capuche claire et gestes d’analyse.</x:v>
      </x:c>
      <x:c r="J39" s="9" t="str">
        <x:v>Prévoir attente, orientation et réaction au contexte ; conserver les repères décrits dans la silhouette pendant les changements de direction. Les mouvements sont des créations du fan game.</x:v>
      </x:c>
      <x:c r="K39" s="9" t="str">
        <x:v>Créer des bruitages et ambiances originaux adaptés au livrable ; sous-titrer les indices utiles et proposer un réglage indépendant des effets. Aucune extraction audio demandée.</x:v>
      </x:c>
      <x:c r="L39" s="9" t="str">
        <x:v>Prévu : fiche de données me2/npcs/xen ; rattacher les ressources et états cités à cet identifiant. Aucun fichier de jeu créé par ce catalogue.</x:v>
      </x:c>
      <x:c r="M39" s="9" t="str"/>
      <x:c r="N39" s="9" t="str">
        <x:v>Le livrable « Daro’Xen » possède une scène ou un scénario de contrôle ; ses règles proposées, ses conditions et ses retours visuels sont vérifiables séparément.</x:v>
      </x:c>
      <x:c r="O39" s="9" t="str"/>
      <x:c r="P39" s="9" t="str">
        <x:v>Daro’Xen</x:v>
      </x:c>
      <x:c r="Q39" s="9" t="str">
        <x:v>ME2-SRC-TREASON</x:v>
      </x:c>
      <x:c r="R39" s="20" t="str">
        <x:v>https://masseffect.fandom.com/wiki/Tali%3A_Treason</x:v>
      </x:c>
      <x:c r="S39" s="20" t="str">
        <x:v>Spécification à réaliser. Les champs adaptation, gameplay, visual, animation, audio et implementation décrivent le fan game ; ils ne donnent pas des caractéristiques officielles de l’œuvre.</x:v>
      </x:c>
    </x:row>
    <x:row r="40" ht="68" customHeight="1">
      <x:c r="A40" s="19" t="str">
        <x:v>ME2-NPC-HOCK</x:v>
      </x:c>
      <x:c r="B40" s="7" t="str">
        <x:v>Donovan Hock</x:v>
      </x:c>
      <x:c r="C40" s="15" t="str">
        <x:v>Défini</x:v>
      </x:c>
      <x:c r="D40" s="17" t="str">
        <x:v>Établi</x:v>
      </x:c>
      <x:c r="E40" s="17" t="str">
        <x:v>P1</x:v>
      </x:c>
      <x:c r="F40" s="7" t="str">
        <x:v>Marchand d’armes visé par le cambriolage.</x:v>
      </x:c>
      <x:c r="G40" s="7" t="str">
        <x:v>Hôte social puis pilote de boss ; dissocier ses deux états dans le même identifiant narratif.</x:v>
      </x:c>
      <x:c r="H40" s="7" t="str">
        <x:v>Hôte social puis pilote de boss ; dissocier ses deux états dans le même identifiant narratif.</x:v>
      </x:c>
      <x:c r="I40" s="7" t="str">
        <x:v>Costume luxueux, manoir et aéronef.</x:v>
      </x:c>
      <x:c r="J40" s="7" t="str">
        <x:v>Prévoir attente, orientation et réaction au contexte ; conserver les repères décrits dans la silhouette pendant les changements de direction. Les mouvements sont des créations du fan game.</x:v>
      </x:c>
      <x:c r="K40" s="7" t="str">
        <x:v>Créer des bruitages et ambiances originaux adaptés au livrable ; sous-titrer les indices utiles et proposer un réglage indépendant des effets. Aucune extraction audio demandée.</x:v>
      </x:c>
      <x:c r="L40" s="7" t="str">
        <x:v>Prévu : fiche de données me2/npcs/hock ; rattacher les ressources et états cités à cet identifiant. Aucun fichier de jeu créé par ce catalogue.</x:v>
      </x:c>
      <x:c r="M40" s="7" t="str"/>
      <x:c r="N40" s="7" t="str">
        <x:v>Le livrable « Donovan Hock » possède une scène ou un scénario de contrôle ; ses règles proposées, ses conditions et ses retours visuels sont vérifiables séparément.</x:v>
      </x:c>
      <x:c r="O40" s="7" t="str"/>
      <x:c r="P40" s="7" t="str">
        <x:v>Donovan Hock</x:v>
      </x:c>
      <x:c r="Q40" s="7" t="str">
        <x:v>ME2-SRC-KASUMI</x:v>
      </x:c>
      <x:c r="R40" s="21" t="str">
        <x:v>https://masseffect.fandom.com/wiki/Kasumi%3A_Stealing_Memory</x:v>
      </x:c>
      <x:c r="S40" s="21" t="str">
        <x:v>Spécification à réaliser. Les champs adaptation, gameplay, visual, animation, audio et implementation décrivent le fan game ; ils ne donnent pas des caractéristiques officielles de l’œuvre.</x:v>
      </x:c>
    </x:row>
    <x:row r="41" ht="68" customHeight="1">
      <x:c r="A41" s="18" t="str">
        <x:v>ME2-NPC-KEIJI</x:v>
      </x:c>
      <x:c r="B41" s="9" t="str">
        <x:v>Keiji Okuda — enregistrement</x:v>
      </x:c>
      <x:c r="C41" s="15" t="str">
        <x:v>Défini</x:v>
      </x:c>
      <x:c r="D41" s="16" t="str">
        <x:v>Établi</x:v>
      </x:c>
      <x:c r="E41" s="16" t="str">
        <x:v>P1</x:v>
      </x:c>
      <x:c r="F41" s="9" t="str">
        <x:v>Partenaire disparu de Kasumi.</x:v>
      </x:c>
      <x:c r="G41" s="9" t="str">
        <x:v>Fragment mémoriel consultable avant le choix du graybox ; éviter toute réplique source longue.</x:v>
      </x:c>
      <x:c r="H41" s="9" t="str">
        <x:v>Fragment mémoriel consultable avant le choix du graybox ; éviter toute réplique source longue.</x:v>
      </x:c>
      <x:c r="I41" s="9" t="str">
        <x:v>Projection intime, données et portrait stylisés.</x:v>
      </x:c>
      <x:c r="J41" s="9" t="str">
        <x:v>Prévoir attente, orientation et réaction au contexte ; conserver les repères décrits dans la silhouette pendant les changements de direction. Les mouvements sont des créations du fan game.</x:v>
      </x:c>
      <x:c r="K41" s="9" t="str">
        <x:v>Créer des bruitages et ambiances originaux adaptés au livrable ; sous-titrer les indices utiles et proposer un réglage indépendant des effets. Aucune extraction audio demandée.</x:v>
      </x:c>
      <x:c r="L41" s="9" t="str">
        <x:v>Prévu : fiche de données me2/npcs/keiji ; rattacher les ressources et états cités à cet identifiant. Aucun fichier de jeu créé par ce catalogue.</x:v>
      </x:c>
      <x:c r="M41" s="9" t="str"/>
      <x:c r="N41" s="9" t="str">
        <x:v>Le livrable « Keiji Okuda — enregistrement » possède une scène ou un scénario de contrôle ; ses règles proposées, ses conditions et ses retours visuels sont vérifiables séparément.</x:v>
      </x:c>
      <x:c r="O41" s="9" t="str"/>
      <x:c r="P41" s="9" t="str">
        <x:v>Keiji Okuda — enregistrement</x:v>
      </x:c>
      <x:c r="Q41" s="9" t="str">
        <x:v>ME2-SRC-KASUMI</x:v>
      </x:c>
      <x:c r="R41" s="20" t="str">
        <x:v>https://masseffect.fandom.com/wiki/Kasumi%3A_Stealing_Memory</x:v>
      </x:c>
      <x:c r="S41" s="20" t="str">
        <x:v>Spécification à réaliser. Les champs adaptation, gameplay, visual, animation, audio et implementation décrivent le fan game ; ils ne donnent pas des caractéristiques officielles de l’œuvre.</x:v>
      </x:c>
    </x:row>
    <x:row r="42" ht="68" customHeight="1">
      <x:c r="A42" s="19" t="str">
        <x:v>ME2-NPC-GAVIN</x:v>
      </x:c>
      <x:c r="B42" s="7" t="str">
        <x:v>Gavin Archer</x:v>
      </x:c>
      <x:c r="C42" s="15" t="str">
        <x:v>Défini</x:v>
      </x:c>
      <x:c r="D42" s="17" t="str">
        <x:v>Établi</x:v>
      </x:c>
      <x:c r="E42" s="17" t="str">
        <x:v>P1</x:v>
      </x:c>
      <x:c r="F42" s="7" t="str">
        <x:v>Responsable du projet Overlord.</x:v>
      </x:c>
      <x:c r="G42" s="7" t="str">
        <x:v>Guide distant puis confrontation finale ; montrer la responsabilité dans le récit sans jeu de score moral simpliste.</x:v>
      </x:c>
      <x:c r="H42" s="7" t="str">
        <x:v>Guide distant puis confrontation finale ; montrer la responsabilité dans le récit sans jeu de score moral simpliste.</x:v>
      </x:c>
      <x:c r="I42" s="7" t="str">
        <x:v>Blouse Cerberus, écrans de contrôle.</x:v>
      </x:c>
      <x:c r="J42" s="7" t="str">
        <x:v>Prévoir attente, orientation et réaction au contexte ; conserver les repères décrits dans la silhouette pendant les changements de direction. Les mouvements sont des créations du fan game.</x:v>
      </x:c>
      <x:c r="K42" s="7" t="str">
        <x:v>Créer des bruitages et ambiances originaux adaptés au livrable ; sous-titrer les indices utiles et proposer un réglage indépendant des effets. Aucune extraction audio demandée.</x:v>
      </x:c>
      <x:c r="L42" s="7" t="str">
        <x:v>Prévu : fiche de données me2/npcs/gavin ; rattacher les ressources et états cités à cet identifiant. Aucun fichier de jeu créé par ce catalogue.</x:v>
      </x:c>
      <x:c r="M42" s="7" t="str"/>
      <x:c r="N42" s="7" t="str">
        <x:v>Le livrable « Gavin Archer » possède une scène ou un scénario de contrôle ; ses règles proposées, ses conditions et ses retours visuels sont vérifiables séparément.</x:v>
      </x:c>
      <x:c r="O42" s="7" t="str"/>
      <x:c r="P42" s="7" t="str">
        <x:v>Gavin Archer</x:v>
      </x:c>
      <x:c r="Q42" s="7" t="str">
        <x:v>ME2-SRC-ATLAS</x:v>
      </x:c>
      <x:c r="R42" s="21" t="str">
        <x:v>https://masseffect.fandom.com/wiki/Atlas_Station</x:v>
      </x:c>
      <x:c r="S42" s="21" t="str">
        <x:v>Spécification à réaliser. Les champs adaptation, gameplay, visual, animation, audio et implementation décrivent le fan game ; ils ne donnent pas des caractéristiques officielles de l’œuvre.</x:v>
      </x:c>
    </x:row>
    <x:row r="43" ht="68" customHeight="1">
      <x:c r="A43" s="18" t="str">
        <x:v>ME2-NPC-DAVID</x:v>
      </x:c>
      <x:c r="B43" s="9" t="str">
        <x:v>David Archer</x:v>
      </x:c>
      <x:c r="C43" s="15" t="str">
        <x:v>Défini</x:v>
      </x:c>
      <x:c r="D43" s="16" t="str">
        <x:v>Établi</x:v>
      </x:c>
      <x:c r="E43" s="16" t="str">
        <x:v>P1</x:v>
      </x:c>
      <x:c r="F43" s="9" t="str">
        <x:v>Relié de force au dispositif Overlord.</x:v>
      </x:c>
      <x:c r="G43" s="9" t="str">
        <x:v>Scène sensible centrée sur la libération et la personne ; pas de collectible ni récompense attachés à la souffrance.</x:v>
      </x:c>
      <x:c r="H43" s="9" t="str">
        <x:v>Scène sensible centrée sur la libération et la personne ; pas de collectible ni récompense attachés à la souffrance.</x:v>
      </x:c>
      <x:c r="I43" s="9" t="str">
        <x:v>Dispositif technique traité par cadrage sobre, visage et mains prioritaires.</x:v>
      </x:c>
      <x:c r="J43" s="9" t="str">
        <x:v>Prévoir attente, orientation et réaction au contexte ; conserver les repères décrits dans la silhouette pendant les changements de direction. Les mouvements sont des créations du fan game.</x:v>
      </x:c>
      <x:c r="K43" s="9" t="str">
        <x:v>Créer des bruitages et ambiances originaux adaptés au livrable ; sous-titrer les indices utiles et proposer un réglage indépendant des effets. Aucune extraction audio demandée.</x:v>
      </x:c>
      <x:c r="L43" s="9" t="str">
        <x:v>Prévu : fiche de données me2/npcs/david ; rattacher les ressources et états cités à cet identifiant. Aucun fichier de jeu créé par ce catalogue.</x:v>
      </x:c>
      <x:c r="M43" s="9" t="str"/>
      <x:c r="N43" s="9" t="str">
        <x:v>Le livrable « David Archer » possède une scène ou un scénario de contrôle ; ses règles proposées, ses conditions et ses retours visuels sont vérifiables séparément.</x:v>
      </x:c>
      <x:c r="O43" s="9" t="str"/>
      <x:c r="P43" s="9" t="str">
        <x:v>David Archer</x:v>
      </x:c>
      <x:c r="Q43" s="9" t="str">
        <x:v>ME2-SRC-ATLAS</x:v>
      </x:c>
      <x:c r="R43" s="20" t="str">
        <x:v>https://masseffect.fandom.com/wiki/Atlas_Station</x:v>
      </x:c>
      <x:c r="S43" s="20" t="str">
        <x:v>Spécification à réaliser. Les champs adaptation, gameplay, visual, animation, audio et implementation décrivent le fan game ; ils ne donnent pas des caractéristiques officielles de l’œuvre.</x:v>
      </x:c>
    </x:row>
    <x:row r="44" ht="68" customHeight="1">
      <x:c r="A44" s="19" t="str">
        <x:v>ME2-NPC-FERON</x:v>
      </x:c>
      <x:c r="B44" s="7" t="str">
        <x:v>Feron</x:v>
      </x:c>
      <x:c r="C44" s="15" t="str">
        <x:v>Défini</x:v>
      </x:c>
      <x:c r="D44" s="17" t="str">
        <x:v>Établi</x:v>
      </x:c>
      <x:c r="E44" s="17" t="str">
        <x:v>P1</x:v>
      </x:c>
      <x:c r="F44" s="7" t="str">
        <x:v>Captif que Liara cherche à récupérer.</x:v>
      </x:c>
      <x:c r="G44" s="7" t="str">
        <x:v>Rencontre après le combat ; dépendance à la libération et au nouveau rôle de Liara.</x:v>
      </x:c>
      <x:c r="H44" s="7" t="str">
        <x:v>Rencontre après le combat ; dépendance à la libération et au nouveau rôle de Liara.</x:v>
      </x:c>
      <x:c r="I44" s="7" t="str">
        <x:v>Drell marqué par la captivité, tenue sombre.</x:v>
      </x:c>
      <x:c r="J44" s="7" t="str">
        <x:v>Prévoir attente, orientation et réaction au contexte ; conserver les repères décrits dans la silhouette pendant les changements de direction. Les mouvements sont des créations du fan game.</x:v>
      </x:c>
      <x:c r="K44" s="7" t="str">
        <x:v>Créer des bruitages et ambiances originaux adaptés au livrable ; sous-titrer les indices utiles et proposer un réglage indépendant des effets. Aucune extraction audio demandée.</x:v>
      </x:c>
      <x:c r="L44" s="7" t="str">
        <x:v>Prévu : fiche de données me2/npcs/feron ; rattacher les ressources et états cités à cet identifiant. Aucun fichier de jeu créé par ce catalogue.</x:v>
      </x:c>
      <x:c r="M44" s="7" t="str"/>
      <x:c r="N44" s="7" t="str">
        <x:v>Le livrable « Feron » possède une scène ou un scénario de contrôle ; ses règles proposées, ses conditions et ses retours visuels sont vérifiables séparément.</x:v>
      </x:c>
      <x:c r="O44" s="7" t="str"/>
      <x:c r="P44" s="7" t="str">
        <x:v>Feron</x:v>
      </x:c>
      <x:c r="Q44" s="7" t="str">
        <x:v>ME2-SRC-EA-SHADOW, ME2-SRC-SHADOW</x:v>
      </x:c>
      <x:c r="R44" s="21" t="str">
        <x:v>https://news.ea.com/press-releases/press-releases-details/2010/The-Battles-Rage-On-in-New-Downloadable-Content-for-BioWares-Dragon-Age-Origins-and-Mass-Effect-2/default.aspx
https://masseffect.fandom.com/wiki/Lair_of_the_Shadow_Broker_%28mission%29</x:v>
      </x:c>
      <x:c r="S44" s="21" t="str">
        <x:v>Spécification à réaliser. Les champs adaptation, gameplay, visual, animation, audio et implementation décrivent le fan game ; ils ne donnent pas des caractéristiques officielles de l’œuvre.</x:v>
      </x:c>
    </x:row>
    <x:row r="45" ht="68" customHeight="1">
      <x:c r="A45" s="18" t="str">
        <x:v>ME2-NPC-VASIR</x:v>
      </x:c>
      <x:c r="B45" s="9" t="str">
        <x:v>Tela Vasir</x:v>
      </x:c>
      <x:c r="C45" s="15" t="str">
        <x:v>Défini</x:v>
      </x:c>
      <x:c r="D45" s="16" t="str">
        <x:v>Établi</x:v>
      </x:c>
      <x:c r="E45" s="16" t="str">
        <x:v>P1</x:v>
      </x:c>
      <x:c r="F45" s="9" t="str">
        <x:v>Spectre adverse dans Shadow Broker.</x:v>
      </x:c>
      <x:c r="G45" s="9" t="str">
        <x:v>Enquêtrice puis duel biotique ; son statut ne protège pas artificiellement des choix d’enquête.</x:v>
      </x:c>
      <x:c r="H45" s="9" t="str">
        <x:v>Enquêtrice puis duel biotique ; son statut ne protège pas artificiellement des choix d’enquête.</x:v>
      </x:c>
      <x:c r="I45" s="9" t="str">
        <x:v>Asari en armure bleue claire, posture de charge.</x:v>
      </x:c>
      <x:c r="J45" s="9" t="str">
        <x:v>Prévoir attente, orientation et réaction au contexte ; conserver les repères décrits dans la silhouette pendant les changements de direction. Les mouvements sont des créations du fan game.</x:v>
      </x:c>
      <x:c r="K45" s="9" t="str">
        <x:v>Créer des bruitages et ambiances originaux adaptés au livrable ; sous-titrer les indices utiles et proposer un réglage indépendant des effets. Aucune extraction audio demandée.</x:v>
      </x:c>
      <x:c r="L45" s="9" t="str">
        <x:v>Prévu : fiche de données me2/npcs/vasir ; rattacher les ressources et états cités à cet identifiant. Aucun fichier de jeu créé par ce catalogue.</x:v>
      </x:c>
      <x:c r="M45" s="9" t="str"/>
      <x:c r="N45" s="9" t="str">
        <x:v>Le livrable « Tela Vasir » possède une scène ou un scénario de contrôle ; ses règles proposées, ses conditions et ses retours visuels sont vérifiables séparément.</x:v>
      </x:c>
      <x:c r="O45" s="9" t="str"/>
      <x:c r="P45" s="9" t="str">
        <x:v>Tela Vasir</x:v>
      </x:c>
      <x:c r="Q45" s="9" t="str">
        <x:v>ME2-SRC-SHADOW</x:v>
      </x:c>
      <x:c r="R45" s="20" t="str">
        <x:v>https://masseffect.fandom.com/wiki/Lair_of_the_Shadow_Broker_%28mission%29</x:v>
      </x:c>
      <x:c r="S45" s="20" t="str">
        <x:v>Spécification à réaliser. Les champs adaptation, gameplay, visual, animation, audio et implementation décrivent le fan game ; ils ne donnent pas des caractéristiques officielles de l’œuvre.</x:v>
      </x:c>
    </x:row>
    <x:row r="46" ht="68" customHeight="1">
      <x:c r="A46" s="19" t="str">
        <x:v>ME2-NPC-HACKETT</x:v>
      </x:c>
      <x:c r="B46" s="7" t="str">
        <x:v>Amiral Hackett</x:v>
      </x:c>
      <x:c r="C46" s="15" t="str">
        <x:v>Défini</x:v>
      </x:c>
      <x:c r="D46" s="17" t="str">
        <x:v>Établi</x:v>
      </x:c>
      <x:c r="E46" s="17" t="str">
        <x:v>P1</x:v>
      </x:c>
      <x:c r="F46" s="7" t="str">
        <x:v>Confie Arrival à Shepard.</x:v>
      </x:c>
      <x:c r="G46" s="7" t="str">
        <x:v>Briefing d’une mission solo et débriefing de conséquence ; séparer urgence narrative et choix jouable.</x:v>
      </x:c>
      <x:c r="H46" s="7" t="str">
        <x:v>Briefing d’une mission solo et débriefing de conséquence ; séparer urgence narrative et choix jouable.</x:v>
      </x:c>
      <x:c r="I46" s="7" t="str">
        <x:v>Hologramme Alliance et tenue d’officier.</x:v>
      </x:c>
      <x:c r="J46" s="7" t="str">
        <x:v>Prévoir attente, orientation et réaction au contexte ; conserver les repères décrits dans la silhouette pendant les changements de direction. Les mouvements sont des créations du fan game.</x:v>
      </x:c>
      <x:c r="K46" s="7" t="str">
        <x:v>Créer des bruitages et ambiances originaux adaptés au livrable ; sous-titrer les indices utiles et proposer un réglage indépendant des effets. Aucune extraction audio demandée.</x:v>
      </x:c>
      <x:c r="L46" s="7" t="str">
        <x:v>Prévu : fiche de données me2/npcs/hackett ; rattacher les ressources et états cités à cet identifiant. Aucun fichier de jeu créé par ce catalogue.</x:v>
      </x:c>
      <x:c r="M46" s="7" t="str"/>
      <x:c r="N46" s="7" t="str">
        <x:v>Le livrable « Amiral Hackett » possède une scène ou un scénario de contrôle ; ses règles proposées, ses conditions et ses retours visuels sont vérifiables séparément.</x:v>
      </x:c>
      <x:c r="O46" s="7" t="str"/>
      <x:c r="P46" s="7" t="str">
        <x:v>Amiral Hackett</x:v>
      </x:c>
      <x:c r="Q46" s="7" t="str">
        <x:v>ME2-SRC-ARRIVAL</x:v>
      </x:c>
      <x:c r="R46" s="21" t="str">
        <x:v>https://masseffect.fandom.com/wiki/Arrival_%28assignment%29</x:v>
      </x:c>
      <x:c r="S46" s="21" t="str">
        <x:v>Spécification à réaliser. Les champs adaptation, gameplay, visual, animation, audio et implementation décrivent le fan game ; ils ne donnent pas des caractéristiques officielles de l’œuvre.</x:v>
      </x:c>
    </x:row>
  </x:sheetData>
  <x:conditionalFormatting sqref="D7:D46">
    <x:cfRule type="cellIs" dxfId="4" priority="1" operator="equal">
      <x:formula>"À vérifier"</x:formula>
    </x:cfRule>
    <x:cfRule type="cellIs" dxfId="5" priority="2" operator="equal">
      <x:formula>"Extrapolation"</x:formula>
    </x:cfRule>
  </x:conditionalFormatting>
  <x:conditionalFormatting sqref="C7:C46">
    <x:cfRule type="cellIs" dxfId="6" priority="3" operator="equal">
      <x:formula>"Validé"</x:formula>
    </x:cfRule>
  </x:conditionalFormatting>
  <x:conditionalFormatting sqref="E7:E46">
    <x:cfRule type="cellIs" dxfId="7" priority="4" operator="equal">
      <x:formula>"P0"</x:formula>
    </x:cfRule>
  </x:conditionalFormatting>
  <x:dataValidations count="3">
    <x:dataValidation type="list" sqref="C7:C46">
      <x:formula1>"Défini,Prototype,Intégré,Validé"</x:formula1>
    </x:dataValidation>
    <x:dataValidation type="list" sqref="D7:D46">
      <x:formula1>"Établi,À vérifier,Extrapolation,Coupé attesté,Concept abandonné,Allégation écartée"</x:formula1>
    </x:dataValidation>
    <x:dataValidation type="list" sqref="E7:E46">
      <x:formula1>"P0,P1,P2"</x:formula1>
    </x:dataValidation>
  </x:dataValidations>
  <x:pageMargins left="0.7" right="0.7" top="0.75" bottom="0.75" header="0.3" footer="0.3"/>
  <x:tableParts count="1">
    <x:tablePart xmlns:r="http://schemas.openxmlformats.org/officeDocument/2006/relationships" r:id="R5900ce2533f544c3"/>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158"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Espèces et factions</x:v>
      </x:c>
      <x:c r="B2" s="2"/>
      <x:c r="C2" s="2"/>
      <x:c r="D2" s="2"/>
      <x:c r="E2" s="2"/>
      <x:c r="F2" s="2"/>
      <x:c r="G2" s="2"/>
      <x:c r="H2" s="2"/>
      <x:c r="I2" s="2"/>
      <x:c r="J2" s="2"/>
      <x:c r="K2" s="2"/>
      <x:c r="L2" s="2"/>
      <x:c r="M2" s="2"/>
      <x:c r="N2" s="2"/>
      <x:c r="O2" s="2"/>
      <x:c r="P2" s="2"/>
      <x:c r="Q2" s="2"/>
      <x:c r="R2" s="2"/>
      <x:c r="S2" s="2"/>
    </x:row>
    <x:row r="3" ht="22" customHeight="1">
      <x:c r="A3" s="4" t="str">
        <x:v>Mass Effect 2 — Espèces, organisations et règles culturelles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ME2-LOR-CERBERUS</x:v>
      </x:c>
      <x:c r="B7" s="9" t="str">
        <x:v>Cerberus et alliance circonstancielle</x:v>
      </x:c>
      <x:c r="C7" s="15" t="str">
        <x:v>Défini</x:v>
      </x:c>
      <x:c r="D7" s="16" t="str">
        <x:v>Établi</x:v>
      </x:c>
      <x:c r="E7" s="16" t="str">
        <x:v>P1</x:v>
      </x:c>
      <x:c r="F7" s="9" t="str">
        <x:v>Cerberus finance la mission de Shepard.</x:v>
      </x:c>
      <x:c r="G7" s="9" t="str">
        <x:v>Glossaire à deux colonnes : objectif affiché et informations obtenues ; ne jamais confondre allégeance jouée et approbation.</x:v>
      </x:c>
      <x:c r="H7" s="9" t="str">
        <x:v>Glossaire à deux colonnes : objectif affiché et informations obtenues ; ne jamais confondre allégeance jouée et approbation.</x:v>
      </x:c>
      <x:c r="I7" s="9" t="str">
        <x:v>Logo Cerberus comme repère documentaire.</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me2/lore/cerberus ; rattacher les ressources et états cités à cet identifiant. Aucun fichier de jeu créé par ce catalogue.</x:v>
      </x:c>
      <x:c r="M7" s="9" t="str"/>
      <x:c r="N7" s="9" t="str">
        <x:v>Le livrable « Cerberus et alliance circonstancielle » possède une scène ou un scénario de contrôle ; ses règles proposées, ses conditions et ses retours visuels sont vérifiables séparément.</x:v>
      </x:c>
      <x:c r="O7" s="9" t="str"/>
      <x:c r="P7" s="9" t="str">
        <x:v>Cerberus et alliance circonstancielle</x:v>
      </x:c>
      <x:c r="Q7" s="9" t="str">
        <x:v>ME2-SRC-STORY</x:v>
      </x:c>
      <x:c r="R7" s="20" t="str">
        <x:v>https://masseffect.fandom.com/wiki/Storyline_II</x:v>
      </x:c>
      <x:c r="S7" s="20" t="str">
        <x:v>Spécification à réaliser. Les champs adaptation, gameplay, visual, animation, audio et implementation décrivent le fan game ; ils ne donnent pas des caractéristiques officielles de l’œuvre.</x:v>
      </x:c>
    </x:row>
    <x:row r="8" ht="68" customHeight="1">
      <x:c r="A8" s="19" t="str">
        <x:v>ME2-LOR-LAZARUS</x:v>
      </x:c>
      <x:c r="B8" s="7" t="str">
        <x:v>Projet Lazarus</x:v>
      </x:c>
      <x:c r="C8" s="15" t="str">
        <x:v>Défini</x:v>
      </x:c>
      <x:c r="D8" s="17" t="str">
        <x:v>Établi</x:v>
      </x:c>
      <x:c r="E8" s="17" t="str">
        <x:v>P1</x:v>
      </x:c>
      <x:c r="F8" s="7" t="str">
        <x:v>Le retour de Shepard ouvre ME2.</x:v>
      </x:c>
      <x:c r="G8" s="7" t="str">
        <x:v>Frise courte du réveil avec zones d’incertitude ; ne pas déduire une immortalité jouable.</x:v>
      </x:c>
      <x:c r="H8" s="7" t="str">
        <x:v>Frise courte du réveil avec zones d’incertitude ; ne pas déduire une immortalité jouable.</x:v>
      </x:c>
      <x:c r="I8" s="7" t="str">
        <x:v>Silhouette médicale et protocole de reconstruction.</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me2/lore/lazarus ; rattacher les ressources et états cités à cet identifiant. Aucun fichier de jeu créé par ce catalogue.</x:v>
      </x:c>
      <x:c r="M8" s="7" t="str"/>
      <x:c r="N8" s="7" t="str">
        <x:v>Le livrable « Projet Lazarus » possède une scène ou un scénario de contrôle ; ses règles proposées, ses conditions et ses retours visuels sont vérifiables séparément.</x:v>
      </x:c>
      <x:c r="O8" s="7" t="str"/>
      <x:c r="P8" s="7" t="str">
        <x:v>Projet Lazarus</x:v>
      </x:c>
      <x:c r="Q8" s="7" t="str">
        <x:v>ME2-SRC-GUIDE</x:v>
      </x:c>
      <x:c r="R8" s="21" t="str">
        <x:v>https://masseffect.fandom.com/wiki/Mass_Effect_2_Guide</x:v>
      </x:c>
      <x:c r="S8" s="21" t="str">
        <x:v>Spécification à réaliser. Les champs adaptation, gameplay, visual, animation, audio et implementation décrivent le fan game ; ils ne donnent pas des caractéristiques officielles de l’œuvre.</x:v>
      </x:c>
    </x:row>
    <x:row r="9" ht="68" customHeight="1">
      <x:c r="A9" s="18" t="str">
        <x:v>ME2-LOR-COLLECTORS</x:v>
      </x:c>
      <x:c r="B9" s="9" t="str">
        <x:v>Collecteurs</x:v>
      </x:c>
      <x:c r="C9" s="15" t="str">
        <x:v>Défini</x:v>
      </x:c>
      <x:c r="D9" s="16" t="str">
        <x:v>Établi</x:v>
      </x:c>
      <x:c r="E9" s="16" t="str">
        <x:v>P1</x:v>
      </x:c>
      <x:c r="F9" s="9" t="str">
        <x:v>Ils enlèvent des colonies humaines.</x:v>
      </x:c>
      <x:c r="G9" s="9" t="str">
        <x:v>Bestiaire et dossier d’enquête progressifs ; informations avancées masquées avant révélation.</x:v>
      </x:c>
      <x:c r="H9" s="9" t="str">
        <x:v>Bestiaire et dossier d’enquête progressifs ; informations avancées masquées avant révélation.</x:v>
      </x:c>
      <x:c r="I9" s="9" t="str">
        <x:v>Chitine, essaims et technologie organique.</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me2/lore/collectors ; rattacher les ressources et états cités à cet identifiant. Aucun fichier de jeu créé par ce catalogue.</x:v>
      </x:c>
      <x:c r="M9" s="9" t="str"/>
      <x:c r="N9" s="9" t="str">
        <x:v>Le livrable « Collecteurs » possède une scène ou un scénario de contrôle ; ses règles proposées, ses conditions et ses retours visuels sont vérifiables séparément.</x:v>
      </x:c>
      <x:c r="O9" s="9" t="str"/>
      <x:c r="P9" s="9" t="str">
        <x:v>Collecteurs</x:v>
      </x:c>
      <x:c r="Q9" s="9" t="str">
        <x:v>ME2-SRC-COLLECTOR</x:v>
      </x:c>
      <x:c r="R9" s="20" t="str">
        <x:v>https://masseffect.fandom.com/wiki/Collector</x:v>
      </x:c>
      <x:c r="S9" s="20" t="str">
        <x:v>Spécification à réaliser. Les champs adaptation, gameplay, visual, animation, audio et implementation décrivent le fan game ; ils ne donnent pas des caractéristiques officielles de l’œuvre.</x:v>
      </x:c>
    </x:row>
    <x:row r="10" ht="68" customHeight="1">
      <x:c r="A10" s="19" t="str">
        <x:v>ME2-LOR-COLLECTOR-ORIGIN</x:v>
      </x:c>
      <x:c r="B10" s="7" t="str">
        <x:v>Origine des Collecteurs</x:v>
      </x:c>
      <x:c r="C10" s="15" t="str">
        <x:v>Défini</x:v>
      </x:c>
      <x:c r="D10" s="17" t="str">
        <x:v>Établi</x:v>
      </x:c>
      <x:c r="E10" s="17" t="str">
        <x:v>P1</x:v>
      </x:c>
      <x:c r="F10" s="7" t="str">
        <x:v>La campagne révèle leur lien prothéen.</x:v>
      </x:c>
      <x:c r="G10" s="7" t="str">
        <x:v>Entrée de codex débloquée par le vaisseau ; conserver l’ordre de révélation.</x:v>
      </x:c>
      <x:c r="H10" s="7" t="str">
        <x:v>Entrée de codex débloquée par le vaisseau ; conserver l’ordre de révélation.</x:v>
      </x:c>
      <x:c r="I10" s="7" t="str">
        <x:v>Schéma symbolique d’altération, sans anatomie inventée.</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me2/lore/collector-origin ; rattacher les ressources et états cités à cet identifiant. Aucun fichier de jeu créé par ce catalogue.</x:v>
      </x:c>
      <x:c r="M10" s="7" t="str"/>
      <x:c r="N10" s="7" t="str">
        <x:v>Le livrable « Origine des Collecteurs » possède une scène ou un scénario de contrôle ; ses règles proposées, ses conditions et ses retours visuels sont vérifiables séparément.</x:v>
      </x:c>
      <x:c r="O10" s="7" t="str"/>
      <x:c r="P10" s="7" t="str">
        <x:v>Origine des Collecteurs</x:v>
      </x:c>
      <x:c r="Q10" s="7" t="str">
        <x:v>ME2-SRC-SHIP</x:v>
      </x:c>
      <x:c r="R10" s="21" t="str">
        <x:v>https://masseffect.fandom.com/wiki/Collector_Ship_%28mission%29</x:v>
      </x:c>
      <x:c r="S10" s="21" t="str">
        <x:v>Spécification à réaliser. Les champs adaptation, gameplay, visual, animation, audio et implementation décrivent le fan game ; ils ne donnent pas des caractéristiques officielles de l’œuvre.</x:v>
      </x:c>
    </x:row>
    <x:row r="11" ht="68" customHeight="1">
      <x:c r="A11" s="18" t="str">
        <x:v>ME2-LOR-HARBINGER</x:v>
      </x:c>
      <x:c r="B11" s="9" t="str">
        <x:v>Harbinger et possession</x:v>
      </x:c>
      <x:c r="C11" s="15" t="str">
        <x:v>Défini</x:v>
      </x:c>
      <x:c r="D11" s="16" t="str">
        <x:v>Établi</x:v>
      </x:c>
      <x:c r="E11" s="16" t="str">
        <x:v>P1</x:v>
      </x:c>
      <x:c r="F11" s="9" t="str">
        <x:v>Harbinger agit par des Collecteurs.</x:v>
      </x:c>
      <x:c r="G11" s="9" t="str">
        <x:v>Décrire rôle de contrôle dans le codex ; adaptation par transfert de priorité ennemie.</x:v>
      </x:c>
      <x:c r="H11" s="9" t="str">
        <x:v>Décrire rôle de contrôle dans le codex ; adaptation par transfert de priorité ennemie.</x:v>
      </x:c>
      <x:c r="I11" s="9" t="str">
        <x:v>Halo orange sur l’hôte et faisceau de liaison.</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me2/lore/harbinger ; rattacher les ressources et états cités à cet identifiant. Aucun fichier de jeu créé par ce catalogue.</x:v>
      </x:c>
      <x:c r="M11" s="9" t="str"/>
      <x:c r="N11" s="9" t="str">
        <x:v>Le livrable « Harbinger et possession » possède une scène ou un scénario de contrôle ; ses règles proposées, ses conditions et ses retours visuels sont vérifiables séparément.</x:v>
      </x:c>
      <x:c r="O11" s="9" t="str"/>
      <x:c r="P11" s="9" t="str">
        <x:v>Harbinger et possession</x:v>
      </x:c>
      <x:c r="Q11" s="9" t="str">
        <x:v>ME2-SRC-COLLECTOR</x:v>
      </x:c>
      <x:c r="R11" s="20" t="str">
        <x:v>https://masseffect.fandom.com/wiki/Collector</x:v>
      </x:c>
      <x:c r="S11" s="20" t="str">
        <x:v>Spécification à réaliser. Les champs adaptation, gameplay, visual, animation, audio et implementation décrivent le fan game ; ils ne donnent pas des caractéristiques officielles de l’œuvre.</x:v>
      </x:c>
    </x:row>
    <x:row r="12" ht="68" customHeight="1">
      <x:c r="A12" s="19" t="str">
        <x:v>ME2-LOR-SEEKERS</x:v>
      </x:c>
      <x:c r="B12" s="7" t="str">
        <x:v>Essaims de Seeker</x:v>
      </x:c>
      <x:c r="C12" s="15" t="str">
        <x:v>Défini</x:v>
      </x:c>
      <x:c r="D12" s="17" t="str">
        <x:v>Établi</x:v>
      </x:c>
      <x:c r="E12" s="17" t="str">
        <x:v>P1</x:v>
      </x:c>
      <x:c r="F12" s="7" t="str">
        <x:v>Les essaims participent aux enlèvements.</x:v>
      </x:c>
      <x:c r="G12" s="7" t="str">
        <x:v>Jauge de menace de zone liée au dispositif de protection ; ne pas donner d’origine précise non sourcée.</x:v>
      </x:c>
      <x:c r="H12" s="7" t="str">
        <x:v>Jauge de menace de zone liée au dispositif de protection ; ne pas donner d’origine précise non sourcée.</x:v>
      </x:c>
      <x:c r="I12" s="7" t="str">
        <x:v>Nuage d’insectes à contour animé.</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me2/lore/seekers ; rattacher les ressources et états cités à cet identifiant. Aucun fichier de jeu créé par ce catalogue.</x:v>
      </x:c>
      <x:c r="M12" s="7" t="str"/>
      <x:c r="N12" s="7" t="str">
        <x:v>Le livrable « Essaims de Seeker » possède une scène ou un scénario de contrôle ; ses règles proposées, ses conditions et ses retours visuels sont vérifiables séparément.</x:v>
      </x:c>
      <x:c r="O12" s="7" t="str"/>
      <x:c r="P12" s="7" t="str">
        <x:v>Essaims de Seeker</x:v>
      </x:c>
      <x:c r="Q12" s="7" t="str">
        <x:v>ME2-SRC-WALK</x:v>
      </x:c>
      <x:c r="R12" s="21" t="str">
        <x:v>https://masseffect.fandom.com/wiki/Collector_Base%3A_The_Long_Walk</x:v>
      </x:c>
      <x:c r="S12" s="21" t="str">
        <x:v>Spécification à réaliser. Les champs adaptation, gameplay, visual, animation, audio et implementation décrivent le fan game ; ils ne donnent pas des caractéristiques officielles de l’œuvre.</x:v>
      </x:c>
    </x:row>
    <x:row r="13" ht="68" customHeight="1">
      <x:c r="A13" s="18" t="str">
        <x:v>ME2-LOR-GENOPHAGE</x:v>
      </x:c>
      <x:c r="B13" s="9" t="str">
        <x:v>Génophage et recherche de Maelon</x:v>
      </x:c>
      <x:c r="C13" s="15" t="str">
        <x:v>Défini</x:v>
      </x:c>
      <x:c r="D13" s="16" t="str">
        <x:v>Établi</x:v>
      </x:c>
      <x:c r="E13" s="16" t="str">
        <x:v>P1</x:v>
      </x:c>
      <x:c r="F13" s="9" t="str">
        <x:v>La loyauté de Mordin interroge ces recherches.</x:v>
      </x:c>
      <x:c r="G13" s="9" t="str">
        <x:v>Codex avec témoignages séparés et état de données ; conserver les contradictions des interlocuteurs.</x:v>
      </x:c>
      <x:c r="H13" s="9" t="str">
        <x:v>Codex avec témoignages séparés et état de données ; conserver les contradictions des interlocuteurs.</x:v>
      </x:c>
      <x:c r="I13" s="9" t="str">
        <x:v>Documents médicaux et symboles krogan.</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me2/lore/genophage ; rattacher les ressources et états cités à cet identifiant. Aucun fichier de jeu créé par ce catalogue.</x:v>
      </x:c>
      <x:c r="M13" s="9" t="str"/>
      <x:c r="N13" s="9" t="str">
        <x:v>Le livrable « Génophage et recherche de Maelon » possède une scène ou un scénario de contrôle ; ses règles proposées, ses conditions et ses retours visuels sont vérifiables séparément.</x:v>
      </x:c>
      <x:c r="O13" s="9" t="str"/>
      <x:c r="P13" s="9" t="str">
        <x:v>Génophage et recherche de Maelon</x:v>
      </x:c>
      <x:c r="Q13" s="9" t="str">
        <x:v>ME2-SRC-MORDIN</x:v>
      </x:c>
      <x:c r="R13" s="20" t="str">
        <x:v>https://masseffect.fandom.com/wiki/Mordin%3A_Old_Blood</x:v>
      </x:c>
      <x:c r="S13" s="20" t="str">
        <x:v>Spécification à réaliser. Les champs adaptation, gameplay, visual, animation, audio et implementation décrivent le fan game ; ils ne donnent pas des caractéristiques officielles de l’œuvre.</x:v>
      </x:c>
    </x:row>
    <x:row r="14" ht="68" customHeight="1">
      <x:c r="A14" s="19" t="str">
        <x:v>ME2-LOR-JUSTICAR</x:v>
      </x:c>
      <x:c r="B14" s="7" t="str">
        <x:v>Code des Justicari</x:v>
      </x:c>
      <x:c r="C14" s="15" t="str">
        <x:v>Défini</x:v>
      </x:c>
      <x:c r="D14" s="17" t="str">
        <x:v>Établi</x:v>
      </x:c>
      <x:c r="E14" s="17" t="str">
        <x:v>P1</x:v>
      </x:c>
      <x:c r="F14" s="7" t="str">
        <x:v>Le code guide Samara.</x:v>
      </x:c>
      <x:c r="G14" s="7" t="str">
        <x:v>Contrainte narrative affichée dans son dossier ; ne pas convertir tout désaccord en hostilité automatique.</x:v>
      </x:c>
      <x:c r="H14" s="7" t="str">
        <x:v>Contrainte narrative affichée dans son dossier ; ne pas convertir tout désaccord en hostilité automatique.</x:v>
      </x:c>
      <x:c r="I14" s="7" t="str">
        <x:v>Tablette de serment et portrait de Samara.</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me2/lore/justicar ; rattacher les ressources et états cités à cet identifiant. Aucun fichier de jeu créé par ce catalogue.</x:v>
      </x:c>
      <x:c r="M14" s="7" t="str"/>
      <x:c r="N14" s="7" t="str">
        <x:v>Le livrable « Code des Justicari » possède une scène ou un scénario de contrôle ; ses règles proposées, ses conditions et ses retours visuels sont vérifiables séparément.</x:v>
      </x:c>
      <x:c r="O14" s="7" t="str"/>
      <x:c r="P14" s="7" t="str">
        <x:v>Code des Justicari</x:v>
      </x:c>
      <x:c r="Q14" s="7" t="str">
        <x:v>ME2-SRC-JUSTICAR</x:v>
      </x:c>
      <x:c r="R14" s="21" t="str">
        <x:v>https://masseffect.fandom.com/wiki/Dossier%3A_The_Justicar</x:v>
      </x:c>
      <x:c r="S14" s="21" t="str">
        <x:v>Spécification à réaliser. Les champs adaptation, gameplay, visual, animation, audio et implementation décrivent le fan game ; ils ne donnent pas des caractéristiques officielles de l’œuvre.</x:v>
      </x:c>
    </x:row>
    <x:row r="15" ht="68" customHeight="1">
      <x:c r="A15" s="18" t="str">
        <x:v>ME2-LOR-ARDAT</x:v>
      </x:c>
      <x:c r="B15" s="9" t="str">
        <x:v>Ardat-Yakshi et Morinth</x:v>
      </x:c>
      <x:c r="C15" s="15" t="str">
        <x:v>Défini</x:v>
      </x:c>
      <x:c r="D15" s="16" t="str">
        <x:v>Établi</x:v>
      </x:c>
      <x:c r="E15" s="16" t="str">
        <x:v>P1</x:v>
      </x:c>
      <x:c r="F15" s="9" t="str">
        <x:v>Morinth est l’Ardat-Yakshi recherchée.</x:v>
      </x:c>
      <x:c r="G15" s="9" t="str">
        <x:v>Entrée débloquée lors de l’enquête ; séparer condition biologique et responsabilité individuelle.</x:v>
      </x:c>
      <x:c r="H15" s="9" t="str">
        <x:v>Entrée débloquée lors de l’enquête ; séparer condition biologique et responsabilité individuelle.</x:v>
      </x:c>
      <x:c r="I15" s="9" t="str">
        <x:v>Dossier clinique sobre et arbre familial partiel.</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me2/lore/ardat ; rattacher les ressources et états cités à cet identifiant. Aucun fichier de jeu créé par ce catalogue.</x:v>
      </x:c>
      <x:c r="M15" s="9" t="str"/>
      <x:c r="N15" s="9" t="str">
        <x:v>Le livrable « Ardat-Yakshi et Morinth » possède une scène ou un scénario de contrôle ; ses règles proposées, ses conditions et ses retours visuels sont vérifiables séparément.</x:v>
      </x:c>
      <x:c r="O15" s="9" t="str"/>
      <x:c r="P15" s="9" t="str">
        <x:v>Ardat-Yakshi et Morinth</x:v>
      </x:c>
      <x:c r="Q15" s="9" t="str">
        <x:v>ME2-SRC-SAMARA</x:v>
      </x:c>
      <x:c r="R15" s="20" t="str">
        <x:v>https://masseffect.fandom.com/wiki/Samara%3A_The_Ardat-Yakshi</x:v>
      </x:c>
      <x:c r="S15" s="20" t="str">
        <x:v>Spécification à réaliser. Les champs adaptation, gameplay, visual, animation, audio et implementation décrivent le fan game ; ils ne donnent pas des caractéristiques officielles de l’œuvre.</x:v>
      </x:c>
    </x:row>
    <x:row r="16" ht="68" customHeight="1">
      <x:c r="A16" s="19" t="str">
        <x:v>ME2-LOR-HERETICS</x:v>
      </x:c>
      <x:c r="B16" s="7" t="str">
        <x:v>Geth hérétiques</x:v>
      </x:c>
      <x:c r="C16" s="15" t="str">
        <x:v>Défini</x:v>
      </x:c>
      <x:c r="D16" s="17" t="str">
        <x:v>Établi</x:v>
      </x:c>
      <x:c r="E16" s="17" t="str">
        <x:v>P1</x:v>
      </x:c>
      <x:c r="F16" s="7" t="str">
        <x:v>Legion décrit une divergence geth.</x:v>
      </x:c>
      <x:c r="G16" s="7" t="str">
        <x:v>Interface de décision présentant destruction et réécriture comme conséquences différentes.</x:v>
      </x:c>
      <x:c r="H16" s="7" t="str">
        <x:v>Interface de décision présentant destruction et réécriture comme conséquences différentes.</x:v>
      </x:c>
      <x:c r="I16" s="7" t="str">
        <x:v>Nœuds de réseau avec deux chemins.</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me2/lore/heretics ; rattacher les ressources et états cités à cet identifiant. Aucun fichier de jeu créé par ce catalogue.</x:v>
      </x:c>
      <x:c r="M16" s="7" t="str"/>
      <x:c r="N16" s="7" t="str">
        <x:v>Le livrable « Geth hérétiques » possède une scène ou un scénario de contrôle ; ses règles proposées, ses conditions et ses retours visuels sont vérifiables séparément.</x:v>
      </x:c>
      <x:c r="O16" s="7" t="str"/>
      <x:c r="P16" s="7" t="str">
        <x:v>Geth hérétiques</x:v>
      </x:c>
      <x:c r="Q16" s="7" t="str">
        <x:v>ME2-SRC-LEGION</x:v>
      </x:c>
      <x:c r="R16" s="21" t="str">
        <x:v>https://masseffect.fandom.com/wiki/Legion%3A_A_House_Divided</x:v>
      </x:c>
      <x:c r="S16" s="21" t="str">
        <x:v>Spécification à réaliser. Les champs adaptation, gameplay, visual, animation, audio et implementation décrivent le fan game ; ils ne donnent pas des caractéristiques officielles de l’œuvre.</x:v>
      </x:c>
    </x:row>
    <x:row r="17" ht="68" customHeight="1">
      <x:c r="A17" s="18" t="str">
        <x:v>ME2-LOR-FLOTILLA</x:v>
      </x:c>
      <x:c r="B17" s="9" t="str">
        <x:v>Flotte migrante et procès</x:v>
      </x:c>
      <x:c r="C17" s="15" t="str">
        <x:v>Défini</x:v>
      </x:c>
      <x:c r="D17" s="16" t="str">
        <x:v>Établi</x:v>
      </x:c>
      <x:c r="E17" s="16" t="str">
        <x:v>P1</x:v>
      </x:c>
      <x:c r="F17" s="9" t="str">
        <x:v>Le procès reflète des conflits quariens.</x:v>
      </x:c>
      <x:c r="G17" s="9" t="str">
        <x:v>Cartographier les arguments d’amiraux sans figer tous les quariens dans une seule position.</x:v>
      </x:c>
      <x:c r="H17" s="9" t="str">
        <x:v>Cartographier les arguments d’amiraux sans figer tous les quariens dans une seule position.</x:v>
      </x:c>
      <x:c r="I17" s="9" t="str">
        <x:v>Schéma de flotte et pupitres.</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me2/lore/flotilla ; rattacher les ressources et états cités à cet identifiant. Aucun fichier de jeu créé par ce catalogue.</x:v>
      </x:c>
      <x:c r="M17" s="9" t="str"/>
      <x:c r="N17" s="9" t="str">
        <x:v>Le livrable « Flotte migrante et procès » possède une scène ou un scénario de contrôle ; ses règles proposées, ses conditions et ses retours visuels sont vérifiables séparément.</x:v>
      </x:c>
      <x:c r="O17" s="9" t="str"/>
      <x:c r="P17" s="9" t="str">
        <x:v>Flotte migrante et procès</x:v>
      </x:c>
      <x:c r="Q17" s="9" t="str">
        <x:v>ME2-SRC-TREASON</x:v>
      </x:c>
      <x:c r="R17" s="20" t="str">
        <x:v>https://masseffect.fandom.com/wiki/Tali%3A_Treason</x:v>
      </x:c>
      <x:c r="S17" s="20" t="str">
        <x:v>Spécification à réaliser. Les champs adaptation, gameplay, visual, animation, audio et implementation décrivent le fan game ; ils ne donnent pas des caractéristiques officielles de l’œuvre.</x:v>
      </x:c>
    </x:row>
    <x:row r="18" ht="68" customHeight="1">
      <x:c r="A18" s="19" t="str">
        <x:v>ME2-LOR-BROKER</x:v>
      </x:c>
      <x:c r="B18" s="7" t="str">
        <x:v>Réseau du Courtier</x:v>
      </x:c>
      <x:c r="C18" s="15" t="str">
        <x:v>Défini</x:v>
      </x:c>
      <x:c r="D18" s="17" t="str">
        <x:v>Établi</x:v>
      </x:c>
      <x:c r="E18" s="17" t="str">
        <x:v>P1</x:v>
      </x:c>
      <x:c r="F18" s="7" t="str">
        <x:v>Liara accède à son centre de renseignements.</x:v>
      </x:c>
      <x:c r="G18" s="7" t="str">
        <x:v>Dossiers facultatifs à provenances claires ; les informations privées ne deviennent pas une vue omnisciente de tout événement.</x:v>
      </x:c>
      <x:c r="H18" s="7" t="str">
        <x:v>Dossiers facultatifs à provenances claires ; les informations privées ne deviennent pas une vue omnisciente de tout événement.</x:v>
      </x:c>
      <x:c r="I18" s="7" t="str">
        <x:v>Écrans, index et segments occultés.</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me2/lore/broker ; rattacher les ressources et états cités à cet identifiant. Aucun fichier de jeu créé par ce catalogue.</x:v>
      </x:c>
      <x:c r="M18" s="7" t="str"/>
      <x:c r="N18" s="7" t="str">
        <x:v>Le livrable « Réseau du Courtier » possède une scène ou un scénario de contrôle ; ses règles proposées, ses conditions et ses retours visuels sont vérifiables séparément.</x:v>
      </x:c>
      <x:c r="O18" s="7" t="str"/>
      <x:c r="P18" s="7" t="str">
        <x:v>Réseau du Courtier</x:v>
      </x:c>
      <x:c r="Q18" s="7" t="str">
        <x:v>ME2-SRC-EA-SHADOW</x:v>
      </x:c>
      <x:c r="R18" s="21" t="str">
        <x:v>https://news.ea.com/press-releases/press-releases-details/2010/The-Battles-Rage-On-in-New-Downloadable-Content-for-BioWares-Dragon-Age-Origins-and-Mass-Effect-2/default.aspx</x:v>
      </x:c>
      <x:c r="S18" s="21" t="str">
        <x:v>Spécification à réaliser. Les champs adaptation, gameplay, visual, animation, audio et implementation décrivent le fan game ; ils ne donnent pas des caractéristiques officielles de l’œuvre.</x:v>
      </x:c>
    </x:row>
    <x:row r="19" ht="68" customHeight="1">
      <x:c r="A19" s="18" t="str">
        <x:v>ME2-LOR-INDOCTRINATION</x:v>
      </x:c>
      <x:c r="B19" s="9" t="str">
        <x:v>Endoctrinement dans Arrival</x:v>
      </x:c>
      <x:c r="C19" s="15" t="str">
        <x:v>Défini</x:v>
      </x:c>
      <x:c r="D19" s="16" t="str">
        <x:v>Établi</x:v>
      </x:c>
      <x:c r="E19" s="16" t="str">
        <x:v>P1</x:v>
      </x:c>
      <x:c r="F19" s="9" t="str">
        <x:v>Kenson a subi l’influence de l’artefact.</x:v>
      </x:c>
      <x:c r="G19" s="9" t="str">
        <x:v>Marquer les indices rétrospectifs dans un codex déverrouillé ; conserver le doute pendant l’enquête.</x:v>
      </x:c>
      <x:c r="H19" s="9" t="str">
        <x:v>Marquer les indices rétrospectifs dans un codex déverrouillé ; conserver le doute pendant l’enquête.</x:v>
      </x:c>
      <x:c r="I19" s="9" t="str">
        <x:v>Artefact sombre et interférences de signal.</x:v>
      </x:c>
      <x:c r="J19" s="9" t="str">
        <x:v>Transitions de caméra et d’interface interruptibles ; aucun délai d’animation ne doit consommer une décision encore ouverte.</x:v>
      </x:c>
      <x:c r="K19" s="9" t="str">
        <x:v>Créer des bruitages et ambiances originaux adaptés au livrable ; sous-titrer les indices utiles et proposer un réglage indépendant des effets. Aucune extraction audio demandée.</x:v>
      </x:c>
      <x:c r="L19" s="9" t="str">
        <x:v>Prévu : fiche de données me2/lore/indoctrination ; rattacher les ressources et états cités à cet identifiant. Aucun fichier de jeu créé par ce catalogue.</x:v>
      </x:c>
      <x:c r="M19" s="9" t="str"/>
      <x:c r="N19" s="9" t="str">
        <x:v>Le livrable « Endoctrinement dans Arrival » possède une scène ou un scénario de contrôle ; ses règles proposées, ses conditions et ses retours visuels sont vérifiables séparément.</x:v>
      </x:c>
      <x:c r="O19" s="9" t="str"/>
      <x:c r="P19" s="9" t="str">
        <x:v>Endoctrinement dans Arrival</x:v>
      </x:c>
      <x:c r="Q19" s="9" t="str">
        <x:v>ME2-SRC-ARRIVAL</x:v>
      </x:c>
      <x:c r="R19" s="20" t="str">
        <x:v>https://masseffect.fandom.com/wiki/Arrival_%28assignment%29</x:v>
      </x:c>
      <x:c r="S19" s="20" t="str">
        <x:v>Spécification à réaliser. Les champs adaptation, gameplay, visual, animation, audio et implementation décrivent le fan game ; ils ne donnent pas des caractéristiques officielles de l’œuvre.</x:v>
      </x:c>
    </x:row>
    <x:row r="20" ht="68" customHeight="1">
      <x:c r="A20" s="19" t="str">
        <x:v>ME2-LOR-NO-MULTI</x:v>
      </x:c>
      <x:c r="B20" s="7" t="str">
        <x:v>Périmètre solo de ME2</x:v>
      </x:c>
      <x:c r="C20" s="15" t="str">
        <x:v>Défini</x:v>
      </x:c>
      <x:c r="D20" s="17" t="str">
        <x:v>Établi</x:v>
      </x:c>
      <x:c r="E20" s="17" t="str">
        <x:v>P1</x:v>
      </x:c>
      <x:c r="F20" s="7" t="str">
        <x:v>La collection présente le contenu solo ME2.</x:v>
      </x:c>
      <x:c r="G20" s="7" t="str">
        <x:v>Exclure les personnages multijoueurs de ME3 des tables de recrutement ; un mode arène éventuel sera original.</x:v>
      </x:c>
      <x:c r="H20" s="7" t="str">
        <x:v>Exclure les personnages multijoueurs de ME3 des tables de recrutement ; un mode arène éventuel sera original.</x:v>
      </x:c>
      <x:c r="I20" s="7" t="str">
        <x:v>Étiquette de module et filtres de campagne.</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me2/lore/no-multi ; rattacher les ressources et états cités à cet identifiant. Aucun fichier de jeu créé par ce catalogue.</x:v>
      </x:c>
      <x:c r="M20" s="7" t="str"/>
      <x:c r="N20" s="7" t="str">
        <x:v>Le livrable « Périmètre solo de ME2 » possède une scène ou un scénario de contrôle ; ses règles proposées, ses conditions et ses retours visuels sont vérifiables séparément.</x:v>
      </x:c>
      <x:c r="O20" s="7" t="str"/>
      <x:c r="P20" s="7" t="str">
        <x:v>Périmètre solo de ME2</x:v>
      </x:c>
      <x:c r="Q20" s="7" t="str">
        <x:v>ME2-SRC-EA-LE</x:v>
      </x:c>
      <x:c r="R20" s="21" t="str">
        <x:v>https://www.ea.com/fr/games/mass-effect/mass-effect-legendary-edition</x:v>
      </x:c>
      <x:c r="S20" s="21" t="str">
        <x:v>Spécification à réaliser. Les champs adaptation, gameplay, visual, animation, audio et implementation décrivent le fan game ; ils ne donnent pas des caractéristiques officielles de l’œuvre.</x:v>
      </x:c>
    </x:row>
  </x:sheetData>
  <x:conditionalFormatting sqref="D7:D20">
    <x:cfRule type="cellIs" dxfId="8" priority="1" operator="equal">
      <x:formula>"À vérifier"</x:formula>
    </x:cfRule>
    <x:cfRule type="cellIs" dxfId="9" priority="2" operator="equal">
      <x:formula>"Extrapolation"</x:formula>
    </x:cfRule>
  </x:conditionalFormatting>
  <x:conditionalFormatting sqref="C7:C20">
    <x:cfRule type="cellIs" dxfId="10" priority="3" operator="equal">
      <x:formula>"Validé"</x:formula>
    </x:cfRule>
  </x:conditionalFormatting>
  <x:conditionalFormatting sqref="E7:E20">
    <x:cfRule type="cellIs" dxfId="11" priority="4" operator="equal">
      <x:formula>"P0"</x:formula>
    </x:cfRule>
  </x:conditionalFormatting>
  <x:dataValidations count="3">
    <x:dataValidation type="list" sqref="C7:C20">
      <x:formula1>"Défini,Prototype,Intégré,Validé"</x:formula1>
    </x:dataValidation>
    <x:dataValidation type="list" sqref="D7:D20">
      <x:formula1>"Établi,À vérifier,Extrapolation,Coupé attesté,Concept abandonné,Allégation écartée"</x:formula1>
    </x:dataValidation>
    <x:dataValidation type="list" sqref="E7:E20">
      <x:formula1>"P0,P1,P2"</x:formula1>
    </x:dataValidation>
  </x:dataValidations>
  <x:pageMargins left="0.7" right="0.7" top="0.75" bottom="0.75" header="0.3" footer="0.3"/>
  <x:tableParts count="1">
    <x:tablePart xmlns:r="http://schemas.openxmlformats.org/officeDocument/2006/relationships" r:id="Rc803c58a945e4915"/>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Mondes</x:v>
      </x:c>
      <x:c r="B2" s="2"/>
      <x:c r="C2" s="2"/>
      <x:c r="D2" s="2"/>
      <x:c r="E2" s="2"/>
      <x:c r="F2" s="2"/>
      <x:c r="G2" s="2"/>
      <x:c r="H2" s="2"/>
      <x:c r="I2" s="2"/>
      <x:c r="J2" s="2"/>
      <x:c r="K2" s="2"/>
      <x:c r="L2" s="2"/>
      <x:c r="M2" s="2"/>
      <x:c r="N2" s="2"/>
      <x:c r="O2" s="2"/>
      <x:c r="P2" s="2"/>
      <x:c r="Q2" s="2"/>
      <x:c r="R2" s="2"/>
      <x:c r="S2" s="2"/>
    </x:row>
    <x:row r="3" ht="22" customHeight="1">
      <x:c r="A3" s="4" t="str">
        <x:v>Mass Effect 2 — Destinations et identité environnementale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ME2-WRL-OMEGA</x:v>
      </x:c>
      <x:c r="B7" s="9" t="str">
        <x:v>Omega</x:v>
      </x:c>
      <x:c r="C7" s="15" t="str">
        <x:v>Défini</x:v>
      </x:c>
      <x:c r="D7" s="16" t="str">
        <x:v>Établi</x:v>
      </x:c>
      <x:c r="E7" s="16" t="str">
        <x:v>P1</x:v>
      </x:c>
      <x:c r="F7" s="9" t="str">
        <x:v>Station principale des Systèmes Terminus.</x:v>
      </x:c>
      <x:c r="G7" s="9" t="str">
        <x:v>Hub vertical compact avec secteurs sociaux et accès vers deux recrutements ; risque local annoncé avant transition.</x:v>
      </x:c>
      <x:c r="H7" s="9" t="str">
        <x:v>Hub vertical compact avec secteurs sociaux et accès vers deux recrutements ; risque local annoncé avant transition.</x:v>
      </x:c>
      <x:c r="I7" s="9" t="str">
        <x:v>Métal usé, éclairages orange, néons et foule hétérogène.</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me2/worlds/omega ; rattacher les ressources et états cités à cet identifiant. Aucun fichier de jeu créé par ce catalogue.</x:v>
      </x:c>
      <x:c r="M7" s="9" t="str"/>
      <x:c r="N7" s="9" t="str">
        <x:v>Le livrable « Omega » possède une scène ou un scénario de contrôle ; ses règles proposées, ses conditions et ses retours visuels sont vérifiables séparément.</x:v>
      </x:c>
      <x:c r="O7" s="9" t="str"/>
      <x:c r="P7" s="9" t="str">
        <x:v>Omega</x:v>
      </x:c>
      <x:c r="Q7" s="9" t="str">
        <x:v>ME2-SRC-OMEGA</x:v>
      </x:c>
      <x:c r="R7" s="20" t="str">
        <x:v>https://masseffect.fandom.com/wiki/Omega</x:v>
      </x:c>
      <x:c r="S7" s="20" t="str">
        <x:v>Spécification à réaliser. Les champs adaptation, gameplay, visual, animation, audio et implementation décrivent le fan game ; ils ne donnent pas des caractéristiques officielles de l’œuvre.</x:v>
      </x:c>
    </x:row>
    <x:row r="8" ht="68" customHeight="1">
      <x:c r="A8" s="19" t="str">
        <x:v>ME2-WRL-ILLIUM</x:v>
      </x:c>
      <x:c r="B8" s="7" t="str">
        <x:v>Illium / Nos Astra</x:v>
      </x:c>
      <x:c r="C8" s="15" t="str">
        <x:v>Défini</x:v>
      </x:c>
      <x:c r="D8" s="17" t="str">
        <x:v>Établi</x:v>
      </x:c>
      <x:c r="E8" s="17" t="str">
        <x:v>P1</x:v>
      </x:c>
      <x:c r="F8" s="7" t="str">
        <x:v>Hub des recrutements Samara et Thane.</x:v>
      </x:c>
      <x:c r="G8" s="7" t="str">
        <x:v>Centre commerçant à terrasses reliées ; journal de pistes par bâtiment et non par écran unique.</x:v>
      </x:c>
      <x:c r="H8" s="7" t="str">
        <x:v>Centre commerçant à terrasses reliées ; journal de pistes par bâtiment et non par écran unique.</x:v>
      </x:c>
      <x:c r="I8" s="7" t="str">
        <x:v>Tours lisses, verre, soleil chaud et transports aériens.</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me2/worlds/illium ; rattacher les ressources et états cités à cet identifiant. Aucun fichier de jeu créé par ce catalogue.</x:v>
      </x:c>
      <x:c r="M8" s="7" t="str"/>
      <x:c r="N8" s="7" t="str">
        <x:v>Le livrable « Illium / Nos Astra » possède une scène ou un scénario de contrôle ; ses règles proposées, ses conditions et ses retours visuels sont vérifiables séparément.</x:v>
      </x:c>
      <x:c r="O8" s="7" t="str"/>
      <x:c r="P8" s="7" t="str">
        <x:v>Illium / Nos Astra</x:v>
      </x:c>
      <x:c r="Q8" s="7" t="str">
        <x:v>ME2-SRC-NOSASTRA</x:v>
      </x:c>
      <x:c r="R8" s="21" t="str">
        <x:v>https://masseffect.fandom.com/wiki/Nos_Astra</x:v>
      </x:c>
      <x:c r="S8" s="21" t="str">
        <x:v>Spécification à réaliser. Les champs adaptation, gameplay, visual, animation, audio et implementation décrivent le fan game ; ils ne donnent pas des caractéristiques officielles de l’œuvre.</x:v>
      </x:c>
    </x:row>
    <x:row r="9" ht="68" customHeight="1">
      <x:c r="A9" s="18" t="str">
        <x:v>ME2-WRL-CITADEL</x:v>
      </x:c>
      <x:c r="B9" s="9" t="str">
        <x:v>Citadelle — secteur ME2</x:v>
      </x:c>
      <x:c r="C9" s="15" t="str">
        <x:v>Défini</x:v>
      </x:c>
      <x:c r="D9" s="16" t="str">
        <x:v>Établi</x:v>
      </x:c>
      <x:c r="E9" s="16" t="str">
        <x:v>P1</x:v>
      </x:c>
      <x:c r="F9" s="9" t="str">
        <x:v>Hub de missions et de recrutement de Kasumi.</x:v>
      </x:c>
      <x:c r="G9" s="9" t="str">
        <x:v>Quartier de transit sur plusieurs étages, marché et bureaux ; itinéraires courts entre recherches.</x:v>
      </x:c>
      <x:c r="H9" s="9" t="str">
        <x:v>Quartier de transit sur plusieurs étages, marché et bureaux ; itinéraires courts entre recherches.</x:v>
      </x:c>
      <x:c r="I9" s="9" t="str">
        <x:v>Architecture blanche, lueurs bleues et jardins aperçus.</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me2/worlds/citadel ; rattacher les ressources et états cités à cet identifiant. Aucun fichier de jeu créé par ce catalogue.</x:v>
      </x:c>
      <x:c r="M9" s="9" t="str"/>
      <x:c r="N9" s="9" t="str">
        <x:v>Le livrable « Citadelle — secteur ME2 » possède une scène ou un scénario de contrôle ; ses règles proposées, ses conditions et ses retours visuels sont vérifiables séparément.</x:v>
      </x:c>
      <x:c r="O9" s="9" t="str"/>
      <x:c r="P9" s="9" t="str">
        <x:v>Citadelle — secteur ME2</x:v>
      </x:c>
      <x:c r="Q9" s="9" t="str">
        <x:v>ME2-SRC-MISSIONS</x:v>
      </x:c>
      <x:c r="R9" s="20" t="str">
        <x:v>https://masseffect.fandom.com/wiki/Missions</x:v>
      </x:c>
      <x:c r="S9" s="20" t="str">
        <x:v>Spécification à réaliser. Les champs adaptation, gameplay, visual, animation, audio et implementation décrivent le fan game ; ils ne donnent pas des caractéristiques officielles de l’œuvre.</x:v>
      </x:c>
    </x:row>
    <x:row r="10" ht="68" customHeight="1">
      <x:c r="A10" s="19" t="str">
        <x:v>ME2-WRL-TUCHANKA</x:v>
      </x:c>
      <x:c r="B10" s="7" t="str">
        <x:v>Tuchanka</x:v>
      </x:c>
      <x:c r="C10" s="15" t="str">
        <x:v>Défini</x:v>
      </x:c>
      <x:c r="D10" s="17" t="str">
        <x:v>Établi</x:v>
      </x:c>
      <x:c r="E10" s="17" t="str">
        <x:v>P1</x:v>
      </x:c>
      <x:c r="F10" s="7" t="str">
        <x:v>Lieu des loyautés de Grunt et Mordin.</x:v>
      </x:c>
      <x:c r="G10" s="7" t="str">
        <x:v>Hub de clan conduisant à une arène et un hôpital ; routes de mission distinctes.</x:v>
      </x:c>
      <x:c r="H10" s="7" t="str">
        <x:v>Hub de clan conduisant à une arène et un hôpital ; routes de mission distinctes.</x:v>
      </x:c>
      <x:c r="I10" s="7" t="str">
        <x:v>Ruines, ciel sale et installations krogan.</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me2/worlds/tuchanka ; rattacher les ressources et états cités à cet identifiant. Aucun fichier de jeu créé par ce catalogue.</x:v>
      </x:c>
      <x:c r="M10" s="7" t="str"/>
      <x:c r="N10" s="7" t="str">
        <x:v>Le livrable « Tuchanka » possède une scène ou un scénario de contrôle ; ses règles proposées, ses conditions et ses retours visuels sont vérifiables séparément.</x:v>
      </x:c>
      <x:c r="O10" s="7" t="str"/>
      <x:c r="P10" s="7" t="str">
        <x:v>Tuchanka</x:v>
      </x:c>
      <x:c r="Q10" s="7" t="str">
        <x:v>ME2-SRC-GRUNT, ME2-SRC-MORDIN</x:v>
      </x:c>
      <x:c r="R10" s="21" t="str">
        <x:v>https://masseffect.fandom.com/wiki/Grunt%3A_Rite_of_Passage
https://masseffect.fandom.com/wiki/Mordin%3A_Old_Blood</x:v>
      </x:c>
      <x:c r="S10" s="21" t="str">
        <x:v>Spécification à réaliser. Les champs adaptation, gameplay, visual, animation, audio et implementation décrivent le fan game ; ils ne donnent pas des caractéristiques officielles de l’œuvre.</x:v>
      </x:c>
    </x:row>
    <x:row r="11" ht="68" customHeight="1">
      <x:c r="A11" s="18" t="str">
        <x:v>ME2-WRL-HORIZON</x:v>
      </x:c>
      <x:c r="B11" s="9" t="str">
        <x:v>Horizon</x:v>
      </x:c>
      <x:c r="C11" s="15" t="str">
        <x:v>Défini</x:v>
      </x:c>
      <x:c r="D11" s="16" t="str">
        <x:v>Établi</x:v>
      </x:c>
      <x:c r="E11" s="16" t="str">
        <x:v>P1</x:v>
      </x:c>
      <x:c r="F11" s="9" t="str">
        <x:v>Colonie visée par les Collecteurs.</x:v>
      </x:c>
      <x:c r="G11" s="9" t="str">
        <x:v>Carte en quartiers dont la défense centrale demeure le point d’orientation.</x:v>
      </x:c>
      <x:c r="H11" s="9" t="str">
        <x:v>Carte en quartiers dont la défense centrale demeure le point d’orientation.</x:v>
      </x:c>
      <x:c r="I11" s="9" t="str">
        <x:v>Champs agricoles, préfabriqués et défenses orbitales.</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me2/worlds/horizon ; rattacher les ressources et états cités à cet identifiant. Aucun fichier de jeu créé par ce catalogue.</x:v>
      </x:c>
      <x:c r="M11" s="9" t="str"/>
      <x:c r="N11" s="9" t="str">
        <x:v>Le livrable « Horizon » possède une scène ou un scénario de contrôle ; ses règles proposées, ses conditions et ses retours visuels sont vérifiables séparément.</x:v>
      </x:c>
      <x:c r="O11" s="9" t="str"/>
      <x:c r="P11" s="9" t="str">
        <x:v>Horizon</x:v>
      </x:c>
      <x:c r="Q11" s="9" t="str">
        <x:v>ME2-SRC-HORIZON</x:v>
      </x:c>
      <x:c r="R11" s="20" t="str">
        <x:v>https://masseffect.fandom.com/wiki/Horizon_%28mission%29</x:v>
      </x:c>
      <x:c r="S11" s="20" t="str">
        <x:v>Spécification à réaliser. Les champs adaptation, gameplay, visual, animation, audio et implementation décrivent le fan game ; ils ne donnent pas des caractéristiques officielles de l’œuvre.</x:v>
      </x:c>
    </x:row>
    <x:row r="12" ht="68" customHeight="1">
      <x:c r="A12" s="19" t="str">
        <x:v>ME2-WRL-FREEDOM</x:v>
      </x:c>
      <x:c r="B12" s="7" t="str">
        <x:v>Freedom’s Progress</x:v>
      </x:c>
      <x:c r="C12" s="15" t="str">
        <x:v>Défini</x:v>
      </x:c>
      <x:c r="D12" s="17" t="str">
        <x:v>Établi</x:v>
      </x:c>
      <x:c r="E12" s="17" t="str">
        <x:v>P1</x:v>
      </x:c>
      <x:c r="F12" s="7" t="str">
        <x:v>Colonie humaine désertée.</x:v>
      </x:c>
      <x:c r="G12" s="7" t="str">
        <x:v>Petit réseau d’habitations menant à la pièce de Veetor ; vie interrompue visible dans les détails.</x:v>
      </x:c>
      <x:c r="H12" s="7" t="str">
        <x:v>Petit réseau d’habitations menant à la pièce de Veetor ; vie interrompue visible dans les détails.</x:v>
      </x:c>
      <x:c r="I12" s="7" t="str">
        <x:v>Éclairage froid, habitations et escaliers extérieurs.</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me2/worlds/freedom ; rattacher les ressources et états cités à cet identifiant. Aucun fichier de jeu créé par ce catalogue.</x:v>
      </x:c>
      <x:c r="M12" s="7" t="str"/>
      <x:c r="N12" s="7" t="str">
        <x:v>Le livrable « Freedom’s Progress » possède une scène ou un scénario de contrôle ; ses règles proposées, ses conditions et ses retours visuels sont vérifiables séparément.</x:v>
      </x:c>
      <x:c r="O12" s="7" t="str"/>
      <x:c r="P12" s="7" t="str">
        <x:v>Freedom’s Progress</x:v>
      </x:c>
      <x:c r="Q12" s="7" t="str">
        <x:v>ME2-SRC-FREEDOM</x:v>
      </x:c>
      <x:c r="R12" s="21" t="str">
        <x:v>https://masseffect.fandom.com/wiki/Freedom%27s_Progress_%28mission%29</x:v>
      </x:c>
      <x:c r="S12" s="21" t="str">
        <x:v>Spécification à réaliser. Les champs adaptation, gameplay, visual, animation, audio et implementation décrivent le fan game ; ils ne donnent pas des caractéristiques officielles de l’œuvre.</x:v>
      </x:c>
    </x:row>
    <x:row r="13" ht="68" customHeight="1">
      <x:c r="A13" s="18" t="str">
        <x:v>ME2-WRL-KORLUS</x:v>
      </x:c>
      <x:c r="B13" s="9" t="str">
        <x:v>Korlus</x:v>
      </x:c>
      <x:c r="C13" s="15" t="str">
        <x:v>Défini</x:v>
      </x:c>
      <x:c r="D13" s="16" t="str">
        <x:v>Établi</x:v>
      </x:c>
      <x:c r="E13" s="16" t="str">
        <x:v>P1</x:v>
      </x:c>
      <x:c r="F13" s="9" t="str">
        <x:v>Monde de récupération du dossier Okeer.</x:v>
      </x:c>
      <x:c r="G13" s="9" t="str">
        <x:v>Labyrinthe de carcasses avec niveaux lisibles ; ne pas confondre décor de coque et sol praticable.</x:v>
      </x:c>
      <x:c r="H13" s="9" t="str">
        <x:v>Labyrinthe de carcasses avec niveaux lisibles ; ne pas confondre décor de coque et sol praticable.</x:v>
      </x:c>
      <x:c r="I13" s="9" t="str">
        <x:v>Fer rouillé, moteurs géants et brouillard industriel.</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me2/worlds/korlus ; rattacher les ressources et états cités à cet identifiant. Aucun fichier de jeu créé par ce catalogue.</x:v>
      </x:c>
      <x:c r="M13" s="9" t="str"/>
      <x:c r="N13" s="9" t="str">
        <x:v>Le livrable « Korlus » possède une scène ou un scénario de contrôle ; ses règles proposées, ses conditions et ses retours visuels sont vérifiables séparément.</x:v>
      </x:c>
      <x:c r="O13" s="9" t="str"/>
      <x:c r="P13" s="9" t="str">
        <x:v>Korlus</x:v>
      </x:c>
      <x:c r="Q13" s="9" t="str">
        <x:v>ME2-SRC-WARLORD</x:v>
      </x:c>
      <x:c r="R13" s="20" t="str">
        <x:v>https://masseffect.fandom.com/wiki/Dossier%3A_The_Warlord</x:v>
      </x:c>
      <x:c r="S13" s="20" t="str">
        <x:v>Spécification à réaliser. Les champs adaptation, gameplay, visual, animation, audio et implementation décrivent le fan game ; ils ne donnent pas des caractéristiques officielles de l’œuvre.</x:v>
      </x:c>
    </x:row>
    <x:row r="14" ht="68" customHeight="1">
      <x:c r="A14" s="19" t="str">
        <x:v>ME2-WRL-HAESTROM</x:v>
      </x:c>
      <x:c r="B14" s="7" t="str">
        <x:v>Haestrom</x:v>
      </x:c>
      <x:c r="C14" s="15" t="str">
        <x:v>Défini</x:v>
      </x:c>
      <x:c r="D14" s="17" t="str">
        <x:v>Établi</x:v>
      </x:c>
      <x:c r="E14" s="17" t="str">
        <x:v>P1</x:v>
      </x:c>
      <x:c r="F14" s="7" t="str">
        <x:v>Ancienne colonie quariène exposée à son soleil.</x:v>
      </x:c>
      <x:c r="G14" s="7" t="str">
        <x:v>Ombre comme ressource de déplacement ; obstacles d’abri lisibles en caméra fixe.</x:v>
      </x:c>
      <x:c r="H14" s="7" t="str">
        <x:v>Ombre comme ressource de déplacement ; obstacles d’abri lisibles en caméra fixe.</x:v>
      </x:c>
      <x:c r="I14" s="7" t="str">
        <x:v>Pierre claire, ombres dures et ruines geth.</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me2/worlds/haestrom ; rattacher les ressources et états cités à cet identifiant. Aucun fichier de jeu créé par ce catalogue.</x:v>
      </x:c>
      <x:c r="M14" s="7" t="str"/>
      <x:c r="N14" s="7" t="str">
        <x:v>Le livrable « Haestrom » possède une scène ou un scénario de contrôle ; ses règles proposées, ses conditions et ses retours visuels sont vérifiables séparément.</x:v>
      </x:c>
      <x:c r="O14" s="7" t="str"/>
      <x:c r="P14" s="7" t="str">
        <x:v>Haestrom</x:v>
      </x:c>
      <x:c r="Q14" s="7" t="str">
        <x:v>ME2-SRC-TALI</x:v>
      </x:c>
      <x:c r="R14" s="21" t="str">
        <x:v>https://masseffect.fandom.com/wiki/Dossier%3A_Tali</x:v>
      </x:c>
      <x:c r="S14" s="21" t="str">
        <x:v>Spécification à réaliser. Les champs adaptation, gameplay, visual, animation, audio et implementation décrivent le fan game ; ils ne donnent pas des caractéristiques officielles de l’œuvre.</x:v>
      </x:c>
    </x:row>
    <x:row r="15" ht="68" customHeight="1">
      <x:c r="A15" s="18" t="str">
        <x:v>ME2-WRL-PRAGIA</x:v>
      </x:c>
      <x:c r="B15" s="9" t="str">
        <x:v>Pragia</x:v>
      </x:c>
      <x:c r="C15" s="15" t="str">
        <x:v>Défini</x:v>
      </x:c>
      <x:c r="D15" s="16" t="str">
        <x:v>Établi</x:v>
      </x:c>
      <x:c r="E15" s="16" t="str">
        <x:v>P1</x:v>
      </x:c>
      <x:c r="F15" s="9" t="str">
        <x:v>Lieu du centre d’enfance de Jack.</x:v>
      </x:c>
      <x:c r="G15" s="9" t="str">
        <x:v>Exploration émotionnelle par salles et raccourcis ; combat périphérique autour des souvenirs.</x:v>
      </x:c>
      <x:c r="H15" s="9" t="str">
        <x:v>Exploration émotionnelle par salles et raccourcis ; combat périphérique autour des souvenirs.</x:v>
      </x:c>
      <x:c r="I15" s="9" t="str">
        <x:v>Pluie, jungle et béton laboratoire.</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me2/worlds/pragia ; rattacher les ressources et états cités à cet identifiant. Aucun fichier de jeu créé par ce catalogue.</x:v>
      </x:c>
      <x:c r="M15" s="9" t="str"/>
      <x:c r="N15" s="9" t="str">
        <x:v>Le livrable « Pragia » possède une scène ou un scénario de contrôle ; ses règles proposées, ses conditions et ses retours visuels sont vérifiables séparément.</x:v>
      </x:c>
      <x:c r="O15" s="9" t="str"/>
      <x:c r="P15" s="9" t="str">
        <x:v>Pragia</x:v>
      </x:c>
      <x:c r="Q15" s="9" t="str">
        <x:v>ME2-SRC-JACK</x:v>
      </x:c>
      <x:c r="R15" s="20" t="str">
        <x:v>https://masseffect.fandom.com/wiki/Jack%3A_Subject_Zero</x:v>
      </x:c>
      <x:c r="S15" s="20" t="str">
        <x:v>Spécification à réaliser. Les champs adaptation, gameplay, visual, animation, audio et implementation décrivent le fan game ; ils ne donnent pas des caractéristiques officielles de l’œuvre.</x:v>
      </x:c>
    </x:row>
    <x:row r="16" ht="68" customHeight="1">
      <x:c r="A16" s="19" t="str">
        <x:v>ME2-WRL-AEIA</x:v>
      </x:c>
      <x:c r="B16" s="7" t="str">
        <x:v>2175 Aeia</x:v>
      </x:c>
      <x:c r="C16" s="15" t="str">
        <x:v>Défini</x:v>
      </x:c>
      <x:c r="D16" s="17" t="str">
        <x:v>Établi</x:v>
      </x:c>
      <x:c r="E16" s="17" t="str">
        <x:v>P1</x:v>
      </x:c>
      <x:c r="F16" s="7" t="str">
        <x:v>Monde du crash du Hugo Gernsback.</x:v>
      </x:c>
      <x:c r="G16" s="7" t="str">
        <x:v>Bande côtière en trois zones : épave, survivants, autorité ; indexer chaque preuve par provenance.</x:v>
      </x:c>
      <x:c r="H16" s="7" t="str">
        <x:v>Bande côtière en trois zones : épave, survivants, autorité ; indexer chaque preuve par provenance.</x:v>
      </x:c>
      <x:c r="I16" s="7" t="str">
        <x:v>Mer, végétation tropicale et camp improvisé.</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me2/worlds/aeia ; rattacher les ressources et états cités à cet identifiant. Aucun fichier de jeu créé par ce catalogue.</x:v>
      </x:c>
      <x:c r="M16" s="7" t="str"/>
      <x:c r="N16" s="7" t="str">
        <x:v>Le livrable « 2175 Aeia » possède une scène ou un scénario de contrôle ; ses règles proposées, ses conditions et ses retours visuels sont vérifiables séparément.</x:v>
      </x:c>
      <x:c r="O16" s="7" t="str"/>
      <x:c r="P16" s="7" t="str">
        <x:v>2175 Aeia</x:v>
      </x:c>
      <x:c r="Q16" s="7" t="str">
        <x:v>ME2-SRC-JACOB</x:v>
      </x:c>
      <x:c r="R16" s="21" t="str">
        <x:v>https://masseffect.fandom.com/wiki/Jacob%3A_The_Gift_of_Greatness</x:v>
      </x:c>
      <x:c r="S16" s="21" t="str">
        <x:v>Spécification à réaliser. Les champs adaptation, gameplay, visual, animation, audio et implementation décrivent le fan game ; ils ne donnent pas des caractéristiques officielles de l’œuvre.</x:v>
      </x:c>
    </x:row>
    <x:row r="17" ht="68" customHeight="1">
      <x:c r="A17" s="18" t="str">
        <x:v>ME2-WRL-BEKENSTEIN</x:v>
      </x:c>
      <x:c r="B17" s="9" t="str">
        <x:v>Bekenstein</x:v>
      </x:c>
      <x:c r="C17" s="15" t="str">
        <x:v>Défini</x:v>
      </x:c>
      <x:c r="D17" s="16" t="str">
        <x:v>Établi</x:v>
      </x:c>
      <x:c r="E17" s="16" t="str">
        <x:v>P1</x:v>
      </x:c>
      <x:c r="F17" s="9" t="str">
        <x:v>Lieu du manoir de Hock.</x:v>
      </x:c>
      <x:c r="G17" s="9" t="str">
        <x:v>Hub fermé de réception donnant vers jardin, sécurité, coffre et terrasse de fuite.</x:v>
      </x:c>
      <x:c r="H17" s="9" t="str">
        <x:v>Hub fermé de réception donnant vers jardin, sécurité, coffre et terrasse de fuite.</x:v>
      </x:c>
      <x:c r="I17" s="9" t="str">
        <x:v>Villas luxueuses et skyline nocturne.</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me2/worlds/bekenstein ; rattacher les ressources et états cités à cet identifiant. Aucun fichier de jeu créé par ce catalogue.</x:v>
      </x:c>
      <x:c r="M17" s="9" t="str"/>
      <x:c r="N17" s="9" t="str">
        <x:v>Le livrable « Bekenstein » possède une scène ou un scénario de contrôle ; ses règles proposées, ses conditions et ses retours visuels sont vérifiables séparément.</x:v>
      </x:c>
      <x:c r="O17" s="9" t="str"/>
      <x:c r="P17" s="9" t="str">
        <x:v>Bekenstein</x:v>
      </x:c>
      <x:c r="Q17" s="9" t="str">
        <x:v>ME2-SRC-KASUMI</x:v>
      </x:c>
      <x:c r="R17" s="20" t="str">
        <x:v>https://masseffect.fandom.com/wiki/Kasumi%3A_Stealing_Memory</x:v>
      </x:c>
      <x:c r="S17" s="20" t="str">
        <x:v>Spécification à réaliser. Les champs adaptation, gameplay, visual, animation, audio et implementation décrivent le fan game ; ils ne donnent pas des caractéristiques officielles de l’œuvre.</x:v>
      </x:c>
    </x:row>
    <x:row r="18" ht="68" customHeight="1">
      <x:c r="A18" s="19" t="str">
        <x:v>ME2-WRL-HAGALAZ</x:v>
      </x:c>
      <x:c r="B18" s="7" t="str">
        <x:v>Hagalaz</x:v>
      </x:c>
      <x:c r="C18" s="15" t="str">
        <x:v>Défini</x:v>
      </x:c>
      <x:c r="D18" s="17" t="str">
        <x:v>Établi</x:v>
      </x:c>
      <x:c r="E18" s="17" t="str">
        <x:v>P1</x:v>
      </x:c>
      <x:c r="F18" s="7" t="str">
        <x:v>La base du Courtier s’y dissimule.</x:v>
      </x:c>
      <x:c r="G18" s="7" t="str">
        <x:v>Coque mobile sous orage ; cycles de vent et antennes comme couverts temporaires.</x:v>
      </x:c>
      <x:c r="H18" s="7" t="str">
        <x:v>Coque mobile sous orage ; cycles de vent et antennes comme couverts temporaires.</x:v>
      </x:c>
      <x:c r="I18" s="7" t="str">
        <x:v>Nuages tourbillonnants, plaques métalliques et éclairs.</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me2/worlds/hagalaz ; rattacher les ressources et états cités à cet identifiant. Aucun fichier de jeu créé par ce catalogue.</x:v>
      </x:c>
      <x:c r="M18" s="7" t="str"/>
      <x:c r="N18" s="7" t="str">
        <x:v>Le livrable « Hagalaz » possède une scène ou un scénario de contrôle ; ses règles proposées, ses conditions et ses retours visuels sont vérifiables séparément.</x:v>
      </x:c>
      <x:c r="O18" s="7" t="str"/>
      <x:c r="P18" s="7" t="str">
        <x:v>Hagalaz</x:v>
      </x:c>
      <x:c r="Q18" s="7" t="str">
        <x:v>ME2-SRC-SHADOW</x:v>
      </x:c>
      <x:c r="R18" s="21" t="str">
        <x:v>https://masseffect.fandom.com/wiki/Lair_of_the_Shadow_Broker_%28mission%29</x:v>
      </x:c>
      <x:c r="S18" s="21" t="str">
        <x:v>Spécification à réaliser. Les champs adaptation, gameplay, visual, animation, audio et implementation décrivent le fan game ; ils ne donnent pas des caractéristiques officielles de l’œuvre.</x:v>
      </x:c>
    </x:row>
    <x:row r="19" ht="68" customHeight="1">
      <x:c r="A19" s="18" t="str">
        <x:v>ME2-WRL-AITE</x:v>
      </x:c>
      <x:c r="B19" s="9" t="str">
        <x:v>Aite</x:v>
      </x:c>
      <x:c r="C19" s="15" t="str">
        <x:v>Défini</x:v>
      </x:c>
      <x:c r="D19" s="16" t="str">
        <x:v>Établi</x:v>
      </x:c>
      <x:c r="E19" s="16" t="str">
        <x:v>P1</x:v>
      </x:c>
      <x:c r="F19" s="9" t="str">
        <x:v>Monde de Project Overlord.</x:v>
      </x:c>
      <x:c r="G19" s="9" t="str">
        <x:v>Vallée Hammerhead reliant des stations de recherche ; chaque installation porte un code visuel propre.</x:v>
      </x:c>
      <x:c r="H19" s="9" t="str">
        <x:v>Vallée Hammerhead reliant des stations de recherche ; chaque installation porte un code visuel propre.</x:v>
      </x:c>
      <x:c r="I19" s="9" t="str">
        <x:v>Prairies, rochers, antennes et zones volcaniques.</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me2/worlds/aite ; rattacher les ressources et états cités à cet identifiant. Aucun fichier de jeu créé par ce catalogue.</x:v>
      </x:c>
      <x:c r="M19" s="9" t="str"/>
      <x:c r="N19" s="9" t="str">
        <x:v>Le livrable « Aite » possède une scène ou un scénario de contrôle ; ses règles proposées, ses conditions et ses retours visuels sont vérifiables séparément.</x:v>
      </x:c>
      <x:c r="O19" s="9" t="str"/>
      <x:c r="P19" s="9" t="str">
        <x:v>Aite</x:v>
      </x:c>
      <x:c r="Q19" s="9" t="str">
        <x:v>ME2-SRC-ATLAS</x:v>
      </x:c>
      <x:c r="R19" s="20" t="str">
        <x:v>https://masseffect.fandom.com/wiki/Atlas_Station</x:v>
      </x:c>
      <x:c r="S19" s="20" t="str">
        <x:v>Spécification à réaliser. Les champs adaptation, gameplay, visual, animation, audio et implementation décrivent le fan game ; ils ne donnent pas des caractéristiques officielles de l’œuvre.</x:v>
      </x:c>
    </x:row>
    <x:row r="20" ht="68" customHeight="1">
      <x:c r="A20" s="19" t="str">
        <x:v>ME2-WRL-ARATOHT</x:v>
      </x:c>
      <x:c r="B20" s="7" t="str">
        <x:v>Aratoht</x:v>
      </x:c>
      <x:c r="C20" s="15" t="str">
        <x:v>Défini</x:v>
      </x:c>
      <x:c r="D20" s="17" t="str">
        <x:v>Établi</x:v>
      </x:c>
      <x:c r="E20" s="17" t="str">
        <x:v>P1</x:v>
      </x:c>
      <x:c r="F20" s="7" t="str">
        <x:v>Prison de départ d’Arrival.</x:v>
      </x:c>
      <x:c r="G20" s="7" t="str">
        <x:v>Niveau solo avec route furtive et route d’alerte ; navigation dans conduits et cellules.</x:v>
      </x:c>
      <x:c r="H20" s="7" t="str">
        <x:v>Niveau solo avec route furtive et route d’alerte ; navigation dans conduits et cellules.</x:v>
      </x:c>
      <x:c r="I20" s="7" t="str">
        <x:v>Roche, prison batarienne et éclairage ambré.</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me2/worlds/aratoht ; rattacher les ressources et états cités à cet identifiant. Aucun fichier de jeu créé par ce catalogue.</x:v>
      </x:c>
      <x:c r="M20" s="7" t="str"/>
      <x:c r="N20" s="7" t="str">
        <x:v>Le livrable « Aratoht » possède une scène ou un scénario de contrôle ; ses règles proposées, ses conditions et ses retours visuels sont vérifiables séparément.</x:v>
      </x:c>
      <x:c r="O20" s="7" t="str"/>
      <x:c r="P20" s="7" t="str">
        <x:v>Aratoht</x:v>
      </x:c>
      <x:c r="Q20" s="7" t="str">
        <x:v>ME2-SRC-ARRIVAL</x:v>
      </x:c>
      <x:c r="R20" s="21" t="str">
        <x:v>https://masseffect.fandom.com/wiki/Arrival_%28assignment%29</x:v>
      </x:c>
      <x:c r="S20" s="21" t="str">
        <x:v>Spécification à réaliser. Les champs adaptation, gameplay, visual, animation, audio et implementation décrivent le fan game ; ils ne donnent pas des caractéristiques officielles de l’œuvre.</x:v>
      </x:c>
    </x:row>
    <x:row r="21" ht="68" customHeight="1">
      <x:c r="A21" s="18" t="str">
        <x:v>ME2-WRL-BAHAK</x:v>
      </x:c>
      <x:c r="B21" s="9" t="str">
        <x:v>Bahak — système et projet</x:v>
      </x:c>
      <x:c r="C21" s="15" t="str">
        <x:v>Défini</x:v>
      </x:c>
      <x:c r="D21" s="16" t="str">
        <x:v>Établi</x:v>
      </x:c>
      <x:c r="E21" s="16" t="str">
        <x:v>P1</x:v>
      </x:c>
      <x:c r="F21" s="9" t="str">
        <x:v>Le relais Alpha est détruit avec le système.</x:v>
      </x:c>
      <x:c r="G21" s="9" t="str">
        <x:v>Carte de conséquence narrative ; ne pas traiter le système comme zone encore visitable après Arrival.</x:v>
      </x:c>
      <x:c r="H21" s="9" t="str">
        <x:v>Carte de conséquence narrative ; ne pas traiter le système comme zone encore visitable après Arrival.</x:v>
      </x:c>
      <x:c r="I21" s="9" t="str">
        <x:v>Astéroïde, relais et axe de collision.</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me2/worlds/bahak ; rattacher les ressources et états cités à cet identifiant. Aucun fichier de jeu créé par ce catalogue.</x:v>
      </x:c>
      <x:c r="M21" s="9" t="str">
        <x:v>Après événement, destination verrouillée définitivement.</x:v>
      </x:c>
      <x:c r="N21" s="9" t="str">
        <x:v>Le livrable « Bahak — système et projet » possède une scène ou un scénario de contrôle ; ses règles proposées, ses conditions et ses retours visuels sont vérifiables séparément.</x:v>
      </x:c>
      <x:c r="O21" s="9" t="str"/>
      <x:c r="P21" s="9" t="str">
        <x:v>Bahak — système et projet</x:v>
      </x:c>
      <x:c r="Q21" s="9" t="str">
        <x:v>ME2-SRC-ARRIVAL</x:v>
      </x:c>
      <x:c r="R21" s="20" t="str">
        <x:v>https://masseffect.fandom.com/wiki/Arrival_%28assignment%29</x:v>
      </x:c>
      <x:c r="S21" s="20" t="str">
        <x:v>Spécification à réaliser. Les champs adaptation, gameplay, visual, animation, audio et implementation décrivent le fan game ; ils ne donnent pas des caractéristiques officielles de l’œuvre.</x:v>
      </x:c>
    </x:row>
    <x:row r="22" ht="68" customHeight="1">
      <x:c r="A22" s="19" t="str">
        <x:v>ME2-WRL-LATTESH</x:v>
      </x:c>
      <x:c r="B22" s="7" t="str">
        <x:v>Lattesh</x:v>
      </x:c>
      <x:c r="C22" s="15" t="str">
        <x:v>Défini</x:v>
      </x:c>
      <x:c r="D22" s="17" t="str">
        <x:v>Établi</x:v>
      </x:c>
      <x:c r="E22" s="17" t="str">
        <x:v>P1</x:v>
      </x:c>
      <x:c r="F22" s="7" t="str">
        <x:v>Planète froide de Firewalker.</x:v>
      </x:c>
      <x:c r="G22" s="7" t="str">
        <x:v>Circuit de sondes en véhicule ; planifier le détour avant de quitter une source de chaleur.</x:v>
      </x:c>
      <x:c r="H22" s="7" t="str">
        <x:v>Circuit de sondes en véhicule ; planifier le détour avant de quitter une source de chaleur.</x:v>
      </x:c>
      <x:c r="I22" s="7" t="str">
        <x:v>Glace bleue, canyon et balises rouges.</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me2/worlds/lattesh ; rattacher les ressources et états cités à cet identifiant. Aucun fichier de jeu créé par ce catalogue.</x:v>
      </x:c>
      <x:c r="M22" s="7" t="str"/>
      <x:c r="N22" s="7" t="str">
        <x:v>Le livrable « Lattesh » possède une scène ou un scénario de contrôle ; ses règles proposées, ses conditions et ses retours visuels sont vérifiables séparément.</x:v>
      </x:c>
      <x:c r="O22" s="7" t="str"/>
      <x:c r="P22" s="7" t="str">
        <x:v>Lattesh</x:v>
      </x:c>
      <x:c r="Q22" s="7" t="str">
        <x:v>ME2-SRC-FIRE-COLD</x:v>
      </x:c>
      <x:c r="R22" s="21" t="str">
        <x:v>https://masseffect.fandom.com/wiki/Project_Firewalker%3A_Geth_Incursion</x:v>
      </x:c>
      <x:c r="S22" s="21" t="str">
        <x:v>Spécification à réaliser. Les champs adaptation, gameplay, visual, animation, audio et implementation décrivent le fan game ; ils ne donnent pas des caractéristiques officielles de l’œuvre.</x:v>
      </x:c>
    </x:row>
    <x:row r="23" ht="68" customHeight="1">
      <x:c r="A23" s="18" t="str">
        <x:v>ME2-WRL-ZEONA</x:v>
      </x:c>
      <x:c r="B23" s="9" t="str">
        <x:v>Zeona</x:v>
      </x:c>
      <x:c r="C23" s="15" t="str">
        <x:v>Défini</x:v>
      </x:c>
      <x:c r="D23" s="16" t="str">
        <x:v>Établi</x:v>
      </x:c>
      <x:c r="E23" s="16" t="str">
        <x:v>P1</x:v>
      </x:c>
      <x:c r="F23" s="9" t="str">
        <x:v>Site de récupération du Hammerhead.</x:v>
      </x:c>
      <x:c r="G23" s="9" t="str">
        <x:v>Terrain tutoriel sans piège létal non annoncé ; premiers prélèvements à faible pression.</x:v>
      </x:c>
      <x:c r="H23" s="9" t="str">
        <x:v>Terrain tutoriel sans piège létal non annoncé ; premiers prélèvements à faible pression.</x:v>
      </x:c>
      <x:c r="I23" s="9" t="str">
        <x:v>Roche et installation de recherche.</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me2/worlds/zeona ; rattacher les ressources et états cités à cet identifiant. Aucun fichier de jeu créé par ce catalogue.</x:v>
      </x:c>
      <x:c r="M23" s="9" t="str">
        <x:v>Firewalker.</x:v>
      </x:c>
      <x:c r="N23" s="9" t="str">
        <x:v>Le livrable « Zeona » possède une scène ou un scénario de contrôle ; ses règles proposées, ses conditions et ses retours visuels sont vérifiables séparément.</x:v>
      </x:c>
      <x:c r="O23" s="9" t="str"/>
      <x:c r="P23" s="9" t="str">
        <x:v>Zeona</x:v>
      </x:c>
      <x:c r="Q23" s="9" t="str">
        <x:v>ME2-SRC-FIRE-START</x:v>
      </x:c>
      <x:c r="R23" s="20" t="str">
        <x:v>https://masseffect.fandom.com/wiki/Project_Firewalker%3A_Rosalie_Lost</x:v>
      </x:c>
      <x:c r="S23" s="20" t="str">
        <x:v>Spécification à réaliser. Les champs adaptation, gameplay, visual, animation, audio et implementation décrivent le fan game ; ils ne donnent pas des caractéristiques officielles de l’œuvre.</x:v>
      </x:c>
    </x:row>
    <x:row r="24" ht="68" customHeight="1">
      <x:c r="A24" s="19" t="str">
        <x:v>ME2-WRL-HERETIC</x:v>
      </x:c>
      <x:c r="B24" s="7" t="str">
        <x:v>Station hérétique</x:v>
      </x:c>
      <x:c r="C24" s="15" t="str">
        <x:v>Défini</x:v>
      </x:c>
      <x:c r="D24" s="17" t="str">
        <x:v>Établi</x:v>
      </x:c>
      <x:c r="E24" s="17" t="str">
        <x:v>P1</x:v>
      </x:c>
      <x:c r="F24" s="7" t="str">
        <x:v>Le virus geth y est préparé.</x:v>
      </x:c>
      <x:c r="G24" s="7" t="str">
        <x:v>Stations de serveur reliées par couloirs ; réseau technique visible sans espaces sociaux organiques.</x:v>
      </x:c>
      <x:c r="H24" s="7" t="str">
        <x:v>Stations de serveur reliées par couloirs ; réseau technique visible sans espaces sociaux organiques.</x:v>
      </x:c>
      <x:c r="I24" s="7" t="str">
        <x:v>Noir, vert et surfaces fonctionnelles.</x:v>
      </x:c>
      <x:c r="J24" s="7" t="str">
        <x:v>Préparer état de repos, anticipation, activation et retour au repos ; aligner les événements visuels sur la résolution de l’action ATB.</x:v>
      </x:c>
      <x:c r="K24" s="7" t="str">
        <x:v>Créer des bruitages et ambiances originaux adaptés au livrable ; sous-titrer les indices utiles et proposer un réglage indépendant des effets. Aucune extraction audio demandée.</x:v>
      </x:c>
      <x:c r="L24" s="7" t="str">
        <x:v>Prévu : fiche de données me2/worlds/heretic ; rattacher les ressources et états cités à cet identifiant. Aucun fichier de jeu créé par ce catalogue.</x:v>
      </x:c>
      <x:c r="M24" s="7" t="str"/>
      <x:c r="N24" s="7" t="str">
        <x:v>Le livrable « Station hérétique » possède une scène ou un scénario de contrôle ; ses règles proposées, ses conditions et ses retours visuels sont vérifiables séparément.</x:v>
      </x:c>
      <x:c r="O24" s="7" t="str"/>
      <x:c r="P24" s="7" t="str">
        <x:v>Station hérétique</x:v>
      </x:c>
      <x:c r="Q24" s="7" t="str">
        <x:v>ME2-SRC-LEGION</x:v>
      </x:c>
      <x:c r="R24" s="21" t="str">
        <x:v>https://masseffect.fandom.com/wiki/Legion%3A_A_House_Divided</x:v>
      </x:c>
      <x:c r="S24" s="21" t="str">
        <x:v>Spécification à réaliser. Les champs adaptation, gameplay, visual, animation, audio et implementation décrivent le fan game ; ils ne donnent pas des caractéristiques officielles de l’œuvre.</x:v>
      </x:c>
    </x:row>
    <x:row r="25" ht="68" customHeight="1">
      <x:c r="A25" s="18" t="str">
        <x:v>ME2-WRL-COLLECTOR-BASE</x:v>
      </x:c>
      <x:c r="B25" s="9" t="str">
        <x:v>Base des Collecteurs</x:v>
      </x:c>
      <x:c r="C25" s="15" t="str">
        <x:v>Défini</x:v>
      </x:c>
      <x:c r="D25" s="16" t="str">
        <x:v>Établi</x:v>
      </x:c>
      <x:c r="E25" s="16" t="str">
        <x:v>P1</x:v>
      </x:c>
      <x:c r="F25" s="9" t="str">
        <x:v>Destination de la mission suicide.</x:v>
      </x:c>
      <x:c r="G25" s="9" t="str">
        <x:v>Macro-zone terminale à séquences verrouillées ; chaque transition conserve les pertes d’équipe.</x:v>
      </x:c>
      <x:c r="H25" s="9" t="str">
        <x:v>Macro-zone terminale à séquences verrouillées ; chaque transition conserve les pertes d’équipe.</x:v>
      </x:c>
      <x:c r="I25" s="9" t="str">
        <x:v>Biomatière, tubes et vide autour de la structure.</x:v>
      </x:c>
      <x:c r="J25" s="9" t="str">
        <x:v>Préparer état de repos, anticipation, activation et retour au repos ; aligner les événements visuels sur la résolution de l’action ATB.</x:v>
      </x:c>
      <x:c r="K25" s="9" t="str">
        <x:v>Créer des bruitages et ambiances originaux adaptés au livrable ; sous-titrer les indices utiles et proposer un réglage indépendant des effets. Aucune extraction audio demandée.</x:v>
      </x:c>
      <x:c r="L25" s="9" t="str">
        <x:v>Prévu : fiche de données me2/worlds/collector-base ; rattacher les ressources et états cités à cet identifiant. Aucun fichier de jeu créé par ce catalogue.</x:v>
      </x:c>
      <x:c r="M25" s="9" t="str"/>
      <x:c r="N25" s="9" t="str">
        <x:v>Le livrable « Base des Collecteurs » possède une scène ou un scénario de contrôle ; ses règles proposées, ses conditions et ses retours visuels sont vérifiables séparément.</x:v>
      </x:c>
      <x:c r="O25" s="9" t="str"/>
      <x:c r="P25" s="9" t="str">
        <x:v>Base des Collecteurs</x:v>
      </x:c>
      <x:c r="Q25" s="9" t="str">
        <x:v>ME2-SRC-INFIL, ME2-SRC-WALK, ME2-SRC-FINAL</x:v>
      </x:c>
      <x:c r="R25" s="20" t="str">
        <x:v>https://masseffect.fandom.com/wiki/Collector_Base%3A_Infiltration
https://masseffect.fandom.com/wiki/Collector_Base%3A_The_Long_Walk
https://masseffect.fandom.com/wiki/Collector_Base%3A_Final_Battle</x:v>
      </x:c>
      <x:c r="S25" s="20" t="str">
        <x:v>Spécification à réaliser. Les champs adaptation, gameplay, visual, animation, audio et implementation décrivent le fan game ; ils ne donnent pas des caractéristiques officielles de l’œuvre.</x:v>
      </x:c>
    </x:row>
  </x:sheetData>
  <x:conditionalFormatting sqref="D7:D25">
    <x:cfRule type="cellIs" dxfId="12" priority="1" operator="equal">
      <x:formula>"À vérifier"</x:formula>
    </x:cfRule>
    <x:cfRule type="cellIs" dxfId="13" priority="2" operator="equal">
      <x:formula>"Extrapolation"</x:formula>
    </x:cfRule>
  </x:conditionalFormatting>
  <x:conditionalFormatting sqref="C7:C25">
    <x:cfRule type="cellIs" dxfId="14" priority="3" operator="equal">
      <x:formula>"Validé"</x:formula>
    </x:cfRule>
  </x:conditionalFormatting>
  <x:conditionalFormatting sqref="E7:E25">
    <x:cfRule type="cellIs" dxfId="15" priority="4" operator="equal">
      <x:formula>"P0"</x:formula>
    </x:cfRule>
  </x:conditionalFormatting>
  <x:dataValidations count="3">
    <x:dataValidation type="list" sqref="C7:C25">
      <x:formula1>"Défini,Prototype,Intégré,Validé"</x:formula1>
    </x:dataValidation>
    <x:dataValidation type="list" sqref="D7:D25">
      <x:formula1>"Établi,À vérifier,Extrapolation,Coupé attesté,Concept abandonné,Allégation écartée"</x:formula1>
    </x:dataValidation>
    <x:dataValidation type="list" sqref="E7:E25">
      <x:formula1>"P0,P1,P2"</x:formula1>
    </x:dataValidation>
  </x:dataValidations>
  <x:pageMargins left="0.7" right="0.7" top="0.75" bottom="0.75" header="0.3" footer="0.3"/>
  <x:tableParts count="1">
    <x:tablePart xmlns:r="http://schemas.openxmlformats.org/officeDocument/2006/relationships" r:id="R16eea246881e43f2"/>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Zones</x:v>
      </x:c>
      <x:c r="B2" s="2"/>
      <x:c r="C2" s="2"/>
      <x:c r="D2" s="2"/>
      <x:c r="E2" s="2"/>
      <x:c r="F2" s="2"/>
      <x:c r="G2" s="2"/>
      <x:c r="H2" s="2"/>
      <x:c r="I2" s="2"/>
      <x:c r="J2" s="2"/>
      <x:c r="K2" s="2"/>
      <x:c r="L2" s="2"/>
      <x:c r="M2" s="2"/>
      <x:c r="N2" s="2"/>
      <x:c r="O2" s="2"/>
      <x:c r="P2" s="2"/>
      <x:c r="Q2" s="2"/>
      <x:c r="R2" s="2"/>
      <x:c r="S2" s="2"/>
    </x:row>
    <x:row r="3" ht="22" customHeight="1">
      <x:c r="A3" s="4" t="str">
        <x:v>Mass Effect 2 — Pièces, espaces extérieurs et points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ME2-ZON-NORMANDY-CIC</x:v>
      </x:c>
      <x:c r="B7" s="9" t="str">
        <x:v>Normandy SR-2 — CIC</x:v>
      </x:c>
      <x:c r="C7" s="15" t="str">
        <x:v>Défini</x:v>
      </x:c>
      <x:c r="D7" s="16" t="str">
        <x:v>Établi</x:v>
      </x:c>
      <x:c r="E7" s="16" t="str">
        <x:v>P1</x:v>
      </x:c>
      <x:c r="F7" s="9" t="str">
        <x:v>Centre de commandement de Shepard.</x:v>
      </x:c>
      <x:c r="G7" s="9" t="str">
        <x:v>Boucle briefing, carte et contacts ; réserver la caméra d’action aux incursions narratives.</x:v>
      </x:c>
      <x:c r="H7" s="9" t="str">
        <x:v>Boucle briefing, carte et contacts ; réserver la caméra d’action aux incursions narratives.</x:v>
      </x:c>
      <x:c r="I7" s="9" t="str">
        <x:v>Passerelles, carte holographique et postes Cerberus.</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me2/zones/normandy-cic ; rattacher les ressources et états cités à cet identifiant. Aucun fichier de jeu créé par ce catalogue.</x:v>
      </x:c>
      <x:c r="M7" s="9" t="str"/>
      <x:c r="N7" s="9" t="str">
        <x:v>Le livrable « Normandy SR-2 — CIC » possède une scène ou un scénario de contrôle ; ses règles proposées, ses conditions et ses retours visuels sont vérifiables séparément.</x:v>
      </x:c>
      <x:c r="O7" s="9" t="str"/>
      <x:c r="P7" s="9" t="str">
        <x:v>Normandy SR-2 — CIC</x:v>
      </x:c>
      <x:c r="Q7" s="9" t="str">
        <x:v>ME2-SRC-STORY</x:v>
      </x:c>
      <x:c r="R7" s="20" t="str">
        <x:v>https://masseffect.fandom.com/wiki/Storyline_II</x:v>
      </x:c>
      <x:c r="S7" s="20" t="str">
        <x:v>Spécification à réaliser. Les champs adaptation, gameplay, visual, animation, audio et implementation décrivent le fan game ; ils ne donnent pas des caractéristiques officielles de l’œuvre.</x:v>
      </x:c>
    </x:row>
    <x:row r="8" ht="68" customHeight="1">
      <x:c r="A8" s="19" t="str">
        <x:v>ME2-ZON-NORMANDY-CABIN</x:v>
      </x:c>
      <x:c r="B8" s="7" t="str">
        <x:v>Normandy — cabine de Shepard</x:v>
      </x:c>
      <x:c r="C8" s="15" t="str">
        <x:v>Défini</x:v>
      </x:c>
      <x:c r="D8" s="17" t="str">
        <x:v>Établi</x:v>
      </x:c>
      <x:c r="E8" s="17" t="str">
        <x:v>P1</x:v>
      </x:c>
      <x:c r="F8" s="7" t="str">
        <x:v>Espace personnel du commandant.</x:v>
      </x:c>
      <x:c r="G8" s="7" t="str">
        <x:v>Équipement, messages personnels et souvenirs avec interaction proche du lit ou du bureau ; aucune jauge combat.</x:v>
      </x:c>
      <x:c r="H8" s="7" t="str">
        <x:v>Équipement, messages personnels et souvenirs avec interaction proche du lit ou du bureau ; aucune jauge combat.</x:v>
      </x:c>
      <x:c r="I8" s="7" t="str">
        <x:v>Bois sombre, baie spatiale et objets personnels.</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me2/zones/normandy-cabin ; rattacher les ressources et états cités à cet identifiant. Aucun fichier de jeu créé par ce catalogue.</x:v>
      </x:c>
      <x:c r="M8" s="7" t="str"/>
      <x:c r="N8" s="7" t="str">
        <x:v>Le livrable « Normandy — cabine de Shepard » possède une scène ou un scénario de contrôle ; ses règles proposées, ses conditions et ses retours visuels sont vérifiables séparément.</x:v>
      </x:c>
      <x:c r="O8" s="7" t="str"/>
      <x:c r="P8" s="7" t="str">
        <x:v>Normandy — cabine de Shepard</x:v>
      </x:c>
      <x:c r="Q8" s="7" t="str">
        <x:v>ME2-SRC-GUIDE</x:v>
      </x:c>
      <x:c r="R8" s="21" t="str">
        <x:v>https://masseffect.fandom.com/wiki/Mass_Effect_2_Guide</x:v>
      </x:c>
      <x:c r="S8" s="21" t="str">
        <x:v>Spécification à réaliser. Les champs adaptation, gameplay, visual, animation, audio et implementation décrivent le fan game ; ils ne donnent pas des caractéristiques officielles de l’œuvre.</x:v>
      </x:c>
    </x:row>
    <x:row r="9" ht="68" customHeight="1">
      <x:c r="A9" s="18" t="str">
        <x:v>ME2-ZON-NORMANDY-LAB</x:v>
      </x:c>
      <x:c r="B9" s="9" t="str">
        <x:v>Normandy — laboratoire</x:v>
      </x:c>
      <x:c r="C9" s="15" t="str">
        <x:v>Défini</x:v>
      </x:c>
      <x:c r="D9" s="16" t="str">
        <x:v>Établi</x:v>
      </x:c>
      <x:c r="E9" s="16" t="str">
        <x:v>P1</x:v>
      </x:c>
      <x:c r="F9" s="9" t="str">
        <x:v>Mordin travaille au laboratoire.</x:v>
      </x:c>
      <x:c r="G9" s="9" t="str">
        <x:v>Regrouper recherche, consultation de ressources et conversation dans des points d’interaction séparés.</x:v>
      </x:c>
      <x:c r="H9" s="9" t="str">
        <x:v>Regrouper recherche, consultation de ressources et conversation dans des points d’interaction séparés.</x:v>
      </x:c>
      <x:c r="I9" s="9" t="str">
        <x:v>Tables claires, instruments et écran de recherche.</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me2/zones/normandy-lab ; rattacher les ressources et états cités à cet identifiant. Aucun fichier de jeu créé par ce catalogue.</x:v>
      </x:c>
      <x:c r="M9" s="9" t="str"/>
      <x:c r="N9" s="9" t="str">
        <x:v>Le livrable « Normandy — laboratoire » possède une scène ou un scénario de contrôle ; ses règles proposées, ses conditions et ses retours visuels sont vérifiables séparément.</x:v>
      </x:c>
      <x:c r="O9" s="9" t="str"/>
      <x:c r="P9" s="9" t="str">
        <x:v>Normandy — laboratoire</x:v>
      </x:c>
      <x:c r="Q9" s="9" t="str">
        <x:v>ME2-SRC-PROF, ME2-SRC-UPGRADE</x:v>
      </x:c>
      <x:c r="R9" s="20" t="str">
        <x:v>https://masseffect.fandom.com/wiki/Dossier%3A_The_Professor
https://masseffect.fandom.com/wiki/Upgrade_Guide</x:v>
      </x:c>
      <x:c r="S9" s="20" t="str">
        <x:v>Spécification à réaliser. Les champs adaptation, gameplay, visual, animation, audio et implementation décrivent le fan game ; ils ne donnent pas des caractéristiques officielles de l’œuvre.</x:v>
      </x:c>
    </x:row>
    <x:row r="10" ht="68" customHeight="1">
      <x:c r="A10" s="19" t="str">
        <x:v>ME2-ZON-NORMANDY-ENGINE</x:v>
      </x:c>
      <x:c r="B10" s="7" t="str">
        <x:v>Normandy — ingénierie</x:v>
      </x:c>
      <x:c r="C10" s="15" t="str">
        <x:v>Défini</x:v>
      </x:c>
      <x:c r="D10" s="17" t="str">
        <x:v>Établi</x:v>
      </x:c>
      <x:c r="E10" s="17" t="str">
        <x:v>P1</x:v>
      </x:c>
      <x:c r="F10" s="7" t="str">
        <x:v>L’ingénierie accueille plusieurs membres d’équipage.</x:v>
      </x:c>
      <x:c r="G10" s="7" t="str">
        <x:v>Connecter passerelle technique, cœur et niches d’équipiers ; poser l’audio ambiant sous la parole.</x:v>
      </x:c>
      <x:c r="H10" s="7" t="str">
        <x:v>Connecter passerelle technique, cœur et niches d’équipiers ; poser l’audio ambiant sous la parole.</x:v>
      </x:c>
      <x:c r="I10" s="7" t="str">
        <x:v>Cœur bleu et réseaux de conduites.</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me2/zones/normandy-engine ; rattacher les ressources et états cités à cet identifiant. Aucun fichier de jeu créé par ce catalogue.</x:v>
      </x:c>
      <x:c r="M10" s="7" t="str"/>
      <x:c r="N10" s="7" t="str">
        <x:v>Le livrable « Normandy — ingénierie » possède une scène ou un scénario de contrôle ; ses règles proposées, ses conditions et ses retours visuels sont vérifiables séparément.</x:v>
      </x:c>
      <x:c r="O10" s="7" t="str"/>
      <x:c r="P10" s="7" t="str">
        <x:v>Normandy — ingénierie</x:v>
      </x:c>
      <x:c r="Q10" s="7" t="str">
        <x:v>ME2-SRC-ASSIGN, ME2-SRC-SQUAD</x:v>
      </x:c>
      <x:c r="R10" s="21" t="str">
        <x:v>https://masseffect.fandom.com/wiki/Assignments
https://masseffect.fandom.com/wiki/Squad_Members_Guide_%28Mass_Effect_2%29</x:v>
      </x:c>
      <x:c r="S10" s="21" t="str">
        <x:v>Spécification à réaliser. Les champs adaptation, gameplay, visual, animation, audio et implementation décrivent le fan game ; ils ne donnent pas des caractéristiques officielles de l’œuvre.</x:v>
      </x:c>
    </x:row>
    <x:row r="11" ht="68" customHeight="1">
      <x:c r="A11" s="18" t="str">
        <x:v>ME2-ZON-NORMANDY-MESS</x:v>
      </x:c>
      <x:c r="B11" s="9" t="str">
        <x:v>Normandy — mess et infirmerie</x:v>
      </x:c>
      <x:c r="C11" s="15" t="str">
        <x:v>Défini</x:v>
      </x:c>
      <x:c r="D11" s="16" t="str">
        <x:v>Établi</x:v>
      </x:c>
      <x:c r="E11" s="16" t="str">
        <x:v>P1</x:v>
      </x:c>
      <x:c r="F11" s="9" t="str">
        <x:v>Vie quotidienne et soins à bord.</x:v>
      </x:c>
      <x:c r="G11" s="9" t="str">
        <x:v>Deux zones calmes permettant scènes d’équipage et traitement du medi-gel sans ouvrir le menu de combat.</x:v>
      </x:c>
      <x:c r="H11" s="9" t="str">
        <x:v>Deux zones calmes permettant scènes d’équipage et traitement du medi-gel sans ouvrir le menu de combat.</x:v>
      </x:c>
      <x:c r="I11" s="9" t="str">
        <x:v>Cuisine, tables et lits médicaux.</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me2/zones/normandy-mess ; rattacher les ressources et états cités à cet identifiant. Aucun fichier de jeu créé par ce catalogue.</x:v>
      </x:c>
      <x:c r="M11" s="9" t="str"/>
      <x:c r="N11" s="9" t="str">
        <x:v>Le livrable « Normandy — mess et infirmerie » possède une scène ou un scénario de contrôle ; ses règles proposées, ses conditions et ses retours visuels sont vérifiables séparément.</x:v>
      </x:c>
      <x:c r="O11" s="9" t="str"/>
      <x:c r="P11" s="9" t="str">
        <x:v>Normandy — mess et infirmerie</x:v>
      </x:c>
      <x:c r="Q11" s="9" t="str">
        <x:v>ME2-SRC-ASSIGN</x:v>
      </x:c>
      <x:c r="R11" s="20" t="str">
        <x:v>https://masseffect.fandom.com/wiki/Assignments</x:v>
      </x:c>
      <x:c r="S11" s="20" t="str">
        <x:v>Spécification à réaliser. Les champs adaptation, gameplay, visual, animation, audio et implementation décrivent le fan game ; ils ne donnent pas des caractéristiques officielles de l’œuvre.</x:v>
      </x:c>
    </x:row>
    <x:row r="12" ht="68" customHeight="1">
      <x:c r="A12" s="19" t="str">
        <x:v>ME2-ZON-AFTERLIFE</x:v>
      </x:c>
      <x:c r="B12" s="7" t="str">
        <x:v>Afterlife</x:v>
      </x:c>
      <x:c r="C12" s="15" t="str">
        <x:v>Défini</x:v>
      </x:c>
      <x:c r="D12" s="17" t="str">
        <x:v>Établi</x:v>
      </x:c>
      <x:c r="E12" s="17" t="str">
        <x:v>P1</x:v>
      </x:c>
      <x:c r="F12" s="7" t="str">
        <x:v>Club d’Aria sur Omega.</x:v>
      </x:c>
      <x:c r="G12" s="7" t="str">
        <x:v>Plan social en deux niveaux ; l’accès VIP appartient au graphe d’enquête de Morinth.</x:v>
      </x:c>
      <x:c r="H12" s="7" t="str">
        <x:v>Plan social en deux niveaux ; l’accès VIP appartient au graphe d’enquête de Morinth.</x:v>
      </x:c>
      <x:c r="I12" s="7" t="str">
        <x:v>Néons orange, bar, scène et banquette haute.</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me2/zones/afterlife ; rattacher les ressources et états cités à cet identifiant. Aucun fichier de jeu créé par ce catalogue.</x:v>
      </x:c>
      <x:c r="M12" s="7" t="str"/>
      <x:c r="N12" s="7" t="str">
        <x:v>Le livrable « Afterlife » possède une scène ou un scénario de contrôle ; ses règles proposées, ses conditions et ses retours visuels sont vérifiables séparément.</x:v>
      </x:c>
      <x:c r="O12" s="7" t="str"/>
      <x:c r="P12" s="7" t="str">
        <x:v>Afterlife</x:v>
      </x:c>
      <x:c r="Q12" s="7" t="str">
        <x:v>ME2-SRC-OMEGA, ME2-SRC-SAMARA</x:v>
      </x:c>
      <x:c r="R12" s="21" t="str">
        <x:v>https://masseffect.fandom.com/wiki/Omega
https://masseffect.fandom.com/wiki/Samara%3A_The_Ardat-Yakshi</x:v>
      </x:c>
      <x:c r="S12" s="21" t="str">
        <x:v>Spécification à réaliser. Les champs adaptation, gameplay, visual, animation, audio et implementation décrivent le fan game ; ils ne donnent pas des caractéristiques officielles de l’œuvre.</x:v>
      </x:c>
    </x:row>
    <x:row r="13" ht="68" customHeight="1">
      <x:c r="A13" s="18" t="str">
        <x:v>ME2-ZON-OMEGA-MARKET</x:v>
      </x:c>
      <x:c r="B13" s="9" t="str">
        <x:v>Omega — marché</x:v>
      </x:c>
      <x:c r="C13" s="15" t="str">
        <x:v>Défini</x:v>
      </x:c>
      <x:c r="D13" s="16" t="str">
        <x:v>Établi</x:v>
      </x:c>
      <x:c r="E13" s="16" t="str">
        <x:v>P1</x:v>
      </x:c>
      <x:c r="F13" s="9" t="str">
        <x:v>Hub de marchands et demandes locales.</x:v>
      </x:c>
      <x:c r="G13" s="9" t="str">
        <x:v>Parcours court entre vendeurs ; afficher le nom de boutique à l’approche avec filtre de quête.</x:v>
      </x:c>
      <x:c r="H13" s="9" t="str">
        <x:v>Parcours court entre vendeurs ; afficher le nom de boutique à l’approche avec filtre de quête.</x:v>
      </x:c>
      <x:c r="I13" s="9" t="str">
        <x:v>Étal de récupération, enseignes et canalisations.</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me2/zones/omega-market ; rattacher les ressources et états cités à cet identifiant. Aucun fichier de jeu créé par ce catalogue.</x:v>
      </x:c>
      <x:c r="M13" s="9" t="str"/>
      <x:c r="N13" s="9" t="str">
        <x:v>Le livrable « Omega — marché » possède une scène ou un scénario de contrôle ; ses règles proposées, ses conditions et ses retours visuels sont vérifiables séparément.</x:v>
      </x:c>
      <x:c r="O13" s="9" t="str"/>
      <x:c r="P13" s="9" t="str">
        <x:v>Omega — marché</x:v>
      </x:c>
      <x:c r="Q13" s="9" t="str">
        <x:v>ME2-SRC-MERCHANTS</x:v>
      </x:c>
      <x:c r="R13" s="20" t="str">
        <x:v>https://masseffect.fandom.com/wiki/Merchants_Guide</x:v>
      </x:c>
      <x:c r="S13" s="20" t="str">
        <x:v>Spécification à réaliser. Les champs adaptation, gameplay, visual, animation, audio et implementation décrivent le fan game ; ils ne donnent pas des caractéristiques officielles de l’œuvre.</x:v>
      </x:c>
    </x:row>
    <x:row r="14" ht="68" customHeight="1">
      <x:c r="A14" s="19" t="str">
        <x:v>ME2-ZON-OMEGA-CLINIC</x:v>
      </x:c>
      <x:c r="B14" s="7" t="str">
        <x:v>Omega — clinique de Mordin</x:v>
      </x:c>
      <x:c r="C14" s="15" t="str">
        <x:v>Défini</x:v>
      </x:c>
      <x:c r="D14" s="17" t="str">
        <x:v>Établi</x:v>
      </x:c>
      <x:c r="E14" s="17" t="str">
        <x:v>P1</x:v>
      </x:c>
      <x:c r="F14" s="7" t="str">
        <x:v>Mordin soigne la quarantaine.</x:v>
      </x:c>
      <x:c r="G14" s="7" t="str">
        <x:v>Sanctuaire de conversation séparé des combats ; traiter les arrivées de civils après les décisions.</x:v>
      </x:c>
      <x:c r="H14" s="7" t="str">
        <x:v>Sanctuaire de conversation séparé des combats ; traiter les arrivées de civils après les décisions.</x:v>
      </x:c>
      <x:c r="I14" s="7" t="str">
        <x:v>Lumière blanche médicale au milieu du brun industriel.</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me2/zones/omega-clinic ; rattacher les ressources et états cités à cet identifiant. Aucun fichier de jeu créé par ce catalogue.</x:v>
      </x:c>
      <x:c r="M14" s="7" t="str"/>
      <x:c r="N14" s="7" t="str">
        <x:v>Le livrable « Omega — clinique de Mordin » possède une scène ou un scénario de contrôle ; ses règles proposées, ses conditions et ses retours visuels sont vérifiables séparément.</x:v>
      </x:c>
      <x:c r="O14" s="7" t="str"/>
      <x:c r="P14" s="7" t="str">
        <x:v>Omega — clinique de Mordin</x:v>
      </x:c>
      <x:c r="Q14" s="7" t="str">
        <x:v>ME2-SRC-PROF</x:v>
      </x:c>
      <x:c r="R14" s="21" t="str">
        <x:v>https://masseffect.fandom.com/wiki/Dossier%3A_The_Professor</x:v>
      </x:c>
      <x:c r="S14" s="21" t="str">
        <x:v>Spécification à réaliser. Les champs adaptation, gameplay, visual, animation, audio et implementation décrivent le fan game ; ils ne donnent pas des caractéristiques officielles de l’œuvre.</x:v>
      </x:c>
    </x:row>
    <x:row r="15" ht="68" customHeight="1">
      <x:c r="A15" s="18" t="str">
        <x:v>ME2-ZON-OMEGA-VENT</x:v>
      </x:c>
      <x:c r="B15" s="9" t="str">
        <x:v>Omega — contrôle de ventilation</x:v>
      </x:c>
      <x:c r="C15" s="15" t="str">
        <x:v>Défini</x:v>
      </x:c>
      <x:c r="D15" s="16" t="str">
        <x:v>Établi</x:v>
      </x:c>
      <x:c r="E15" s="16" t="str">
        <x:v>P1</x:v>
      </x:c>
      <x:c r="F15" s="9" t="str">
        <x:v>La cure passe par la ventilation.</x:v>
      </x:c>
      <x:c r="G15" s="9" t="str">
        <x:v>Arène en éventail avec deux consoles ; l’activation nécessite une interruption de menace plutôt qu’un long canal aveugle.</x:v>
      </x:c>
      <x:c r="H15" s="9" t="str">
        <x:v>Arène en éventail avec deux consoles ; l’activation nécessite une interruption de menace plutôt qu’un long canal aveugle.</x:v>
      </x:c>
      <x:c r="I15" s="9" t="str">
        <x:v>Ventilateurs, conduits et passerelles.</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me2/zones/omega-vent ; rattacher les ressources et états cités à cet identifiant. Aucun fichier de jeu créé par ce catalogue.</x:v>
      </x:c>
      <x:c r="M15" s="9" t="str"/>
      <x:c r="N15" s="9" t="str">
        <x:v>Le livrable « Omega — contrôle de ventilation » possède une scène ou un scénario de contrôle ; ses règles proposées, ses conditions et ses retours visuels sont vérifiables séparément.</x:v>
      </x:c>
      <x:c r="O15" s="9" t="str"/>
      <x:c r="P15" s="9" t="str">
        <x:v>Omega — contrôle de ventilation</x:v>
      </x:c>
      <x:c r="Q15" s="9" t="str">
        <x:v>ME2-SRC-PROF</x:v>
      </x:c>
      <x:c r="R15" s="20" t="str">
        <x:v>https://masseffect.fandom.com/wiki/Dossier%3A_The_Professor</x:v>
      </x:c>
      <x:c r="S15" s="20" t="str">
        <x:v>Spécification à réaliser. Les champs adaptation, gameplay, visual, animation, audio et implementation décrivent le fan game ; ils ne donnent pas des caractéristiques officielles de l’œuvre.</x:v>
      </x:c>
    </x:row>
    <x:row r="16" ht="68" customHeight="1">
      <x:c r="A16" s="19" t="str">
        <x:v>ME2-ZON-ARCHANGEL-HOUSE</x:v>
      </x:c>
      <x:c r="B16" s="7" t="str">
        <x:v>Omega — refuge d’Archangel</x:v>
      </x:c>
      <x:c r="C16" s="15" t="str">
        <x:v>Défini</x:v>
      </x:c>
      <x:c r="D16" s="17" t="str">
        <x:v>Établi</x:v>
      </x:c>
      <x:c r="E16" s="17" t="str">
        <x:v>P1</x:v>
      </x:c>
      <x:c r="F16" s="7" t="str">
        <x:v>Le refuge est assiégé.</x:v>
      </x:c>
      <x:c r="G16" s="7" t="str">
        <x:v>Deux étages et un pont ; l’arrière-garde peut fermer les accès pendant qu’un tireur protège le balcon.</x:v>
      </x:c>
      <x:c r="H16" s="7" t="str">
        <x:v>Deux étages et un pont ; l’arrière-garde peut fermer les accès pendant qu’un tireur protège le balcon.</x:v>
      </x:c>
      <x:c r="I16" s="7" t="str">
        <x:v>Murs éventrés et sacs de couverture.</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me2/zones/archangel-house ; rattacher les ressources et états cités à cet identifiant. Aucun fichier de jeu créé par ce catalogue.</x:v>
      </x:c>
      <x:c r="M16" s="7" t="str"/>
      <x:c r="N16" s="7" t="str">
        <x:v>Le livrable « Omega — refuge d’Archangel » possède une scène ou un scénario de contrôle ; ses règles proposées, ses conditions et ses retours visuels sont vérifiables séparément.</x:v>
      </x:c>
      <x:c r="O16" s="7" t="str"/>
      <x:c r="P16" s="7" t="str">
        <x:v>Omega — refuge d’Archangel</x:v>
      </x:c>
      <x:c r="Q16" s="7" t="str">
        <x:v>ME2-SRC-ARCHANGEL</x:v>
      </x:c>
      <x:c r="R16" s="21" t="str">
        <x:v>https://masseffect.fandom.com/wiki/Dossier%3A_Archangel</x:v>
      </x:c>
      <x:c r="S16" s="21" t="str">
        <x:v>Spécification à réaliser. Les champs adaptation, gameplay, visual, animation, audio et implementation décrivent le fan game ; ils ne donnent pas des caractéristiques officielles de l’œuvre.</x:v>
      </x:c>
    </x:row>
    <x:row r="17" ht="68" customHeight="1">
      <x:c r="A17" s="18" t="str">
        <x:v>ME2-ZON-PURGATORY</x:v>
      </x:c>
      <x:c r="B17" s="9" t="str">
        <x:v>Purgatory — blocs de détention</x:v>
      </x:c>
      <x:c r="C17" s="15" t="str">
        <x:v>Défini</x:v>
      </x:c>
      <x:c r="D17" s="16" t="str">
        <x:v>Établi</x:v>
      </x:c>
      <x:c r="E17" s="16" t="str">
        <x:v>P1</x:v>
      </x:c>
      <x:c r="F17" s="9" t="str">
        <x:v>Jack est retenue dans le vaisseau prison.</x:v>
      </x:c>
      <x:c r="G17" s="9" t="str">
        <x:v>Succession inspection, cellules, couloirs cassés et commandement ; les portes changent de logique après alerte.</x:v>
      </x:c>
      <x:c r="H17" s="9" t="str">
        <x:v>Succession inspection, cellules, couloirs cassés et commandement ; les portes changent de logique après alerte.</x:v>
      </x:c>
      <x:c r="I17" s="9" t="str">
        <x:v>Cellules transparentes et générateurs blindés.</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me2/zones/purgatory ; rattacher les ressources et états cités à cet identifiant. Aucun fichier de jeu créé par ce catalogue.</x:v>
      </x:c>
      <x:c r="M17" s="9" t="str"/>
      <x:c r="N17" s="9" t="str">
        <x:v>Le livrable « Purgatory — blocs de détention » possède une scène ou un scénario de contrôle ; ses règles proposées, ses conditions et ses retours visuels sont vérifiables séparément.</x:v>
      </x:c>
      <x:c r="O17" s="9" t="str"/>
      <x:c r="P17" s="9" t="str">
        <x:v>Purgatory — blocs de détention</x:v>
      </x:c>
      <x:c r="Q17" s="9" t="str">
        <x:v>ME2-SRC-CONVICT</x:v>
      </x:c>
      <x:c r="R17" s="20" t="str">
        <x:v>https://masseffect.fandom.com/wiki/Dossier%3A_The_Convict</x:v>
      </x:c>
      <x:c r="S17" s="20" t="str">
        <x:v>Spécification à réaliser. Les champs adaptation, gameplay, visual, animation, audio et implementation décrivent le fan game ; ils ne donnent pas des caractéristiques officielles de l’œuvre.</x:v>
      </x:c>
    </x:row>
    <x:row r="18" ht="68" customHeight="1">
      <x:c r="A18" s="19" t="str">
        <x:v>ME2-ZON-KORLUS-LAB</x:v>
      </x:c>
      <x:c r="B18" s="7" t="str">
        <x:v>Korlus — laboratoire d’Okeer</x:v>
      </x:c>
      <x:c r="C18" s="15" t="str">
        <x:v>Défini</x:v>
      </x:c>
      <x:c r="D18" s="17" t="str">
        <x:v>Établi</x:v>
      </x:c>
      <x:c r="E18" s="17" t="str">
        <x:v>P1</x:v>
      </x:c>
      <x:c r="F18" s="7" t="str">
        <x:v>La cuve de Grunt y est récupérée.</x:v>
      </x:c>
      <x:c r="G18" s="7" t="str">
        <x:v>Boss à renforts limités ; cuve protégée du ciblage et du loot de combat.</x:v>
      </x:c>
      <x:c r="H18" s="7" t="str">
        <x:v>Boss à renforts limités ; cuve protégée du ciblage et du loot de combat.</x:v>
      </x:c>
      <x:c r="I18" s="7" t="str">
        <x:v>Cuves vertes, métal récupéré et plateforme de commande.</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me2/zones/korlus-lab ; rattacher les ressources et états cités à cet identifiant. Aucun fichier de jeu créé par ce catalogue.</x:v>
      </x:c>
      <x:c r="M18" s="7" t="str"/>
      <x:c r="N18" s="7" t="str">
        <x:v>Le livrable « Korlus — laboratoire d’Okeer » possède une scène ou un scénario de contrôle ; ses règles proposées, ses conditions et ses retours visuels sont vérifiables séparément.</x:v>
      </x:c>
      <x:c r="O18" s="7" t="str"/>
      <x:c r="P18" s="7" t="str">
        <x:v>Korlus — laboratoire d’Okeer</x:v>
      </x:c>
      <x:c r="Q18" s="7" t="str">
        <x:v>ME2-SRC-WARLORD</x:v>
      </x:c>
      <x:c r="R18" s="21" t="str">
        <x:v>https://masseffect.fandom.com/wiki/Dossier%3A_The_Warlord</x:v>
      </x:c>
      <x:c r="S18" s="21" t="str">
        <x:v>Spécification à réaliser. Les champs adaptation, gameplay, visual, animation, audio et implementation décrivent le fan game ; ils ne donnent pas des caractéristiques officielles de l’œuvre.</x:v>
      </x:c>
    </x:row>
    <x:row r="19" ht="68" customHeight="1">
      <x:c r="A19" s="18" t="str">
        <x:v>ME2-ZON-HORIZON-TURRETS</x:v>
      </x:c>
      <x:c r="B19" s="9" t="str">
        <x:v>Horizon — défenses de colonie</x:v>
      </x:c>
      <x:c r="C19" s="15" t="str">
        <x:v>Défini</x:v>
      </x:c>
      <x:c r="D19" s="16" t="str">
        <x:v>Établi</x:v>
      </x:c>
      <x:c r="E19" s="16" t="str">
        <x:v>P1</x:v>
      </x:c>
      <x:c r="F19" s="9" t="str">
        <x:v>Le combat culmine aux défenses.</x:v>
      </x:c>
      <x:c r="G19" s="9" t="str">
        <x:v>Anneau de couverture où le Praetorian menace progressivement les abris ; laisser une échappatoire continue.</x:v>
      </x:c>
      <x:c r="H19" s="9" t="str">
        <x:v>Anneau de couverture où le Praetorian menace progressivement les abris ; laisser une échappatoire continue.</x:v>
      </x:c>
      <x:c r="I19" s="9" t="str">
        <x:v>Canons et hangar agricole.</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me2/zones/horizon-turrets ; rattacher les ressources et états cités à cet identifiant. Aucun fichier de jeu créé par ce catalogue.</x:v>
      </x:c>
      <x:c r="M19" s="9" t="str"/>
      <x:c r="N19" s="9" t="str">
        <x:v>Le livrable « Horizon — défenses de colonie » possède une scène ou un scénario de contrôle ; ses règles proposées, ses conditions et ses retours visuels sont vérifiables séparément.</x:v>
      </x:c>
      <x:c r="O19" s="9" t="str"/>
      <x:c r="P19" s="9" t="str">
        <x:v>Horizon — défenses de colonie</x:v>
      </x:c>
      <x:c r="Q19" s="9" t="str">
        <x:v>ME2-SRC-HORIZON</x:v>
      </x:c>
      <x:c r="R19" s="20" t="str">
        <x:v>https://masseffect.fandom.com/wiki/Horizon_%28mission%29</x:v>
      </x:c>
      <x:c r="S19" s="20" t="str">
        <x:v>Spécification à réaliser. Les champs adaptation, gameplay, visual, animation, audio et implementation décrivent le fan game ; ils ne donnent pas des caractéristiques officielles de l’œuvre.</x:v>
      </x:c>
    </x:row>
    <x:row r="20" ht="68" customHeight="1">
      <x:c r="A20" s="19" t="str">
        <x:v>ME2-ZON-DANTIUS</x:v>
      </x:c>
      <x:c r="B20" s="7" t="str">
        <x:v>Tours Dantius</x:v>
      </x:c>
      <x:c r="C20" s="15" t="str">
        <x:v>Défini</x:v>
      </x:c>
      <x:c r="D20" s="17" t="str">
        <x:v>Établi</x:v>
      </x:c>
      <x:c r="E20" s="17" t="str">
        <x:v>P1</x:v>
      </x:c>
      <x:c r="F20" s="7" t="str">
        <x:v>Lieu du recrutement de Thane.</x:v>
      </x:c>
      <x:c r="G20" s="7" t="str">
        <x:v>Ascension en trois étages et pont aérien ; l’ascenseur sert de respiration entre arènes.</x:v>
      </x:c>
      <x:c r="H20" s="7" t="str">
        <x:v>Ascension en trois étages et pont aérien ; l’ascenseur sert de respiration entre arènes.</x:v>
      </x:c>
      <x:c r="I20" s="7" t="str">
        <x:v>Verre, charpente blanche et vide urbain.</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me2/zones/dantius ; rattacher les ressources et états cités à cet identifiant. Aucun fichier de jeu créé par ce catalogue.</x:v>
      </x:c>
      <x:c r="M20" s="7" t="str"/>
      <x:c r="N20" s="7" t="str">
        <x:v>Le livrable « Tours Dantius » possède une scène ou un scénario de contrôle ; ses règles proposées, ses conditions et ses retours visuels sont vérifiables séparément.</x:v>
      </x:c>
      <x:c r="O20" s="7" t="str"/>
      <x:c r="P20" s="7" t="str">
        <x:v>Tours Dantius</x:v>
      </x:c>
      <x:c r="Q20" s="7" t="str">
        <x:v>ME2-SRC-ASSASSIN</x:v>
      </x:c>
      <x:c r="R20" s="21" t="str">
        <x:v>https://masseffect.fandom.com/wiki/Dossier%3A_The_Assassin</x:v>
      </x:c>
      <x:c r="S20" s="21" t="str">
        <x:v>Spécification à réaliser. Les champs adaptation, gameplay, visual, animation, audio et implementation décrivent le fan game ; ils ne donnent pas des caractéristiques officielles de l’œuvre.</x:v>
      </x:c>
    </x:row>
    <x:row r="21" ht="68" customHeight="1">
      <x:c r="A21" s="18" t="str">
        <x:v>ME2-ZON-ILLIUM-DOCK</x:v>
      </x:c>
      <x:c r="B21" s="9" t="str">
        <x:v>Nos Astra — spatioport</x:v>
      </x:c>
      <x:c r="C21" s="15" t="str">
        <x:v>Défini</x:v>
      </x:c>
      <x:c r="D21" s="16" t="str">
        <x:v>Établi</x:v>
      </x:c>
      <x:c r="E21" s="16" t="str">
        <x:v>P1</x:v>
      </x:c>
      <x:c r="F21" s="9" t="str">
        <x:v>Samara enquête au spatioport.</x:v>
      </x:c>
      <x:c r="G21" s="9" t="str">
        <x:v>Boucle police, quai et entrepôt ; nouvelles preuves ouvrent les dialogues sans recharger toute la carte.</x:v>
      </x:c>
      <x:c r="H21" s="9" t="str">
        <x:v>Boucle police, quai et entrepôt ; nouvelles preuves ouvrent les dialogues sans recharger toute la carte.</x:v>
      </x:c>
      <x:c r="I21" s="9" t="str">
        <x:v>Docks, ruban de police et conteneurs.</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me2/zones/illium-dock ; rattacher les ressources et états cités à cet identifiant. Aucun fichier de jeu créé par ce catalogue.</x:v>
      </x:c>
      <x:c r="M21" s="9" t="str"/>
      <x:c r="N21" s="9" t="str">
        <x:v>Le livrable « Nos Astra — spatioport » possède une scène ou un scénario de contrôle ; ses règles proposées, ses conditions et ses retours visuels sont vérifiables séparément.</x:v>
      </x:c>
      <x:c r="O21" s="9" t="str"/>
      <x:c r="P21" s="9" t="str">
        <x:v>Nos Astra — spatioport</x:v>
      </x:c>
      <x:c r="Q21" s="9" t="str">
        <x:v>ME2-SRC-JUSTICAR</x:v>
      </x:c>
      <x:c r="R21" s="20" t="str">
        <x:v>https://masseffect.fandom.com/wiki/Dossier%3A_The_Justicar</x:v>
      </x:c>
      <x:c r="S21" s="20" t="str">
        <x:v>Spécification à réaliser. Les champs adaptation, gameplay, visual, animation, audio et implementation décrivent le fan game ; ils ne donnent pas des caractéristiques officielles de l’œuvre.</x:v>
      </x:c>
    </x:row>
    <x:row r="22" ht="68" customHeight="1">
      <x:c r="A22" s="19" t="str">
        <x:v>ME2-ZON-ILLIUM-CARGO</x:v>
      </x:c>
      <x:c r="B22" s="7" t="str">
        <x:v>Illium — terminal de fret</x:v>
      </x:c>
      <x:c r="C22" s="15" t="str">
        <x:v>Défini</x:v>
      </x:c>
      <x:c r="D22" s="17" t="str">
        <x:v>Établi</x:v>
      </x:c>
      <x:c r="E22" s="17" t="str">
        <x:v>P1</x:v>
      </x:c>
      <x:c r="F22" s="7" t="str">
        <x:v>La loyauté de Miranda y conduit.</x:v>
      </x:c>
      <x:c r="G22" s="7" t="str">
        <x:v>Convoyeurs changeant l’angle de tir ; étages visibles avant de choisir une route.</x:v>
      </x:c>
      <x:c r="H22" s="7" t="str">
        <x:v>Convoyeurs changeant l’angle de tir ; étages visibles avant de choisir une route.</x:v>
      </x:c>
      <x:c r="I22" s="7" t="str">
        <x:v>Conteneurs et plateformes mécanisées.</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me2/zones/illium-cargo ; rattacher les ressources et états cités à cet identifiant. Aucun fichier de jeu créé par ce catalogue.</x:v>
      </x:c>
      <x:c r="M22" s="7" t="str"/>
      <x:c r="N22" s="7" t="str">
        <x:v>Le livrable « Illium — terminal de fret » possède une scène ou un scénario de contrôle ; ses règles proposées, ses conditions et ses retours visuels sont vérifiables séparément.</x:v>
      </x:c>
      <x:c r="O22" s="7" t="str"/>
      <x:c r="P22" s="7" t="str">
        <x:v>Illium — terminal de fret</x:v>
      </x:c>
      <x:c r="Q22" s="7" t="str">
        <x:v>ME2-SRC-MIRANDA</x:v>
      </x:c>
      <x:c r="R22" s="21" t="str">
        <x:v>https://masseffect.fandom.com/wiki/Miranda%3A_The_Prodigal</x:v>
      </x:c>
      <x:c r="S22" s="21" t="str">
        <x:v>Spécification à réaliser. Les champs adaptation, gameplay, visual, animation, audio et implementation décrivent le fan game ; ils ne donnent pas des caractéristiques officielles de l’œuvre.</x:v>
      </x:c>
    </x:row>
    <x:row r="23" ht="68" customHeight="1">
      <x:c r="A23" s="18" t="str">
        <x:v>ME2-ZON-HAESTROM-COURT</x:v>
      </x:c>
      <x:c r="B23" s="9" t="str">
        <x:v>Haestrom — cour du Colosse</x:v>
      </x:c>
      <x:c r="C23" s="15" t="str">
        <x:v>Défini</x:v>
      </x:c>
      <x:c r="D23" s="16" t="str">
        <x:v>Établi</x:v>
      </x:c>
      <x:c r="E23" s="16" t="str">
        <x:v>P1</x:v>
      </x:c>
      <x:c r="F23" s="9" t="str">
        <x:v>Les geth protègent l’accès à Tali.</x:v>
      </x:c>
      <x:c r="G23" s="9" t="str">
        <x:v>Trois routes d’abri ; point de soutien de Kal’Reegar et console finale distincts.</x:v>
      </x:c>
      <x:c r="H23" s="9" t="str">
        <x:v>Trois routes d’abri ; point de soutien de Kal’Reegar et console finale distincts.</x:v>
      </x:c>
      <x:c r="I23" s="9" t="str">
        <x:v>Cour de ruines et passerelle centrale.</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me2/zones/haestrom-court ; rattacher les ressources et états cités à cet identifiant. Aucun fichier de jeu créé par ce catalogue.</x:v>
      </x:c>
      <x:c r="M23" s="9" t="str"/>
      <x:c r="N23" s="9" t="str">
        <x:v>Le livrable « Haestrom — cour du Colosse » possède une scène ou un scénario de contrôle ; ses règles proposées, ses conditions et ses retours visuels sont vérifiables séparément.</x:v>
      </x:c>
      <x:c r="O23" s="9" t="str"/>
      <x:c r="P23" s="9" t="str">
        <x:v>Haestrom — cour du Colosse</x:v>
      </x:c>
      <x:c r="Q23" s="9" t="str">
        <x:v>ME2-SRC-TALI</x:v>
      </x:c>
      <x:c r="R23" s="20" t="str">
        <x:v>https://masseffect.fandom.com/wiki/Dossier%3A_Tali</x:v>
      </x:c>
      <x:c r="S23" s="20" t="str">
        <x:v>Spécification à réaliser. Les champs adaptation, gameplay, visual, animation, audio et implementation décrivent le fan game ; ils ne donnent pas des caractéristiques officielles de l’œuvre.</x:v>
      </x:c>
    </x:row>
    <x:row r="24" ht="68" customHeight="1">
      <x:c r="A24" s="19" t="str">
        <x:v>ME2-ZON-COLLECTOR-SHIP</x:v>
      </x:c>
      <x:c r="B24" s="7" t="str">
        <x:v>Vaisseau des Collecteurs</x:v>
      </x:c>
      <x:c r="C24" s="15" t="str">
        <x:v>Défini</x:v>
      </x:c>
      <x:c r="D24" s="17" t="str">
        <x:v>Établi</x:v>
      </x:c>
      <x:c r="E24" s="17" t="str">
        <x:v>P1</x:v>
      </x:c>
      <x:c r="F24" s="7" t="str">
        <x:v>Lieu de l’embuscade.</x:v>
      </x:c>
      <x:c r="G24" s="7" t="str">
        <x:v>Plateformes suspendues en poches de combat ; télégraphier chaque arrivée de segment.</x:v>
      </x:c>
      <x:c r="H24" s="7" t="str">
        <x:v>Plateformes suspendues en poches de combat ; télégraphier chaque arrivée de segment.</x:v>
      </x:c>
      <x:c r="I24" s="7" t="str">
        <x:v>Chitine sombre et lueurs orange.</x:v>
      </x:c>
      <x:c r="J24" s="7" t="str">
        <x:v>Préparer état de repos, anticipation, activation et retour au repos ; aligner les événements visuels sur la résolution de l’action ATB.</x:v>
      </x:c>
      <x:c r="K24" s="7" t="str">
        <x:v>Créer des bruitages et ambiances originaux adaptés au livrable ; sous-titrer les indices utiles et proposer un réglage indépendant des effets. Aucune extraction audio demandée.</x:v>
      </x:c>
      <x:c r="L24" s="7" t="str">
        <x:v>Prévu : fiche de données me2/zones/collector-ship ; rattacher les ressources et états cités à cet identifiant. Aucun fichier de jeu créé par ce catalogue.</x:v>
      </x:c>
      <x:c r="M24" s="7" t="str"/>
      <x:c r="N24" s="7" t="str">
        <x:v>Le livrable « Vaisseau des Collecteurs » possède une scène ou un scénario de contrôle ; ses règles proposées, ses conditions et ses retours visuels sont vérifiables séparément.</x:v>
      </x:c>
      <x:c r="O24" s="7" t="str"/>
      <x:c r="P24" s="7" t="str">
        <x:v>Vaisseau des Collecteurs</x:v>
      </x:c>
      <x:c r="Q24" s="7" t="str">
        <x:v>ME2-SRC-SHIP</x:v>
      </x:c>
      <x:c r="R24" s="21" t="str">
        <x:v>https://masseffect.fandom.com/wiki/Collector_Ship_%28mission%29</x:v>
      </x:c>
      <x:c r="S24" s="21" t="str">
        <x:v>Spécification à réaliser. Les champs adaptation, gameplay, visual, animation, audio et implementation décrivent le fan game ; ils ne donnent pas des caractéristiques officielles de l’œuvre.</x:v>
      </x:c>
    </x:row>
    <x:row r="25" ht="68" customHeight="1">
      <x:c r="A25" s="18" t="str">
        <x:v>ME2-ZON-DERELICT</x:v>
      </x:c>
      <x:c r="B25" s="9" t="str">
        <x:v>Moissonneur abandonné</x:v>
      </x:c>
      <x:c r="C25" s="15" t="str">
        <x:v>Défini</x:v>
      </x:c>
      <x:c r="D25" s="16" t="str">
        <x:v>Établi</x:v>
      </x:c>
      <x:c r="E25" s="16" t="str">
        <x:v>P1</x:v>
      </x:c>
      <x:c r="F25" s="9" t="str">
        <x:v>Destination de l’opération IFF.</x:v>
      </x:c>
      <x:c r="G25" s="9" t="str">
        <x:v>Couloir de laboratoire puis plate-forme du cœur ; contrôler les grappes de husks par entrées annoncées.</x:v>
      </x:c>
      <x:c r="H25" s="9" t="str">
        <x:v>Couloir de laboratoire puis plate-forme du cœur ; contrôler les grappes de husks par entrées annoncées.</x:v>
      </x:c>
      <x:c r="I25" s="9" t="str">
        <x:v>Architecture organique noire et câbles rouges.</x:v>
      </x:c>
      <x:c r="J25" s="9" t="str">
        <x:v>Préparer état de repos, anticipation, activation et retour au repos ; aligner les événements visuels sur la résolution de l’action ATB.</x:v>
      </x:c>
      <x:c r="K25" s="9" t="str">
        <x:v>Créer des bruitages et ambiances originaux adaptés au livrable ; sous-titrer les indices utiles et proposer un réglage indépendant des effets. Aucune extraction audio demandée.</x:v>
      </x:c>
      <x:c r="L25" s="9" t="str">
        <x:v>Prévu : fiche de données me2/zones/derelict ; rattacher les ressources et états cités à cet identifiant. Aucun fichier de jeu créé par ce catalogue.</x:v>
      </x:c>
      <x:c r="M25" s="9" t="str"/>
      <x:c r="N25" s="9" t="str">
        <x:v>Le livrable « Moissonneur abandonné » possède une scène ou un scénario de contrôle ; ses règles proposées, ses conditions et ses retours visuels sont vérifiables séparément.</x:v>
      </x:c>
      <x:c r="O25" s="9" t="str"/>
      <x:c r="P25" s="9" t="str">
        <x:v>Moissonneur abandonné</x:v>
      </x:c>
      <x:c r="Q25" s="9" t="str">
        <x:v>ME2-SRC-STOP</x:v>
      </x:c>
      <x:c r="R25" s="20" t="str">
        <x:v>https://masseffect.fandom.com/wiki/Stop_the_Collectors</x:v>
      </x:c>
      <x:c r="S25" s="20" t="str">
        <x:v>Spécification à réaliser. Les champs adaptation, gameplay, visual, animation, audio et implementation décrivent le fan game ; ils ne donnent pas des caractéristiques officielles de l’œuvre.</x:v>
      </x:c>
    </x:row>
    <x:row r="26" ht="68" customHeight="1">
      <x:c r="A26" s="19" t="str">
        <x:v>ME2-ZON-TUCH-HOSPITAL</x:v>
      </x:c>
      <x:c r="B26" s="7" t="str">
        <x:v>Tuchanka — hôpital de Maelon</x:v>
      </x:c>
      <x:c r="C26" s="15" t="str">
        <x:v>Défini</x:v>
      </x:c>
      <x:c r="D26" s="17" t="str">
        <x:v>Établi</x:v>
      </x:c>
      <x:c r="E26" s="17" t="str">
        <x:v>P1</x:v>
      </x:c>
      <x:c r="F26" s="7" t="str">
        <x:v>Le laboratoire de Maelon se trouve dans des ruines.</x:v>
      </x:c>
      <x:c r="G26" s="7" t="str">
        <x:v>Salles latérales de témoignages avant les objectifs ; combat de front gardant une route de retraite.</x:v>
      </x:c>
      <x:c r="H26" s="7" t="str">
        <x:v>Salles latérales de témoignages avant les objectifs ; combat de front gardant une route de retraite.</x:v>
      </x:c>
      <x:c r="I26" s="7" t="str">
        <x:v>Béton cassé, lits et instruments improvisés.</x:v>
      </x:c>
      <x:c r="J26" s="7" t="str">
        <x:v>Préparer état de repos, anticipation, activation et retour au repos ; aligner les événements visuels sur la résolution de l’action ATB.</x:v>
      </x:c>
      <x:c r="K26" s="7" t="str">
        <x:v>Créer des bruitages et ambiances originaux adaptés au livrable ; sous-titrer les indices utiles et proposer un réglage indépendant des effets. Aucune extraction audio demandée.</x:v>
      </x:c>
      <x:c r="L26" s="7" t="str">
        <x:v>Prévu : fiche de données me2/zones/tuch-hospital ; rattacher les ressources et états cités à cet identifiant. Aucun fichier de jeu créé par ce catalogue.</x:v>
      </x:c>
      <x:c r="M26" s="7" t="str"/>
      <x:c r="N26" s="7" t="str">
        <x:v>Le livrable « Tuchanka — hôpital de Maelon » possède une scène ou un scénario de contrôle ; ses règles proposées, ses conditions et ses retours visuels sont vérifiables séparément.</x:v>
      </x:c>
      <x:c r="O26" s="7" t="str"/>
      <x:c r="P26" s="7" t="str">
        <x:v>Tuchanka — hôpital de Maelon</x:v>
      </x:c>
      <x:c r="Q26" s="7" t="str">
        <x:v>ME2-SRC-MORDIN</x:v>
      </x:c>
      <x:c r="R26" s="21" t="str">
        <x:v>https://masseffect.fandom.com/wiki/Mordin%3A_Old_Blood</x:v>
      </x:c>
      <x:c r="S26" s="21" t="str">
        <x:v>Spécification à réaliser. Les champs adaptation, gameplay, visual, animation, audio et implementation décrivent le fan game ; ils ne donnent pas des caractéristiques officielles de l’œuvre.</x:v>
      </x:c>
    </x:row>
    <x:row r="27" ht="68" customHeight="1">
      <x:c r="A27" s="18" t="str">
        <x:v>ME2-ZON-TUCH-RITE</x:v>
      </x:c>
      <x:c r="B27" s="9" t="str">
        <x:v>Tuchanka — arène du rite</x:v>
      </x:c>
      <x:c r="C27" s="15" t="str">
        <x:v>Défini</x:v>
      </x:c>
      <x:c r="D27" s="16" t="str">
        <x:v>Établi</x:v>
      </x:c>
      <x:c r="E27" s="16" t="str">
        <x:v>P1</x:v>
      </x:c>
      <x:c r="F27" s="9" t="str">
        <x:v>Grunt y réalise son passage.</x:v>
      </x:c>
      <x:c r="G27" s="9" t="str">
        <x:v>Arène ouverte à phases ; pylône de déclenchement protégé des tirs involontaires.</x:v>
      </x:c>
      <x:c r="H27" s="9" t="str">
        <x:v>Arène ouverte à phases ; pylône de déclenchement protégé des tirs involontaires.</x:v>
      </x:c>
      <x:c r="I27" s="9" t="str">
        <x:v>Stèle, cercle de pierre et sable.</x:v>
      </x:c>
      <x:c r="J27" s="9" t="str">
        <x:v>Préparer état de repos, anticipation, activation et retour au repos ; aligner les événements visuels sur la résolution de l’action ATB.</x:v>
      </x:c>
      <x:c r="K27" s="9" t="str">
        <x:v>Créer des bruitages et ambiances originaux adaptés au livrable ; sous-titrer les indices utiles et proposer un réglage indépendant des effets. Aucune extraction audio demandée.</x:v>
      </x:c>
      <x:c r="L27" s="9" t="str">
        <x:v>Prévu : fiche de données me2/zones/tuch-rite ; rattacher les ressources et états cités à cet identifiant. Aucun fichier de jeu créé par ce catalogue.</x:v>
      </x:c>
      <x:c r="M27" s="9" t="str"/>
      <x:c r="N27" s="9" t="str">
        <x:v>Le livrable « Tuchanka — arène du rite » possède une scène ou un scénario de contrôle ; ses règles proposées, ses conditions et ses retours visuels sont vérifiables séparément.</x:v>
      </x:c>
      <x:c r="O27" s="9" t="str"/>
      <x:c r="P27" s="9" t="str">
        <x:v>Tuchanka — arène du rite</x:v>
      </x:c>
      <x:c r="Q27" s="9" t="str">
        <x:v>ME2-SRC-GRUNT</x:v>
      </x:c>
      <x:c r="R27" s="20" t="str">
        <x:v>https://masseffect.fandom.com/wiki/Grunt%3A_Rite_of_Passage</x:v>
      </x:c>
      <x:c r="S27" s="20" t="str">
        <x:v>Spécification à réaliser. Les champs adaptation, gameplay, visual, animation, audio et implementation décrivent le fan game ; ils ne donnent pas des caractéristiques officielles de l’œuvre.</x:v>
      </x:c>
    </x:row>
    <x:row r="28" ht="68" customHeight="1">
      <x:c r="A28" s="19" t="str">
        <x:v>ME2-ZON-ALAREI</x:v>
      </x:c>
      <x:c r="B28" s="7" t="str">
        <x:v>Alarei</x:v>
      </x:c>
      <x:c r="C28" s="15" t="str">
        <x:v>Défini</x:v>
      </x:c>
      <x:c r="D28" s="17" t="str">
        <x:v>Établi</x:v>
      </x:c>
      <x:c r="E28" s="17" t="str">
        <x:v>P1</x:v>
      </x:c>
      <x:c r="F28" s="7" t="str">
        <x:v>Vaisseau inspecté pendant le procès de Tali.</x:v>
      </x:c>
      <x:c r="G28" s="7" t="str">
        <x:v>Explorer ponts geth puis salle de données ; preuves conservées même si l’équipe se replie.</x:v>
      </x:c>
      <x:c r="H28" s="7" t="str">
        <x:v>Explorer ponts geth puis salle de données ; preuves conservées même si l’équipe se replie.</x:v>
      </x:c>
      <x:c r="I28" s="7" t="str">
        <x:v>Vaisseau quarian, écrans d’urgence et passerelles.</x:v>
      </x:c>
      <x:c r="J28" s="7" t="str">
        <x:v>Préparer état de repos, anticipation, activation et retour au repos ; aligner les événements visuels sur la résolution de l’action ATB.</x:v>
      </x:c>
      <x:c r="K28" s="7" t="str">
        <x:v>Créer des bruitages et ambiances originaux adaptés au livrable ; sous-titrer les indices utiles et proposer un réglage indépendant des effets. Aucune extraction audio demandée.</x:v>
      </x:c>
      <x:c r="L28" s="7" t="str">
        <x:v>Prévu : fiche de données me2/zones/alarei ; rattacher les ressources et états cités à cet identifiant. Aucun fichier de jeu créé par ce catalogue.</x:v>
      </x:c>
      <x:c r="M28" s="7" t="str"/>
      <x:c r="N28" s="7" t="str">
        <x:v>Le livrable « Alarei » possède une scène ou un scénario de contrôle ; ses règles proposées, ses conditions et ses retours visuels sont vérifiables séparément.</x:v>
      </x:c>
      <x:c r="O28" s="7" t="str"/>
      <x:c r="P28" s="7" t="str">
        <x:v>Alarei</x:v>
      </x:c>
      <x:c r="Q28" s="7" t="str">
        <x:v>ME2-SRC-TREASON</x:v>
      </x:c>
      <x:c r="R28" s="21" t="str">
        <x:v>https://masseffect.fandom.com/wiki/Tali%3A_Treason</x:v>
      </x:c>
      <x:c r="S28" s="21" t="str">
        <x:v>Spécification à réaliser. Les champs adaptation, gameplay, visual, animation, audio et implementation décrivent le fan game ; ils ne donnent pas des caractéristiques officielles de l’œuvre.</x:v>
      </x:c>
    </x:row>
    <x:row r="29" ht="68" customHeight="1">
      <x:c r="A29" s="18" t="str">
        <x:v>ME2-ZON-RAYYA</x:v>
      </x:c>
      <x:c r="B29" s="9" t="str">
        <x:v>Flotte migrante — salle d’audience</x:v>
      </x:c>
      <x:c r="C29" s="15" t="str">
        <x:v>Défini</x:v>
      </x:c>
      <x:c r="D29" s="16" t="str">
        <x:v>Établi</x:v>
      </x:c>
      <x:c r="E29" s="16" t="str">
        <x:v>P1</x:v>
      </x:c>
      <x:c r="F29" s="9" t="str">
        <x:v>Le procès de Tali s’y déroule.</x:v>
      </x:c>
      <x:c r="G29" s="9" t="str">
        <x:v>Disposition circulaire des amiraux ; caméra accompagne l’interlocuteur et garde le verdict visible.</x:v>
      </x:c>
      <x:c r="H29" s="9" t="str">
        <x:v>Disposition circulaire des amiraux ; caméra accompagne l’interlocuteur et garde le verdict visible.</x:v>
      </x:c>
      <x:c r="I29" s="9" t="str">
        <x:v>Passerelles quariènes et pupitres.</x:v>
      </x:c>
      <x:c r="J29" s="9" t="str">
        <x:v>Préparer état de repos, anticipation, activation et retour au repos ; aligner les événements visuels sur la résolution de l’action ATB.</x:v>
      </x:c>
      <x:c r="K29" s="9" t="str">
        <x:v>Créer des bruitages et ambiances originaux adaptés au livrable ; sous-titrer les indices utiles et proposer un réglage indépendant des effets. Aucune extraction audio demandée.</x:v>
      </x:c>
      <x:c r="L29" s="9" t="str">
        <x:v>Prévu : fiche de données me2/zones/rayya ; rattacher les ressources et états cités à cet identifiant. Aucun fichier de jeu créé par ce catalogue.</x:v>
      </x:c>
      <x:c r="M29" s="9" t="str">
        <x:v>Nom exact du vaisseau à revérifier visuellement avant art final.</x:v>
      </x:c>
      <x:c r="N29" s="9" t="str">
        <x:v>Le livrable « Flotte migrante — salle d’audience » possède une scène ou un scénario de contrôle ; ses règles proposées, ses conditions et ses retours visuels sont vérifiables séparément.</x:v>
      </x:c>
      <x:c r="O29" s="9" t="str"/>
      <x:c r="P29" s="9" t="str">
        <x:v>Flotte migrante — salle d’audience</x:v>
      </x:c>
      <x:c r="Q29" s="9" t="str">
        <x:v>ME2-SRC-TREASON</x:v>
      </x:c>
      <x:c r="R29" s="20" t="str">
        <x:v>https://masseffect.fandom.com/wiki/Tali%3A_Treason</x:v>
      </x:c>
      <x:c r="S29" s="20" t="str">
        <x:v>Spécification à réaliser. Les champs adaptation, gameplay, visual, animation, audio et implementation décrivent le fan game ; ils ne donnent pas des caractéristiques officielles de l’œuvre.</x:v>
      </x:c>
    </x:row>
    <x:row r="30" ht="68" customHeight="1">
      <x:c r="A30" s="19" t="str">
        <x:v>ME2-ZON-PRAGIA-CENTER</x:v>
      </x:c>
      <x:c r="B30" s="7" t="str">
        <x:v>Pragia — centre Teltin</x:v>
      </x:c>
      <x:c r="C30" s="15" t="str">
        <x:v>Défini</x:v>
      </x:c>
      <x:c r="D30" s="17" t="str">
        <x:v>Établi</x:v>
      </x:c>
      <x:c r="E30" s="17" t="str">
        <x:v>P1</x:v>
      </x:c>
      <x:c r="F30" s="7" t="str">
        <x:v>Ancien centre de Cerberus lié à Jack.</x:v>
      </x:c>
      <x:c r="G30" s="7" t="str">
        <x:v>Carte mémorielle avec salles repérées par fonction ; ordonner le récit sans longues scènes forcées.</x:v>
      </x:c>
      <x:c r="H30" s="7" t="str">
        <x:v>Carte mémorielle avec salles repérées par fonction ; ordonner le récit sans longues scènes forcées.</x:v>
      </x:c>
      <x:c r="I30" s="7" t="str">
        <x:v>Lits, vitres de contrôle et végétation intrusive.</x:v>
      </x:c>
      <x:c r="J30" s="7" t="str">
        <x:v>Préparer état de repos, anticipation, activation et retour au repos ; aligner les événements visuels sur la résolution de l’action ATB.</x:v>
      </x:c>
      <x:c r="K30" s="7" t="str">
        <x:v>Créer des bruitages et ambiances originaux adaptés au livrable ; sous-titrer les indices utiles et proposer un réglage indépendant des effets. Aucune extraction audio demandée.</x:v>
      </x:c>
      <x:c r="L30" s="7" t="str">
        <x:v>Prévu : fiche de données me2/zones/pragia-center ; rattacher les ressources et états cités à cet identifiant. Aucun fichier de jeu créé par ce catalogue.</x:v>
      </x:c>
      <x:c r="M30" s="7" t="str"/>
      <x:c r="N30" s="7" t="str">
        <x:v>Le livrable « Pragia — centre Teltin » possède une scène ou un scénario de contrôle ; ses règles proposées, ses conditions et ses retours visuels sont vérifiables séparément.</x:v>
      </x:c>
      <x:c r="O30" s="7" t="str"/>
      <x:c r="P30" s="7" t="str">
        <x:v>Pragia — centre Teltin</x:v>
      </x:c>
      <x:c r="Q30" s="7" t="str">
        <x:v>ME2-SRC-JACK</x:v>
      </x:c>
      <x:c r="R30" s="21" t="str">
        <x:v>https://masseffect.fandom.com/wiki/Jack%3A_Subject_Zero</x:v>
      </x:c>
      <x:c r="S30" s="21" t="str">
        <x:v>Spécification à réaliser. Les champs adaptation, gameplay, visual, animation, audio et implementation décrivent le fan game ; ils ne donnent pas des caractéristiques officielles de l’œuvre.</x:v>
      </x:c>
    </x:row>
    <x:row r="31" ht="68" customHeight="1">
      <x:c r="A31" s="18" t="str">
        <x:v>ME2-ZON-AEIA-CAMP</x:v>
      </x:c>
      <x:c r="B31" s="9" t="str">
        <x:v>Aeia — camp du Gernsback</x:v>
      </x:c>
      <x:c r="C31" s="15" t="str">
        <x:v>Défini</x:v>
      </x:c>
      <x:c r="D31" s="16" t="str">
        <x:v>Établi</x:v>
      </x:c>
      <x:c r="E31" s="16" t="str">
        <x:v>P1</x:v>
      </x:c>
      <x:c r="F31" s="9" t="str">
        <x:v>Les survivants y sont retrouvés.</x:v>
      </x:c>
      <x:c r="G31" s="9" t="str">
        <x:v>Positionner preuves et personnes en deux circuits pour éviter une accusation avant enquête.</x:v>
      </x:c>
      <x:c r="H31" s="9" t="str">
        <x:v>Positionner preuves et personnes en deux circuits pour éviter une accusation avant enquête.</x:v>
      </x:c>
      <x:c r="I31" s="9" t="str">
        <x:v>Tentes, épave et barrières de fortune.</x:v>
      </x:c>
      <x:c r="J31" s="9" t="str">
        <x:v>Préparer état de repos, anticipation, activation et retour au repos ; aligner les événements visuels sur la résolution de l’action ATB.</x:v>
      </x:c>
      <x:c r="K31" s="9" t="str">
        <x:v>Créer des bruitages et ambiances originaux adaptés au livrable ; sous-titrer les indices utiles et proposer un réglage indépendant des effets. Aucune extraction audio demandée.</x:v>
      </x:c>
      <x:c r="L31" s="9" t="str">
        <x:v>Prévu : fiche de données me2/zones/aeia-camp ; rattacher les ressources et états cités à cet identifiant. Aucun fichier de jeu créé par ce catalogue.</x:v>
      </x:c>
      <x:c r="M31" s="9" t="str"/>
      <x:c r="N31" s="9" t="str">
        <x:v>Le livrable « Aeia — camp du Gernsback » possède une scène ou un scénario de contrôle ; ses règles proposées, ses conditions et ses retours visuels sont vérifiables séparément.</x:v>
      </x:c>
      <x:c r="O31" s="9" t="str"/>
      <x:c r="P31" s="9" t="str">
        <x:v>Aeia — camp du Gernsback</x:v>
      </x:c>
      <x:c r="Q31" s="9" t="str">
        <x:v>ME2-SRC-JACOB</x:v>
      </x:c>
      <x:c r="R31" s="20" t="str">
        <x:v>https://masseffect.fandom.com/wiki/Jacob%3A_The_Gift_of_Greatness</x:v>
      </x:c>
      <x:c r="S31" s="20" t="str">
        <x:v>Spécification à réaliser. Les champs adaptation, gameplay, visual, animation, audio et implementation décrivent le fan game ; ils ne donnent pas des caractéristiques officielles de l’œuvre.</x:v>
      </x:c>
    </x:row>
    <x:row r="32" ht="68" customHeight="1">
      <x:c r="A32" s="19" t="str">
        <x:v>ME2-ZON-CIT-FACTORY</x:v>
      </x:c>
      <x:c r="B32" s="7" t="str">
        <x:v>Citadelle — secteur de Fade</x:v>
      </x:c>
      <x:c r="C32" s="15" t="str">
        <x:v>Défini</x:v>
      </x:c>
      <x:c r="D32" s="17" t="str">
        <x:v>Établi</x:v>
      </x:c>
      <x:c r="E32" s="17" t="str">
        <x:v>P1</x:v>
      </x:c>
      <x:c r="F32" s="7" t="str">
        <x:v>Garrus y piste Sidonis.</x:v>
      </x:c>
      <x:c r="G32" s="7" t="str">
        <x:v>Arènes de manutention et ascenseurs ; revenir à une scène sociale clairement désarmée.</x:v>
      </x:c>
      <x:c r="H32" s="7" t="str">
        <x:v>Arènes de manutention et ascenseurs ; revenir à une scène sociale clairement désarmée.</x:v>
      </x:c>
      <x:c r="I32" s="7" t="str">
        <x:v>Bras de manutention, caisses et garde-corps.</x:v>
      </x:c>
      <x:c r="J32" s="7" t="str">
        <x:v>Préparer état de repos, anticipation, activation et retour au repos ; aligner les événements visuels sur la résolution de l’action ATB.</x:v>
      </x:c>
      <x:c r="K32" s="7" t="str">
        <x:v>Créer des bruitages et ambiances originaux adaptés au livrable ; sous-titrer les indices utiles et proposer un réglage indépendant des effets. Aucune extraction audio demandée.</x:v>
      </x:c>
      <x:c r="L32" s="7" t="str">
        <x:v>Prévu : fiche de données me2/zones/cit-factory ; rattacher les ressources et états cités à cet identifiant. Aucun fichier de jeu créé par ce catalogue.</x:v>
      </x:c>
      <x:c r="M32" s="7" t="str"/>
      <x:c r="N32" s="7" t="str">
        <x:v>Le livrable « Citadelle — secteur de Fade » possède une scène ou un scénario de contrôle ; ses règles proposées, ses conditions et ses retours visuels sont vérifiables séparément.</x:v>
      </x:c>
      <x:c r="O32" s="7" t="str"/>
      <x:c r="P32" s="7" t="str">
        <x:v>Citadelle — secteur de Fade</x:v>
      </x:c>
      <x:c r="Q32" s="7" t="str">
        <x:v>ME2-SRC-GARRUS</x:v>
      </x:c>
      <x:c r="R32" s="21" t="str">
        <x:v>https://masseffect.fandom.com/wiki/Garrus%3A_Eye_for_an_Eye</x:v>
      </x:c>
      <x:c r="S32" s="21" t="str">
        <x:v>Spécification à réaliser. Les champs adaptation, gameplay, visual, animation, audio et implementation décrivent le fan game ; ils ne donnent pas des caractéristiques officielles de l’œuvre.</x:v>
      </x:c>
    </x:row>
    <x:row r="33" ht="68" customHeight="1">
      <x:c r="A33" s="18" t="str">
        <x:v>ME2-ZON-CIT-CATWALK</x:v>
      </x:c>
      <x:c r="B33" s="9" t="str">
        <x:v>Citadelle — passerelles de filature</x:v>
      </x:c>
      <x:c r="C33" s="15" t="str">
        <x:v>Défini</x:v>
      </x:c>
      <x:c r="D33" s="16" t="str">
        <x:v>Établi</x:v>
      </x:c>
      <x:c r="E33" s="16" t="str">
        <x:v>P1</x:v>
      </x:c>
      <x:c r="F33" s="9" t="str">
        <x:v>Thane suit la cible de Kolyat.</x:v>
      </x:c>
      <x:c r="G33" s="9" t="str">
        <x:v>Chemin parallèle avec fenêtres de rapport ; grand marqueur de cible et mode sans pression proposé.</x:v>
      </x:c>
      <x:c r="H33" s="9" t="str">
        <x:v>Chemin parallèle avec fenêtres de rapport ; grand marqueur de cible et mode sans pression proposé.</x:v>
      </x:c>
      <x:c r="I33" s="9" t="str">
        <x:v>Passerelles au-dessus des rues.</x:v>
      </x:c>
      <x:c r="J33" s="9" t="str">
        <x:v>Préparer état de repos, anticipation, activation et retour au repos ; aligner les événements visuels sur la résolution de l’action ATB.</x:v>
      </x:c>
      <x:c r="K33" s="9" t="str">
        <x:v>Créer des bruitages et ambiances originaux adaptés au livrable ; sous-titrer les indices utiles et proposer un réglage indépendant des effets. Aucune extraction audio demandée.</x:v>
      </x:c>
      <x:c r="L33" s="9" t="str">
        <x:v>Prévu : fiche de données me2/zones/cit-catwalk ; rattacher les ressources et états cités à cet identifiant. Aucun fichier de jeu créé par ce catalogue.</x:v>
      </x:c>
      <x:c r="M33" s="9" t="str"/>
      <x:c r="N33" s="9" t="str">
        <x:v>Le livrable « Citadelle — passerelles de filature » possède une scène ou un scénario de contrôle ; ses règles proposées, ses conditions et ses retours visuels sont vérifiables séparément.</x:v>
      </x:c>
      <x:c r="O33" s="9" t="str"/>
      <x:c r="P33" s="9" t="str">
        <x:v>Citadelle — passerelles de filature</x:v>
      </x:c>
      <x:c r="Q33" s="9" t="str">
        <x:v>ME2-SRC-THANE</x:v>
      </x:c>
      <x:c r="R33" s="20" t="str">
        <x:v>https://masseffect.fandom.com/wiki/Thane%3A_Sins_of_the_Father</x:v>
      </x:c>
      <x:c r="S33" s="20" t="str">
        <x:v>Spécification à réaliser. Les champs adaptation, gameplay, visual, animation, audio et implementation décrivent le fan game ; ils ne donnent pas des caractéristiques officielles de l’œuvre.</x:v>
      </x:c>
    </x:row>
    <x:row r="34" ht="68" customHeight="1">
      <x:c r="A34" s="19" t="str">
        <x:v>ME2-ZON-HOCK-MANSION</x:v>
      </x:c>
      <x:c r="B34" s="7" t="str">
        <x:v>Manoir Hock — réception</x:v>
      </x:c>
      <x:c r="C34" s="15" t="str">
        <x:v>Défini</x:v>
      </x:c>
      <x:c r="D34" s="17" t="str">
        <x:v>Établi</x:v>
      </x:c>
      <x:c r="E34" s="17" t="str">
        <x:v>P1</x:v>
      </x:c>
      <x:c r="F34" s="7" t="str">
        <x:v>Kasumi infiltre la propriété.</x:v>
      </x:c>
      <x:c r="G34" s="7" t="str">
        <x:v>Salle sociale avec itinéraires courts vers indices de sécurité ; portrait d’identité de couverture.</x:v>
      </x:c>
      <x:c r="H34" s="7" t="str">
        <x:v>Salle sociale avec itinéraires courts vers indices de sécurité ; portrait d’identité de couverture.</x:v>
      </x:c>
      <x:c r="I34" s="7" t="str">
        <x:v>Marbre, œuvres, jardin et lumière nocturne.</x:v>
      </x:c>
      <x:c r="J34" s="7" t="str">
        <x:v>Préparer état de repos, anticipation, activation et retour au repos ; aligner les événements visuels sur la résolution de l’action ATB.</x:v>
      </x:c>
      <x:c r="K34" s="7" t="str">
        <x:v>Créer des bruitages et ambiances originaux adaptés au livrable ; sous-titrer les indices utiles et proposer un réglage indépendant des effets. Aucune extraction audio demandée.</x:v>
      </x:c>
      <x:c r="L34" s="7" t="str">
        <x:v>Prévu : fiche de données me2/zones/hock-mansion ; rattacher les ressources et états cités à cet identifiant. Aucun fichier de jeu créé par ce catalogue.</x:v>
      </x:c>
      <x:c r="M34" s="7" t="str"/>
      <x:c r="N34" s="7" t="str">
        <x:v>Le livrable « Manoir Hock — réception » possède une scène ou un scénario de contrôle ; ses règles proposées, ses conditions et ses retours visuels sont vérifiables séparément.</x:v>
      </x:c>
      <x:c r="O34" s="7" t="str"/>
      <x:c r="P34" s="7" t="str">
        <x:v>Manoir Hock — réception</x:v>
      </x:c>
      <x:c r="Q34" s="7" t="str">
        <x:v>ME2-SRC-KASUMI</x:v>
      </x:c>
      <x:c r="R34" s="21" t="str">
        <x:v>https://masseffect.fandom.com/wiki/Kasumi%3A_Stealing_Memory</x:v>
      </x:c>
      <x:c r="S34" s="21" t="str">
        <x:v>Spécification à réaliser. Les champs adaptation, gameplay, visual, animation, audio et implementation décrivent le fan game ; ils ne donnent pas des caractéristiques officielles de l’œuvre.</x:v>
      </x:c>
    </x:row>
    <x:row r="35" ht="68" customHeight="1">
      <x:c r="A35" s="18" t="str">
        <x:v>ME2-ZON-HOCK-VAULT</x:v>
      </x:c>
      <x:c r="B35" s="9" t="str">
        <x:v>Manoir Hock — coffre</x:v>
      </x:c>
      <x:c r="C35" s="15" t="str">
        <x:v>Défini</x:v>
      </x:c>
      <x:c r="D35" s="16" t="str">
        <x:v>Établi</x:v>
      </x:c>
      <x:c r="E35" s="16" t="str">
        <x:v>P1</x:v>
      </x:c>
      <x:c r="F35" s="9" t="str">
        <x:v>Le graybox est dans la collection.</x:v>
      </x:c>
      <x:c r="G35" s="9" t="str">
        <x:v>Zone d’examen avant embuscade ; armes récupérées par déclencheur de préparation visible.</x:v>
      </x:c>
      <x:c r="H35" s="9" t="str">
        <x:v>Zone d’examen avant embuscade ; armes récupérées par déclencheur de préparation visible.</x:v>
      </x:c>
      <x:c r="I35" s="9" t="str">
        <x:v>Collection hétéroclite, socles et coffre technologique.</x:v>
      </x:c>
      <x:c r="J35" s="9" t="str">
        <x:v>Préparer état de repos, anticipation, activation et retour au repos ; aligner les événements visuels sur la résolution de l’action ATB.</x:v>
      </x:c>
      <x:c r="K35" s="9" t="str">
        <x:v>Créer des bruitages et ambiances originaux adaptés au livrable ; sous-titrer les indices utiles et proposer un réglage indépendant des effets. Aucune extraction audio demandée.</x:v>
      </x:c>
      <x:c r="L35" s="9" t="str">
        <x:v>Prévu : fiche de données me2/zones/hock-vault ; rattacher les ressources et états cités à cet identifiant. Aucun fichier de jeu créé par ce catalogue.</x:v>
      </x:c>
      <x:c r="M35" s="9" t="str"/>
      <x:c r="N35" s="9" t="str">
        <x:v>Le livrable « Manoir Hock — coffre » possède une scène ou un scénario de contrôle ; ses règles proposées, ses conditions et ses retours visuels sont vérifiables séparément.</x:v>
      </x:c>
      <x:c r="O35" s="9" t="str"/>
      <x:c r="P35" s="9" t="str">
        <x:v>Manoir Hock — coffre</x:v>
      </x:c>
      <x:c r="Q35" s="9" t="str">
        <x:v>ME2-SRC-KASUMI</x:v>
      </x:c>
      <x:c r="R35" s="20" t="str">
        <x:v>https://masseffect.fandom.com/wiki/Kasumi%3A_Stealing_Memory</x:v>
      </x:c>
      <x:c r="S35" s="20" t="str">
        <x:v>Spécification à réaliser. Les champs adaptation, gameplay, visual, animation, audio et implementation décrivent le fan game ; ils ne donnent pas des caractéristiques officielles de l’œuvre.</x:v>
      </x:c>
    </x:row>
    <x:row r="36" ht="68" customHeight="1">
      <x:c r="A36" s="19" t="str">
        <x:v>ME2-ZON-VASIR-ROOF</x:v>
      </x:c>
      <x:c r="B36" s="7" t="str">
        <x:v>Illium — poursuite de Vasir</x:v>
      </x:c>
      <x:c r="C36" s="15" t="str">
        <x:v>Défini</x:v>
      </x:c>
      <x:c r="D36" s="17" t="str">
        <x:v>Établi</x:v>
      </x:c>
      <x:c r="E36" s="17" t="str">
        <x:v>P1</x:v>
      </x:c>
      <x:c r="F36" s="7" t="str">
        <x:v>Vasir fuit puis affronte Shepard.</x:v>
      </x:c>
      <x:c r="G36" s="7" t="str">
        <x:v>Poursuite de véhicule convertie en sélection de route, puis duel à arcs de charge.</x:v>
      </x:c>
      <x:c r="H36" s="7" t="str">
        <x:v>Poursuite de véhicule convertie en sélection de route, puis duel à arcs de charge.</x:v>
      </x:c>
      <x:c r="I36" s="7" t="str">
        <x:v>Terrasse urbaine, véhicules et bassins.</x:v>
      </x:c>
      <x:c r="J36" s="7" t="str">
        <x:v>Préparer état de repos, anticipation, activation et retour au repos ; aligner les événements visuels sur la résolution de l’action ATB.</x:v>
      </x:c>
      <x:c r="K36" s="7" t="str">
        <x:v>Créer des bruitages et ambiances originaux adaptés au livrable ; sous-titrer les indices utiles et proposer un réglage indépendant des effets. Aucune extraction audio demandée.</x:v>
      </x:c>
      <x:c r="L36" s="7" t="str">
        <x:v>Prévu : fiche de données me2/zones/vasir-roof ; rattacher les ressources et états cités à cet identifiant. Aucun fichier de jeu créé par ce catalogue.</x:v>
      </x:c>
      <x:c r="M36" s="7" t="str"/>
      <x:c r="N36" s="7" t="str">
        <x:v>Le livrable « Illium — poursuite de Vasir » possède une scène ou un scénario de contrôle ; ses règles proposées, ses conditions et ses retours visuels sont vérifiables séparément.</x:v>
      </x:c>
      <x:c r="O36" s="7" t="str"/>
      <x:c r="P36" s="7" t="str">
        <x:v>Illium — poursuite de Vasir</x:v>
      </x:c>
      <x:c r="Q36" s="7" t="str">
        <x:v>ME2-SRC-SHADOW</x:v>
      </x:c>
      <x:c r="R36" s="21" t="str">
        <x:v>https://masseffect.fandom.com/wiki/Lair_of_the_Shadow_Broker_%28mission%29</x:v>
      </x:c>
      <x:c r="S36" s="21" t="str">
        <x:v>Spécification à réaliser. Les champs adaptation, gameplay, visual, animation, audio et implementation décrivent le fan game ; ils ne donnent pas des caractéristiques officielles de l’œuvre.</x:v>
      </x:c>
    </x:row>
    <x:row r="37" ht="68" customHeight="1">
      <x:c r="A37" s="18" t="str">
        <x:v>ME2-ZON-HAGALAZ-HULL</x:v>
      </x:c>
      <x:c r="B37" s="9" t="str">
        <x:v>Hagalaz — coque extérieure</x:v>
      </x:c>
      <x:c r="C37" s="15" t="str">
        <x:v>Défini</x:v>
      </x:c>
      <x:c r="D37" s="16" t="str">
        <x:v>Établi</x:v>
      </x:c>
      <x:c r="E37" s="16" t="str">
        <x:v>P1</x:v>
      </x:c>
      <x:c r="F37" s="9" t="str">
        <x:v>L’assaut passe par l’extérieur du vaisseau.</x:v>
      </x:c>
      <x:c r="G37" s="9" t="str">
        <x:v>Parcours sous tempête ; condensateurs utilisables contre les renforts avec annonce du danger.</x:v>
      </x:c>
      <x:c r="H37" s="9" t="str">
        <x:v>Parcours sous tempête ; condensateurs utilisables contre les renforts avec annonce du danger.</x:v>
      </x:c>
      <x:c r="I37" s="9" t="str">
        <x:v>Coque courbe, antennes et flux de vent.</x:v>
      </x:c>
      <x:c r="J37" s="9" t="str">
        <x:v>Préparer état de repos, anticipation, activation et retour au repos ; aligner les événements visuels sur la résolution de l’action ATB.</x:v>
      </x:c>
      <x:c r="K37" s="9" t="str">
        <x:v>Créer des bruitages et ambiances originaux adaptés au livrable ; sous-titrer les indices utiles et proposer un réglage indépendant des effets. Aucune extraction audio demandée.</x:v>
      </x:c>
      <x:c r="L37" s="9" t="str">
        <x:v>Prévu : fiche de données me2/zones/hagalaz-hull ; rattacher les ressources et états cités à cet identifiant. Aucun fichier de jeu créé par ce catalogue.</x:v>
      </x:c>
      <x:c r="M37" s="9" t="str"/>
      <x:c r="N37" s="9" t="str">
        <x:v>Le livrable « Hagalaz — coque extérieure » possède une scène ou un scénario de contrôle ; ses règles proposées, ses conditions et ses retours visuels sont vérifiables séparément.</x:v>
      </x:c>
      <x:c r="O37" s="9" t="str"/>
      <x:c r="P37" s="9" t="str">
        <x:v>Hagalaz — coque extérieure</x:v>
      </x:c>
      <x:c r="Q37" s="9" t="str">
        <x:v>ME2-SRC-SHADOW</x:v>
      </x:c>
      <x:c r="R37" s="20" t="str">
        <x:v>https://masseffect.fandom.com/wiki/Lair_of_the_Shadow_Broker_%28mission%29</x:v>
      </x:c>
      <x:c r="S37" s="20" t="str">
        <x:v>Spécification à réaliser. Les champs adaptation, gameplay, visual, animation, audio et implementation décrivent le fan game ; ils ne donnent pas des caractéristiques officielles de l’œuvre.</x:v>
      </x:c>
    </x:row>
    <x:row r="38" ht="68" customHeight="1">
      <x:c r="A38" s="19" t="str">
        <x:v>ME2-ZON-BROKER-OFFICE</x:v>
      </x:c>
      <x:c r="B38" s="7" t="str">
        <x:v>Bureau du Courtier</x:v>
      </x:c>
      <x:c r="C38" s="15" t="str">
        <x:v>Défini</x:v>
      </x:c>
      <x:c r="D38" s="17" t="str">
        <x:v>Établi</x:v>
      </x:c>
      <x:c r="E38" s="17" t="str">
        <x:v>P1</x:v>
      </x:c>
      <x:c r="F38" s="7" t="str">
        <x:v>Le Courtier yahg y est affronté.</x:v>
      </x:c>
      <x:c r="G38" s="7" t="str">
        <x:v>Boss concentré sur alternance distance/contact ; protéger la lisibilité du bouclier et de Liara.</x:v>
      </x:c>
      <x:c r="H38" s="7" t="str">
        <x:v>Boss concentré sur alternance distance/contact ; protéger la lisibilité du bouclier et de Liara.</x:v>
      </x:c>
      <x:c r="I38" s="7" t="str">
        <x:v>Grande salle sombre, bureau brisé et écrans suspendus.</x:v>
      </x:c>
      <x:c r="J38" s="7" t="str">
        <x:v>Préparer état de repos, anticipation, activation et retour au repos ; aligner les événements visuels sur la résolution de l’action ATB.</x:v>
      </x:c>
      <x:c r="K38" s="7" t="str">
        <x:v>Créer des bruitages et ambiances originaux adaptés au livrable ; sous-titrer les indices utiles et proposer un réglage indépendant des effets. Aucune extraction audio demandée.</x:v>
      </x:c>
      <x:c r="L38" s="7" t="str">
        <x:v>Prévu : fiche de données me2/zones/broker-office ; rattacher les ressources et états cités à cet identifiant. Aucun fichier de jeu créé par ce catalogue.</x:v>
      </x:c>
      <x:c r="M38" s="7" t="str"/>
      <x:c r="N38" s="7" t="str">
        <x:v>Le livrable « Bureau du Courtier » possède une scène ou un scénario de contrôle ; ses règles proposées, ses conditions et ses retours visuels sont vérifiables séparément.</x:v>
      </x:c>
      <x:c r="O38" s="7" t="str"/>
      <x:c r="P38" s="7" t="str">
        <x:v>Bureau du Courtier</x:v>
      </x:c>
      <x:c r="Q38" s="7" t="str">
        <x:v>ME2-SRC-SHADOW</x:v>
      </x:c>
      <x:c r="R38" s="21" t="str">
        <x:v>https://masseffect.fandom.com/wiki/Lair_of_the_Shadow_Broker_%28mission%29</x:v>
      </x:c>
      <x:c r="S38" s="21" t="str">
        <x:v>Spécification à réaliser. Les champs adaptation, gameplay, visual, animation, audio et implementation décrivent le fan game ; ils ne donnent pas des caractéristiques officielles de l’œuvre.</x:v>
      </x:c>
    </x:row>
    <x:row r="39" ht="68" customHeight="1">
      <x:c r="A39" s="18" t="str">
        <x:v>ME2-ZON-ATLAS-VR</x:v>
      </x:c>
      <x:c r="B39" s="9" t="str">
        <x:v>Atlas — environnement virtuel</x:v>
      </x:c>
      <x:c r="C39" s="15" t="str">
        <x:v>Défini</x:v>
      </x:c>
      <x:c r="D39" s="16" t="str">
        <x:v>Établi</x:v>
      </x:c>
      <x:c r="E39" s="16" t="str">
        <x:v>P1</x:v>
      </x:c>
      <x:c r="F39" s="9" t="str">
        <x:v>Le dispositif expose Shepard à une réalité virtuelle.</x:v>
      </x:c>
      <x:c r="G39" s="9" t="str">
        <x:v>Superposer un plan numérique aux couloirs physiques ; restaurer la vision réelle par étape de contrôle.</x:v>
      </x:c>
      <x:c r="H39" s="9" t="str">
        <x:v>Superposer un plan numérique aux couloirs physiques ; restaurer la vision réelle par étape de contrôle.</x:v>
      </x:c>
      <x:c r="I39" s="9" t="str">
        <x:v>Grille verte, surfaces fragmentées et signes de transfert.</x:v>
      </x:c>
      <x:c r="J39" s="9" t="str">
        <x:v>Préparer état de repos, anticipation, activation et retour au repos ; aligner les événements visuels sur la résolution de l’action ATB.</x:v>
      </x:c>
      <x:c r="K39" s="9" t="str">
        <x:v>Créer des bruitages et ambiances originaux adaptés au livrable ; sous-titrer les indices utiles et proposer un réglage indépendant des effets. Aucune extraction audio demandée.</x:v>
      </x:c>
      <x:c r="L39" s="9" t="str">
        <x:v>Prévu : fiche de données me2/zones/atlas-vr ; rattacher les ressources et états cités à cet identifiant. Aucun fichier de jeu créé par ce catalogue.</x:v>
      </x:c>
      <x:c r="M39" s="9" t="str"/>
      <x:c r="N39" s="9" t="str">
        <x:v>Le livrable « Atlas — environnement virtuel » possède une scène ou un scénario de contrôle ; ses règles proposées, ses conditions et ses retours visuels sont vérifiables séparément.</x:v>
      </x:c>
      <x:c r="O39" s="9" t="str"/>
      <x:c r="P39" s="9" t="str">
        <x:v>Atlas — environnement virtuel</x:v>
      </x:c>
      <x:c r="Q39" s="9" t="str">
        <x:v>ME2-SRC-ATLAS</x:v>
      </x:c>
      <x:c r="R39" s="20" t="str">
        <x:v>https://masseffect.fandom.com/wiki/Atlas_Station</x:v>
      </x:c>
      <x:c r="S39" s="20" t="str">
        <x:v>Spécification à réaliser. Les champs adaptation, gameplay, visual, animation, audio et implementation décrivent le fan game ; ils ne donnent pas des caractéristiques officielles de l’œuvre.</x:v>
      </x:c>
    </x:row>
    <x:row r="40" ht="68" customHeight="1">
      <x:c r="A40" s="19" t="str">
        <x:v>ME2-ZON-ARRIVAL-PRISON</x:v>
      </x:c>
      <x:c r="B40" s="7" t="str">
        <x:v>Aratoht — prison</x:v>
      </x:c>
      <x:c r="C40" s="15" t="str">
        <x:v>Défini</x:v>
      </x:c>
      <x:c r="D40" s="17" t="str">
        <x:v>Établi</x:v>
      </x:c>
      <x:c r="E40" s="17" t="str">
        <x:v>P1</x:v>
      </x:c>
      <x:c r="F40" s="7" t="str">
        <x:v>Shepard y délivre Kenson.</x:v>
      </x:c>
      <x:c r="G40" s="7" t="str">
        <x:v>Solo furtif : cônes de vision explicites et raccourcis ; l’alerte ne bloque pas la mission.</x:v>
      </x:c>
      <x:c r="H40" s="7" t="str">
        <x:v>Solo furtif : cônes de vision explicites et raccourcis ; l’alerte ne bloque pas la mission.</x:v>
      </x:c>
      <x:c r="I40" s="7" t="str">
        <x:v>Cellules, passerelles et circuits électriques.</x:v>
      </x:c>
      <x:c r="J40" s="7" t="str">
        <x:v>Préparer état de repos, anticipation, activation et retour au repos ; aligner les événements visuels sur la résolution de l’action ATB.</x:v>
      </x:c>
      <x:c r="K40" s="7" t="str">
        <x:v>Créer des bruitages et ambiances originaux adaptés au livrable ; sous-titrer les indices utiles et proposer un réglage indépendant des effets. Aucune extraction audio demandée.</x:v>
      </x:c>
      <x:c r="L40" s="7" t="str">
        <x:v>Prévu : fiche de données me2/zones/arrival-prison ; rattacher les ressources et états cités à cet identifiant. Aucun fichier de jeu créé par ce catalogue.</x:v>
      </x:c>
      <x:c r="M40" s="7" t="str"/>
      <x:c r="N40" s="7" t="str">
        <x:v>Le livrable « Aratoht — prison » possède une scène ou un scénario de contrôle ; ses règles proposées, ses conditions et ses retours visuels sont vérifiables séparément.</x:v>
      </x:c>
      <x:c r="O40" s="7" t="str"/>
      <x:c r="P40" s="7" t="str">
        <x:v>Aratoht — prison</x:v>
      </x:c>
      <x:c r="Q40" s="7" t="str">
        <x:v>ME2-SRC-ARRIVAL</x:v>
      </x:c>
      <x:c r="R40" s="21" t="str">
        <x:v>https://masseffect.fandom.com/wiki/Arrival_%28assignment%29</x:v>
      </x:c>
      <x:c r="S40" s="21" t="str">
        <x:v>Spécification à réaliser. Les champs adaptation, gameplay, visual, animation, audio et implementation décrivent le fan game ; ils ne donnent pas des caractéristiques officielles de l’œuvre.</x:v>
      </x:c>
    </x:row>
    <x:row r="41" ht="68" customHeight="1">
      <x:c r="A41" s="18" t="str">
        <x:v>ME2-ZON-ARRIVAL-PROJECT</x:v>
      </x:c>
      <x:c r="B41" s="9" t="str">
        <x:v>Arrival — installation de l’astéroïde</x:v>
      </x:c>
      <x:c r="C41" s="15" t="str">
        <x:v>Défini</x:v>
      </x:c>
      <x:c r="D41" s="16" t="str">
        <x:v>Établi</x:v>
      </x:c>
      <x:c r="E41" s="16" t="str">
        <x:v>P1</x:v>
      </x:c>
      <x:c r="F41" s="9" t="str">
        <x:v>Le projet vise le relais Alpha.</x:v>
      </x:c>
      <x:c r="G41" s="9" t="str">
        <x:v>Arène de défense puis reroutage et plateforme extérieure ; compteur lisible en unités de jeu proposées.</x:v>
      </x:c>
      <x:c r="H41" s="9" t="str">
        <x:v>Arène de défense puis reroutage et plateforme extérieure ; compteur lisible en unités de jeu proposées.</x:v>
      </x:c>
      <x:c r="I41" s="9" t="str">
        <x:v>Artefact, propulseurs et passerelles sous vide.</x:v>
      </x:c>
      <x:c r="J41" s="9" t="str">
        <x:v>Préparer état de repos, anticipation, activation et retour au repos ; aligner les événements visuels sur la résolution de l’action ATB.</x:v>
      </x:c>
      <x:c r="K41" s="9" t="str">
        <x:v>Créer des bruitages et ambiances originaux adaptés au livrable ; sous-titrer les indices utiles et proposer un réglage indépendant des effets. Aucune extraction audio demandée.</x:v>
      </x:c>
      <x:c r="L41" s="9" t="str">
        <x:v>Prévu : fiche de données me2/zones/arrival-project ; rattacher les ressources et états cités à cet identifiant. Aucun fichier de jeu créé par ce catalogue.</x:v>
      </x:c>
      <x:c r="M41" s="9" t="str"/>
      <x:c r="N41" s="9" t="str">
        <x:v>Le livrable « Arrival — installation de l’astéroïde » possède une scène ou un scénario de contrôle ; ses règles proposées, ses conditions et ses retours visuels sont vérifiables séparément.</x:v>
      </x:c>
      <x:c r="O41" s="9" t="str"/>
      <x:c r="P41" s="9" t="str">
        <x:v>Arrival — installation de l’astéroïde</x:v>
      </x:c>
      <x:c r="Q41" s="9" t="str">
        <x:v>ME2-SRC-ARRIVAL</x:v>
      </x:c>
      <x:c r="R41" s="20" t="str">
        <x:v>https://masseffect.fandom.com/wiki/Arrival_%28assignment%29</x:v>
      </x:c>
      <x:c r="S41" s="20" t="str">
        <x:v>Spécification à réaliser. Les champs adaptation, gameplay, visual, animation, audio et implementation décrivent le fan game ; ils ne donnent pas des caractéristiques officielles de l’œuvre.</x:v>
      </x:c>
    </x:row>
    <x:row r="42" ht="68" customHeight="1">
      <x:c r="A42" s="19" t="str">
        <x:v>ME2-ZON-COLLECTOR-VENTS</x:v>
      </x:c>
      <x:c r="B42" s="7" t="str">
        <x:v>Base — conduits d’infiltration</x:v>
      </x:c>
      <x:c r="C42" s="15" t="str">
        <x:v>Défini</x:v>
      </x:c>
      <x:c r="D42" s="17" t="str">
        <x:v>Établi</x:v>
      </x:c>
      <x:c r="E42" s="17" t="str">
        <x:v>P1</x:v>
      </x:c>
      <x:c r="F42" s="7" t="str">
        <x:v>Un spécialiste traverse les conduits.</x:v>
      </x:c>
      <x:c r="G42" s="7" t="str">
        <x:v>Valves comme objectifs tactiques ; jauge thermique gelée pendant un menu essentiel.</x:v>
      </x:c>
      <x:c r="H42" s="7" t="str">
        <x:v>Valves comme objectifs tactiques ; jauge thermique gelée pendant un menu essentiel.</x:v>
      </x:c>
      <x:c r="I42" s="7" t="str">
        <x:v>Tuyaux organiques et panneaux verts.</x:v>
      </x:c>
      <x:c r="J42" s="7" t="str">
        <x:v>Préparer état de repos, anticipation, activation et retour au repos ; aligner les événements visuels sur la résolution de l’action ATB.</x:v>
      </x:c>
      <x:c r="K42" s="7" t="str">
        <x:v>Créer des bruitages et ambiances originaux adaptés au livrable ; sous-titrer les indices utiles et proposer un réglage indépendant des effets. Aucune extraction audio demandée.</x:v>
      </x:c>
      <x:c r="L42" s="7" t="str">
        <x:v>Prévu : fiche de données me2/zones/collector-vents ; rattacher les ressources et états cités à cet identifiant. Aucun fichier de jeu créé par ce catalogue.</x:v>
      </x:c>
      <x:c r="M42" s="7" t="str"/>
      <x:c r="N42" s="7" t="str">
        <x:v>Le livrable « Base — conduits d’infiltration » possède une scène ou un scénario de contrôle ; ses règles proposées, ses conditions et ses retours visuels sont vérifiables séparément.</x:v>
      </x:c>
      <x:c r="O42" s="7" t="str"/>
      <x:c r="P42" s="7" t="str">
        <x:v>Base — conduits d’infiltration</x:v>
      </x:c>
      <x:c r="Q42" s="7" t="str">
        <x:v>ME2-SRC-INFIL</x:v>
      </x:c>
      <x:c r="R42" s="21" t="str">
        <x:v>https://masseffect.fandom.com/wiki/Collector_Base%3A_Infiltration</x:v>
      </x:c>
      <x:c r="S42" s="21" t="str">
        <x:v>Spécification à réaliser. Les champs adaptation, gameplay, visual, animation, audio et implementation décrivent le fan game ; ils ne donnent pas des caractéristiques officielles de l’œuvre.</x:v>
      </x:c>
    </x:row>
    <x:row r="43" ht="68" customHeight="1">
      <x:c r="A43" s="18" t="str">
        <x:v>ME2-ZON-COLLECTOR-PODS</x:v>
      </x:c>
      <x:c r="B43" s="9" t="str">
        <x:v>Base — pods et essaims</x:v>
      </x:c>
      <x:c r="C43" s="15" t="str">
        <x:v>Défini</x:v>
      </x:c>
      <x:c r="D43" s="16" t="str">
        <x:v>Établi</x:v>
      </x:c>
      <x:c r="E43" s="16" t="str">
        <x:v>P1</x:v>
      </x:c>
      <x:c r="F43" s="9" t="str">
        <x:v>Des captifs sont maintenus dans la base.</x:v>
      </x:c>
      <x:c r="G43" s="9" t="str">
        <x:v>Zone de révélations puis marche sous barrière ; appliquer le résultat des délais une seule fois.</x:v>
      </x:c>
      <x:c r="H43" s="9" t="str">
        <x:v>Zone de révélations puis marche sous barrière ; appliquer le résultat des délais une seule fois.</x:v>
      </x:c>
      <x:c r="I43" s="9" t="str">
        <x:v>Pods translucides, condensation et essaims.</x:v>
      </x:c>
      <x:c r="J43" s="9" t="str">
        <x:v>Préparer état de repos, anticipation, activation et retour au repos ; aligner les événements visuels sur la résolution de l’action ATB.</x:v>
      </x:c>
      <x:c r="K43" s="9" t="str">
        <x:v>Créer des bruitages et ambiances originaux adaptés au livrable ; sous-titrer les indices utiles et proposer un réglage indépendant des effets. Aucune extraction audio demandée.</x:v>
      </x:c>
      <x:c r="L43" s="9" t="str">
        <x:v>Prévu : fiche de données me2/zones/collector-pods ; rattacher les ressources et états cités à cet identifiant. Aucun fichier de jeu créé par ce catalogue.</x:v>
      </x:c>
      <x:c r="M43" s="9" t="str"/>
      <x:c r="N43" s="9" t="str">
        <x:v>Le livrable « Base — pods et essaims » possède une scène ou un scénario de contrôle ; ses règles proposées, ses conditions et ses retours visuels sont vérifiables séparément.</x:v>
      </x:c>
      <x:c r="O43" s="9" t="str"/>
      <x:c r="P43" s="9" t="str">
        <x:v>Base — pods et essaims</x:v>
      </x:c>
      <x:c r="Q43" s="9" t="str">
        <x:v>ME2-SRC-WALK</x:v>
      </x:c>
      <x:c r="R43" s="20" t="str">
        <x:v>https://masseffect.fandom.com/wiki/Collector_Base%3A_The_Long_Walk</x:v>
      </x:c>
      <x:c r="S43" s="20" t="str">
        <x:v>Spécification à réaliser. Les champs adaptation, gameplay, visual, animation, audio et implementation décrivent le fan game ; ils ne donnent pas des caractéristiques officielles de l’œuvre.</x:v>
      </x:c>
    </x:row>
    <x:row r="44" ht="68" customHeight="1">
      <x:c r="A44" s="19" t="str">
        <x:v>ME2-ZON-COLLECTOR-CORE</x:v>
      </x:c>
      <x:c r="B44" s="7" t="str">
        <x:v>Base — chambre finale</x:v>
      </x:c>
      <x:c r="C44" s="15" t="str">
        <x:v>Défini</x:v>
      </x:c>
      <x:c r="D44" s="17" t="str">
        <x:v>Établi</x:v>
      </x:c>
      <x:c r="E44" s="17" t="str">
        <x:v>P1</x:v>
      </x:c>
      <x:c r="F44" s="7" t="str">
        <x:v>Lieu du Moissonneur humain.</x:v>
      </x:c>
      <x:c r="G44" s="7" t="str">
        <x:v>Plateforme en plusieurs bandes ; les mains du boss annoncent les zones de frappe.</x:v>
      </x:c>
      <x:c r="H44" s="7" t="str">
        <x:v>Plateforme en plusieurs bandes ; les mains du boss annoncent les zones de frappe.</x:v>
      </x:c>
      <x:c r="I44" s="7" t="str">
        <x:v>Structure inachevée et tubes d’alimentation.</x:v>
      </x:c>
      <x:c r="J44" s="7" t="str">
        <x:v>Préparer état de repos, anticipation, activation et retour au repos ; aligner les événements visuels sur la résolution de l’action ATB.</x:v>
      </x:c>
      <x:c r="K44" s="7" t="str">
        <x:v>Créer des bruitages et ambiances originaux adaptés au livrable ; sous-titrer les indices utiles et proposer un réglage indépendant des effets. Aucune extraction audio demandée.</x:v>
      </x:c>
      <x:c r="L44" s="7" t="str">
        <x:v>Prévu : fiche de données me2/zones/collector-core ; rattacher les ressources et états cités à cet identifiant. Aucun fichier de jeu créé par ce catalogue.</x:v>
      </x:c>
      <x:c r="M44" s="7" t="str"/>
      <x:c r="N44" s="7" t="str">
        <x:v>Le livrable « Base — chambre finale » possède une scène ou un scénario de contrôle ; ses règles proposées, ses conditions et ses retours visuels sont vérifiables séparément.</x:v>
      </x:c>
      <x:c r="O44" s="7" t="str"/>
      <x:c r="P44" s="7" t="str">
        <x:v>Base — chambre finale</x:v>
      </x:c>
      <x:c r="Q44" s="7" t="str">
        <x:v>ME2-SRC-FINAL</x:v>
      </x:c>
      <x:c r="R44" s="21" t="str">
        <x:v>https://masseffect.fandom.com/wiki/Collector_Base%3A_Final_Battle</x:v>
      </x:c>
      <x:c r="S44" s="21" t="str">
        <x:v>Spécification à réaliser. Les champs adaptation, gameplay, visual, animation, audio et implementation décrivent le fan game ; ils ne donnent pas des caractéristiques officielles de l’œuvre.</x:v>
      </x:c>
    </x:row>
  </x:sheetData>
  <x:conditionalFormatting sqref="D7:D44">
    <x:cfRule type="cellIs" dxfId="16" priority="1" operator="equal">
      <x:formula>"À vérifier"</x:formula>
    </x:cfRule>
    <x:cfRule type="cellIs" dxfId="17" priority="2" operator="equal">
      <x:formula>"Extrapolation"</x:formula>
    </x:cfRule>
  </x:conditionalFormatting>
  <x:conditionalFormatting sqref="C7:C44">
    <x:cfRule type="cellIs" dxfId="18" priority="3" operator="equal">
      <x:formula>"Validé"</x:formula>
    </x:cfRule>
  </x:conditionalFormatting>
  <x:conditionalFormatting sqref="E7:E44">
    <x:cfRule type="cellIs" dxfId="19" priority="4" operator="equal">
      <x:formula>"P0"</x:formula>
    </x:cfRule>
  </x:conditionalFormatting>
  <x:dataValidations count="3">
    <x:dataValidation type="list" sqref="C7:C44">
      <x:formula1>"Défini,Prototype,Intégré,Validé"</x:formula1>
    </x:dataValidation>
    <x:dataValidation type="list" sqref="D7:D44">
      <x:formula1>"Établi,À vérifier,Extrapolation,Coupé attesté,Concept abandonné,Allégation écartée"</x:formula1>
    </x:dataValidation>
    <x:dataValidation type="list" sqref="E7:E44">
      <x:formula1>"P0,P1,P2"</x:formula1>
    </x:dataValidation>
  </x:dataValidations>
  <x:pageMargins left="0.7" right="0.7" top="0.75" bottom="0.75" header="0.3" footer="0.3"/>
  <x:tableParts count="1">
    <x:tablePart xmlns:r="http://schemas.openxmlformats.org/officeDocument/2006/relationships" r:id="R3dec87cdfd4c47f5"/>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Liaisons</x:v>
      </x:c>
      <x:c r="B2" s="2"/>
      <x:c r="C2" s="2"/>
      <x:c r="D2" s="2"/>
      <x:c r="E2" s="2"/>
      <x:c r="F2" s="2"/>
      <x:c r="G2" s="2"/>
      <x:c r="H2" s="2"/>
      <x:c r="I2" s="2"/>
      <x:c r="J2" s="2"/>
      <x:c r="K2" s="2"/>
      <x:c r="L2" s="2"/>
      <x:c r="M2" s="2"/>
      <x:c r="N2" s="2"/>
      <x:c r="O2" s="2"/>
      <x:c r="P2" s="2"/>
      <x:c r="Q2" s="2"/>
      <x:c r="R2" s="2"/>
      <x:c r="S2" s="2"/>
    </x:row>
    <x:row r="3" ht="22" customHeight="1">
      <x:c r="A3" s="4" t="str">
        <x:v>Mass Effect 2 — Continuité spatiale et conditions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ME2-LNK-NORMANDY-HUBS</x:v>
      </x:c>
      <x:c r="B7" s="9" t="str">
        <x:v>Normandy ↔ hubs</x:v>
      </x:c>
      <x:c r="C7" s="15" t="str">
        <x:v>Défini</x:v>
      </x:c>
      <x:c r="D7" s="16" t="str">
        <x:v>Extrapolation</x:v>
      </x:c>
      <x:c r="E7" s="16" t="str">
        <x:v>P1</x:v>
      </x:c>
      <x:c r="F7" s="9" t="str">
        <x:v>Livrable original proposé : Normandy ↔ hubs.</x:v>
      </x:c>
      <x:c r="G7" s="9" t="str">
        <x:v>Routes de carte distinguant atterrissage, carburant et retour ; chaque hub conserve ses marchands et demandes.</x:v>
      </x:c>
      <x:c r="H7" s="9" t="str">
        <x:v>Routes de carte distinguant atterrissage, carburant et retour ; chaque hub conserve ses marchands et demandes.</x:v>
      </x:c>
      <x:c r="I7" s="9" t="str">
        <x:v>Lignes de transit simples et destination nommée.</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me2/links/normandy-hubs ; rattacher les ressources et états cités à cet identifiant. Aucun fichier de jeu créé par ce catalogue.</x:v>
      </x:c>
      <x:c r="M7" s="9" t="str"/>
      <x:c r="N7" s="9" t="str">
        <x:v>Le livrable « Normandy ↔ hubs » possède une scène ou un scénario de contrôle ; ses règles proposées, ses conditions et ses retours visuels sont vérifiables séparément.</x:v>
      </x:c>
      <x:c r="O7" s="9" t="str">
        <x:v>ME2-ZON-NORMANDY-CIC, ME2-WRL-OMEGA, ME2-WRL-ILLIUM, ME2-WRL-CITADEL</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ME2-LNK-OMEGA-PROF</x:v>
      </x:c>
      <x:c r="B8" s="7" t="str">
        <x:v>Marché Omega → quarantaine</x:v>
      </x:c>
      <x:c r="C8" s="15" t="str">
        <x:v>Défini</x:v>
      </x:c>
      <x:c r="D8" s="17" t="str">
        <x:v>Extrapolation</x:v>
      </x:c>
      <x:c r="E8" s="17" t="str">
        <x:v>P1</x:v>
      </x:c>
      <x:c r="F8" s="7" t="str">
        <x:v>Livrable original proposé : Marché Omega → quarantaine.</x:v>
      </x:c>
      <x:c r="G8" s="7" t="str">
        <x:v>Transition avec avertissement de mission et composition d’équipe ; retour à la clinique puis hub après le recrutement.</x:v>
      </x:c>
      <x:c r="H8" s="7" t="str">
        <x:v>Transition avec avertissement de mission et composition d’équipe ; retour à la clinique puis hub après le recrutement.</x:v>
      </x:c>
      <x:c r="I8" s="7" t="str">
        <x:v>Sas, garde et lumière médicale.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me2/links/omega-prof ; rattacher les ressources et états cités à cet identifiant. Aucun fichier de jeu créé par ce catalogue.</x:v>
      </x:c>
      <x:c r="M8" s="7" t="str"/>
      <x:c r="N8" s="7" t="str">
        <x:v>Le livrable « Marché Omega → quarantaine » possède une scène ou un scénario de contrôle ; ses règles proposées, ses conditions et ses retours visuels sont vérifiables séparément.</x:v>
      </x:c>
      <x:c r="O8" s="7" t="str">
        <x:v>ME2-ZON-OMEGA-MARKET, ME2-ZON-OMEGA-CLINIC</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ME2-LNK-OMEGA-ARCH</x:v>
      </x:c>
      <x:c r="B9" s="9" t="str">
        <x:v>Omega → siège d’Archangel</x:v>
      </x:c>
      <x:c r="C9" s="15" t="str">
        <x:v>Défini</x:v>
      </x:c>
      <x:c r="D9" s="16" t="str">
        <x:v>Extrapolation</x:v>
      </x:c>
      <x:c r="E9" s="16" t="str">
        <x:v>P1</x:v>
      </x:c>
      <x:c r="F9" s="9" t="str">
        <x:v>Livrable original proposé : Omega → siège d’Archangel.</x:v>
      </x:c>
      <x:c r="G9" s="9" t="str">
        <x:v>Taxi de mission ouvre le siège ; bloquer le retour libre pendant la défense tout en conservant la sauvegarde d’entrée.</x:v>
      </x:c>
      <x:c r="H9" s="9" t="str">
        <x:v>Taxi de mission ouvre le siège ; bloquer le retour libre pendant la défense tout en conservant la sauvegarde d’entrée.</x:v>
      </x:c>
      <x:c r="I9" s="9" t="str">
        <x:v>Navette et vue de pont.</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me2/links/omega-arch ; rattacher les ressources et états cités à cet identifiant. Aucun fichier de jeu créé par ce catalogue.</x:v>
      </x:c>
      <x:c r="M9" s="9" t="str"/>
      <x:c r="N9" s="9" t="str">
        <x:v>Le livrable « Omega → siège d’Archangel » possède une scène ou un scénario de contrôle ; ses règles proposées, ses conditions et ses retours visuels sont vérifiables séparément.</x:v>
      </x:c>
      <x:c r="O9" s="9" t="str">
        <x:v>ME2-ZON-OMEGA-MARKET, ME2-ZON-ARCHANGEL-HOUSE</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ME2-LNK-ILLIUM-DANTIUS</x:v>
      </x:c>
      <x:c r="B10" s="7" t="str">
        <x:v>Nos Astra → tours Dantius</x:v>
      </x:c>
      <x:c r="C10" s="15" t="str">
        <x:v>Défini</x:v>
      </x:c>
      <x:c r="D10" s="17" t="str">
        <x:v>Extrapolation</x:v>
      </x:c>
      <x:c r="E10" s="17" t="str">
        <x:v>P1</x:v>
      </x:c>
      <x:c r="F10" s="7" t="str">
        <x:v>Livrable original proposé : Nos Astra → tours Dantius.</x:v>
      </x:c>
      <x:c r="G10" s="7" t="str">
        <x:v>Navette séparant le hub de l’ascension ; expliquer que le recrutement s’effectue sur une carte de mission.</x:v>
      </x:c>
      <x:c r="H10" s="7" t="str">
        <x:v>Navette séparant le hub de l’ascension ; expliquer que le recrutement s’effectue sur une carte de mission.</x:v>
      </x:c>
      <x:c r="I10" s="7" t="str">
        <x:v>Skycar et tours jumelles.</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me2/links/illium-dantius ; rattacher les ressources et états cités à cet identifiant. Aucun fichier de jeu créé par ce catalogue.</x:v>
      </x:c>
      <x:c r="M10" s="7" t="str"/>
      <x:c r="N10" s="7" t="str">
        <x:v>Le livrable « Nos Astra → tours Dantius » possède une scène ou un scénario de contrôle ; ses règles proposées, ses conditions et ses retours visuels sont vérifiables séparément.</x:v>
      </x:c>
      <x:c r="O10" s="7" t="str">
        <x:v>ME2-WRL-ILLIUM, ME2-ZON-DANTIUS</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ME2-LNK-ILLIUM-POLICE</x:v>
      </x:c>
      <x:c r="B11" s="9" t="str">
        <x:v>Nos Astra → spatioport</x:v>
      </x:c>
      <x:c r="C11" s="15" t="str">
        <x:v>Défini</x:v>
      </x:c>
      <x:c r="D11" s="16" t="str">
        <x:v>Extrapolation</x:v>
      </x:c>
      <x:c r="E11" s="16" t="str">
        <x:v>P1</x:v>
      </x:c>
      <x:c r="F11" s="9" t="str">
        <x:v>Livrable original proposé : Nos Astra → spatioport.</x:v>
      </x:c>
      <x:c r="G11" s="9" t="str">
        <x:v>Passage sans coût de carburant ; les preuves de mission reviennent au bon bureau.</x:v>
      </x:c>
      <x:c r="H11" s="9" t="str">
        <x:v>Passage sans coût de carburant ; les preuves de mission reviennent au bon bureau.</x:v>
      </x:c>
      <x:c r="I11" s="9" t="str">
        <x:v>Ascenseur et panneaux de police.</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me2/links/illium-police ; rattacher les ressources et états cités à cet identifiant. Aucun fichier de jeu créé par ce catalogue.</x:v>
      </x:c>
      <x:c r="M11" s="9" t="str"/>
      <x:c r="N11" s="9" t="str">
        <x:v>Le livrable « Nos Astra → spatioport » possède une scène ou un scénario de contrôle ; ses règles proposées, ses conditions et ses retours visuels sont vérifiables séparément.</x:v>
      </x:c>
      <x:c r="O11" s="9" t="str">
        <x:v>ME2-WRL-ILLIUM, ME2-ZON-ILLIUM-DOCK</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ME2-LNK-ILLIUM-FRET</x:v>
      </x:c>
      <x:c r="B12" s="7" t="str">
        <x:v>Illium → fret de Miranda</x:v>
      </x:c>
      <x:c r="C12" s="15" t="str">
        <x:v>Défini</x:v>
      </x:c>
      <x:c r="D12" s="17" t="str">
        <x:v>Extrapolation</x:v>
      </x:c>
      <x:c r="E12" s="17" t="str">
        <x:v>P1</x:v>
      </x:c>
      <x:c r="F12" s="7" t="str">
        <x:v>Livrable original proposé : Illium → fret de Miranda.</x:v>
      </x:c>
      <x:c r="G12" s="7" t="str">
        <x:v>Transition verrouillée par sa présence ; ne pas permettre d’abandonner l’équipière sur place.</x:v>
      </x:c>
      <x:c r="H12" s="7" t="str">
        <x:v>Transition verrouillée par sa présence ; ne pas permettre d’abandonner l’équipière sur place.</x:v>
      </x:c>
      <x:c r="I12" s="7" t="str">
        <x:v>Navette au-dessus des conteneurs.</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me2/links/illium-fret ; rattacher les ressources et états cités à cet identifiant. Aucun fichier de jeu créé par ce catalogue.</x:v>
      </x:c>
      <x:c r="M12" s="7" t="str"/>
      <x:c r="N12" s="7" t="str">
        <x:v>Le livrable « Illium → fret de Miranda » possède une scène ou un scénario de contrôle ; ses règles proposées, ses conditions et ses retours visuels sont vérifiables séparément.</x:v>
      </x:c>
      <x:c r="O12" s="7" t="str">
        <x:v>ME2-WRL-ILLIUM, ME2-ZON-ILLIUM-CARGO</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ME2-LNK-TUCH-RITE</x:v>
      </x:c>
      <x:c r="B13" s="9" t="str">
        <x:v>Clan Urdnot → arène</x:v>
      </x:c>
      <x:c r="C13" s="15" t="str">
        <x:v>Défini</x:v>
      </x:c>
      <x:c r="D13" s="16" t="str">
        <x:v>Extrapolation</x:v>
      </x:c>
      <x:c r="E13" s="16" t="str">
        <x:v>P1</x:v>
      </x:c>
      <x:c r="F13" s="9" t="str">
        <x:v>Livrable original proposé : Clan Urdnot → arène.</x:v>
      </x:c>
      <x:c r="G13" s="9" t="str">
        <x:v>Trajet de rite disponible après dialogue ; retour applique appartenance et loyauté séparément.</x:v>
      </x:c>
      <x:c r="H13" s="9" t="str">
        <x:v>Trajet de rite disponible après dialogue ; retour applique appartenance et loyauté séparément.</x:v>
      </x:c>
      <x:c r="I13" s="9" t="str">
        <x:v>Porte de clan et stèle rituelle.</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me2/links/tuch-rite ; rattacher les ressources et états cités à cet identifiant. Aucun fichier de jeu créé par ce catalogue.</x:v>
      </x:c>
      <x:c r="M13" s="9" t="str"/>
      <x:c r="N13" s="9" t="str">
        <x:v>Le livrable « Clan Urdnot → arène » possède une scène ou un scénario de contrôle ; ses règles proposées, ses conditions et ses retours visuels sont vérifiables séparément.</x:v>
      </x:c>
      <x:c r="O13" s="9" t="str">
        <x:v>ME2-WRL-TUCHANKA, ME2-ZON-TUCH-RITE</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ME2-LNK-TUCH-MED</x:v>
      </x:c>
      <x:c r="B14" s="7" t="str">
        <x:v>Clan Urdnot → hôpital</x:v>
      </x:c>
      <x:c r="C14" s="15" t="str">
        <x:v>Défini</x:v>
      </x:c>
      <x:c r="D14" s="17" t="str">
        <x:v>Extrapolation</x:v>
      </x:c>
      <x:c r="E14" s="17" t="str">
        <x:v>P1</x:v>
      </x:c>
      <x:c r="F14" s="7" t="str">
        <x:v>Livrable original proposé : Clan Urdnot → hôpital.</x:v>
      </x:c>
      <x:c r="G14" s="7" t="str">
        <x:v>Route de mission conservant l’éclaireur comme sous-objectif ; retour au clan n’efface pas la preuve de Maelon.</x:v>
      </x:c>
      <x:c r="H14" s="7" t="str">
        <x:v>Route de mission conservant l’éclaireur comme sous-objectif ; retour au clan n’efface pas la preuve de Maelon.</x:v>
      </x:c>
      <x:c r="I14" s="7" t="str">
        <x:v>Tunnel, ruines et hôpital.</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me2/links/tuch-med ; rattacher les ressources et états cités à cet identifiant. Aucun fichier de jeu créé par ce catalogue.</x:v>
      </x:c>
      <x:c r="M14" s="7" t="str"/>
      <x:c r="N14" s="7" t="str">
        <x:v>Le livrable « Clan Urdnot → hôpital » possède une scène ou un scénario de contrôle ; ses règles proposées, ses conditions et ses retours visuels sont vérifiables séparément.</x:v>
      </x:c>
      <x:c r="O14" s="7" t="str">
        <x:v>ME2-WRL-TUCHANKA, ME2-ZON-TUCH-HOSPITAL</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ME2-LNK-FLOTILLA</x:v>
      </x:c>
      <x:c r="B15" s="9" t="str">
        <x:v>Audience ↔ Alarei</x:v>
      </x:c>
      <x:c r="C15" s="15" t="str">
        <x:v>Défini</x:v>
      </x:c>
      <x:c r="D15" s="16" t="str">
        <x:v>Extrapolation</x:v>
      </x:c>
      <x:c r="E15" s="16" t="str">
        <x:v>P1</x:v>
      </x:c>
      <x:c r="F15" s="9" t="str">
        <x:v>Livrable original proposé : Audience ↔ Alarei.</x:v>
      </x:c>
      <x:c r="G15" s="9" t="str">
        <x:v>Deux voyages liés au procès ; la seconde audience s’ouvre même si certaines preuves sont refusées.</x:v>
      </x:c>
      <x:c r="H15" s="9" t="str">
        <x:v>Deux voyages liés au procès ; la seconde audience s’ouvre même si certaines preuves sont refusées.</x:v>
      </x:c>
      <x:c r="I15" s="9" t="str">
        <x:v>Navette entre coques quariènes.</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me2/links/flotilla ; rattacher les ressources et états cités à cet identifiant. Aucun fichier de jeu créé par ce catalogue.</x:v>
      </x:c>
      <x:c r="M15" s="9" t="str"/>
      <x:c r="N15" s="9" t="str">
        <x:v>Le livrable « Audience ↔ Alarei » possède une scène ou un scénario de contrôle ; ses règles proposées, ses conditions et ses retours visuels sont vérifiables séparément.</x:v>
      </x:c>
      <x:c r="O15" s="9" t="str">
        <x:v>ME2-ZON-RAYYA, ME2-ZON-ALAREI</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ME2-LNK-SHADOW-TRANSIT</x:v>
      </x:c>
      <x:c r="B16" s="7" t="str">
        <x:v>Illium → Hagalaz</x:v>
      </x:c>
      <x:c r="C16" s="15" t="str">
        <x:v>Défini</x:v>
      </x:c>
      <x:c r="D16" s="17" t="str">
        <x:v>Extrapolation</x:v>
      </x:c>
      <x:c r="E16" s="17" t="str">
        <x:v>P1</x:v>
      </x:c>
      <x:c r="F16" s="7" t="str">
        <x:v>Livrable original proposé : Illium → Hagalaz.</x:v>
      </x:c>
      <x:c r="G16" s="7" t="str">
        <x:v>Enchaînement d’extension et point de composition avant coque ; distinguer sortie narrative et voyage libre.</x:v>
      </x:c>
      <x:c r="H16" s="7" t="str">
        <x:v>Enchaînement d’extension et point de composition avant coque ; distinguer sortie narrative et voyage libre.</x:v>
      </x:c>
      <x:c r="I16" s="7" t="str">
        <x:v>Carte galactique, nuages et vaisseau.</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me2/links/shadow-transit ; rattacher les ressources et états cités à cet identifiant. Aucun fichier de jeu créé par ce catalogue.</x:v>
      </x:c>
      <x:c r="M16" s="7" t="str"/>
      <x:c r="N16" s="7" t="str">
        <x:v>Le livrable « Illium → Hagalaz » possède une scène ou un scénario de contrôle ; ses règles proposées, ses conditions et ses retours visuels sont vérifiables séparément.</x:v>
      </x:c>
      <x:c r="O16" s="7" t="str">
        <x:v>ME2-ZON-VASIR-ROOF, ME2-ZON-HAGALAZ-HULL</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ME2-LNK-BROKER-IN</x:v>
      </x:c>
      <x:c r="B17" s="9" t="str">
        <x:v>Coque → bureau du Courtier</x:v>
      </x:c>
      <x:c r="C17" s="15" t="str">
        <x:v>Défini</x:v>
      </x:c>
      <x:c r="D17" s="16" t="str">
        <x:v>Extrapolation</x:v>
      </x:c>
      <x:c r="E17" s="16" t="str">
        <x:v>P1</x:v>
      </x:c>
      <x:c r="F17" s="9" t="str">
        <x:v>Livrable original proposé : Coque → bureau du Courtier.</x:v>
      </x:c>
      <x:c r="G17" s="9" t="str">
        <x:v>Sas de fin d’assaut avec restauration des seuls états autorisés ; conserver les ressources engagées.</x:v>
      </x:c>
      <x:c r="H17" s="9" t="str">
        <x:v>Sas de fin d’assaut avec restauration des seuls états autorisés ; conserver les ressources engagées.</x:v>
      </x:c>
      <x:c r="I17" s="9" t="str">
        <x:v>Porte épaisse et lumière du bureau.</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me2/links/broker-in ; rattacher les ressources et états cités à cet identifiant. Aucun fichier de jeu créé par ce catalogue.</x:v>
      </x:c>
      <x:c r="M17" s="9" t="str"/>
      <x:c r="N17" s="9" t="str">
        <x:v>Le livrable « Coque → bureau du Courtier » possède une scène ou un scénario de contrôle ; ses règles proposées, ses conditions et ses retours visuels sont vérifiables séparément.</x:v>
      </x:c>
      <x:c r="O17" s="9" t="str">
        <x:v>ME2-ZON-HAGALAZ-HULL, ME2-ZON-BROKER-OFFICE</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ME2-LNK-AITE-STATIONS</x:v>
      </x:c>
      <x:c r="B18" s="7" t="str">
        <x:v>Vallée d’Aite → stations</x:v>
      </x:c>
      <x:c r="C18" s="15" t="str">
        <x:v>Défini</x:v>
      </x:c>
      <x:c r="D18" s="17" t="str">
        <x:v>Extrapolation</x:v>
      </x:c>
      <x:c r="E18" s="17" t="str">
        <x:v>P1</x:v>
      </x:c>
      <x:c r="F18" s="7" t="str">
        <x:v>Livrable original proposé : Vallée d’Aite → stations.</x:v>
      </x:c>
      <x:c r="G18" s="7" t="str">
        <x:v>Réseau Hammerhead avec verrous Vulcan/Prometheus puis Atlas ; pas de liaison inventée vers un autre système.</x:v>
      </x:c>
      <x:c r="H18" s="7" t="str">
        <x:v>Réseau Hammerhead avec verrous Vulcan/Prometheus puis Atlas ; pas de liaison inventée vers un autre système.</x:v>
      </x:c>
      <x:c r="I18" s="7" t="str">
        <x:v>Carte des stations à pictogrammes.</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me2/links/aite-stations ; rattacher les ressources et états cités à cet identifiant. Aucun fichier de jeu créé par ce catalogue.</x:v>
      </x:c>
      <x:c r="M18" s="7" t="str"/>
      <x:c r="N18" s="7" t="str">
        <x:v>Le livrable « Vallée d’Aite → stations » possède une scène ou un scénario de contrôle ; ses règles proposées, ses conditions et ses retours visuels sont vérifiables séparément.</x:v>
      </x:c>
      <x:c r="O18" s="7" t="str">
        <x:v>ME2-WRL-AITE, ME2-ZON-ATLAS-VR</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ME2-LNK-ARRIVAL-TRANSIT</x:v>
      </x:c>
      <x:c r="B19" s="9" t="str">
        <x:v>Prison → projet d’Arrival</x:v>
      </x:c>
      <x:c r="C19" s="15" t="str">
        <x:v>Défini</x:v>
      </x:c>
      <x:c r="D19" s="16" t="str">
        <x:v>Extrapolation</x:v>
      </x:c>
      <x:c r="E19" s="16" t="str">
        <x:v>P1</x:v>
      </x:c>
      <x:c r="F19" s="9" t="str">
        <x:v>Livrable original proposé : Prison → projet d’Arrival.</x:v>
      </x:c>
      <x:c r="G19" s="9" t="str">
        <x:v>Voyage narratif après Kenson ; invalider l’ancienne route de retour sans retirer la sauvegarde d’avant-mission.</x:v>
      </x:c>
      <x:c r="H19" s="9" t="str">
        <x:v>Voyage narratif après Kenson ; invalider l’ancienne route de retour sans retirer la sauvegarde d’avant-mission.</x:v>
      </x:c>
      <x:c r="I19" s="9" t="str">
        <x:v>Navette et silhouette d’astéroïde.</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me2/links/arrival-transit ; rattacher les ressources et états cités à cet identifiant. Aucun fichier de jeu créé par ce catalogue.</x:v>
      </x:c>
      <x:c r="M19" s="9" t="str"/>
      <x:c r="N19" s="9" t="str">
        <x:v>Le livrable « Prison → projet d’Arrival » possède une scène ou un scénario de contrôle ; ses règles proposées, ses conditions et ses retours visuels sont vérifiables séparément.</x:v>
      </x:c>
      <x:c r="O19" s="9" t="str">
        <x:v>ME2-ZON-ARRIVAL-PRISON, ME2-ZON-ARRIVAL-PROJECT</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ME2-LNK-OMEGA4</x:v>
      </x:c>
      <x:c r="B20" s="7" t="str">
        <x:v>Normandy → base Collecteur</x:v>
      </x:c>
      <x:c r="C20" s="15" t="str">
        <x:v>Défini</x:v>
      </x:c>
      <x:c r="D20" s="17" t="str">
        <x:v>Extrapolation</x:v>
      </x:c>
      <x:c r="E20" s="17" t="str">
        <x:v>P1</x:v>
      </x:c>
      <x:c r="F20" s="7" t="str">
        <x:v>Livrable original proposé : Normandy → base Collecteur.</x:v>
      </x:c>
      <x:c r="G20" s="7" t="str">
        <x:v>Point de départ final avec résumé des préparatifs ; la confirmation crée un instantané des affectations.</x:v>
      </x:c>
      <x:c r="H20" s="7" t="str">
        <x:v>Point de départ final avec résumé des préparatifs ; la confirmation crée un instantané des affectations.</x:v>
      </x:c>
      <x:c r="I20" s="7" t="str">
        <x:v>Relais rouge et carte de destination.</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me2/links/omega4 ; rattacher les ressources et états cités à cet identifiant. Aucun fichier de jeu créé par ce catalogue.</x:v>
      </x:c>
      <x:c r="M20" s="7" t="str"/>
      <x:c r="N20" s="7" t="str">
        <x:v>Le livrable « Normandy → base Collecteur » possède une scène ou un scénario de contrôle ; ses règles proposées, ses conditions et ses retours visuels sont vérifiables séparément.</x:v>
      </x:c>
      <x:c r="O20" s="7" t="str">
        <x:v>ME2-MQ-OMEGA4, ME2-WRL-COLLECTOR-BASE</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68" customHeight="1">
      <x:c r="A21" s="18" t="str">
        <x:v>ME2-LNK-COLLECTOR-SEQUENCE</x:v>
      </x:c>
      <x:c r="B21" s="9" t="str">
        <x:v>Conduits → pods → noyau</x:v>
      </x:c>
      <x:c r="C21" s="15" t="str">
        <x:v>Défini</x:v>
      </x:c>
      <x:c r="D21" s="16" t="str">
        <x:v>Extrapolation</x:v>
      </x:c>
      <x:c r="E21" s="16" t="str">
        <x:v>P1</x:v>
      </x:c>
      <x:c r="F21" s="9" t="str">
        <x:v>Livrable original proposé : Conduits → pods → noyau.</x:v>
      </x:c>
      <x:c r="G21" s="9" t="str">
        <x:v>Trois segments appliquant leurs pertes à l’entrée du suivant ; transitions atomiques à la sauvegarde.</x:v>
      </x:c>
      <x:c r="H21" s="9" t="str">
        <x:v>Trois segments appliquant leurs pertes à l’entrée du suivant ; transitions atomiques à la sauvegarde.</x:v>
      </x:c>
      <x:c r="I21" s="9" t="str">
        <x:v>Trois cartes imbriquées, lumières de progression.</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me2/links/collector-sequence ; rattacher les ressources et états cités à cet identifiant. Aucun fichier de jeu créé par ce catalogue.</x:v>
      </x:c>
      <x:c r="M21" s="9" t="str"/>
      <x:c r="N21" s="9" t="str">
        <x:v>Le livrable « Conduits → pods → noyau » possède une scène ou un scénario de contrôle ; ses règles proposées, ses conditions et ses retours visuels sont vérifiables séparément.</x:v>
      </x:c>
      <x:c r="O21" s="9" t="str">
        <x:v>ME2-ZON-COLLECTOR-VENTS, ME2-ZON-COLLECTOR-PODS, ME2-ZON-COLLECTOR-CORE</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row r="22" ht="68" customHeight="1">
      <x:c r="A22" s="19" t="str">
        <x:v>ME2-LNK-POSTGAME</x:v>
      </x:c>
      <x:c r="B22" s="7" t="str">
        <x:v>Retour après mission suicide</x:v>
      </x:c>
      <x:c r="C22" s="15" t="str">
        <x:v>Défini</x:v>
      </x:c>
      <x:c r="D22" s="17" t="str">
        <x:v>Extrapolation</x:v>
      </x:c>
      <x:c r="E22" s="17" t="str">
        <x:v>P1</x:v>
      </x:c>
      <x:c r="F22" s="7" t="str">
        <x:v>Livrable original proposé : Retour après mission suicide.</x:v>
      </x:c>
      <x:c r="G22" s="7" t="str">
        <x:v>Retour conditionné à la survie de Shepard ; garder missions restantes jouables selon leurs propres prérequis.</x:v>
      </x:c>
      <x:c r="H22" s="7" t="str">
        <x:v>Retour conditionné à la survie de Shepard ; garder missions restantes jouables selon leurs propres prérequis.</x:v>
      </x:c>
      <x:c r="I22" s="7" t="str">
        <x:v>Normandy endommagé et vue de carte rétablie.</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me2/links/postgame ; rattacher les ressources et états cités à cet identifiant. Aucun fichier de jeu créé par ce catalogue.</x:v>
      </x:c>
      <x:c r="M22" s="7" t="str"/>
      <x:c r="N22" s="7" t="str">
        <x:v>Le livrable « Retour après mission suicide » possède une scène ou un scénario de contrôle ; ses règles proposées, ses conditions et ses retours visuels sont vérifiables séparément.</x:v>
      </x:c>
      <x:c r="O22" s="7" t="str">
        <x:v>ME2-MQ-FINAL</x:v>
      </x:c>
      <x:c r="P22" s="7" t="str">
        <x:v>Adaptation originale — spécification de production</x:v>
      </x:c>
      <x:c r="Q22" s="7" t="str"/>
      <x:c r="R22" s="21" t="str"/>
      <x:c r="S22" s="21" t="str">
        <x:v>Spécification à réaliser. Les champs adaptation, gameplay, visual, animation, audio et implementation décrivent le fan game ; ils ne donnent pas des caractéristiques officielles de l’œuvre.</x:v>
      </x:c>
    </x:row>
  </x:sheetData>
  <x:conditionalFormatting sqref="D7:D22">
    <x:cfRule type="cellIs" dxfId="20" priority="1" operator="equal">
      <x:formula>"À vérifier"</x:formula>
    </x:cfRule>
    <x:cfRule type="cellIs" dxfId="21" priority="2" operator="equal">
      <x:formula>"Extrapolation"</x:formula>
    </x:cfRule>
  </x:conditionalFormatting>
  <x:conditionalFormatting sqref="C7:C22">
    <x:cfRule type="cellIs" dxfId="22" priority="3" operator="equal">
      <x:formula>"Validé"</x:formula>
    </x:cfRule>
  </x:conditionalFormatting>
  <x:conditionalFormatting sqref="E7:E22">
    <x:cfRule type="cellIs" dxfId="23" priority="4" operator="equal">
      <x:formula>"P0"</x:formula>
    </x:cfRule>
  </x:conditionalFormatting>
  <x:dataValidations count="3">
    <x:dataValidation type="list" sqref="C7:C22">
      <x:formula1>"Défini,Prototype,Intégré,Validé"</x:formula1>
    </x:dataValidation>
    <x:dataValidation type="list" sqref="D7:D22">
      <x:formula1>"Établi,À vérifier,Extrapolation,Coupé attesté,Concept abandonné,Allégation écartée"</x:formula1>
    </x:dataValidation>
    <x:dataValidation type="list" sqref="E7:E22">
      <x:formula1>"P0,P1,P2"</x:formula1>
    </x:dataValidation>
  </x:dataValidations>
  <x:pageMargins left="0.7" right="0.7" top="0.75" bottom="0.75" header="0.3" footer="0.3"/>
  <x:tableParts count="1">
    <x:tablePart xmlns:r="http://schemas.openxmlformats.org/officeDocument/2006/relationships" r:id="Re76770c7dc7f4a05"/>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Décors</x:v>
      </x:c>
      <x:c r="B2" s="2"/>
      <x:c r="C2" s="2"/>
      <x:c r="D2" s="2"/>
      <x:c r="E2" s="2"/>
      <x:c r="F2" s="2"/>
      <x:c r="G2" s="2"/>
      <x:c r="H2" s="2"/>
      <x:c r="I2" s="2"/>
      <x:c r="J2" s="2"/>
      <x:c r="K2" s="2"/>
      <x:c r="L2" s="2"/>
      <x:c r="M2" s="2"/>
      <x:c r="N2" s="2"/>
      <x:c r="O2" s="2"/>
      <x:c r="P2" s="2"/>
      <x:c r="Q2" s="2"/>
      <x:c r="R2" s="2"/>
      <x:c r="S2" s="2"/>
    </x:row>
    <x:row r="3" ht="22" customHeight="1">
      <x:c r="A3" s="4" t="str">
        <x:v>Mass Effect 2 — Architecture, matières et cadrages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ME2-SCN-OMEGA-KIT</x:v>
      </x:c>
      <x:c r="B7" s="9" t="str">
        <x:v>Kit de rues Omega</x:v>
      </x:c>
      <x:c r="C7" s="15" t="str">
        <x:v>Défini</x:v>
      </x:c>
      <x:c r="D7" s="16" t="str">
        <x:v>Extrapolation</x:v>
      </x:c>
      <x:c r="E7" s="16" t="str">
        <x:v>P1</x:v>
      </x:c>
      <x:c r="F7" s="9" t="str">
        <x:v>Livrable original proposé : Kit de rues Omega.</x:v>
      </x:c>
      <x:c r="G7" s="9" t="str">
        <x:v>Construire murs métalliques, passerelles et conduits modulaires avec points de couverture distincts du décor.</x:v>
      </x:c>
      <x:c r="H7" s="9" t="str">
        <x:v>Construire murs métalliques, passerelles et conduits modulaires avec points de couverture distincts du décor.</x:v>
      </x:c>
      <x:c r="I7" s="9" t="str">
        <x:v>Orange sale, brun, câbles pendants et néons.</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me2/scenery/omega-kit ; rattacher les ressources et états cités à cet identifiant. Aucun fichier de jeu créé par ce catalogue.</x:v>
      </x:c>
      <x:c r="M7" s="9" t="str">
        <x:v>Éviter les zones interactives noyées sous les enseignes.</x:v>
      </x:c>
      <x:c r="N7" s="9" t="str">
        <x:v>Le livrable « Kit de rues Omega » possède une scène ou un scénario de contrôle ; ses règles proposées, ses conditions et ses retours visuels sont vérifiables séparément.</x:v>
      </x:c>
      <x:c r="O7" s="9" t="str">
        <x:v>ME2-WRL-OMEGA</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ME2-SCN-ILLIUM-KIT</x:v>
      </x:c>
      <x:c r="B8" s="7" t="str">
        <x:v>Kit architectural d’Illium</x:v>
      </x:c>
      <x:c r="C8" s="15" t="str">
        <x:v>Défini</x:v>
      </x:c>
      <x:c r="D8" s="17" t="str">
        <x:v>Extrapolation</x:v>
      </x:c>
      <x:c r="E8" s="17" t="str">
        <x:v>P1</x:v>
      </x:c>
      <x:c r="F8" s="7" t="str">
        <x:v>Livrable original proposé : Kit architectural d’Illium.</x:v>
      </x:c>
      <x:c r="G8" s="7" t="str">
        <x:v>Terrasses à garde-corps transparents et arrière-plans de tours ; retirer automatiquement les éléments qui cachent les sprites.</x:v>
      </x:c>
      <x:c r="H8" s="7" t="str">
        <x:v>Terrasses à garde-corps transparents et arrière-plans de tours ; retirer automatiquement les éléments qui cachent les sprites.</x:v>
      </x:c>
      <x:c r="I8" s="7" t="str">
        <x:v>Blanc chaud, cuivre et verre.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me2/scenery/illium-kit ; rattacher les ressources et états cités à cet identifiant. Aucun fichier de jeu créé par ce catalogue.</x:v>
      </x:c>
      <x:c r="M8" s="7" t="str">
        <x:v>Hauteur de couvert indiquée par profil.</x:v>
      </x:c>
      <x:c r="N8" s="7" t="str">
        <x:v>Le livrable « Kit architectural d’Illium » possède une scène ou un scénario de contrôle ; ses règles proposées, ses conditions et ses retours visuels sont vérifiables séparément.</x:v>
      </x:c>
      <x:c r="O8" s="7" t="str">
        <x:v>ME2-WRL-ILLIUM</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ME2-SCN-CITADEL-KIT</x:v>
      </x:c>
      <x:c r="B9" s="9" t="str">
        <x:v>Kit Zakera / Citadelle ME2</x:v>
      </x:c>
      <x:c r="C9" s="15" t="str">
        <x:v>Défini</x:v>
      </x:c>
      <x:c r="D9" s="16" t="str">
        <x:v>Extrapolation</x:v>
      </x:c>
      <x:c r="E9" s="16" t="str">
        <x:v>P1</x:v>
      </x:c>
      <x:c r="F9" s="9" t="str">
        <x:v>Livrable original proposé : Kit Zakera / Citadelle ME2.</x:v>
      </x:c>
      <x:c r="G9" s="9" t="str">
        <x:v>Galeries commerçantes en niveaux lisibles ; vues lointaines de station en plans non accessibles.</x:v>
      </x:c>
      <x:c r="H9" s="9" t="str">
        <x:v>Galeries commerçantes en niveaux lisibles ; vues lointaines de station en plans non accessibles.</x:v>
      </x:c>
      <x:c r="I9" s="9" t="str">
        <x:v>Blanc, bleu et plantes.</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me2/scenery/citadel-kit ; rattacher les ressources et états cités à cet identifiant. Aucun fichier de jeu créé par ce catalogue.</x:v>
      </x:c>
      <x:c r="M9" s="9" t="str"/>
      <x:c r="N9" s="9" t="str">
        <x:v>Le livrable « Kit Zakera / Citadelle ME2 » possède une scène ou un scénario de contrôle ; ses règles proposées, ses conditions et ses retours visuels sont vérifiables séparément.</x:v>
      </x:c>
      <x:c r="O9" s="9" t="str">
        <x:v>ME2-WRL-CITADEL</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ME2-SCN-TUCH-KIT</x:v>
      </x:c>
      <x:c r="B10" s="7" t="str">
        <x:v>Kit de ruines krogan</x:v>
      </x:c>
      <x:c r="C10" s="15" t="str">
        <x:v>Défini</x:v>
      </x:c>
      <x:c r="D10" s="17" t="str">
        <x:v>Extrapolation</x:v>
      </x:c>
      <x:c r="E10" s="17" t="str">
        <x:v>P1</x:v>
      </x:c>
      <x:c r="F10" s="7" t="str">
        <x:v>Livrable original proposé : Kit de ruines krogan.</x:v>
      </x:c>
      <x:c r="G10" s="7" t="str">
        <x:v>Bâtir un contraste entre pierre ancienne et ferraille fonctionnelle ; larges portes pour gabarits krogan.</x:v>
      </x:c>
      <x:c r="H10" s="7" t="str">
        <x:v>Bâtir un contraste entre pierre ancienne et ferraille fonctionnelle ; larges portes pour gabarits krogan.</x:v>
      </x:c>
      <x:c r="I10" s="7" t="str">
        <x:v>Ocre, gris cendre, bannières et tôles.</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me2/scenery/tuch-kit ; rattacher les ressources et états cités à cet identifiant. Aucun fichier de jeu créé par ce catalogue.</x:v>
      </x:c>
      <x:c r="M10" s="7" t="str"/>
      <x:c r="N10" s="7" t="str">
        <x:v>Le livrable « Kit de ruines krogan » possède une scène ou un scénario de contrôle ; ses règles proposées, ses conditions et ses retours visuels sont vérifiables séparément.</x:v>
      </x:c>
      <x:c r="O10" s="7" t="str">
        <x:v>ME2-WRL-TUCHANKA</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ME2-SCN-KORLUS-KIT</x:v>
      </x:c>
      <x:c r="B11" s="9" t="str">
        <x:v>Carcasses de Korlus</x:v>
      </x:c>
      <x:c r="C11" s="15" t="str">
        <x:v>Défini</x:v>
      </x:c>
      <x:c r="D11" s="16" t="str">
        <x:v>Extrapolation</x:v>
      </x:c>
      <x:c r="E11" s="16" t="str">
        <x:v>P1</x:v>
      </x:c>
      <x:c r="F11" s="9" t="str">
        <x:v>Livrable original proposé : Carcasses de Korlus.</x:v>
      </x:c>
      <x:c r="G11" s="9" t="str">
        <x:v>Assembler des coques en silhouettes de relief ; chaque marche praticable reçoit un liseré de sol.</x:v>
      </x:c>
      <x:c r="H11" s="9" t="str">
        <x:v>Assembler des coques en silhouettes de relief ; chaque marche praticable reçoit un liseré de sol.</x:v>
      </x:c>
      <x:c r="I11" s="9" t="str">
        <x:v>Rouille, fumée et énormes moteurs.</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me2/scenery/korlus-kit ; rattacher les ressources et états cités à cet identifiant. Aucun fichier de jeu créé par ce catalogue.</x:v>
      </x:c>
      <x:c r="M11" s="9" t="str"/>
      <x:c r="N11" s="9" t="str">
        <x:v>Le livrable « Carcasses de Korlus » possède une scène ou un scénario de contrôle ; ses règles proposées, ses conditions et ses retours visuels sont vérifiables séparément.</x:v>
      </x:c>
      <x:c r="O11" s="9" t="str">
        <x:v>ME2-WRL-KORLUS</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ME2-SCN-PRAGIA-KIT</x:v>
      </x:c>
      <x:c r="B12" s="7" t="str">
        <x:v>Laboratoire envahi de jungle</x:v>
      </x:c>
      <x:c r="C12" s="15" t="str">
        <x:v>Défini</x:v>
      </x:c>
      <x:c r="D12" s="17" t="str">
        <x:v>Extrapolation</x:v>
      </x:c>
      <x:c r="E12" s="17" t="str">
        <x:v>P1</x:v>
      </x:c>
      <x:c r="F12" s="7" t="str">
        <x:v>Livrable original proposé : Laboratoire envahi de jungle.</x:v>
      </x:c>
      <x:c r="G12" s="7" t="str">
        <x:v>Végétation en premier plan qui s’efface près des indices ; traces du centre visibles sans gore ajouté.</x:v>
      </x:c>
      <x:c r="H12" s="7" t="str">
        <x:v>Végétation en premier plan qui s’efface près des indices ; traces du centre visibles sans gore ajouté.</x:v>
      </x:c>
      <x:c r="I12" s="7" t="str">
        <x:v>Vert humide, béton et lampes mortes.</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me2/scenery/pragia-kit ; rattacher les ressources et états cités à cet identifiant. Aucun fichier de jeu créé par ce catalogue.</x:v>
      </x:c>
      <x:c r="M12" s="7" t="str"/>
      <x:c r="N12" s="7" t="str">
        <x:v>Le livrable « Laboratoire envahi de jungle » possède une scène ou un scénario de contrôle ; ses règles proposées, ses conditions et ses retours visuels sont vérifiables séparément.</x:v>
      </x:c>
      <x:c r="O12" s="7" t="str">
        <x:v>ME2-WRL-PRAGIA</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ME2-SCN-AEIA-KIT</x:v>
      </x:c>
      <x:c r="B13" s="9" t="str">
        <x:v>Camp côtier d’Aeia</x:v>
      </x:c>
      <x:c r="C13" s="15" t="str">
        <x:v>Défini</x:v>
      </x:c>
      <x:c r="D13" s="16" t="str">
        <x:v>Extrapolation</x:v>
      </x:c>
      <x:c r="E13" s="16" t="str">
        <x:v>P1</x:v>
      </x:c>
      <x:c r="F13" s="9" t="str">
        <x:v>Livrable original proposé : Camp côtier d’Aeia.</x:v>
      </x:c>
      <x:c r="G13" s="9" t="str">
        <x:v>Plage et épave en trois profondeurs ; habitat improvisé différencié de la zone de commandement.</x:v>
      </x:c>
      <x:c r="H13" s="9" t="str">
        <x:v>Plage et épave en trois profondeurs ; habitat improvisé différencié de la zone de commandement.</x:v>
      </x:c>
      <x:c r="I13" s="9" t="str">
        <x:v>Bleu marin, vert tropical et tissu usé.</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me2/scenery/aeia-kit ; rattacher les ressources et états cités à cet identifiant. Aucun fichier de jeu créé par ce catalogue.</x:v>
      </x:c>
      <x:c r="M13" s="9" t="str"/>
      <x:c r="N13" s="9" t="str">
        <x:v>Le livrable « Camp côtier d’Aeia » possède une scène ou un scénario de contrôle ; ses règles proposées, ses conditions et ses retours visuels sont vérifiables séparément.</x:v>
      </x:c>
      <x:c r="O13" s="9" t="str">
        <x:v>ME2-WRL-AEIA</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ME2-SCN-HAESTROM-KIT</x:v>
      </x:c>
      <x:c r="B14" s="7" t="str">
        <x:v>Ruines à ombres utiles</x:v>
      </x:c>
      <x:c r="C14" s="15" t="str">
        <x:v>Défini</x:v>
      </x:c>
      <x:c r="D14" s="17" t="str">
        <x:v>Extrapolation</x:v>
      </x:c>
      <x:c r="E14" s="17" t="str">
        <x:v>P1</x:v>
      </x:c>
      <x:c r="F14" s="7" t="str">
        <x:v>Livrable original proposé : Ruines à ombres utiles.</x:v>
      </x:c>
      <x:c r="G14" s="7" t="str">
        <x:v>Générer des ombres cohérentes avec le soleil ; art et volume de danger partagent la même projection.</x:v>
      </x:c>
      <x:c r="H14" s="7" t="str">
        <x:v>Générer des ombres cohérentes avec le soleil ; art et volume de danger partagent la même projection.</x:v>
      </x:c>
      <x:c r="I14" s="7" t="str">
        <x:v>Sable clair et noir d’ombre tranché.</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me2/scenery/haestrom-kit ; rattacher les ressources et états cités à cet identifiant. Aucun fichier de jeu créé par ce catalogue.</x:v>
      </x:c>
      <x:c r="M14" s="7" t="str"/>
      <x:c r="N14" s="7" t="str">
        <x:v>Le livrable « Ruines à ombres utiles » possède une scène ou un scénario de contrôle ; ses règles proposées, ses conditions et ses retours visuels sont vérifiables séparément.</x:v>
      </x:c>
      <x:c r="O14" s="7" t="str">
        <x:v>ME2-WRL-HAESTROM</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ME2-SCN-HORIZON-KIT</x:v>
      </x:c>
      <x:c r="B15" s="9" t="str">
        <x:v>Colonie agricole interrompue</x:v>
      </x:c>
      <x:c r="C15" s="15" t="str">
        <x:v>Défini</x:v>
      </x:c>
      <x:c r="D15" s="16" t="str">
        <x:v>Extrapolation</x:v>
      </x:c>
      <x:c r="E15" s="16" t="str">
        <x:v>P1</x:v>
      </x:c>
      <x:c r="F15" s="9" t="str">
        <x:v>Livrable original proposé : Colonie agricole interrompue.</x:v>
      </x:c>
      <x:c r="G15" s="9" t="str">
        <x:v>Maisons, cultures et défense composent une carte habitée avant l’attaque ; les corps figés ne servent pas de couverts.</x:v>
      </x:c>
      <x:c r="H15" s="9" t="str">
        <x:v>Maisons, cultures et défense composent une carte habitée avant l’attaque ; les corps figés ne servent pas de couverts.</x:v>
      </x:c>
      <x:c r="I15" s="9" t="str">
        <x:v>Bois industriel, vert pâle et soleil jaune.</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me2/scenery/horizon-kit ; rattacher les ressources et états cités à cet identifiant. Aucun fichier de jeu créé par ce catalogue.</x:v>
      </x:c>
      <x:c r="M15" s="9" t="str"/>
      <x:c r="N15" s="9" t="str">
        <x:v>Le livrable « Colonie agricole interrompue » possède une scène ou un scénario de contrôle ; ses règles proposées, ses conditions et ses retours visuels sont vérifiables séparément.</x:v>
      </x:c>
      <x:c r="O15" s="9" t="str">
        <x:v>ME2-WRL-HORIZON</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ME2-SCN-COLLECTOR-KIT</x:v>
      </x:c>
      <x:c r="B16" s="7" t="str">
        <x:v>Architecture organique Collecteur</x:v>
      </x:c>
      <x:c r="C16" s="15" t="str">
        <x:v>Défini</x:v>
      </x:c>
      <x:c r="D16" s="17" t="str">
        <x:v>Extrapolation</x:v>
      </x:c>
      <x:c r="E16" s="17" t="str">
        <x:v>P1</x:v>
      </x:c>
      <x:c r="F16" s="7" t="str">
        <x:v>Livrable original proposé : Architecture organique Collecteur.</x:v>
      </x:c>
      <x:c r="G16" s="7" t="str">
        <x:v>Couloirs en alvéoles et plateformes de combat ; marquer les bords praticables pour ne pas perdre les sprites.</x:v>
      </x:c>
      <x:c r="H16" s="7" t="str">
        <x:v>Couloirs en alvéoles et plateformes de combat ; marquer les bords praticables pour ne pas perdre les sprites.</x:v>
      </x:c>
      <x:c r="I16" s="7" t="str">
        <x:v>Brun, ambre et tissus luisants.</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me2/scenery/collector-kit ; rattacher les ressources et états cités à cet identifiant. Aucun fichier de jeu créé par ce catalogue.</x:v>
      </x:c>
      <x:c r="M16" s="7" t="str"/>
      <x:c r="N16" s="7" t="str">
        <x:v>Le livrable « Architecture organique Collecteur » possède une scène ou un scénario de contrôle ; ses règles proposées, ses conditions et ses retours visuels sont vérifiables séparément.</x:v>
      </x:c>
      <x:c r="O16" s="7" t="str">
        <x:v>ME2-WRL-COLLECTOR-BASE</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ME2-SCN-REAPER-KIT</x:v>
      </x:c>
      <x:c r="B17" s="9" t="str">
        <x:v>Intérieur du Moissonneur</x:v>
      </x:c>
      <x:c r="C17" s="15" t="str">
        <x:v>Défini</x:v>
      </x:c>
      <x:c r="D17" s="16" t="str">
        <x:v>Extrapolation</x:v>
      </x:c>
      <x:c r="E17" s="16" t="str">
        <x:v>P1</x:v>
      </x:c>
      <x:c r="F17" s="9" t="str">
        <x:v>Livrable original proposé : Intérieur du Moissonneur.</x:v>
      </x:c>
      <x:c r="G17" s="9" t="str">
        <x:v>Volumes inclinés, conduits et laboratoire ajouté ; l’inclinaison décorative ne déforme pas la grille ATB.</x:v>
      </x:c>
      <x:c r="H17" s="9" t="str">
        <x:v>Volumes inclinés, conduits et laboratoire ajouté ; l’inclinaison décorative ne déforme pas la grille ATB.</x:v>
      </x:c>
      <x:c r="I17" s="9" t="str">
        <x:v>Noir bleuté et rouge discret.</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me2/scenery/reaper-kit ; rattacher les ressources et états cités à cet identifiant. Aucun fichier de jeu créé par ce catalogue.</x:v>
      </x:c>
      <x:c r="M17" s="9" t="str"/>
      <x:c r="N17" s="9" t="str">
        <x:v>Le livrable « Intérieur du Moissonneur » possède une scène ou un scénario de contrôle ; ses règles proposées, ses conditions et ses retours visuels sont vérifiables séparément.</x:v>
      </x:c>
      <x:c r="O17" s="9" t="str">
        <x:v>ME2-ZON-DERELICT</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ME2-SCN-QUARIAN-KIT</x:v>
      </x:c>
      <x:c r="B18" s="7" t="str">
        <x:v>Vaisseau quarian</x:v>
      </x:c>
      <x:c r="C18" s="15" t="str">
        <x:v>Défini</x:v>
      </x:c>
      <x:c r="D18" s="17" t="str">
        <x:v>Extrapolation</x:v>
      </x:c>
      <x:c r="E18" s="17" t="str">
        <x:v>P1</x:v>
      </x:c>
      <x:c r="F18" s="7" t="str">
        <x:v>Livrable original proposé : Vaisseau quarian.</x:v>
      </x:c>
      <x:c r="G18" s="7" t="str">
        <x:v>Coursives compactes à portes circulaires ; codes de fonction visibles au-dessus des accès.</x:v>
      </x:c>
      <x:c r="H18" s="7" t="str">
        <x:v>Coursives compactes à portes circulaires ; codes de fonction visibles au-dessus des accès.</x:v>
      </x:c>
      <x:c r="I18" s="7" t="str">
        <x:v>Gris, orange chaud et tissus techniques.</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me2/scenery/quarian-kit ; rattacher les ressources et états cités à cet identifiant. Aucun fichier de jeu créé par ce catalogue.</x:v>
      </x:c>
      <x:c r="M18" s="7" t="str"/>
      <x:c r="N18" s="7" t="str">
        <x:v>Le livrable « Vaisseau quarian » possède une scène ou un scénario de contrôle ; ses règles proposées, ses conditions et ses retours visuels sont vérifiables séparément.</x:v>
      </x:c>
      <x:c r="O18" s="7" t="str">
        <x:v>ME2-ZON-ALAREI</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ME2-SCN-HOCK-KIT</x:v>
      </x:c>
      <x:c r="B19" s="9" t="str">
        <x:v>Réception et collection de Hock</x:v>
      </x:c>
      <x:c r="C19" s="15" t="str">
        <x:v>Défini</x:v>
      </x:c>
      <x:c r="D19" s="16" t="str">
        <x:v>Extrapolation</x:v>
      </x:c>
      <x:c r="E19" s="16" t="str">
        <x:v>P1</x:v>
      </x:c>
      <x:c r="F19" s="9" t="str">
        <x:v>Livrable original proposé : Réception et collection de Hock.</x:v>
      </x:c>
      <x:c r="G19" s="9" t="str">
        <x:v>Luxe posé en grands aplats pour rester lisible à basse résolution ; socles interactifs séparés de la décoration.</x:v>
      </x:c>
      <x:c r="H19" s="9" t="str">
        <x:v>Luxe posé en grands aplats pour rester lisible à basse résolution ; socles interactifs séparés de la décoration.</x:v>
      </x:c>
      <x:c r="I19" s="9" t="str">
        <x:v>Marbre, or discret et art hétérogène.</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me2/scenery/hock-kit ; rattacher les ressources et états cités à cet identifiant. Aucun fichier de jeu créé par ce catalogue.</x:v>
      </x:c>
      <x:c r="M19" s="9" t="str"/>
      <x:c r="N19" s="9" t="str">
        <x:v>Le livrable « Réception et collection de Hock » possède une scène ou un scénario de contrôle ; ses règles proposées, ses conditions et ses retours visuels sont vérifiables séparément.</x:v>
      </x:c>
      <x:c r="O19" s="9" t="str">
        <x:v>ME2-ZON-HOCK-MANSION, ME2-ZON-HOCK-VAULT</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ME2-SCN-HAGALAZ-KIT</x:v>
      </x:c>
      <x:c r="B20" s="7" t="str">
        <x:v>Coque sous tempête</x:v>
      </x:c>
      <x:c r="C20" s="15" t="str">
        <x:v>Défini</x:v>
      </x:c>
      <x:c r="D20" s="17" t="str">
        <x:v>Extrapolation</x:v>
      </x:c>
      <x:c r="E20" s="17" t="str">
        <x:v>P1</x:v>
      </x:c>
      <x:c r="F20" s="7" t="str">
        <x:v>Livrable original proposé : Coque sous tempête.</x:v>
      </x:c>
      <x:c r="G20" s="7" t="str">
        <x:v>Panneaux courbes et antennes avec masques de profondeur ; limiter l’orage derrière l’action.</x:v>
      </x:c>
      <x:c r="H20" s="7" t="str">
        <x:v>Panneaux courbes et antennes avec masques de profondeur ; limiter l’orage derrière l’action.</x:v>
      </x:c>
      <x:c r="I20" s="7" t="str">
        <x:v>Métal bleu-gris et éclairs blancs atténuables.</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me2/scenery/hagalaz-kit ; rattacher les ressources et états cités à cet identifiant. Aucun fichier de jeu créé par ce catalogue.</x:v>
      </x:c>
      <x:c r="M20" s="7" t="str"/>
      <x:c r="N20" s="7" t="str">
        <x:v>Le livrable « Coque sous tempête » possède une scène ou un scénario de contrôle ; ses règles proposées, ses conditions et ses retours visuels sont vérifiables séparément.</x:v>
      </x:c>
      <x:c r="O20" s="7" t="str">
        <x:v>ME2-ZON-HAGALAZ-HULL</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68" customHeight="1">
      <x:c r="A21" s="18" t="str">
        <x:v>ME2-SCN-AITE-KIT</x:v>
      </x:c>
      <x:c r="B21" s="9" t="str">
        <x:v>Vallée de recherche d’Aite</x:v>
      </x:c>
      <x:c r="C21" s="15" t="str">
        <x:v>Défini</x:v>
      </x:c>
      <x:c r="D21" s="16" t="str">
        <x:v>Extrapolation</x:v>
      </x:c>
      <x:c r="E21" s="16" t="str">
        <x:v>P1</x:v>
      </x:c>
      <x:c r="F21" s="9" t="str">
        <x:v>Livrable original proposé : Vallée de recherche d’Aite.</x:v>
      </x:c>
      <x:c r="G21" s="9" t="str">
        <x:v>Terrain en terrasses compatible Hammerhead ; repères de navigation aux bifurcations de stations.</x:v>
      </x:c>
      <x:c r="H21" s="9" t="str">
        <x:v>Terrain en terrasses compatible Hammerhead ; repères de navigation aux bifurcations de stations.</x:v>
      </x:c>
      <x:c r="I21" s="9" t="str">
        <x:v>Herbe, roches et structures Cerberus.</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me2/scenery/aite-kit ; rattacher les ressources et états cités à cet identifiant. Aucun fichier de jeu créé par ce catalogue.</x:v>
      </x:c>
      <x:c r="M21" s="9" t="str"/>
      <x:c r="N21" s="9" t="str">
        <x:v>Le livrable « Vallée de recherche d’Aite » possède une scène ou un scénario de contrôle ; ses règles proposées, ses conditions et ses retours visuels sont vérifiables séparément.</x:v>
      </x:c>
      <x:c r="O21" s="9" t="str">
        <x:v>ME2-WRL-AITE</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row r="22" ht="68" customHeight="1">
      <x:c r="A22" s="19" t="str">
        <x:v>ME2-SCN-ATLAS-KIT</x:v>
      </x:c>
      <x:c r="B22" s="7" t="str">
        <x:v>Atlas réel et virtuel</x:v>
      </x:c>
      <x:c r="C22" s="15" t="str">
        <x:v>Défini</x:v>
      </x:c>
      <x:c r="D22" s="17" t="str">
        <x:v>Extrapolation</x:v>
      </x:c>
      <x:c r="E22" s="17" t="str">
        <x:v>P1</x:v>
      </x:c>
      <x:c r="F22" s="7" t="str">
        <x:v>Livrable original proposé : Atlas réel et virtuel.</x:v>
      </x:c>
      <x:c r="G22" s="7" t="str">
        <x:v>Même géométrie de base dans les deux états ; remplacement progressif de matériaux sans déplacer le sol.</x:v>
      </x:c>
      <x:c r="H22" s="7" t="str">
        <x:v>Même géométrie de base dans les deux états ; remplacement progressif de matériaux sans déplacer le sol.</x:v>
      </x:c>
      <x:c r="I22" s="7" t="str">
        <x:v>Béton clinique puis grille verte.</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me2/scenery/atlas-kit ; rattacher les ressources et états cités à cet identifiant. Aucun fichier de jeu créé par ce catalogue.</x:v>
      </x:c>
      <x:c r="M22" s="7" t="str"/>
      <x:c r="N22" s="7" t="str">
        <x:v>Le livrable « Atlas réel et virtuel » possède une scène ou un scénario de contrôle ; ses règles proposées, ses conditions et ses retours visuels sont vérifiables séparément.</x:v>
      </x:c>
      <x:c r="O22" s="7" t="str">
        <x:v>ME2-ZON-ATLAS-VR</x:v>
      </x:c>
      <x:c r="P22" s="7" t="str">
        <x:v>Adaptation originale — spécification de production</x:v>
      </x:c>
      <x:c r="Q22" s="7" t="str"/>
      <x:c r="R22" s="21" t="str"/>
      <x:c r="S22" s="21" t="str">
        <x:v>Spécification à réaliser. Les champs adaptation, gameplay, visual, animation, audio et implementation décrivent le fan game ; ils ne donnent pas des caractéristiques officielles de l’œuvre.</x:v>
      </x:c>
    </x:row>
    <x:row r="23" ht="68" customHeight="1">
      <x:c r="A23" s="18" t="str">
        <x:v>ME2-SCN-PRISON-KIT</x:v>
      </x:c>
      <x:c r="B23" s="9" t="str">
        <x:v>Prison batarienne d’Aratoht</x:v>
      </x:c>
      <x:c r="C23" s="15" t="str">
        <x:v>Défini</x:v>
      </x:c>
      <x:c r="D23" s="16" t="str">
        <x:v>Extrapolation</x:v>
      </x:c>
      <x:c r="E23" s="16" t="str">
        <x:v>P1</x:v>
      </x:c>
      <x:c r="F23" s="9" t="str">
        <x:v>Livrable original proposé : Prison batarienne d’Aratoht.</x:v>
      </x:c>
      <x:c r="G23" s="9" t="str">
        <x:v>Passages de service lisibles depuis la route principale ; cellules comme rythme visuel et non petits labyrinthes.</x:v>
      </x:c>
      <x:c r="H23" s="9" t="str">
        <x:v>Passages de service lisibles depuis la route principale ; cellules comme rythme visuel et non petits labyrinthes.</x:v>
      </x:c>
      <x:c r="I23" s="9" t="str">
        <x:v>Bronze sombre et roche brute.</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me2/scenery/prison-kit ; rattacher les ressources et états cités à cet identifiant. Aucun fichier de jeu créé par ce catalogue.</x:v>
      </x:c>
      <x:c r="M23" s="9" t="str"/>
      <x:c r="N23" s="9" t="str">
        <x:v>Le livrable « Prison batarienne d’Aratoht » possède une scène ou un scénario de contrôle ; ses règles proposées, ses conditions et ses retours visuels sont vérifiables séparément.</x:v>
      </x:c>
      <x:c r="O23" s="9" t="str">
        <x:v>ME2-ZON-ARRIVAL-PRISON</x:v>
      </x:c>
      <x:c r="P23" s="9" t="str">
        <x:v>Adaptation originale — spécification de production</x:v>
      </x:c>
      <x:c r="Q23" s="9" t="str"/>
      <x:c r="R23" s="20" t="str"/>
      <x:c r="S23" s="20" t="str">
        <x:v>Spécification à réaliser. Les champs adaptation, gameplay, visual, animation, audio et implementation décrivent le fan game ; ils ne donnent pas des caractéristiques officielles de l’œuvre.</x:v>
      </x:c>
    </x:row>
    <x:row r="24" ht="68" customHeight="1">
      <x:c r="A24" s="19" t="str">
        <x:v>ME2-SCN-ALCHERA-KIT</x:v>
      </x:c>
      <x:c r="B24" s="7" t="str">
        <x:v>Neige et débris du SR-1</x:v>
      </x:c>
      <x:c r="C24" s="15" t="str">
        <x:v>Défini</x:v>
      </x:c>
      <x:c r="D24" s="17" t="str">
        <x:v>Extrapolation</x:v>
      </x:c>
      <x:c r="E24" s="17" t="str">
        <x:v>P1</x:v>
      </x:c>
      <x:c r="F24" s="7" t="str">
        <x:v>Livrable original proposé : Neige et débris du SR-1.</x:v>
      </x:c>
      <x:c r="G24" s="7" t="str">
        <x:v>Scène mémorielle avec traces et brise légère ; les repères ne ressemblent pas à des ennemis.</x:v>
      </x:c>
      <x:c r="H24" s="7" t="str">
        <x:v>Scène mémorielle avec traces et brise légère ; les repères ne ressemblent pas à des ennemis.</x:v>
      </x:c>
      <x:c r="I24" s="7" t="str">
        <x:v>Blanc froid, noir de coque et ciel pâle.</x:v>
      </x:c>
      <x:c r="J24" s="7" t="str">
        <x:v>Préparer état de repos, anticipation, activation et retour au repos ; aligner les événements visuels sur la résolution de l’action ATB.</x:v>
      </x:c>
      <x:c r="K24" s="7" t="str">
        <x:v>Créer des bruitages et ambiances originaux adaptés au livrable ; sous-titrer les indices utiles et proposer un réglage indépendant des effets. Aucune extraction audio demandée.</x:v>
      </x:c>
      <x:c r="L24" s="7" t="str">
        <x:v>Prévu : fiche de données me2/scenery/alchera-kit ; rattacher les ressources et états cités à cet identifiant. Aucun fichier de jeu créé par ce catalogue.</x:v>
      </x:c>
      <x:c r="M24" s="7" t="str"/>
      <x:c r="N24" s="7" t="str">
        <x:v>Le livrable « Neige et débris du SR-1 » possède une scène ou un scénario de contrôle ; ses règles proposées, ses conditions et ses retours visuels sont vérifiables séparément.</x:v>
      </x:c>
      <x:c r="O24" s="7" t="str">
        <x:v>ME2-SQ-CRASH-SITE</x:v>
      </x:c>
      <x:c r="P24" s="7" t="str">
        <x:v>Adaptation originale — spécification de production</x:v>
      </x:c>
      <x:c r="Q24" s="7" t="str"/>
      <x:c r="R24" s="21" t="str"/>
      <x:c r="S24" s="21" t="str">
        <x:v>Spécification à réaliser. Les champs adaptation, gameplay, visual, animation, audio et implementation décrivent le fan game ; ils ne donnent pas des caractéristiques officielles de l’œuvre.</x:v>
      </x:c>
    </x:row>
  </x:sheetData>
  <x:conditionalFormatting sqref="D7:D24">
    <x:cfRule type="cellIs" dxfId="24" priority="1" operator="equal">
      <x:formula>"À vérifier"</x:formula>
    </x:cfRule>
    <x:cfRule type="cellIs" dxfId="25" priority="2" operator="equal">
      <x:formula>"Extrapolation"</x:formula>
    </x:cfRule>
  </x:conditionalFormatting>
  <x:conditionalFormatting sqref="C7:C24">
    <x:cfRule type="cellIs" dxfId="26" priority="3" operator="equal">
      <x:formula>"Validé"</x:formula>
    </x:cfRule>
  </x:conditionalFormatting>
  <x:conditionalFormatting sqref="E7:E24">
    <x:cfRule type="cellIs" dxfId="27" priority="4" operator="equal">
      <x:formula>"P0"</x:formula>
    </x:cfRule>
  </x:conditionalFormatting>
  <x:dataValidations count="3">
    <x:dataValidation type="list" sqref="C7:C24">
      <x:formula1>"Défini,Prototype,Intégré,Validé"</x:formula1>
    </x:dataValidation>
    <x:dataValidation type="list" sqref="D7:D24">
      <x:formula1>"Établi,À vérifier,Extrapolation,Coupé attesté,Concept abandonné,Allégation écartée"</x:formula1>
    </x:dataValidation>
    <x:dataValidation type="list" sqref="E7:E24">
      <x:formula1>"P0,P1,P2"</x:formula1>
    </x:dataValidation>
  </x:dataValidations>
  <x:pageMargins left="0.7" right="0.7" top="0.75" bottom="0.75" header="0.3" footer="0.3"/>
  <x:tableParts count="1">
    <x:tablePart xmlns:r="http://schemas.openxmlformats.org/officeDocument/2006/relationships" r:id="R09dca75f2ff24003"/>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Props</x:v>
      </x:c>
      <x:c r="B2" s="2"/>
      <x:c r="C2" s="2"/>
      <x:c r="D2" s="2"/>
      <x:c r="E2" s="2"/>
      <x:c r="F2" s="2"/>
      <x:c r="G2" s="2"/>
      <x:c r="H2" s="2"/>
      <x:c r="I2" s="2"/>
      <x:c r="J2" s="2"/>
      <x:c r="K2" s="2"/>
      <x:c r="L2" s="2"/>
      <x:c r="M2" s="2"/>
      <x:c r="N2" s="2"/>
      <x:c r="O2" s="2"/>
      <x:c r="P2" s="2"/>
      <x:c r="Q2" s="2"/>
      <x:c r="R2" s="2"/>
      <x:c r="S2" s="2"/>
    </x:row>
    <x:row r="3" ht="22" customHeight="1">
      <x:c r="A3" s="4" t="str">
        <x:v>Mass Effect 2 — Objets de décor et interactions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ME2-PRP-IFF</x:v>
      </x:c>
      <x:c r="B7" s="9" t="str">
        <x:v>Transpondeur IFF</x:v>
      </x:c>
      <x:c r="C7" s="15" t="str">
        <x:v>Défini</x:v>
      </x:c>
      <x:c r="D7" s="16" t="str">
        <x:v>Extrapolation</x:v>
      </x:c>
      <x:c r="E7" s="16" t="str">
        <x:v>P1</x:v>
      </x:c>
      <x:c r="F7" s="9" t="str">
        <x:v>Livrable original proposé : Transpondeur IFF.</x:v>
      </x:c>
      <x:c r="G7" s="9" t="str">
        <x:v>Objet de quête non vendable ; inspection avant extraction, drapeau d’acquisition atomique au retour.</x:v>
      </x:c>
      <x:c r="H7" s="9" t="str">
        <x:v>Objet de quête non vendable ; inspection avant extraction, drapeau d’acquisition atomique au retour.</x:v>
      </x:c>
      <x:c r="I7" s="9" t="str">
        <x:v>Module de données fixé au cœur technique.</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me2/props/iff ; rattacher les ressources et états cités à cet identifiant. Aucun fichier de jeu créé par ce catalogue.</x:v>
      </x:c>
      <x:c r="M7" s="9" t="str"/>
      <x:c r="N7" s="9" t="str">
        <x:v>Le livrable « Transpondeur IFF » possède une scène ou un scénario de contrôle ; ses règles proposées, ses conditions et ses retours visuels sont vérifiables séparément.</x:v>
      </x:c>
      <x:c r="O7" s="9" t="str">
        <x:v>ME2-MQ-IFF</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ME2-PRP-GRAYBOX</x:v>
      </x:c>
      <x:c r="B8" s="7" t="str">
        <x:v>Graybox de Keiji</x:v>
      </x:c>
      <x:c r="C8" s="15" t="str">
        <x:v>Défini</x:v>
      </x:c>
      <x:c r="D8" s="17" t="str">
        <x:v>Extrapolation</x:v>
      </x:c>
      <x:c r="E8" s="17" t="str">
        <x:v>P1</x:v>
      </x:c>
      <x:c r="F8" s="7" t="str">
        <x:v>Livrable original proposé : Graybox de Keiji.</x:v>
      </x:c>
      <x:c r="G8" s="7" t="str">
        <x:v>Modèle inspectable et états intact/effacé ; aucune copie persistante après le choix d’effacement.</x:v>
      </x:c>
      <x:c r="H8" s="7" t="str">
        <x:v>Modèle inspectable et états intact/effacé ; aucune copie persistante après le choix d’effacement.</x:v>
      </x:c>
      <x:c r="I8" s="7" t="str">
        <x:v>Boîtier neural compact et projection de souvenirs.</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me2/props/graybox ; rattacher les ressources et états cités à cet identifiant. Aucun fichier de jeu créé par ce catalogue.</x:v>
      </x:c>
      <x:c r="M8" s="7" t="str"/>
      <x:c r="N8" s="7" t="str">
        <x:v>Le livrable « Graybox de Keiji » possède une scène ou un scénario de contrôle ; ses règles proposées, ses conditions et ses retours visuels sont vérifiables séparément.</x:v>
      </x:c>
      <x:c r="O8" s="7" t="str">
        <x:v>ME2-CHO-GRAYBOX</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ME2-PRP-GRUNT-TANK</x:v>
      </x:c>
      <x:c r="B9" s="9" t="str">
        <x:v>Cuve de Grunt</x:v>
      </x:c>
      <x:c r="C9" s="15" t="str">
        <x:v>Défini</x:v>
      </x:c>
      <x:c r="D9" s="16" t="str">
        <x:v>Extrapolation</x:v>
      </x:c>
      <x:c r="E9" s="16" t="str">
        <x:v>P1</x:v>
      </x:c>
      <x:c r="F9" s="9" t="str">
        <x:v>Livrable original proposé : Cuve de Grunt.</x:v>
      </x:c>
      <x:c r="G9" s="9" t="str">
        <x:v>États scellée, déverrouillée et ouverte ; interaction d’examen séparée de la commande d’ouverture.</x:v>
      </x:c>
      <x:c r="H9" s="9" t="str">
        <x:v>États scellée, déverrouillée et ouverte ; interaction d’examen séparée de la commande d’ouverture.</x:v>
      </x:c>
      <x:c r="I9" s="9" t="str">
        <x:v>Grand cylindre et silhouettes dans liquide.</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me2/props/grunt-tank ; rattacher les ressources et états cités à cet identifiant. Aucun fichier de jeu créé par ce catalogue.</x:v>
      </x:c>
      <x:c r="M9" s="9" t="str"/>
      <x:c r="N9" s="9" t="str">
        <x:v>Le livrable « Cuve de Grunt » possède une scène ou un scénario de contrôle ; ses règles proposées, ses conditions et ses retours visuels sont vérifiables séparément.</x:v>
      </x:c>
      <x:c r="O9" s="9" t="str">
        <x:v>ME2-CHO-GRUNT</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ME2-PRP-GENOPHAGE-DATA</x:v>
      </x:c>
      <x:c r="B10" s="7" t="str">
        <x:v>Recherche de Maelon</x:v>
      </x:c>
      <x:c r="C10" s="15" t="str">
        <x:v>Défini</x:v>
      </x:c>
      <x:c r="D10" s="17" t="str">
        <x:v>Extrapolation</x:v>
      </x:c>
      <x:c r="E10" s="17" t="str">
        <x:v>P1</x:v>
      </x:c>
      <x:c r="F10" s="7" t="str">
        <x:v>Livrable original proposé : Recherche de Maelon.</x:v>
      </x:c>
      <x:c r="G10" s="7" t="str">
        <x:v>Dossier de preuve à deux états irréversibles ; la fermeture d’écran ne confirme pas l’effacement.</x:v>
      </x:c>
      <x:c r="H10" s="7" t="str">
        <x:v>Dossier de preuve à deux états irréversibles ; la fermeture d’écran ne confirme pas l’effacement.</x:v>
      </x:c>
      <x:c r="I10" s="7" t="str">
        <x:v>Terminal médical et lignes de données abstraites.</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me2/props/genophage-data ; rattacher les ressources et états cités à cet identifiant. Aucun fichier de jeu créé par ce catalogue.</x:v>
      </x:c>
      <x:c r="M10" s="7" t="str"/>
      <x:c r="N10" s="7" t="str">
        <x:v>Le livrable « Recherche de Maelon » possède une scène ou un scénario de contrôle ; ses règles proposées, ses conditions et ses retours visuels sont vérifiables séparément.</x:v>
      </x:c>
      <x:c r="O10" s="7" t="str">
        <x:v>ME2-CHO-MAELON-DATA</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ME2-PRP-ALAREI-DATA</x:v>
      </x:c>
      <x:c r="B11" s="9" t="str">
        <x:v>Preuves de l’Alarei</x:v>
      </x:c>
      <x:c r="C11" s="15" t="str">
        <x:v>Défini</x:v>
      </x:c>
      <x:c r="D11" s="16" t="str">
        <x:v>Extrapolation</x:v>
      </x:c>
      <x:c r="E11" s="16" t="str">
        <x:v>P1</x:v>
      </x:c>
      <x:c r="F11" s="9" t="str">
        <x:v>Livrable original proposé : Preuves de l’Alarei.</x:v>
      </x:c>
      <x:c r="G11" s="9" t="str">
        <x:v>Objet de preuve distinct du témoignage et du verdict ; provenance visible dans le journal.</x:v>
      </x:c>
      <x:c r="H11" s="9" t="str">
        <x:v>Objet de preuve distinct du témoignage et du verdict ; provenance visible dans le journal.</x:v>
      </x:c>
      <x:c r="I11" s="9" t="str">
        <x:v>Enregistrement et icône de vaisseau.</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me2/props/alarei-data ; rattacher les ressources et états cités à cet identifiant. Aucun fichier de jeu créé par ce catalogue.</x:v>
      </x:c>
      <x:c r="M11" s="9" t="str"/>
      <x:c r="N11" s="9" t="str">
        <x:v>Le livrable « Preuves de l’Alarei » possède une scène ou un scénario de contrôle ; ses règles proposées, ses conditions et ses retours visuels sont vérifiables séparément.</x:v>
      </x:c>
      <x:c r="O11" s="9" t="str">
        <x:v>ME2-CHO-TALI-PROOF</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ME2-PRP-VENT-VALVE</x:v>
      </x:c>
      <x:c r="B12" s="7" t="str">
        <x:v>Commande de ventilation Collecteur</x:v>
      </x:c>
      <x:c r="C12" s="15" t="str">
        <x:v>Défini</x:v>
      </x:c>
      <x:c r="D12" s="17" t="str">
        <x:v>Extrapolation</x:v>
      </x:c>
      <x:c r="E12" s="17" t="str">
        <x:v>P1</x:v>
      </x:c>
      <x:c r="F12" s="7" t="str">
        <x:v>Livrable original proposé : Commande de ventilation Collecteur.</x:v>
      </x:c>
      <x:c r="G12" s="7" t="str">
        <x:v>Deux états très contrastés ; activation alignée sur la baisse thermique du technicien.</x:v>
      </x:c>
      <x:c r="H12" s="7" t="str">
        <x:v>Deux états très contrastés ; activation alignée sur la baisse thermique du technicien.</x:v>
      </x:c>
      <x:c r="I12" s="7" t="str">
        <x:v>Vanne organique à lumière verte.</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me2/props/vent-valve ; rattacher les ressources et états cités à cet identifiant. Aucun fichier de jeu créé par ce catalogue.</x:v>
      </x:c>
      <x:c r="M12" s="7" t="str"/>
      <x:c r="N12" s="7" t="str">
        <x:v>Le livrable « Commande de ventilation Collecteur » possède une scène ou un scénario de contrôle ; ses règles proposées, ses conditions et ses retours visuels sont vérifiables séparément.</x:v>
      </x:c>
      <x:c r="O12" s="7" t="str">
        <x:v>ME2-MQ-INFILTRATION</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ME2-PRP-AIR-CURE</x:v>
      </x:c>
      <x:c r="B13" s="9" t="str">
        <x:v>Diffuseur de cure d’Omega</x:v>
      </x:c>
      <x:c r="C13" s="15" t="str">
        <x:v>Défini</x:v>
      </x:c>
      <x:c r="D13" s="16" t="str">
        <x:v>Extrapolation</x:v>
      </x:c>
      <x:c r="E13" s="16" t="str">
        <x:v>P1</x:v>
      </x:c>
      <x:c r="F13" s="9" t="str">
        <x:v>Livrable original proposé : Diffuseur de cure d’Omega.</x:v>
      </x:c>
      <x:c r="G13" s="9" t="str">
        <x:v>Objet actif de mission : cure chargée, ventilation coupée puis rétablie ; ne pas disparaître au combat.</x:v>
      </x:c>
      <x:c r="H13" s="9" t="str">
        <x:v>Objet actif de mission : cure chargée, ventilation coupée puis rétablie ; ne pas disparaître au combat.</x:v>
      </x:c>
      <x:c r="I13" s="9" t="str">
        <x:v>Conduit, cartouche et témoin médical.</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me2/props/air-cure ; rattacher les ressources et états cités à cet identifiant. Aucun fichier de jeu créé par ce catalogue.</x:v>
      </x:c>
      <x:c r="M13" s="9" t="str"/>
      <x:c r="N13" s="9" t="str">
        <x:v>Le livrable « Diffuseur de cure d’Omega » possède une scène ou un scénario de contrôle ; ses règles proposées, ses conditions et ses retours visuels sont vérifiables séparément.</x:v>
      </x:c>
      <x:c r="O13" s="9" t="str">
        <x:v>ME2-MQ-PROFESSOR</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ME2-PRP-HORIZON-TURRET</x:v>
      </x:c>
      <x:c r="B14" s="7" t="str">
        <x:v>Console de défense d’Horizon</x:v>
      </x:c>
      <x:c r="C14" s="15" t="str">
        <x:v>Défini</x:v>
      </x:c>
      <x:c r="D14" s="17" t="str">
        <x:v>Extrapolation</x:v>
      </x:c>
      <x:c r="E14" s="17" t="str">
        <x:v>P1</x:v>
      </x:c>
      <x:c r="F14" s="7" t="str">
        <x:v>Livrable original proposé : Console de défense d’Horizon.</x:v>
      </x:c>
      <x:c r="G14" s="7" t="str">
        <x:v>Animation de réparation interrompable puis verrouillage de tir ; signaler la fin de la phase.</x:v>
      </x:c>
      <x:c r="H14" s="7" t="str">
        <x:v>Animation de réparation interrompable puis verrouillage de tir ; signaler la fin de la phase.</x:v>
      </x:c>
      <x:c r="I14" s="7" t="str">
        <x:v>Écran de ciblage et pylône.</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me2/props/horizon-turret ; rattacher les ressources et états cités à cet identifiant. Aucun fichier de jeu créé par ce catalogue.</x:v>
      </x:c>
      <x:c r="M14" s="7" t="str"/>
      <x:c r="N14" s="7" t="str">
        <x:v>Le livrable « Console de défense d’Horizon » possède une scène ou un scénario de contrôle ; ses règles proposées, ses conditions et ses retours visuels sont vérifiables séparément.</x:v>
      </x:c>
      <x:c r="O14" s="7" t="str">
        <x:v>ME2-MQ-HORIZON</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ME2-PRP-THERMAL-CLIP</x:v>
      </x:c>
      <x:c r="B15" s="9" t="str">
        <x:v>Clip thermique au sol</x:v>
      </x:c>
      <x:c r="C15" s="15" t="str">
        <x:v>Défini</x:v>
      </x:c>
      <x:c r="D15" s="16" t="str">
        <x:v>Extrapolation</x:v>
      </x:c>
      <x:c r="E15" s="16" t="str">
        <x:v>P1</x:v>
      </x:c>
      <x:c r="F15" s="9" t="str">
        <x:v>Livrable original proposé : Clip thermique au sol.</x:v>
      </x:c>
      <x:c r="G15" s="9" t="str">
        <x:v>Pickup original avec aimantation limitée ; couleur identique à l’icône de réserve, sans faux chargeur lourd.</x:v>
      </x:c>
      <x:c r="H15" s="9" t="str">
        <x:v>Pickup original avec aimantation limitée ; couleur identique à l’icône de réserve, sans faux chargeur lourd.</x:v>
      </x:c>
      <x:c r="I15" s="9" t="str">
        <x:v>Bloc fumant avec bord clair.</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me2/props/thermal-clip ; rattacher les ressources et états cités à cet identifiant. Aucun fichier de jeu créé par ce catalogue.</x:v>
      </x:c>
      <x:c r="M15" s="9" t="str"/>
      <x:c r="N15" s="9" t="str">
        <x:v>Le livrable « Clip thermique au sol » possède une scène ou un scénario de contrôle ; ses règles proposées, ses conditions et ses retours visuels sont vérifiables séparément.</x:v>
      </x:c>
      <x:c r="O15" s="9" t="str">
        <x:v>ME2-EQP-THERMAL</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ME2-PRP-POWER-CELL</x:v>
      </x:c>
      <x:c r="B16" s="7" t="str">
        <x:v>Cellule lourde au sol</x:v>
      </x:c>
      <x:c r="C16" s="15" t="str">
        <x:v>Défini</x:v>
      </x:c>
      <x:c r="D16" s="17" t="str">
        <x:v>Extrapolation</x:v>
      </x:c>
      <x:c r="E16" s="17" t="str">
        <x:v>P1</x:v>
      </x:c>
      <x:c r="F16" s="7" t="str">
        <x:v>Livrable original proposé : Cellule lourde au sol.</x:v>
      </x:c>
      <x:c r="G16" s="7" t="str">
        <x:v>Pickup avec aperçu de capacité ; le trop-plein suit une règle explicite et ne duplique pas au rechargement.</x:v>
      </x:c>
      <x:c r="H16" s="7" t="str">
        <x:v>Pickup avec aperçu de capacité ; le trop-plein suit une règle explicite et ne duplique pas au rechargement.</x:v>
      </x:c>
      <x:c r="I16" s="7" t="str">
        <x:v>Cube énergétique jaune.</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me2/props/power-cell ; rattacher les ressources et états cités à cet identifiant. Aucun fichier de jeu créé par ce catalogue.</x:v>
      </x:c>
      <x:c r="M16" s="7" t="str"/>
      <x:c r="N16" s="7" t="str">
        <x:v>Le livrable « Cellule lourde au sol » possède une scène ou un scénario de contrôle ; ses règles proposées, ses conditions et ses retours visuels sont vérifiables séparément.</x:v>
      </x:c>
      <x:c r="O16" s="7" t="str">
        <x:v>ME2-EQP-CELLS</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ME2-PRP-MED-STATION</x:v>
      </x:c>
      <x:c r="B17" s="9" t="str">
        <x:v>Station de medi-gel</x:v>
      </x:c>
      <x:c r="C17" s="15" t="str">
        <x:v>Défini</x:v>
      </x:c>
      <x:c r="D17" s="16" t="str">
        <x:v>Extrapolation</x:v>
      </x:c>
      <x:c r="E17" s="16" t="str">
        <x:v>P1</x:v>
      </x:c>
      <x:c r="F17" s="9" t="str">
        <x:v>Livrable original proposé : Station de medi-gel.</x:v>
      </x:c>
      <x:c r="G17" s="9" t="str">
        <x:v>Deux états de stock ; interdire la double prise par interaction et auto-loot simultanés.</x:v>
      </x:c>
      <x:c r="H17" s="9" t="str">
        <x:v>Deux états de stock ; interdire la double prise par interaction et auto-loot simultanés.</x:v>
      </x:c>
      <x:c r="I17" s="9" t="str">
        <x:v>Croix médicale bleue et porte transparente.</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me2/props/med-station ; rattacher les ressources et états cités à cet identifiant. Aucun fichier de jeu créé par ce catalogue.</x:v>
      </x:c>
      <x:c r="M17" s="9" t="str"/>
      <x:c r="N17" s="9" t="str">
        <x:v>Le livrable « Station de medi-gel » possède une scène ou un scénario de contrôle ; ses règles proposées, ses conditions et ses retours visuels sont vérifiables séparément.</x:v>
      </x:c>
      <x:c r="O17" s="9" t="str">
        <x:v>ME2-EQP-MEDIGEL</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ME2-PRP-FIREWALKER-PROBE</x:v>
      </x:c>
      <x:c r="B18" s="7" t="str">
        <x:v>Sonde de Lattesh</x:v>
      </x:c>
      <x:c r="C18" s="15" t="str">
        <x:v>Défini</x:v>
      </x:c>
      <x:c r="D18" s="17" t="str">
        <x:v>Extrapolation</x:v>
      </x:c>
      <x:c r="E18" s="17" t="str">
        <x:v>P1</x:v>
      </x:c>
      <x:c r="F18" s="7" t="str">
        <x:v>Livrable original proposé : Sonde de Lattesh.</x:v>
      </x:c>
      <x:c r="G18" s="7" t="str">
        <x:v>État non récolté visible à distance ; chaleur ajoutée une fois lors de capture complète.</x:v>
      </x:c>
      <x:c r="H18" s="7" t="str">
        <x:v>État non récolté visible à distance ; chaleur ajoutée une fois lors de capture complète.</x:v>
      </x:c>
      <x:c r="I18" s="7" t="str">
        <x:v>Colonne rouge et appareil enfoui.</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me2/props/firewalker-probe ; rattacher les ressources et états cités à cet identifiant. Aucun fichier de jeu créé par ce catalogue.</x:v>
      </x:c>
      <x:c r="M18" s="7" t="str"/>
      <x:c r="N18" s="7" t="str">
        <x:v>Le livrable « Sonde de Lattesh » possède une scène ou un scénario de contrôle ; ses règles proposées, ses conditions et ses retours visuels sont vérifiables séparément.</x:v>
      </x:c>
      <x:c r="O18" s="7" t="str">
        <x:v>ME2-SQ-FIRE-COLD</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ME2-PRP-OVERLORD-ANTENNA</x:v>
      </x:c>
      <x:c r="B19" s="9" t="str">
        <x:v>Relais de transfert Overlord</x:v>
      </x:c>
      <x:c r="C19" s="15" t="str">
        <x:v>Défini</x:v>
      </x:c>
      <x:c r="D19" s="16" t="str">
        <x:v>Extrapolation</x:v>
      </x:c>
      <x:c r="E19" s="16" t="str">
        <x:v>P1</x:v>
      </x:c>
      <x:c r="F19" s="9" t="str">
        <x:v>Livrable original proposé : Relais de transfert Overlord.</x:v>
      </x:c>
      <x:c r="G19" s="9" t="str">
        <x:v>Animation de charge avant envoi ; ordre de priorité lu depuis luminosité et numéro.</x:v>
      </x:c>
      <x:c r="H19" s="9" t="str">
        <x:v>Animation de charge avant envoi ; ordre de priorité lu depuis luminosité et numéro.</x:v>
      </x:c>
      <x:c r="I19" s="9" t="str">
        <x:v>Bras d’antenne, câbles verts et écran d’état.</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me2/props/overlord-antenna ; rattacher les ressources et états cités à cet identifiant. Aucun fichier de jeu créé par ce catalogue.</x:v>
      </x:c>
      <x:c r="M19" s="9" t="str"/>
      <x:c r="N19" s="9" t="str">
        <x:v>Le livrable « Relais de transfert Overlord » possède une scène ou un scénario de contrôle ; ses règles proposées, ses conditions et ses retours visuels sont vérifiables séparément.</x:v>
      </x:c>
      <x:c r="O19" s="9" t="str">
        <x:v>ME2-ENM-OVERLORD</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ME2-PRP-PROJECT-ARTIFACT</x:v>
      </x:c>
      <x:c r="B20" s="7" t="str">
        <x:v>Artefact d’Arrival</x:v>
      </x:c>
      <x:c r="C20" s="15" t="str">
        <x:v>Défini</x:v>
      </x:c>
      <x:c r="D20" s="17" t="str">
        <x:v>Extrapolation</x:v>
      </x:c>
      <x:c r="E20" s="17" t="str">
        <x:v>P1</x:v>
      </x:c>
      <x:c r="F20" s="7" t="str">
        <x:v>Livrable original proposé : Artefact d’Arrival.</x:v>
      </x:c>
      <x:c r="G20" s="7" t="str">
        <x:v>Objet narratif dangereux ; lumière subtile et champ d’influence sans mécanique d’inventaire portable.</x:v>
      </x:c>
      <x:c r="H20" s="7" t="str">
        <x:v>Objet narratif dangereux ; lumière subtile et champ d’influence sans mécanique d’inventaire portable.</x:v>
      </x:c>
      <x:c r="I20" s="7" t="str">
        <x:v>Masse sombre et halo rouge.</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me2/props/project-artifact ; rattacher les ressources et états cités à cet identifiant. Aucun fichier de jeu créé par ce catalogue.</x:v>
      </x:c>
      <x:c r="M20" s="7" t="str"/>
      <x:c r="N20" s="7" t="str">
        <x:v>Le livrable « Artefact d’Arrival » possède une scène ou un scénario de contrôle ; ses règles proposées, ses conditions et ses retours visuels sont vérifiables séparément.</x:v>
      </x:c>
      <x:c r="O20" s="7" t="str">
        <x:v>ME2-MQ-ARRIVAL</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68" customHeight="1">
      <x:c r="A21" s="18" t="str">
        <x:v>ME2-PRP-PROJECT-THRUSTER</x:v>
      </x:c>
      <x:c r="B21" s="9" t="str">
        <x:v>Commande du projet</x:v>
      </x:c>
      <x:c r="C21" s="15" t="str">
        <x:v>Défini</x:v>
      </x:c>
      <x:c r="D21" s="16" t="str">
        <x:v>Extrapolation</x:v>
      </x:c>
      <x:c r="E21" s="16" t="str">
        <x:v>P1</x:v>
      </x:c>
      <x:c r="F21" s="9" t="str">
        <x:v>Livrable original proposé : Commande du projet.</x:v>
      </x:c>
      <x:c r="G21" s="9" t="str">
        <x:v>Écran d’axe de collision avec état armé ; une seule confirmation narrative engage le final.</x:v>
      </x:c>
      <x:c r="H21" s="9" t="str">
        <x:v>Écran d’axe de collision avec état armé ; une seule confirmation narrative engage le final.</x:v>
      </x:c>
      <x:c r="I21" s="9" t="str">
        <x:v>Console, carte du relais et jauges lisibles.</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me2/props/project-thruster ; rattacher les ressources et états cités à cet identifiant. Aucun fichier de jeu créé par ce catalogue.</x:v>
      </x:c>
      <x:c r="M21" s="9" t="str"/>
      <x:c r="N21" s="9" t="str">
        <x:v>Le livrable « Commande du projet » possède une scène ou un scénario de contrôle ; ses règles proposées, ses conditions et ses retours visuels sont vérifiables séparément.</x:v>
      </x:c>
      <x:c r="O21" s="9" t="str">
        <x:v>ME2-MQ-ARRIVAL</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row r="22" ht="68" customHeight="1">
      <x:c r="A22" s="19" t="str">
        <x:v>ME2-PRP-MEMORIAL</x:v>
      </x:c>
      <x:c r="B22" s="7" t="str">
        <x:v>Mémorial du Normandy</x:v>
      </x:c>
      <x:c r="C22" s="15" t="str">
        <x:v>Défini</x:v>
      </x:c>
      <x:c r="D22" s="17" t="str">
        <x:v>Extrapolation</x:v>
      </x:c>
      <x:c r="E22" s="17" t="str">
        <x:v>P1</x:v>
      </x:c>
      <x:c r="F22" s="7" t="str">
        <x:v>Livrable original proposé : Mémorial du Normandy.</x:v>
      </x:c>
      <x:c r="G22" s="7" t="str">
        <x:v>Placement dans un point désigné ; inspection après pose conserve l’état de commémoration.</x:v>
      </x:c>
      <x:c r="H22" s="7" t="str">
        <x:v>Placement dans un point désigné ; inspection après pose conserve l’état de commémoration.</x:v>
      </x:c>
      <x:c r="I22" s="7" t="str">
        <x:v>Plaque et débris de coque.</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me2/props/memorial ; rattacher les ressources et états cités à cet identifiant. Aucun fichier de jeu créé par ce catalogue.</x:v>
      </x:c>
      <x:c r="M22" s="7" t="str"/>
      <x:c r="N22" s="7" t="str">
        <x:v>Le livrable « Mémorial du Normandy » possède une scène ou un scénario de contrôle ; ses règles proposées, ses conditions et ses retours visuels sont vérifiables séparément.</x:v>
      </x:c>
      <x:c r="O22" s="7" t="str">
        <x:v>ME2-SQ-CRASH-SITE</x:v>
      </x:c>
      <x:c r="P22" s="7" t="str">
        <x:v>Adaptation originale — spécification de production</x:v>
      </x:c>
      <x:c r="Q22" s="7" t="str"/>
      <x:c r="R22" s="21" t="str"/>
      <x:c r="S22" s="21" t="str">
        <x:v>Spécification à réaliser. Les champs adaptation, gameplay, visual, animation, audio et implementation décrivent le fan game ; ils ne donnent pas des caractéristiques officielles de l’œuvre.</x:v>
      </x:c>
    </x:row>
    <x:row r="23" ht="68" customHeight="1">
      <x:c r="A23" s="18" t="str">
        <x:v>ME2-PRP-DOGTAGS</x:v>
      </x:c>
      <x:c r="B23" s="9" t="str">
        <x:v>Traces de l’équipage du SR-1</x:v>
      </x:c>
      <x:c r="C23" s="15" t="str">
        <x:v>Défini</x:v>
      </x:c>
      <x:c r="D23" s="16" t="str">
        <x:v>Extrapolation</x:v>
      </x:c>
      <x:c r="E23" s="16" t="str">
        <x:v>P1</x:v>
      </x:c>
      <x:c r="F23" s="9" t="str">
        <x:v>Livrable original proposé : Traces de l’équipage du SR-1.</x:v>
      </x:c>
      <x:c r="G23" s="9" t="str">
        <x:v>Collectibles commémoratifs inventoriés avec provenance ; ne pas donner de bonus d’attaque aux souvenirs.</x:v>
      </x:c>
      <x:c r="H23" s="9" t="str">
        <x:v>Collectibles commémoratifs inventoriés avec provenance ; ne pas donner de bonus d’attaque aux souvenirs.</x:v>
      </x:c>
      <x:c r="I23" s="9" t="str">
        <x:v>Plaquettes identitaires discrètes dans la neige.</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me2/props/dogtags ; rattacher les ressources et états cités à cet identifiant. Aucun fichier de jeu créé par ce catalogue.</x:v>
      </x:c>
      <x:c r="M23" s="9" t="str"/>
      <x:c r="N23" s="9" t="str">
        <x:v>Le livrable « Traces de l’équipage du SR-1 » possède une scène ou un scénario de contrôle ; ses règles proposées, ses conditions et ses retours visuels sont vérifiables séparément.</x:v>
      </x:c>
      <x:c r="O23" s="9" t="str">
        <x:v>ME2-SQ-CRASH-SITE</x:v>
      </x:c>
      <x:c r="P23" s="9" t="str">
        <x:v>Adaptation originale — spécification de production</x:v>
      </x:c>
      <x:c r="Q23" s="9" t="str"/>
      <x:c r="R23" s="20" t="str"/>
      <x:c r="S23" s="20" t="str">
        <x:v>Spécification à réaliser. Les champs adaptation, gameplay, visual, animation, audio et implementation décrivent le fan game ; ils ne donnent pas des caractéristiques officielles de l’œuvre.</x:v>
      </x:c>
    </x:row>
    <x:row r="24" ht="68" customHeight="1">
      <x:c r="A24" s="19" t="str">
        <x:v>ME2-PRP-HOCK-SECURITY</x:v>
      </x:c>
      <x:c r="B24" s="7" t="str">
        <x:v>Sécurité du coffre Hock</x:v>
      </x:c>
      <x:c r="C24" s="15" t="str">
        <x:v>Défini</x:v>
      </x:c>
      <x:c r="D24" s="17" t="str">
        <x:v>Extrapolation</x:v>
      </x:c>
      <x:c r="E24" s="17" t="str">
        <x:v>P1</x:v>
      </x:c>
      <x:c r="F24" s="7" t="str">
        <x:v>Livrable original proposé : Sécurité du coffre Hock.</x:v>
      </x:c>
      <x:c r="G24" s="7" t="str">
        <x:v>Trois types d’accès représentés par objets différents ; un état manquant indique sa catégorie sans révéler la solution.</x:v>
      </x:c>
      <x:c r="H24" s="7" t="str">
        <x:v>Trois types d’accès représentés par objets différents ; un état manquant indique sa catégorie sans révéler la solution.</x:v>
      </x:c>
      <x:c r="I24" s="7" t="str">
        <x:v>Scanner biométrique, micros et ligne d’alimentation.</x:v>
      </x:c>
      <x:c r="J24" s="7" t="str">
        <x:v>Préparer état de repos, anticipation, activation et retour au repos ; aligner les événements visuels sur la résolution de l’action ATB.</x:v>
      </x:c>
      <x:c r="K24" s="7" t="str">
        <x:v>Créer des bruitages et ambiances originaux adaptés au livrable ; sous-titrer les indices utiles et proposer un réglage indépendant des effets. Aucune extraction audio demandée.</x:v>
      </x:c>
      <x:c r="L24" s="7" t="str">
        <x:v>Prévu : fiche de données me2/props/hock-security ; rattacher les ressources et états cités à cet identifiant. Aucun fichier de jeu créé par ce catalogue.</x:v>
      </x:c>
      <x:c r="M24" s="7" t="str"/>
      <x:c r="N24" s="7" t="str">
        <x:v>Le livrable « Sécurité du coffre Hock » possède une scène ou un scénario de contrôle ; ses règles proposées, ses conditions et ses retours visuels sont vérifiables séparément.</x:v>
      </x:c>
      <x:c r="O24" s="7" t="str">
        <x:v>ME2-MQ-KASUMI-HEIST</x:v>
      </x:c>
      <x:c r="P24" s="7" t="str">
        <x:v>Adaptation originale — spécification de production</x:v>
      </x:c>
      <x:c r="Q24" s="7" t="str"/>
      <x:c r="R24" s="21" t="str"/>
      <x:c r="S24" s="21" t="str">
        <x:v>Spécification à réaliser. Les champs adaptation, gameplay, visual, animation, audio et implementation décrivent le fan game ; ils ne donnent pas des caractéristiques officielles de l’œuvre.</x:v>
      </x:c>
    </x:row>
    <x:row r="25" ht="68" customHeight="1">
      <x:c r="A25" s="18" t="str">
        <x:v>ME2-PRP-TUCH-KEYSTONE</x:v>
      </x:c>
      <x:c r="B25" s="9" t="str">
        <x:v>Stèle du rite de Grunt</x:v>
      </x:c>
      <x:c r="C25" s="15" t="str">
        <x:v>Défini</x:v>
      </x:c>
      <x:c r="D25" s="16" t="str">
        <x:v>Extrapolation</x:v>
      </x:c>
      <x:c r="E25" s="16" t="str">
        <x:v>P1</x:v>
      </x:c>
      <x:c r="F25" s="9" t="str">
        <x:v>Livrable original proposé : Stèle du rite de Grunt.</x:v>
      </x:c>
      <x:c r="G25" s="9" t="str">
        <x:v>Déclencheur par interaction volontaire hors combat ; verrou après lancement d’une phase.</x:v>
      </x:c>
      <x:c r="H25" s="9" t="str">
        <x:v>Déclencheur par interaction volontaire hors combat ; verrou après lancement d’une phase.</x:v>
      </x:c>
      <x:c r="I25" s="9" t="str">
        <x:v>Pierre gravée et poussière.</x:v>
      </x:c>
      <x:c r="J25" s="9" t="str">
        <x:v>Préparer état de repos, anticipation, activation et retour au repos ; aligner les événements visuels sur la résolution de l’action ATB.</x:v>
      </x:c>
      <x:c r="K25" s="9" t="str">
        <x:v>Créer des bruitages et ambiances originaux adaptés au livrable ; sous-titrer les indices utiles et proposer un réglage indépendant des effets. Aucune extraction audio demandée.</x:v>
      </x:c>
      <x:c r="L25" s="9" t="str">
        <x:v>Prévu : fiche de données me2/props/tuch-keystone ; rattacher les ressources et états cités à cet identifiant. Aucun fichier de jeu créé par ce catalogue.</x:v>
      </x:c>
      <x:c r="M25" s="9" t="str"/>
      <x:c r="N25" s="9" t="str">
        <x:v>Le livrable « Stèle du rite de Grunt » possède une scène ou un scénario de contrôle ; ses règles proposées, ses conditions et ses retours visuels sont vérifiables séparément.</x:v>
      </x:c>
      <x:c r="O25" s="9" t="str">
        <x:v>ME2-MQ-LOY-GRUNT</x:v>
      </x:c>
      <x:c r="P25" s="9" t="str">
        <x:v>Adaptation originale — spécification de production</x:v>
      </x:c>
      <x:c r="Q25" s="9" t="str"/>
      <x:c r="R25" s="20" t="str"/>
      <x:c r="S25" s="20" t="str">
        <x:v>Spécification à réaliser. Les champs adaptation, gameplay, visual, animation, audio et implementation décrivent le fan game ; ils ne donnent pas des caractéristiques officielles de l’œuvre.</x:v>
      </x:c>
    </x:row>
    <x:row r="26" ht="68" customHeight="1">
      <x:c r="A26" s="19" t="str">
        <x:v>ME2-PRP-BROKER-TERMINAL</x:v>
      </x:c>
      <x:c r="B26" s="7" t="str">
        <x:v>Terminal de renseignements</x:v>
      </x:c>
      <x:c r="C26" s="15" t="str">
        <x:v>Défini</x:v>
      </x:c>
      <x:c r="D26" s="17" t="str">
        <x:v>Extrapolation</x:v>
      </x:c>
      <x:c r="E26" s="17" t="str">
        <x:v>P1</x:v>
      </x:c>
      <x:c r="F26" s="7" t="str">
        <x:v>Livrable original proposé : Terminal de renseignements.</x:v>
      </x:c>
      <x:c r="G26" s="7" t="str">
        <x:v>Index documentaire avec lecture marquée et liens de provenance ; chaque dossier reste optionnel.</x:v>
      </x:c>
      <x:c r="H26" s="7" t="str">
        <x:v>Index documentaire avec lecture marquée et liens de provenance ; chaque dossier reste optionnel.</x:v>
      </x:c>
      <x:c r="I26" s="7" t="str">
        <x:v>Écrans suspendus et pupitre sombre.</x:v>
      </x:c>
      <x:c r="J26" s="7" t="str">
        <x:v>Préparer état de repos, anticipation, activation et retour au repos ; aligner les événements visuels sur la résolution de l’action ATB.</x:v>
      </x:c>
      <x:c r="K26" s="7" t="str">
        <x:v>Créer des bruitages et ambiances originaux adaptés au livrable ; sous-titrer les indices utiles et proposer un réglage indépendant des effets. Aucune extraction audio demandée.</x:v>
      </x:c>
      <x:c r="L26" s="7" t="str">
        <x:v>Prévu : fiche de données me2/props/broker-terminal ; rattacher les ressources et états cités à cet identifiant. Aucun fichier de jeu créé par ce catalogue.</x:v>
      </x:c>
      <x:c r="M26" s="7" t="str"/>
      <x:c r="N26" s="7" t="str">
        <x:v>Le livrable « Terminal de renseignements » possède une scène ou un scénario de contrôle ; ses règles proposées, ses conditions et ses retours visuels sont vérifiables séparément.</x:v>
      </x:c>
      <x:c r="O26" s="7" t="str">
        <x:v>ME2-LOR-BROKER</x:v>
      </x:c>
      <x:c r="P26" s="7" t="str">
        <x:v>Adaptation originale — spécification de production</x:v>
      </x:c>
      <x:c r="Q26" s="7" t="str"/>
      <x:c r="R26" s="21" t="str"/>
      <x:c r="S26" s="21" t="str">
        <x:v>Spécification à réaliser. Les champs adaptation, gameplay, visual, animation, audio et implementation décrivent le fan game ; ils ne donnent pas des caractéristiques officielles de l’œuvre.</x:v>
      </x:c>
    </x:row>
  </x:sheetData>
  <x:conditionalFormatting sqref="D7:D26">
    <x:cfRule type="cellIs" dxfId="28" priority="1" operator="equal">
      <x:formula>"À vérifier"</x:formula>
    </x:cfRule>
    <x:cfRule type="cellIs" dxfId="29" priority="2" operator="equal">
      <x:formula>"Extrapolation"</x:formula>
    </x:cfRule>
  </x:conditionalFormatting>
  <x:conditionalFormatting sqref="C7:C26">
    <x:cfRule type="cellIs" dxfId="30" priority="3" operator="equal">
      <x:formula>"Validé"</x:formula>
    </x:cfRule>
  </x:conditionalFormatting>
  <x:conditionalFormatting sqref="E7:E26">
    <x:cfRule type="cellIs" dxfId="31" priority="4" operator="equal">
      <x:formula>"P0"</x:formula>
    </x:cfRule>
  </x:conditionalFormatting>
  <x:dataValidations count="3">
    <x:dataValidation type="list" sqref="C7:C26">
      <x:formula1>"Défini,Prototype,Intégré,Validé"</x:formula1>
    </x:dataValidation>
    <x:dataValidation type="list" sqref="D7:D26">
      <x:formula1>"Établi,À vérifier,Extrapolation,Coupé attesté,Concept abandonné,Allégation écartée"</x:formula1>
    </x:dataValidation>
    <x:dataValidation type="list" sqref="E7:E26">
      <x:formula1>"P0,P1,P2"</x:formula1>
    </x:dataValidation>
  </x:dataValidations>
  <x:pageMargins left="0.7" right="0.7" top="0.75" bottom="0.75" header="0.3" footer="0.3"/>
  <x:tableParts count="1">
    <x:tablePart xmlns:r="http://schemas.openxmlformats.org/officeDocument/2006/relationships" r:id="Rcddddb42b17c4236"/>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Ennemis et boss</x:v>
      </x:c>
      <x:c r="B2" s="2"/>
      <x:c r="C2" s="2"/>
      <x:c r="D2" s="2"/>
      <x:c r="E2" s="2"/>
      <x:c r="F2" s="2"/>
      <x:c r="G2" s="2"/>
      <x:c r="H2" s="2"/>
      <x:c r="I2" s="2"/>
      <x:c r="J2" s="2"/>
      <x:c r="K2" s="2"/>
      <x:c r="L2" s="2"/>
      <x:c r="M2" s="2"/>
      <x:c r="N2" s="2"/>
      <x:c r="O2" s="2"/>
      <x:c r="P2" s="2"/>
      <x:c r="Q2" s="2"/>
      <x:c r="R2" s="2"/>
      <x:c r="S2" s="2"/>
    </x:row>
    <x:row r="3" ht="22" customHeight="1">
      <x:c r="A3" s="4" t="str">
        <x:v>Mass Effect 2 — Bestiaire, adversaires et affrontements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ME2-ENM-BS-TROOPER</x:v>
      </x:c>
      <x:c r="B7" s="9" t="str">
        <x:v>Blue Suns Trooper</x:v>
      </x:c>
      <x:c r="C7" s="15" t="str">
        <x:v>Défini</x:v>
      </x:c>
      <x:c r="D7" s="16" t="str">
        <x:v>Établi</x:v>
      </x:c>
      <x:c r="E7" s="16" t="str">
        <x:v>P1</x:v>
      </x:c>
      <x:c r="F7" s="9" t="str">
        <x:v>Mercenaire Blue Suns.</x:v>
      </x:c>
      <x:c r="G7" s="9" t="str">
        <x:v>Archétype à adapter autour de « Rafale croisée ». Donner un rôle distinct dans les compositions de rencontre.</x:v>
      </x:c>
      <x:c r="H7" s="9" t="str">
        <x:v>Vise la dernière position connue ; un déplacement latéral ou un écran biotique rompt le tir.</x:v>
      </x:c>
      <x:c r="I7" s="9" t="str">
        <x:v>Armure bleue, fusil et visière rectiligne.</x:v>
      </x:c>
      <x:c r="J7" s="9" t="str">
        <x:v>Prévoir attente, orientation et réaction au contexte ; conserver les repères décrits dans la silhouette pendant les changements de direction. Les mouvements sont des créations du fan game.</x:v>
      </x:c>
      <x:c r="K7" s="9" t="str">
        <x:v>Créer des bruitages et ambiances originaux adaptés au livrable ; sous-titrer les indices utiles et proposer un réglage indépendant des effets. Aucune extraction audio demandée.</x:v>
      </x:c>
      <x:c r="L7" s="9" t="str">
        <x:v>Prévu : fiche de données me2/enemies/bs-trooper ; rattacher les ressources et états cités à cet identifiant. Aucun fichier de jeu créé par ce catalogue.</x:v>
      </x:c>
      <x:c r="M7" s="9" t="str"/>
      <x:c r="N7" s="9" t="str">
        <x:v>Le livrable « Blue Suns Trooper » possède une scène ou un scénario de contrôle ; ses règles proposées, ses conditions et ses retours visuels sont vérifiables séparément.</x:v>
      </x:c>
      <x:c r="O7" s="9" t="str"/>
      <x:c r="P7" s="9" t="str">
        <x:v>Bestiaire ME2 / rencontres associées</x:v>
      </x:c>
      <x:c r="Q7" s="9" t="str">
        <x:v>ME2-SRC-ENEMIES</x:v>
      </x:c>
      <x:c r="R7" s="20" t="str">
        <x:v>https://masseffect.fandom.com/wiki/Prison_Guard</x:v>
      </x:c>
      <x:c r="S7" s="20" t="str">
        <x:v>Spécification à réaliser. Les champs adaptation, gameplay, visual, animation, audio et implementation décrivent le fan game ; ils ne donnent pas des caractéristiques officielles de l’œuvre.</x:v>
      </x:c>
    </x:row>
    <x:row r="8" ht="68" customHeight="1">
      <x:c r="A8" s="19" t="str">
        <x:v>ME2-ENM-BS-HEAVY</x:v>
      </x:c>
      <x:c r="B8" s="7" t="str">
        <x:v>Blue Suns Heavy</x:v>
      </x:c>
      <x:c r="C8" s="15" t="str">
        <x:v>Défini</x:v>
      </x:c>
      <x:c r="D8" s="17" t="str">
        <x:v>Établi</x:v>
      </x:c>
      <x:c r="E8" s="17" t="str">
        <x:v>P1</x:v>
      </x:c>
      <x:c r="F8" s="7" t="str">
        <x:v>Mercenaire Blue Suns.</x:v>
      </x:c>
      <x:c r="G8" s="7" t="str">
        <x:v>Archétype à adapter autour de « Roquette annoncée ». Donner un rôle distinct dans les compositions de rencontre.</x:v>
      </x:c>
      <x:c r="H8" s="7" t="str">
        <x:v>Pose un marqueur au sol avant départ ; quitter le couvert ciblé ou interrompre le tireur.</x:v>
      </x:c>
      <x:c r="I8" s="7" t="str">
        <x:v>Tube de roquette haut sur l’épaule.</x:v>
      </x:c>
      <x:c r="J8" s="7" t="str">
        <x:v>Prévoir attente, orientation et réaction au contexte ; conserver les repères décrits dans la silhouette pendant les changements de direction. Les mouvements sont des créations du fan game.</x:v>
      </x:c>
      <x:c r="K8" s="7" t="str">
        <x:v>Créer des bruitages et ambiances originaux adaptés au livrable ; sous-titrer les indices utiles et proposer un réglage indépendant des effets. Aucune extraction audio demandée.</x:v>
      </x:c>
      <x:c r="L8" s="7" t="str">
        <x:v>Prévu : fiche de données me2/enemies/bs-heavy ; rattacher les ressources et états cités à cet identifiant. Aucun fichier de jeu créé par ce catalogue.</x:v>
      </x:c>
      <x:c r="M8" s="7" t="str"/>
      <x:c r="N8" s="7" t="str">
        <x:v>Le livrable « Blue Suns Heavy » possède une scène ou un scénario de contrôle ; ses règles proposées, ses conditions et ses retours visuels sont vérifiables séparément.</x:v>
      </x:c>
      <x:c r="O8" s="7" t="str"/>
      <x:c r="P8" s="7" t="str">
        <x:v>Bestiaire ME2 / rencontres associées</x:v>
      </x:c>
      <x:c r="Q8" s="7" t="str">
        <x:v>ME2-SRC-ENEMIES</x:v>
      </x:c>
      <x:c r="R8" s="21" t="str">
        <x:v>https://masseffect.fandom.com/wiki/Prison_Guard</x:v>
      </x:c>
      <x:c r="S8" s="21" t="str">
        <x:v>Spécification à réaliser. Les champs adaptation, gameplay, visual, animation, audio et implementation décrivent le fan game ; ils ne donnent pas des caractéristiques officielles de l’œuvre.</x:v>
      </x:c>
    </x:row>
    <x:row r="9" ht="68" customHeight="1">
      <x:c r="A9" s="18" t="str">
        <x:v>ME2-ENM-BS-CENTURION</x:v>
      </x:c>
      <x:c r="B9" s="9" t="str">
        <x:v>Blue Suns Centurion</x:v>
      </x:c>
      <x:c r="C9" s="15" t="str">
        <x:v>Défini</x:v>
      </x:c>
      <x:c r="D9" s="16" t="str">
        <x:v>Établi</x:v>
      </x:c>
      <x:c r="E9" s="16" t="str">
        <x:v>P1</x:v>
      </x:c>
      <x:c r="F9" s="9" t="str">
        <x:v>Mercenaire Blue Suns.</x:v>
      </x:c>
      <x:c r="G9" s="9" t="str">
        <x:v>Archétype à adapter autour de « Ordre de concentration ». Donner un rôle distinct dans les compositions de rencontre.</x:v>
      </x:c>
      <x:c r="H9" s="9" t="str">
        <x:v>Désigne un allié à harceler ; casser sa ligne de vue annule le bonus d’équipe proposé.</x:v>
      </x:c>
      <x:c r="I9" s="9" t="str">
        <x:v>Armure bleue renforcée et signe d’officier.</x:v>
      </x:c>
      <x:c r="J9" s="9" t="str">
        <x:v>Prévoir attente, orientation et réaction au contexte ; conserver les repères décrits dans la silhouette pendant les changements de direction. Les mouvements sont des créations du fan game.</x:v>
      </x:c>
      <x:c r="K9" s="9" t="str">
        <x:v>Créer des bruitages et ambiances originaux adaptés au livrable ; sous-titrer les indices utiles et proposer un réglage indépendant des effets. Aucune extraction audio demandée.</x:v>
      </x:c>
      <x:c r="L9" s="9" t="str">
        <x:v>Prévu : fiche de données me2/enemies/bs-centurion ; rattacher les ressources et états cités à cet identifiant. Aucun fichier de jeu créé par ce catalogue.</x:v>
      </x:c>
      <x:c r="M9" s="9" t="str"/>
      <x:c r="N9" s="9" t="str">
        <x:v>Le livrable « Blue Suns Centurion » possède une scène ou un scénario de contrôle ; ses règles proposées, ses conditions et ses retours visuels sont vérifiables séparément.</x:v>
      </x:c>
      <x:c r="O9" s="9" t="str"/>
      <x:c r="P9" s="9" t="str">
        <x:v>Bestiaire ME2 / rencontres associées</x:v>
      </x:c>
      <x:c r="Q9" s="9" t="str">
        <x:v>ME2-SRC-ENEMIES</x:v>
      </x:c>
      <x:c r="R9" s="20" t="str">
        <x:v>https://masseffect.fandom.com/wiki/Prison_Guard</x:v>
      </x:c>
      <x:c r="S9" s="20" t="str">
        <x:v>Spécification à réaliser. Les champs adaptation, gameplay, visual, animation, audio et implementation décrivent le fan game ; ils ne donnent pas des caractéristiques officielles de l’œuvre.</x:v>
      </x:c>
    </x:row>
    <x:row r="10" ht="68" customHeight="1">
      <x:c r="A10" s="19" t="str">
        <x:v>ME2-ENM-BS-LEGION</x:v>
      </x:c>
      <x:c r="B10" s="7" t="str">
        <x:v>Blue Suns Legionnaire</x:v>
      </x:c>
      <x:c r="C10" s="15" t="str">
        <x:v>Défini</x:v>
      </x:c>
      <x:c r="D10" s="17" t="str">
        <x:v>Établi</x:v>
      </x:c>
      <x:c r="E10" s="17" t="str">
        <x:v>P1</x:v>
      </x:c>
      <x:c r="F10" s="7" t="str">
        <x:v>Mercenaire Blue Suns.</x:v>
      </x:c>
      <x:c r="G10" s="7" t="str">
        <x:v>Archétype à adapter autour de « Avancée sous bouclier ». Donner un rôle distinct dans les compositions de rencontre.</x:v>
      </x:c>
      <x:c r="H10" s="7" t="str">
        <x:v>Progresse d’un abri à l’autre ; Surcharge ouvre une fenêtre de recul.</x:v>
      </x:c>
      <x:c r="I10" s="7" t="str">
        <x:v>Silhouette blindée et forte protection frontale.</x:v>
      </x:c>
      <x:c r="J10" s="7" t="str">
        <x:v>Prévoir attente, orientation et réaction au contexte ; conserver les repères décrits dans la silhouette pendant les changements de direction. Les mouvements sont des créations du fan game.</x:v>
      </x:c>
      <x:c r="K10" s="7" t="str">
        <x:v>Créer des bruitages et ambiances originaux adaptés au livrable ; sous-titrer les indices utiles et proposer un réglage indépendant des effets. Aucune extraction audio demandée.</x:v>
      </x:c>
      <x:c r="L10" s="7" t="str">
        <x:v>Prévu : fiche de données me2/enemies/bs-legion ; rattacher les ressources et états cités à cet identifiant. Aucun fichier de jeu créé par ce catalogue.</x:v>
      </x:c>
      <x:c r="M10" s="7" t="str"/>
      <x:c r="N10" s="7" t="str">
        <x:v>Le livrable « Blue Suns Legionnaire » possède une scène ou un scénario de contrôle ; ses règles proposées, ses conditions et ses retours visuels sont vérifiables séparément.</x:v>
      </x:c>
      <x:c r="O10" s="7" t="str"/>
      <x:c r="P10" s="7" t="str">
        <x:v>Bestiaire ME2 / rencontres associées</x:v>
      </x:c>
      <x:c r="Q10" s="7" t="str">
        <x:v>ME2-SRC-ENEMIES</x:v>
      </x:c>
      <x:c r="R10" s="21" t="str">
        <x:v>https://masseffect.fandom.com/wiki/Prison_Guard</x:v>
      </x:c>
      <x:c r="S10" s="21" t="str">
        <x:v>Spécification à réaliser. Les champs adaptation, gameplay, visual, animation, audio et implementation décrivent le fan game ; ils ne donnent pas des caractéristiques officielles de l’œuvre.</x:v>
      </x:c>
    </x:row>
    <x:row r="11" ht="68" customHeight="1">
      <x:c r="A11" s="18" t="str">
        <x:v>ME2-ENM-EC-TROOPER</x:v>
      </x:c>
      <x:c r="B11" s="9" t="str">
        <x:v>Eclipse Trooper</x:v>
      </x:c>
      <x:c r="C11" s="15" t="str">
        <x:v>Défini</x:v>
      </x:c>
      <x:c r="D11" s="16" t="str">
        <x:v>Établi</x:v>
      </x:c>
      <x:c r="E11" s="16" t="str">
        <x:v>P1</x:v>
      </x:c>
      <x:c r="F11" s="9" t="str">
        <x:v>Mercenaire Eclipse.</x:v>
      </x:c>
      <x:c r="G11" s="9" t="str">
        <x:v>Archétype à adapter autour de « Tir de maintien ». Donner un rôle distinct dans les compositions de rencontre.</x:v>
      </x:c>
      <x:c r="H11" s="9" t="str">
        <x:v>Couvre un corridor ; le détour latéral force un changement de position coûteux.</x:v>
      </x:c>
      <x:c r="I11" s="9" t="str">
        <x:v>Armure jaune et noire, arme légère.</x:v>
      </x:c>
      <x:c r="J11" s="9" t="str">
        <x:v>Prévoir attente, orientation et réaction au contexte ; conserver les repères décrits dans la silhouette pendant les changements de direction. Les mouvements sont des créations du fan game.</x:v>
      </x:c>
      <x:c r="K11" s="9" t="str">
        <x:v>Créer des bruitages et ambiances originaux adaptés au livrable ; sous-titrer les indices utiles et proposer un réglage indépendant des effets. Aucune extraction audio demandée.</x:v>
      </x:c>
      <x:c r="L11" s="9" t="str">
        <x:v>Prévu : fiche de données me2/enemies/ec-trooper ; rattacher les ressources et états cités à cet identifiant. Aucun fichier de jeu créé par ce catalogue.</x:v>
      </x:c>
      <x:c r="M11" s="9" t="str"/>
      <x:c r="N11" s="9" t="str">
        <x:v>Le livrable « Eclipse Trooper » possède une scène ou un scénario de contrôle ; ses règles proposées, ses conditions et ses retours visuels sont vérifiables séparément.</x:v>
      </x:c>
      <x:c r="O11" s="9" t="str"/>
      <x:c r="P11" s="9" t="str">
        <x:v>Bestiaire ME2 / rencontres associées</x:v>
      </x:c>
      <x:c r="Q11" s="9" t="str">
        <x:v>ME2-SRC-ENEMIES</x:v>
      </x:c>
      <x:c r="R11" s="20" t="str">
        <x:v>https://masseffect.fandom.com/wiki/Prison_Guard</x:v>
      </x:c>
      <x:c r="S11" s="20" t="str">
        <x:v>Spécification à réaliser. Les champs adaptation, gameplay, visual, animation, audio et implementation décrivent le fan game ; ils ne donnent pas des caractéristiques officielles de l’œuvre.</x:v>
      </x:c>
    </x:row>
    <x:row r="12" ht="68" customHeight="1">
      <x:c r="A12" s="19" t="str">
        <x:v>ME2-ENM-EC-HEAVY</x:v>
      </x:c>
      <x:c r="B12" s="7" t="str">
        <x:v>Eclipse Heavy</x:v>
      </x:c>
      <x:c r="C12" s="15" t="str">
        <x:v>Défini</x:v>
      </x:c>
      <x:c r="D12" s="17" t="str">
        <x:v>Établi</x:v>
      </x:c>
      <x:c r="E12" s="17" t="str">
        <x:v>P1</x:v>
      </x:c>
      <x:c r="F12" s="7" t="str">
        <x:v>Mercenaire Eclipse.</x:v>
      </x:c>
      <x:c r="G12" s="7" t="str">
        <x:v>Archétype à adapter autour de « Salve de zone ». Donner un rôle distinct dans les compositions de rencontre.</x:v>
      </x:c>
      <x:c r="H12" s="7" t="str">
        <x:v>Prépare une explosion derrière l’abri ; le joueur peut tirer sur le projectile ou sortir de la zone.</x:v>
      </x:c>
      <x:c r="I12" s="7" t="str">
        <x:v>Lanceur et bandes jaunes larges.</x:v>
      </x:c>
      <x:c r="J12" s="7" t="str">
        <x:v>Prévoir attente, orientation et réaction au contexte ; conserver les repères décrits dans la silhouette pendant les changements de direction. Les mouvements sont des créations du fan game.</x:v>
      </x:c>
      <x:c r="K12" s="7" t="str">
        <x:v>Créer des bruitages et ambiances originaux adaptés au livrable ; sous-titrer les indices utiles et proposer un réglage indépendant des effets. Aucune extraction audio demandée.</x:v>
      </x:c>
      <x:c r="L12" s="7" t="str">
        <x:v>Prévu : fiche de données me2/enemies/ec-heavy ; rattacher les ressources et états cités à cet identifiant. Aucun fichier de jeu créé par ce catalogue.</x:v>
      </x:c>
      <x:c r="M12" s="7" t="str"/>
      <x:c r="N12" s="7" t="str">
        <x:v>Le livrable « Eclipse Heavy » possède une scène ou un scénario de contrôle ; ses règles proposées, ses conditions et ses retours visuels sont vérifiables séparément.</x:v>
      </x:c>
      <x:c r="O12" s="7" t="str"/>
      <x:c r="P12" s="7" t="str">
        <x:v>Bestiaire ME2 / rencontres associées</x:v>
      </x:c>
      <x:c r="Q12" s="7" t="str">
        <x:v>ME2-SRC-ENEMIES</x:v>
      </x:c>
      <x:c r="R12" s="21" t="str">
        <x:v>https://masseffect.fandom.com/wiki/Prison_Guard</x:v>
      </x:c>
      <x:c r="S12" s="21" t="str">
        <x:v>Spécification à réaliser. Les champs adaptation, gameplay, visual, animation, audio et implementation décrivent le fan game ; ils ne donnent pas des caractéristiques officielles de l’œuvre.</x:v>
      </x:c>
    </x:row>
    <x:row r="13" ht="68" customHeight="1">
      <x:c r="A13" s="18" t="str">
        <x:v>ME2-ENM-EC-ENGINEER</x:v>
      </x:c>
      <x:c r="B13" s="9" t="str">
        <x:v>Eclipse Engineer</x:v>
      </x:c>
      <x:c r="C13" s="15" t="str">
        <x:v>Défini</x:v>
      </x:c>
      <x:c r="D13" s="16" t="str">
        <x:v>Établi</x:v>
      </x:c>
      <x:c r="E13" s="16" t="str">
        <x:v>P1</x:v>
      </x:c>
      <x:c r="F13" s="9" t="str">
        <x:v>Ingénieur Eclipse.</x:v>
      </x:c>
      <x:c r="G13" s="9" t="str">
        <x:v>Archétype à adapter autour de « Déploiement de drone ». Donner un rôle distinct dans les compositions de rencontre.</x:v>
      </x:c>
      <x:c r="H13" s="9" t="str">
        <x:v>Un point de construction apparaît ; interrompre la pose ou pirater le drone déjà actif.</x:v>
      </x:c>
      <x:c r="I13" s="9" t="str">
        <x:v>Omni-outil et équipement jaune technique.</x:v>
      </x:c>
      <x:c r="J13" s="9" t="str">
        <x:v>Prévoir attente, orientation et réaction au contexte ; conserver les repères décrits dans la silhouette pendant les changements de direction. Les mouvements sont des créations du fan game.</x:v>
      </x:c>
      <x:c r="K13" s="9" t="str">
        <x:v>Créer des bruitages et ambiances originaux adaptés au livrable ; sous-titrer les indices utiles et proposer un réglage indépendant des effets. Aucune extraction audio demandée.</x:v>
      </x:c>
      <x:c r="L13" s="9" t="str">
        <x:v>Prévu : fiche de données me2/enemies/ec-engineer ; rattacher les ressources et états cités à cet identifiant. Aucun fichier de jeu créé par ce catalogue.</x:v>
      </x:c>
      <x:c r="M13" s="9" t="str"/>
      <x:c r="N13" s="9" t="str">
        <x:v>Le livrable « Eclipse Engineer » possède une scène ou un scénario de contrôle ; ses règles proposées, ses conditions et ses retours visuels sont vérifiables séparément.</x:v>
      </x:c>
      <x:c r="O13" s="9" t="str"/>
      <x:c r="P13" s="9" t="str">
        <x:v>Bestiaire ME2 / rencontres associées</x:v>
      </x:c>
      <x:c r="Q13" s="9" t="str">
        <x:v>ME2-SRC-ENEMIES</x:v>
      </x:c>
      <x:c r="R13" s="20" t="str">
        <x:v>https://masseffect.fandom.com/wiki/Prison_Guard</x:v>
      </x:c>
      <x:c r="S13" s="20" t="str">
        <x:v>Spécification à réaliser. Les champs adaptation, gameplay, visual, animation, audio et implementation décrivent le fan game ; ils ne donnent pas des caractéristiques officielles de l’œuvre.</x:v>
      </x:c>
    </x:row>
    <x:row r="14" ht="68" customHeight="1">
      <x:c r="A14" s="19" t="str">
        <x:v>ME2-ENM-EC-VANGUARD</x:v>
      </x:c>
      <x:c r="B14" s="7" t="str">
        <x:v>Eclipse Vanguard</x:v>
      </x:c>
      <x:c r="C14" s="15" t="str">
        <x:v>Défini</x:v>
      </x:c>
      <x:c r="D14" s="17" t="str">
        <x:v>Établi</x:v>
      </x:c>
      <x:c r="E14" s="17" t="str">
        <x:v>P1</x:v>
      </x:c>
      <x:c r="F14" s="7" t="str">
        <x:v>Biotique Eclipse.</x:v>
      </x:c>
      <x:c r="G14" s="7" t="str">
        <x:v>Archétype à adapter autour de « Poussée de proximité ». Donner un rôle distinct dans les compositions de rencontre.</x:v>
      </x:c>
      <x:c r="H14" s="7" t="str">
        <x:v>Chargement des mains puis projection en cône ; se placer derrière ou casser sa barrière.</x:v>
      </x:c>
      <x:c r="I14" s="7" t="str">
        <x:v>Halo biotique et posture penchée.</x:v>
      </x:c>
      <x:c r="J14" s="7" t="str">
        <x:v>Prévoir attente, orientation et réaction au contexte ; conserver les repères décrits dans la silhouette pendant les changements de direction. Les mouvements sont des créations du fan game.</x:v>
      </x:c>
      <x:c r="K14" s="7" t="str">
        <x:v>Créer des bruitages et ambiances originaux adaptés au livrable ; sous-titrer les indices utiles et proposer un réglage indépendant des effets. Aucune extraction audio demandée.</x:v>
      </x:c>
      <x:c r="L14" s="7" t="str">
        <x:v>Prévu : fiche de données me2/enemies/ec-vanguard ; rattacher les ressources et états cités à cet identifiant. Aucun fichier de jeu créé par ce catalogue.</x:v>
      </x:c>
      <x:c r="M14" s="7" t="str"/>
      <x:c r="N14" s="7" t="str">
        <x:v>Le livrable « Eclipse Vanguard » possède une scène ou un scénario de contrôle ; ses règles proposées, ses conditions et ses retours visuels sont vérifiables séparément.</x:v>
      </x:c>
      <x:c r="O14" s="7" t="str"/>
      <x:c r="P14" s="7" t="str">
        <x:v>Bestiaire ME2 / rencontres associées</x:v>
      </x:c>
      <x:c r="Q14" s="7" t="str">
        <x:v>ME2-SRC-ENEMIES</x:v>
      </x:c>
      <x:c r="R14" s="21" t="str">
        <x:v>https://masseffect.fandom.com/wiki/Prison_Guard</x:v>
      </x:c>
      <x:c r="S14" s="21" t="str">
        <x:v>Spécification à réaliser. Les champs adaptation, gameplay, visual, animation, audio et implementation décrivent le fan game ; ils ne donnent pas des caractéristiques officielles de l’œuvre.</x:v>
      </x:c>
    </x:row>
    <x:row r="15" ht="68" customHeight="1">
      <x:c r="A15" s="18" t="str">
        <x:v>ME2-ENM-EC-COMMANDO</x:v>
      </x:c>
      <x:c r="B15" s="9" t="str">
        <x:v>Eclipse Commando</x:v>
      </x:c>
      <x:c r="C15" s="15" t="str">
        <x:v>Défini</x:v>
      </x:c>
      <x:c r="D15" s="16" t="str">
        <x:v>Établi</x:v>
      </x:c>
      <x:c r="E15" s="16" t="str">
        <x:v>P1</x:v>
      </x:c>
      <x:c r="F15" s="9" t="str">
        <x:v>Combattante Eclipse.</x:v>
      </x:c>
      <x:c r="G15" s="9" t="str">
        <x:v>Archétype à adapter autour de « Barrière offensive ». Donner un rôle distinct dans les compositions de rencontre.</x:v>
      </x:c>
      <x:c r="H15" s="9" t="str">
        <x:v>Alterne protection et décharge ; le pouvoir anti-barrière permet un contre pendant la récupération.</x:v>
      </x:c>
      <x:c r="I15" s="9" t="str">
        <x:v>Asari en armure jaune, bulle bleu-violet.</x:v>
      </x:c>
      <x:c r="J15" s="9" t="str">
        <x:v>Prévoir attente, orientation et réaction au contexte ; conserver les repères décrits dans la silhouette pendant les changements de direction. Les mouvements sont des créations du fan game.</x:v>
      </x:c>
      <x:c r="K15" s="9" t="str">
        <x:v>Créer des bruitages et ambiances originaux adaptés au livrable ; sous-titrer les indices utiles et proposer un réglage indépendant des effets. Aucune extraction audio demandée.</x:v>
      </x:c>
      <x:c r="L15" s="9" t="str">
        <x:v>Prévu : fiche de données me2/enemies/ec-commando ; rattacher les ressources et états cités à cet identifiant. Aucun fichier de jeu créé par ce catalogue.</x:v>
      </x:c>
      <x:c r="M15" s="9" t="str"/>
      <x:c r="N15" s="9" t="str">
        <x:v>Le livrable « Eclipse Commando » possède une scène ou un scénario de contrôle ; ses règles proposées, ses conditions et ses retours visuels sont vérifiables séparément.</x:v>
      </x:c>
      <x:c r="O15" s="9" t="str"/>
      <x:c r="P15" s="9" t="str">
        <x:v>Bestiaire ME2 / rencontres associées</x:v>
      </x:c>
      <x:c r="Q15" s="9" t="str">
        <x:v>ME2-SRC-ENEMIES</x:v>
      </x:c>
      <x:c r="R15" s="20" t="str">
        <x:v>https://masseffect.fandom.com/wiki/Prison_Guard</x:v>
      </x:c>
      <x:c r="S15" s="20" t="str">
        <x:v>Spécification à réaliser. Les champs adaptation, gameplay, visual, animation, audio et implementation décrivent le fan game ; ils ne donnent pas des caractéristiques officielles de l’œuvre.</x:v>
      </x:c>
    </x:row>
    <x:row r="16" ht="68" customHeight="1">
      <x:c r="A16" s="19" t="str">
        <x:v>ME2-ENM-BP-TROOPER</x:v>
      </x:c>
      <x:c r="B16" s="7" t="str">
        <x:v>Blood Pack Trooper</x:v>
      </x:c>
      <x:c r="C16" s="15" t="str">
        <x:v>Défini</x:v>
      </x:c>
      <x:c r="D16" s="17" t="str">
        <x:v>Établi</x:v>
      </x:c>
      <x:c r="E16" s="17" t="str">
        <x:v>P1</x:v>
      </x:c>
      <x:c r="F16" s="7" t="str">
        <x:v>Combattant Blood Pack.</x:v>
      </x:c>
      <x:c r="G16" s="7" t="str">
        <x:v>Archétype à adapter autour de « Ruée désordonnée ». Donner un rôle distinct dans les compositions de rencontre.</x:v>
      </x:c>
      <x:c r="H16" s="7" t="str">
        <x:v>Attaque par courtes courses ; contrôler les premières lignes empêche l’encerclement.</x:v>
      </x:c>
      <x:c r="I16" s="7" t="str">
        <x:v>Vorcha rougeâtre et plaques mal ajustées.</x:v>
      </x:c>
      <x:c r="J16" s="7" t="str">
        <x:v>Prévoir attente, orientation et réaction au contexte ; conserver les repères décrits dans la silhouette pendant les changements de direction. Les mouvements sont des créations du fan game.</x:v>
      </x:c>
      <x:c r="K16" s="7" t="str">
        <x:v>Créer des bruitages et ambiances originaux adaptés au livrable ; sous-titrer les indices utiles et proposer un réglage indépendant des effets. Aucune extraction audio demandée.</x:v>
      </x:c>
      <x:c r="L16" s="7" t="str">
        <x:v>Prévu : fiche de données me2/enemies/bp-trooper ; rattacher les ressources et états cités à cet identifiant. Aucun fichier de jeu créé par ce catalogue.</x:v>
      </x:c>
      <x:c r="M16" s="7" t="str"/>
      <x:c r="N16" s="7" t="str">
        <x:v>Le livrable « Blood Pack Trooper » possède une scène ou un scénario de contrôle ; ses règles proposées, ses conditions et ses retours visuels sont vérifiables séparément.</x:v>
      </x:c>
      <x:c r="O16" s="7" t="str"/>
      <x:c r="P16" s="7" t="str">
        <x:v>Bestiaire ME2 / rencontres associées</x:v>
      </x:c>
      <x:c r="Q16" s="7" t="str">
        <x:v>ME2-SRC-ENEMIES</x:v>
      </x:c>
      <x:c r="R16" s="21" t="str">
        <x:v>https://masseffect.fandom.com/wiki/Prison_Guard</x:v>
      </x:c>
      <x:c r="S16" s="21" t="str">
        <x:v>Spécification à réaliser. Les champs adaptation, gameplay, visual, animation, audio et implementation décrivent le fan game ; ils ne donnent pas des caractéristiques officielles de l’œuvre.</x:v>
      </x:c>
    </x:row>
    <x:row r="17" ht="68" customHeight="1">
      <x:c r="A17" s="18" t="str">
        <x:v>ME2-ENM-BP-WARRIOR</x:v>
      </x:c>
      <x:c r="B17" s="9" t="str">
        <x:v>Blood Pack Warrior</x:v>
      </x:c>
      <x:c r="C17" s="15" t="str">
        <x:v>Défini</x:v>
      </x:c>
      <x:c r="D17" s="16" t="str">
        <x:v>Établi</x:v>
      </x:c>
      <x:c r="E17" s="16" t="str">
        <x:v>P1</x:v>
      </x:c>
      <x:c r="F17" s="9" t="str">
        <x:v>Krogan du Blood Pack.</x:v>
      </x:c>
      <x:c r="G17" s="9" t="str">
        <x:v>Archétype à adapter autour de « Charge lourde ». Donner un rôle distinct dans les compositions de rencontre.</x:v>
      </x:c>
      <x:c r="H17" s="9" t="str">
        <x:v>Pied planté et tête baissée annoncent l’assaut ; esquive latérale puis attaque du dos.</x:v>
      </x:c>
      <x:c r="I17" s="9" t="str">
        <x:v>Grande silhouette krogan rouge sombre.</x:v>
      </x:c>
      <x:c r="J17" s="9" t="str">
        <x:v>Prévoir attente, orientation et réaction au contexte ; conserver les repères décrits dans la silhouette pendant les changements de direction. Les mouvements sont des créations du fan game.</x:v>
      </x:c>
      <x:c r="K17" s="9" t="str">
        <x:v>Créer des bruitages et ambiances originaux adaptés au livrable ; sous-titrer les indices utiles et proposer un réglage indépendant des effets. Aucune extraction audio demandée.</x:v>
      </x:c>
      <x:c r="L17" s="9" t="str">
        <x:v>Prévu : fiche de données me2/enemies/bp-warrior ; rattacher les ressources et états cités à cet identifiant. Aucun fichier de jeu créé par ce catalogue.</x:v>
      </x:c>
      <x:c r="M17" s="9" t="str"/>
      <x:c r="N17" s="9" t="str">
        <x:v>Le livrable « Blood Pack Warrior » possède une scène ou un scénario de contrôle ; ses règles proposées, ses conditions et ses retours visuels sont vérifiables séparément.</x:v>
      </x:c>
      <x:c r="O17" s="9" t="str"/>
      <x:c r="P17" s="9" t="str">
        <x:v>Bestiaire ME2 / rencontres associées</x:v>
      </x:c>
      <x:c r="Q17" s="9" t="str">
        <x:v>ME2-SRC-ENEMIES</x:v>
      </x:c>
      <x:c r="R17" s="20" t="str">
        <x:v>https://masseffect.fandom.com/wiki/Prison_Guard</x:v>
      </x:c>
      <x:c r="S17" s="20" t="str">
        <x:v>Spécification à réaliser. Les champs adaptation, gameplay, visual, animation, audio et implementation décrivent le fan game ; ils ne donnent pas des caractéristiques officielles de l’œuvre.</x:v>
      </x:c>
    </x:row>
    <x:row r="18" ht="68" customHeight="1">
      <x:c r="A18" s="19" t="str">
        <x:v>ME2-ENM-BP-PYRO</x:v>
      </x:c>
      <x:c r="B18" s="7" t="str">
        <x:v>Blood Pack Pyro</x:v>
      </x:c>
      <x:c r="C18" s="15" t="str">
        <x:v>Défini</x:v>
      </x:c>
      <x:c r="D18" s="17" t="str">
        <x:v>Établi</x:v>
      </x:c>
      <x:c r="E18" s="17" t="str">
        <x:v>P1</x:v>
      </x:c>
      <x:c r="F18" s="7" t="str">
        <x:v>Unité incendiaire Blood Pack.</x:v>
      </x:c>
      <x:c r="G18" s="7" t="str">
        <x:v>Archétype à adapter autour de « Balayage de flammes ». Donner un rôle distinct dans les compositions de rencontre.</x:v>
      </x:c>
      <x:c r="H18" s="7" t="str">
        <x:v>Trace un arc continu de portée courte ; sortir du cône et viser le réservoir après anticipation.</x:v>
      </x:c>
      <x:c r="I18" s="7" t="str">
        <x:v>Réservoir dorsal et brûleur.</x:v>
      </x:c>
      <x:c r="J18" s="7" t="str">
        <x:v>Prévoir attente, orientation et réaction au contexte ; conserver les repères décrits dans la silhouette pendant les changements de direction. Les mouvements sont des créations du fan game.</x:v>
      </x:c>
      <x:c r="K18" s="7" t="str">
        <x:v>Créer des bruitages et ambiances originaux adaptés au livrable ; sous-titrer les indices utiles et proposer un réglage indépendant des effets. Aucune extraction audio demandée.</x:v>
      </x:c>
      <x:c r="L18" s="7" t="str">
        <x:v>Prévu : fiche de données me2/enemies/bp-pyro ; rattacher les ressources et états cités à cet identifiant. Aucun fichier de jeu créé par ce catalogue.</x:v>
      </x:c>
      <x:c r="M18" s="7" t="str"/>
      <x:c r="N18" s="7" t="str">
        <x:v>Le livrable « Blood Pack Pyro » possède une scène ou un scénario de contrôle ; ses règles proposées, ses conditions et ses retours visuels sont vérifiables séparément.</x:v>
      </x:c>
      <x:c r="O18" s="7" t="str"/>
      <x:c r="P18" s="7" t="str">
        <x:v>Bestiaire ME2 / rencontres associées</x:v>
      </x:c>
      <x:c r="Q18" s="7" t="str">
        <x:v>ME2-SRC-ENEMIES</x:v>
      </x:c>
      <x:c r="R18" s="21" t="str">
        <x:v>https://masseffect.fandom.com/wiki/Prison_Guard</x:v>
      </x:c>
      <x:c r="S18" s="21" t="str">
        <x:v>Spécification à réaliser. Les champs adaptation, gameplay, visual, animation, audio et implementation décrivent le fan game ; ils ne donnent pas des caractéristiques officielles de l’œuvre.</x:v>
      </x:c>
    </x:row>
    <x:row r="19" ht="68" customHeight="1">
      <x:c r="A19" s="18" t="str">
        <x:v>ME2-ENM-BP-BOOM</x:v>
      </x:c>
      <x:c r="B19" s="9" t="str">
        <x:v>Blood Pack Boom-Squad</x:v>
      </x:c>
      <x:c r="C19" s="15" t="str">
        <x:v>Défini</x:v>
      </x:c>
      <x:c r="D19" s="16" t="str">
        <x:v>Établi</x:v>
      </x:c>
      <x:c r="E19" s="16" t="str">
        <x:v>P1</x:v>
      </x:c>
      <x:c r="F19" s="9" t="str">
        <x:v>Unité Blood Pack.</x:v>
      </x:c>
      <x:c r="G19" s="9" t="str">
        <x:v>Archétype à adapter autour de « Tir explosif ». Donner un rôle distinct dans les compositions de rencontre.</x:v>
      </x:c>
      <x:c r="H19" s="9" t="str">
        <x:v>Prend appui avant d’arroser une bande de terrain ; couverts épais ou déplacement interrompent l’exposition.</x:v>
      </x:c>
      <x:c r="I19" s="9" t="str">
        <x:v>Lanceur volumineux et appui large.</x:v>
      </x:c>
      <x:c r="J19" s="9" t="str">
        <x:v>Prévoir attente, orientation et réaction au contexte ; conserver les repères décrits dans la silhouette pendant les changements de direction. Les mouvements sont des créations du fan game.</x:v>
      </x:c>
      <x:c r="K19" s="9" t="str">
        <x:v>Créer des bruitages et ambiances originaux adaptés au livrable ; sous-titrer les indices utiles et proposer un réglage indépendant des effets. Aucune extraction audio demandée.</x:v>
      </x:c>
      <x:c r="L19" s="9" t="str">
        <x:v>Prévu : fiche de données me2/enemies/bp-boom ; rattacher les ressources et états cités à cet identifiant. Aucun fichier de jeu créé par ce catalogue.</x:v>
      </x:c>
      <x:c r="M19" s="9" t="str"/>
      <x:c r="N19" s="9" t="str">
        <x:v>Le livrable « Blood Pack Boom-Squad » possède une scène ou un scénario de contrôle ; ses règles proposées, ses conditions et ses retours visuels sont vérifiables séparément.</x:v>
      </x:c>
      <x:c r="O19" s="9" t="str"/>
      <x:c r="P19" s="9" t="str">
        <x:v>Bestiaire ME2 / rencontres associées</x:v>
      </x:c>
      <x:c r="Q19" s="9" t="str">
        <x:v>ME2-SRC-ENEMIES</x:v>
      </x:c>
      <x:c r="R19" s="20" t="str">
        <x:v>https://masseffect.fandom.com/wiki/Prison_Guard</x:v>
      </x:c>
      <x:c r="S19" s="20" t="str">
        <x:v>Spécification à réaliser. Les champs adaptation, gameplay, visual, animation, audio et implementation décrivent le fan game ; ils ne donnent pas des caractéristiques officielles de l’œuvre.</x:v>
      </x:c>
    </x:row>
    <x:row r="20" ht="68" customHeight="1">
      <x:c r="A20" s="19" t="str">
        <x:v>ME2-ENM-LOKI</x:v>
      </x:c>
      <x:c r="B20" s="7" t="str">
        <x:v>LOKI Mech</x:v>
      </x:c>
      <x:c r="C20" s="15" t="str">
        <x:v>Défini</x:v>
      </x:c>
      <x:c r="D20" s="17" t="str">
        <x:v>Établi</x:v>
      </x:c>
      <x:c r="E20" s="17" t="str">
        <x:v>P1</x:v>
      </x:c>
      <x:c r="F20" s="7" t="str">
        <x:v>Méca de sécurité.</x:v>
      </x:c>
      <x:c r="G20" s="7" t="str">
        <x:v>Archétype à adapter autour de « Acquisition lente ». Donner un rôle distinct dans les compositions de rencontre.</x:v>
      </x:c>
      <x:c r="H20" s="7" t="str">
        <x:v>Laser bref puis tir ; le gel ou piratage interrompt l’acquisition.</x:v>
      </x:c>
      <x:c r="I20" s="7" t="str">
        <x:v>Humanoïde blanc, articulations fines et optique rouge.</x:v>
      </x:c>
      <x:c r="J20" s="7" t="str">
        <x:v>Prévoir attente, orientation et réaction au contexte ; conserver les repères décrits dans la silhouette pendant les changements de direction. Les mouvements sont des créations du fan game.</x:v>
      </x:c>
      <x:c r="K20" s="7" t="str">
        <x:v>Créer des bruitages et ambiances originaux adaptés au livrable ; sous-titrer les indices utiles et proposer un réglage indépendant des effets. Aucune extraction audio demandée.</x:v>
      </x:c>
      <x:c r="L20" s="7" t="str">
        <x:v>Prévu : fiche de données me2/enemies/loki ; rattacher les ressources et états cités à cet identifiant. Aucun fichier de jeu créé par ce catalogue.</x:v>
      </x:c>
      <x:c r="M20" s="7" t="str"/>
      <x:c r="N20" s="7" t="str">
        <x:v>Le livrable « LOKI Mech » possède une scène ou un scénario de contrôle ; ses règles proposées, ses conditions et ses retours visuels sont vérifiables séparément.</x:v>
      </x:c>
      <x:c r="O20" s="7" t="str"/>
      <x:c r="P20" s="7" t="str">
        <x:v>Bestiaire ME2 / rencontres associées</x:v>
      </x:c>
      <x:c r="Q20" s="7" t="str">
        <x:v>ME2-SRC-ENEMIES</x:v>
      </x:c>
      <x:c r="R20" s="21" t="str">
        <x:v>https://masseffect.fandom.com/wiki/Prison_Guard</x:v>
      </x:c>
      <x:c r="S20" s="21" t="str">
        <x:v>Spécification à réaliser. Les champs adaptation, gameplay, visual, animation, audio et implementation décrivent le fan game ; ils ne donnent pas des caractéristiques officielles de l’œuvre.</x:v>
      </x:c>
    </x:row>
    <x:row r="21" ht="68" customHeight="1">
      <x:c r="A21" s="18" t="str">
        <x:v>ME2-ENM-FENRIS</x:v>
      </x:c>
      <x:c r="B21" s="9" t="str">
        <x:v>FENRIS Mech</x:v>
      </x:c>
      <x:c r="C21" s="15" t="str">
        <x:v>Défini</x:v>
      </x:c>
      <x:c r="D21" s="16" t="str">
        <x:v>Établi</x:v>
      </x:c>
      <x:c r="E21" s="16" t="str">
        <x:v>P1</x:v>
      </x:c>
      <x:c r="F21" s="9" t="str">
        <x:v>Méca quadrupède.</x:v>
      </x:c>
      <x:c r="G21" s="9" t="str">
        <x:v>Archétype à adapter autour de « Bond de morsure ». Donner un rôle distinct dans les compositions de rencontre.</x:v>
      </x:c>
      <x:c r="H21" s="9" t="str">
        <x:v>Pattes arrière comprimées puis bond ; repousser ou esquiver, éviter de camper le même abri.</x:v>
      </x:c>
      <x:c r="I21" s="9" t="str">
        <x:v>Châssis canin métallique.</x:v>
      </x:c>
      <x:c r="J21" s="9" t="str">
        <x:v>Prévoir attente, orientation et réaction au contexte ; conserver les repères décrits dans la silhouette pendant les changements de direction. Les mouvements sont des créations du fan game.</x:v>
      </x:c>
      <x:c r="K21" s="9" t="str">
        <x:v>Créer des bruitages et ambiances originaux adaptés au livrable ; sous-titrer les indices utiles et proposer un réglage indépendant des effets. Aucune extraction audio demandée.</x:v>
      </x:c>
      <x:c r="L21" s="9" t="str">
        <x:v>Prévu : fiche de données me2/enemies/fenris ; rattacher les ressources et états cités à cet identifiant. Aucun fichier de jeu créé par ce catalogue.</x:v>
      </x:c>
      <x:c r="M21" s="9" t="str"/>
      <x:c r="N21" s="9" t="str">
        <x:v>Le livrable « FENRIS Mech » possède une scène ou un scénario de contrôle ; ses règles proposées, ses conditions et ses retours visuels sont vérifiables séparément.</x:v>
      </x:c>
      <x:c r="O21" s="9" t="str"/>
      <x:c r="P21" s="9" t="str">
        <x:v>Bestiaire ME2 / rencontres associées</x:v>
      </x:c>
      <x:c r="Q21" s="9" t="str">
        <x:v>ME2-SRC-ENEMIES</x:v>
      </x:c>
      <x:c r="R21" s="20" t="str">
        <x:v>https://masseffect.fandom.com/wiki/Prison_Guard</x:v>
      </x:c>
      <x:c r="S21" s="20" t="str">
        <x:v>Spécification à réaliser. Les champs adaptation, gameplay, visual, animation, audio et implementation décrivent le fan game ; ils ne donnent pas des caractéristiques officielles de l’œuvre.</x:v>
      </x:c>
    </x:row>
    <x:row r="22" ht="68" customHeight="1">
      <x:c r="A22" s="19" t="str">
        <x:v>ME2-ENM-YMIR</x:v>
      </x:c>
      <x:c r="B22" s="7" t="str">
        <x:v>YMIR Mech</x:v>
      </x:c>
      <x:c r="C22" s="15" t="str">
        <x:v>Défini</x:v>
      </x:c>
      <x:c r="D22" s="17" t="str">
        <x:v>Établi</x:v>
      </x:c>
      <x:c r="E22" s="17" t="str">
        <x:v>P1</x:v>
      </x:c>
      <x:c r="F22" s="7" t="str">
        <x:v>Méca lourd.</x:v>
      </x:c>
      <x:c r="G22" s="7" t="str">
        <x:v>Archétype à adapter autour de « Saturation alternée ». Donner un rôle distinct dans les compositions de rencontre.</x:v>
      </x:c>
      <x:c r="H22" s="7" t="str">
        <x:v>Alterner mitrailleuse et roquette ; l’optique passe au rouge avant la salve de zone.</x:v>
      </x:c>
      <x:c r="I22" s="7" t="str">
        <x:v>Buste massif, bras d’armes et pas lourds.</x:v>
      </x:c>
      <x:c r="J22" s="7" t="str">
        <x:v>Prévoir attente, orientation et réaction au contexte ; conserver les repères décrits dans la silhouette pendant les changements de direction. Les mouvements sont des créations du fan game.</x:v>
      </x:c>
      <x:c r="K22" s="7" t="str">
        <x:v>Créer des bruitages et ambiances originaux adaptés au livrable ; sous-titrer les indices utiles et proposer un réglage indépendant des effets. Aucune extraction audio demandée.</x:v>
      </x:c>
      <x:c r="L22" s="7" t="str">
        <x:v>Prévu : fiche de données me2/enemies/ymir ; rattacher les ressources et états cités à cet identifiant. Aucun fichier de jeu créé par ce catalogue.</x:v>
      </x:c>
      <x:c r="M22" s="7" t="str"/>
      <x:c r="N22" s="7" t="str">
        <x:v>Le livrable « YMIR Mech » possède une scène ou un scénario de contrôle ; ses règles proposées, ses conditions et ses retours visuels sont vérifiables séparément.</x:v>
      </x:c>
      <x:c r="O22" s="7" t="str"/>
      <x:c r="P22" s="7" t="str">
        <x:v>Bestiaire ME2 / rencontres associées</x:v>
      </x:c>
      <x:c r="Q22" s="7" t="str">
        <x:v>ME2-SRC-ENEMIES</x:v>
      </x:c>
      <x:c r="R22" s="21" t="str">
        <x:v>https://masseffect.fandom.com/wiki/Prison_Guard</x:v>
      </x:c>
      <x:c r="S22" s="21" t="str">
        <x:v>Spécification à réaliser. Les champs adaptation, gameplay, visual, animation, audio et implementation décrivent le fan game ; ils ne donnent pas des caractéristiques officielles de l’œuvre.</x:v>
      </x:c>
    </x:row>
    <x:row r="23" ht="68" customHeight="1">
      <x:c r="A23" s="18" t="str">
        <x:v>ME2-ENM-GETH-TROOPER</x:v>
      </x:c>
      <x:c r="B23" s="9" t="str">
        <x:v>Geth Trooper</x:v>
      </x:c>
      <x:c r="C23" s="15" t="str">
        <x:v>Défini</x:v>
      </x:c>
      <x:c r="D23" s="16" t="str">
        <x:v>Établi</x:v>
      </x:c>
      <x:c r="E23" s="16" t="str">
        <x:v>P1</x:v>
      </x:c>
      <x:c r="F23" s="9" t="str">
        <x:v>Infanterie geth.</x:v>
      </x:c>
      <x:c r="G23" s="9" t="str">
        <x:v>Archétype à adapter autour de « Rafale calculée ». Donner un rôle distinct dans les compositions de rencontre.</x:v>
      </x:c>
      <x:c r="H23" s="9" t="str">
        <x:v>Tir à intervalle régulier ; surcharge puis déplacement empêchent l’alignement de plusieurs unités.</x:v>
      </x:c>
      <x:c r="I23" s="9" t="str">
        <x:v>Optique unique et châssis synthétique fin.</x:v>
      </x:c>
      <x:c r="J23" s="9" t="str">
        <x:v>Prévoir attente, orientation et réaction au contexte ; conserver les repères décrits dans la silhouette pendant les changements de direction. Les mouvements sont des créations du fan game.</x:v>
      </x:c>
      <x:c r="K23" s="9" t="str">
        <x:v>Créer des bruitages et ambiances originaux adaptés au livrable ; sous-titrer les indices utiles et proposer un réglage indépendant des effets. Aucune extraction audio demandée.</x:v>
      </x:c>
      <x:c r="L23" s="9" t="str">
        <x:v>Prévu : fiche de données me2/enemies/geth-trooper ; rattacher les ressources et états cités à cet identifiant. Aucun fichier de jeu créé par ce catalogue.</x:v>
      </x:c>
      <x:c r="M23" s="9" t="str"/>
      <x:c r="N23" s="9" t="str">
        <x:v>Le livrable « Geth Trooper » possède une scène ou un scénario de contrôle ; ses règles proposées, ses conditions et ses retours visuels sont vérifiables séparément.</x:v>
      </x:c>
      <x:c r="O23" s="9" t="str"/>
      <x:c r="P23" s="9" t="str">
        <x:v>Bestiaire ME2 / rencontres associées</x:v>
      </x:c>
      <x:c r="Q23" s="9" t="str">
        <x:v>ME2-SRC-TALI</x:v>
      </x:c>
      <x:c r="R23" s="20" t="str">
        <x:v>https://masseffect.fandom.com/wiki/Dossier%3A_Tali</x:v>
      </x:c>
      <x:c r="S23" s="20" t="str">
        <x:v>Spécification à réaliser. Les champs adaptation, gameplay, visual, animation, audio et implementation décrivent le fan game ; ils ne donnent pas des caractéristiques officielles de l’œuvre.</x:v>
      </x:c>
    </x:row>
    <x:row r="24" ht="68" customHeight="1">
      <x:c r="A24" s="19" t="str">
        <x:v>ME2-ENM-GETH-ROCKET</x:v>
      </x:c>
      <x:c r="B24" s="7" t="str">
        <x:v>Geth Rocket Trooper</x:v>
      </x:c>
      <x:c r="C24" s="15" t="str">
        <x:v>Défini</x:v>
      </x:c>
      <x:c r="D24" s="17" t="str">
        <x:v>Établi</x:v>
      </x:c>
      <x:c r="E24" s="17" t="str">
        <x:v>P1</x:v>
      </x:c>
      <x:c r="F24" s="7" t="str">
        <x:v>Unité geth à roquettes.</x:v>
      </x:c>
      <x:c r="G24" s="7" t="str">
        <x:v>Archétype à adapter autour de « Verrou de cible ». Donner un rôle distinct dans les compositions de rencontre.</x:v>
      </x:c>
      <x:c r="H24" s="7" t="str">
        <x:v>Un trait annonce l’axe ; rompre le verrou ou contourner par l’abri opposé.</x:v>
      </x:c>
      <x:c r="I24" s="7" t="str">
        <x:v>Tube d’arme et lumière d’optique nette.</x:v>
      </x:c>
      <x:c r="J24" s="7" t="str">
        <x:v>Prévoir attente, orientation et réaction au contexte ; conserver les repères décrits dans la silhouette pendant les changements de direction. Les mouvements sont des créations du fan game.</x:v>
      </x:c>
      <x:c r="K24" s="7" t="str">
        <x:v>Créer des bruitages et ambiances originaux adaptés au livrable ; sous-titrer les indices utiles et proposer un réglage indépendant des effets. Aucune extraction audio demandée.</x:v>
      </x:c>
      <x:c r="L24" s="7" t="str">
        <x:v>Prévu : fiche de données me2/enemies/geth-rocket ; rattacher les ressources et états cités à cet identifiant. Aucun fichier de jeu créé par ce catalogue.</x:v>
      </x:c>
      <x:c r="M24" s="7" t="str"/>
      <x:c r="N24" s="7" t="str">
        <x:v>Le livrable « Geth Rocket Trooper » possède une scène ou un scénario de contrôle ; ses règles proposées, ses conditions et ses retours visuels sont vérifiables séparément.</x:v>
      </x:c>
      <x:c r="O24" s="7" t="str"/>
      <x:c r="P24" s="7" t="str">
        <x:v>Bestiaire ME2 / rencontres associées</x:v>
      </x:c>
      <x:c r="Q24" s="7" t="str">
        <x:v>ME2-SRC-TALI</x:v>
      </x:c>
      <x:c r="R24" s="21" t="str">
        <x:v>https://masseffect.fandom.com/wiki/Dossier%3A_Tali</x:v>
      </x:c>
      <x:c r="S24" s="21" t="str">
        <x:v>Spécification à réaliser. Les champs adaptation, gameplay, visual, animation, audio et implementation décrivent le fan game ; ils ne donnent pas des caractéristiques officielles de l’œuvre.</x:v>
      </x:c>
    </x:row>
    <x:row r="25" ht="68" customHeight="1">
      <x:c r="A25" s="18" t="str">
        <x:v>ME2-ENM-GETH-HUNTER</x:v>
      </x:c>
      <x:c r="B25" s="9" t="str">
        <x:v>Geth Hunter</x:v>
      </x:c>
      <x:c r="C25" s="15" t="str">
        <x:v>Défini</x:v>
      </x:c>
      <x:c r="D25" s="16" t="str">
        <x:v>Établi</x:v>
      </x:c>
      <x:c r="E25" s="16" t="str">
        <x:v>P1</x:v>
      </x:c>
      <x:c r="F25" s="9" t="str">
        <x:v>Unité geth camouflée.</x:v>
      </x:c>
      <x:c r="G25" s="9" t="str">
        <x:v>Archétype à adapter autour de « Approche masquée ». Donner un rôle distinct dans les compositions de rencontre.</x:v>
      </x:c>
      <x:c r="H25" s="9" t="str">
        <x:v>Brève distorsion au départ, pas détectables et silhouette au tir ; révéler par effet de zone.</x:v>
      </x:c>
      <x:c r="I25" s="9" t="str">
        <x:v>Châssis sombre semi-transparent, optique temporaire.</x:v>
      </x:c>
      <x:c r="J25" s="9" t="str">
        <x:v>Prévoir attente, orientation et réaction au contexte ; conserver les repères décrits dans la silhouette pendant les changements de direction. Les mouvements sont des créations du fan game.</x:v>
      </x:c>
      <x:c r="K25" s="9" t="str">
        <x:v>Créer des bruitages et ambiances originaux adaptés au livrable ; sous-titrer les indices utiles et proposer un réglage indépendant des effets. Aucune extraction audio demandée.</x:v>
      </x:c>
      <x:c r="L25" s="9" t="str">
        <x:v>Prévu : fiche de données me2/enemies/geth-hunter ; rattacher les ressources et états cités à cet identifiant. Aucun fichier de jeu créé par ce catalogue.</x:v>
      </x:c>
      <x:c r="M25" s="9" t="str"/>
      <x:c r="N25" s="9" t="str">
        <x:v>Le livrable « Geth Hunter » possède une scène ou un scénario de contrôle ; ses règles proposées, ses conditions et ses retours visuels sont vérifiables séparément.</x:v>
      </x:c>
      <x:c r="O25" s="9" t="str"/>
      <x:c r="P25" s="9" t="str">
        <x:v>Bestiaire ME2 / rencontres associées</x:v>
      </x:c>
      <x:c r="Q25" s="9" t="str">
        <x:v>ME2-SRC-TALI</x:v>
      </x:c>
      <x:c r="R25" s="20" t="str">
        <x:v>https://masseffect.fandom.com/wiki/Dossier%3A_Tali</x:v>
      </x:c>
      <x:c r="S25" s="20" t="str">
        <x:v>Spécification à réaliser. Les champs adaptation, gameplay, visual, animation, audio et implementation décrivent le fan game ; ils ne donnent pas des caractéristiques officielles de l’œuvre.</x:v>
      </x:c>
    </x:row>
    <x:row r="26" ht="68" customHeight="1">
      <x:c r="A26" s="19" t="str">
        <x:v>ME2-ENM-GETH-DESTROYER</x:v>
      </x:c>
      <x:c r="B26" s="7" t="str">
        <x:v>Geth Destroyer</x:v>
      </x:c>
      <x:c r="C26" s="15" t="str">
        <x:v>Défini</x:v>
      </x:c>
      <x:c r="D26" s="17" t="str">
        <x:v>Établi</x:v>
      </x:c>
      <x:c r="E26" s="17" t="str">
        <x:v>P1</x:v>
      </x:c>
      <x:c r="F26" s="7" t="str">
        <x:v>Unité geth rencontrée à Haestrom.</x:v>
      </x:c>
      <x:c r="G26" s="7" t="str">
        <x:v>Archétype à adapter autour de « Pression rapprochée ». Donner un rôle distinct dans les compositions de rencontre.</x:v>
      </x:c>
      <x:c r="H26" s="7" t="str">
        <x:v>Réduit l’espace avec une menace courte ; geler la progression après avoir retiré ses défenses.</x:v>
      </x:c>
      <x:c r="I26" s="7" t="str">
        <x:v>Geth robuste et arme à effet continu.</x:v>
      </x:c>
      <x:c r="J26" s="7" t="str">
        <x:v>Prévoir attente, orientation et réaction au contexte ; conserver les repères décrits dans la silhouette pendant les changements de direction. Les mouvements sont des créations du fan game.</x:v>
      </x:c>
      <x:c r="K26" s="7" t="str">
        <x:v>Créer des bruitages et ambiances originaux adaptés au livrable ; sous-titrer les indices utiles et proposer un réglage indépendant des effets. Aucune extraction audio demandée.</x:v>
      </x:c>
      <x:c r="L26" s="7" t="str">
        <x:v>Prévu : fiche de données me2/enemies/geth-destroyer ; rattacher les ressources et états cités à cet identifiant. Aucun fichier de jeu créé par ce catalogue.</x:v>
      </x:c>
      <x:c r="M26" s="7" t="str"/>
      <x:c r="N26" s="7" t="str">
        <x:v>Le livrable « Geth Destroyer » possède une scène ou un scénario de contrôle ; ses règles proposées, ses conditions et ses retours visuels sont vérifiables séparément.</x:v>
      </x:c>
      <x:c r="O26" s="7" t="str"/>
      <x:c r="P26" s="7" t="str">
        <x:v>Bestiaire ME2 / rencontres associées</x:v>
      </x:c>
      <x:c r="Q26" s="7" t="str">
        <x:v>ME2-SRC-TALI</x:v>
      </x:c>
      <x:c r="R26" s="21" t="str">
        <x:v>https://masseffect.fandom.com/wiki/Dossier%3A_Tali</x:v>
      </x:c>
      <x:c r="S26" s="21" t="str">
        <x:v>Spécification à réaliser. Les champs adaptation, gameplay, visual, animation, audio et implementation décrivent le fan game ; ils ne donnent pas des caractéristiques officielles de l’œuvre.</x:v>
      </x:c>
    </x:row>
    <x:row r="27" ht="68" customHeight="1">
      <x:c r="A27" s="18" t="str">
        <x:v>ME2-ENM-GETH-PRIME</x:v>
      </x:c>
      <x:c r="B27" s="9" t="str">
        <x:v>Geth Prime</x:v>
      </x:c>
      <x:c r="C27" s="15" t="str">
        <x:v>Défini</x:v>
      </x:c>
      <x:c r="D27" s="16" t="str">
        <x:v>Établi</x:v>
      </x:c>
      <x:c r="E27" s="16" t="str">
        <x:v>P1</x:v>
      </x:c>
      <x:c r="F27" s="9" t="str">
        <x:v>Unité geth lourde.</x:v>
      </x:c>
      <x:c r="G27" s="9" t="str">
        <x:v>Archétype à adapter autour de « Commandement de réseau ». Donner un rôle distinct dans les compositions de rencontre.</x:v>
      </x:c>
      <x:c r="H27" s="9" t="str">
        <x:v>Une impulsion renforce ses proches ; éliminer les soutiens avant d’exposer le noyau.</x:v>
      </x:c>
      <x:c r="I27" s="9" t="str">
        <x:v>Grand châssis rouge et blanc, large torse.</x:v>
      </x:c>
      <x:c r="J27" s="9" t="str">
        <x:v>Prévoir attente, orientation et réaction au contexte ; conserver les repères décrits dans la silhouette pendant les changements de direction. Les mouvements sont des créations du fan game.</x:v>
      </x:c>
      <x:c r="K27" s="9" t="str">
        <x:v>Créer des bruitages et ambiances originaux adaptés au livrable ; sous-titrer les indices utiles et proposer un réglage indépendant des effets. Aucune extraction audio demandée.</x:v>
      </x:c>
      <x:c r="L27" s="9" t="str">
        <x:v>Prévu : fiche de données me2/enemies/geth-prime ; rattacher les ressources et états cités à cet identifiant. Aucun fichier de jeu créé par ce catalogue.</x:v>
      </x:c>
      <x:c r="M27" s="9" t="str"/>
      <x:c r="N27" s="9" t="str">
        <x:v>Le livrable « Geth Prime » possède une scène ou un scénario de contrôle ; ses règles proposées, ses conditions et ses retours visuels sont vérifiables séparément.</x:v>
      </x:c>
      <x:c r="O27" s="9" t="str"/>
      <x:c r="P27" s="9" t="str">
        <x:v>Bestiaire ME2 / rencontres associées</x:v>
      </x:c>
      <x:c r="Q27" s="9" t="str">
        <x:v>ME2-SRC-TALI</x:v>
      </x:c>
      <x:c r="R27" s="20" t="str">
        <x:v>https://masseffect.fandom.com/wiki/Dossier%3A_Tali</x:v>
      </x:c>
      <x:c r="S27" s="20" t="str">
        <x:v>Spécification à réaliser. Les champs adaptation, gameplay, visual, animation, audio et implementation décrivent le fan game ; ils ne donnent pas des caractéristiques officielles de l’œuvre.</x:v>
      </x:c>
    </x:row>
    <x:row r="28" ht="68" customHeight="1">
      <x:c r="A28" s="19" t="str">
        <x:v>ME2-ENM-GETH-COLOSSUS</x:v>
      </x:c>
      <x:c r="B28" s="7" t="str">
        <x:v>Geth Colossus</x:v>
      </x:c>
      <x:c r="C28" s="15" t="str">
        <x:v>Défini</x:v>
      </x:c>
      <x:c r="D28" s="17" t="str">
        <x:v>Établi</x:v>
      </x:c>
      <x:c r="E28" s="17" t="str">
        <x:v>P1</x:v>
      </x:c>
      <x:c r="F28" s="7" t="str">
        <x:v>Boss geth de Haestrom.</x:v>
      </x:c>
      <x:c r="G28" s="7" t="str">
        <x:v>Archétype à adapter autour de « Canon et réparation ». Donner un rôle distinct dans les compositions de rencontre.</x:v>
      </x:c>
      <x:c r="H28" s="7" t="str">
        <x:v>Charge lumineuse visible, tir sur bande puis phase de réparation ; flanquer pour stopper la reprise.</x:v>
      </x:c>
      <x:c r="I28" s="7" t="str">
        <x:v>Quadrupède colossal sur cour surélevée.</x:v>
      </x:c>
      <x:c r="J28" s="7" t="str">
        <x:v>Prévoir attente, orientation et réaction au contexte ; conserver les repères décrits dans la silhouette pendant les changements de direction. Les mouvements sont des créations du fan game.</x:v>
      </x:c>
      <x:c r="K28" s="7" t="str">
        <x:v>Créer des bruitages et ambiances originaux adaptés au livrable ; sous-titrer les indices utiles et proposer un réglage indépendant des effets. Aucune extraction audio demandée.</x:v>
      </x:c>
      <x:c r="L28" s="7" t="str">
        <x:v>Prévu : fiche de données me2/enemies/geth-colossus ; rattacher les ressources et états cités à cet identifiant. Aucun fichier de jeu créé par ce catalogue.</x:v>
      </x:c>
      <x:c r="M28" s="7" t="str"/>
      <x:c r="N28" s="7" t="str">
        <x:v>Le livrable « Geth Colossus » possède une scène ou un scénario de contrôle ; ses règles proposées, ses conditions et ses retours visuels sont vérifiables séparément.</x:v>
      </x:c>
      <x:c r="O28" s="7" t="str"/>
      <x:c r="P28" s="7" t="str">
        <x:v>Bestiaire ME2 / rencontres associées</x:v>
      </x:c>
      <x:c r="Q28" s="7" t="str">
        <x:v>ME2-SRC-TALI</x:v>
      </x:c>
      <x:c r="R28" s="21" t="str">
        <x:v>https://masseffect.fandom.com/wiki/Dossier%3A_Tali</x:v>
      </x:c>
      <x:c r="S28" s="21" t="str">
        <x:v>Spécification à réaliser. Les champs adaptation, gameplay, visual, animation, audio et implementation décrivent le fan game ; ils ne donnent pas des caractéristiques officielles de l’œuvre.</x:v>
      </x:c>
    </x:row>
    <x:row r="29" ht="68" customHeight="1">
      <x:c r="A29" s="18" t="str">
        <x:v>ME2-ENM-GETH-DRONE</x:v>
      </x:c>
      <x:c r="B29" s="9" t="str">
        <x:v>Geth Recon Drone</x:v>
      </x:c>
      <x:c r="C29" s="15" t="str">
        <x:v>Défini</x:v>
      </x:c>
      <x:c r="D29" s="16" t="str">
        <x:v>Établi</x:v>
      </x:c>
      <x:c r="E29" s="16" t="str">
        <x:v>P1</x:v>
      </x:c>
      <x:c r="F29" s="9" t="str">
        <x:v>Drone rencontré à Haestrom.</x:v>
      </x:c>
      <x:c r="G29" s="9" t="str">
        <x:v>Archétype à adapter autour de « Passage aérien ». Donner un rôle distinct dans les compositions de rencontre.</x:v>
      </x:c>
      <x:c r="H29" s="9" t="str">
        <x:v>Annonce son trajet par moteur et ombre ; tire en ligne puis s’expose au retour.</x:v>
      </x:c>
      <x:c r="I29" s="9" t="str">
        <x:v>Petit drone volant et optique.</x:v>
      </x:c>
      <x:c r="J29" s="9" t="str">
        <x:v>Prévoir attente, orientation et réaction au contexte ; conserver les repères décrits dans la silhouette pendant les changements de direction. Les mouvements sont des créations du fan game.</x:v>
      </x:c>
      <x:c r="K29" s="9" t="str">
        <x:v>Créer des bruitages et ambiances originaux adaptés au livrable ; sous-titrer les indices utiles et proposer un réglage indépendant des effets. Aucune extraction audio demandée.</x:v>
      </x:c>
      <x:c r="L29" s="9" t="str">
        <x:v>Prévu : fiche de données me2/enemies/geth-drone ; rattacher les ressources et états cités à cet identifiant. Aucun fichier de jeu créé par ce catalogue.</x:v>
      </x:c>
      <x:c r="M29" s="9" t="str"/>
      <x:c r="N29" s="9" t="str">
        <x:v>Le livrable « Geth Recon Drone » possède une scène ou un scénario de contrôle ; ses règles proposées, ses conditions et ses retours visuels sont vérifiables séparément.</x:v>
      </x:c>
      <x:c r="O29" s="9" t="str"/>
      <x:c r="P29" s="9" t="str">
        <x:v>Bestiaire ME2 / rencontres associées</x:v>
      </x:c>
      <x:c r="Q29" s="9" t="str">
        <x:v>ME2-SRC-TALI</x:v>
      </x:c>
      <x:c r="R29" s="20" t="str">
        <x:v>https://masseffect.fandom.com/wiki/Dossier%3A_Tali</x:v>
      </x:c>
      <x:c r="S29" s="20" t="str">
        <x:v>Spécification à réaliser. Les champs adaptation, gameplay, visual, animation, audio et implementation décrivent le fan game ; ils ne donnent pas des caractéristiques officielles de l’œuvre.</x:v>
      </x:c>
    </x:row>
    <x:row r="30" ht="68" customHeight="1">
      <x:c r="A30" s="19" t="str">
        <x:v>ME2-ENM-HUSK</x:v>
      </x:c>
      <x:c r="B30" s="7" t="str">
        <x:v>Husk</x:v>
      </x:c>
      <x:c r="C30" s="15" t="str">
        <x:v>Défini</x:v>
      </x:c>
      <x:c r="D30" s="17" t="str">
        <x:v>Établi</x:v>
      </x:c>
      <x:c r="E30" s="17" t="str">
        <x:v>P1</x:v>
      </x:c>
      <x:c r="F30" s="7" t="str">
        <x:v>Créature des rencontres Collecteurs.</x:v>
      </x:c>
      <x:c r="G30" s="7" t="str">
        <x:v>Archétype à adapter autour de « Agrippement de groupe ». Donner un rôle distinct dans les compositions de rencontre.</x:v>
      </x:c>
      <x:c r="H30" s="7" t="str">
        <x:v>Approche en meute ; pousser le premier brise temporairement la chaîne d’assaut.</x:v>
      </x:c>
      <x:c r="I30" s="7" t="str">
        <x:v>Humanoïde cybernétique bleu, posture courbée.</x:v>
      </x:c>
      <x:c r="J30" s="7" t="str">
        <x:v>Prévoir attente, orientation et réaction au contexte ; conserver les repères décrits dans la silhouette pendant les changements de direction. Les mouvements sont des créations du fan game.</x:v>
      </x:c>
      <x:c r="K30" s="7" t="str">
        <x:v>Créer des bruitages et ambiances originaux adaptés au livrable ; sous-titrer les indices utiles et proposer un réglage indépendant des effets. Aucune extraction audio demandée.</x:v>
      </x:c>
      <x:c r="L30" s="7" t="str">
        <x:v>Prévu : fiche de données me2/enemies/husk ; rattacher les ressources et états cités à cet identifiant. Aucun fichier de jeu créé par ce catalogue.</x:v>
      </x:c>
      <x:c r="M30" s="7" t="str"/>
      <x:c r="N30" s="7" t="str">
        <x:v>Le livrable « Husk » possède une scène ou un scénario de contrôle ; ses règles proposées, ses conditions et ses retours visuels sont vérifiables séparément.</x:v>
      </x:c>
      <x:c r="O30" s="7" t="str"/>
      <x:c r="P30" s="7" t="str">
        <x:v>Bestiaire ME2 / rencontres associées</x:v>
      </x:c>
      <x:c r="Q30" s="7" t="str">
        <x:v>ME2-SRC-COLLECTOR</x:v>
      </x:c>
      <x:c r="R30" s="21" t="str">
        <x:v>https://masseffect.fandom.com/wiki/Collector</x:v>
      </x:c>
      <x:c r="S30" s="21" t="str">
        <x:v>Spécification à réaliser. Les champs adaptation, gameplay, visual, animation, audio et implementation décrivent le fan game ; ils ne donnent pas des caractéristiques officielles de l’œuvre.</x:v>
      </x:c>
    </x:row>
    <x:row r="31" ht="68" customHeight="1">
      <x:c r="A31" s="18" t="str">
        <x:v>ME2-ENM-ABOMINATION</x:v>
      </x:c>
      <x:c r="B31" s="9" t="str">
        <x:v>Abomination</x:v>
      </x:c>
      <x:c r="C31" s="15" t="str">
        <x:v>Défini</x:v>
      </x:c>
      <x:c r="D31" s="16" t="str">
        <x:v>Établi</x:v>
      </x:c>
      <x:c r="E31" s="16" t="str">
        <x:v>P1</x:v>
      </x:c>
      <x:c r="F31" s="9" t="str">
        <x:v>Variante du bestiaire Collecteurs.</x:v>
      </x:c>
      <x:c r="G31" s="9" t="str">
        <x:v>Archétype à adapter autour de « Explosion de proximité ». Donner un rôle distinct dans les compositions de rencontre.</x:v>
      </x:c>
      <x:c r="H31" s="9" t="str">
        <x:v>Lueur et contraction signalent l’explosion ; éloigner la cible avant de l’éliminer.</x:v>
      </x:c>
      <x:c r="I31" s="9" t="str">
        <x:v>Husk rouge-orangé très contrasté.</x:v>
      </x:c>
      <x:c r="J31" s="9" t="str">
        <x:v>Prévoir attente, orientation et réaction au contexte ; conserver les repères décrits dans la silhouette pendant les changements de direction. Les mouvements sont des créations du fan game.</x:v>
      </x:c>
      <x:c r="K31" s="9" t="str">
        <x:v>Créer des bruitages et ambiances originaux adaptés au livrable ; sous-titrer les indices utiles et proposer un réglage indépendant des effets. Aucune extraction audio demandée.</x:v>
      </x:c>
      <x:c r="L31" s="9" t="str">
        <x:v>Prévu : fiche de données me2/enemies/abomination ; rattacher les ressources et états cités à cet identifiant. Aucun fichier de jeu créé par ce catalogue.</x:v>
      </x:c>
      <x:c r="M31" s="9" t="str"/>
      <x:c r="N31" s="9" t="str">
        <x:v>Le livrable « Abomination » possède une scène ou un scénario de contrôle ; ses règles proposées, ses conditions et ses retours visuels sont vérifiables séparément.</x:v>
      </x:c>
      <x:c r="O31" s="9" t="str"/>
      <x:c r="P31" s="9" t="str">
        <x:v>Bestiaire ME2 / rencontres associées</x:v>
      </x:c>
      <x:c r="Q31" s="9" t="str">
        <x:v>ME2-SRC-COLLECTOR</x:v>
      </x:c>
      <x:c r="R31" s="20" t="str">
        <x:v>https://masseffect.fandom.com/wiki/Collector</x:v>
      </x:c>
      <x:c r="S31" s="20" t="str">
        <x:v>Spécification à réaliser. Les champs adaptation, gameplay, visual, animation, audio et implementation décrivent le fan game ; ils ne donnent pas des caractéristiques officielles de l’œuvre.</x:v>
      </x:c>
    </x:row>
    <x:row r="32" ht="68" customHeight="1">
      <x:c r="A32" s="19" t="str">
        <x:v>ME2-ENM-SCION</x:v>
      </x:c>
      <x:c r="B32" s="7" t="str">
        <x:v>Scion</x:v>
      </x:c>
      <x:c r="C32" s="15" t="str">
        <x:v>Défini</x:v>
      </x:c>
      <x:c r="D32" s="17" t="str">
        <x:v>Établi</x:v>
      </x:c>
      <x:c r="E32" s="17" t="str">
        <x:v>P1</x:v>
      </x:c>
      <x:c r="F32" s="7" t="str">
        <x:v>Unité lourde du bestiaire Collecteurs.</x:v>
      </x:c>
      <x:c r="G32" s="7" t="str">
        <x:v>Archétype à adapter autour de « Onde au sol ». Donner un rôle distinct dans les compositions de rencontre.</x:v>
      </x:c>
      <x:c r="H32" s="7" t="str">
        <x:v>Bras et corps chargent une ligne d’onde ; changer de bande ou stopper la préparation.</x:v>
      </x:c>
      <x:c r="I32" s="7" t="str">
        <x:v>Masse tordue, bras-canon et silhouette asymétrique.</x:v>
      </x:c>
      <x:c r="J32" s="7" t="str">
        <x:v>Prévoir attente, orientation et réaction au contexte ; conserver les repères décrits dans la silhouette pendant les changements de direction. Les mouvements sont des créations du fan game.</x:v>
      </x:c>
      <x:c r="K32" s="7" t="str">
        <x:v>Créer des bruitages et ambiances originaux adaptés au livrable ; sous-titrer les indices utiles et proposer un réglage indépendant des effets. Aucune extraction audio demandée.</x:v>
      </x:c>
      <x:c r="L32" s="7" t="str">
        <x:v>Prévu : fiche de données me2/enemies/scion ; rattacher les ressources et états cités à cet identifiant. Aucun fichier de jeu créé par ce catalogue.</x:v>
      </x:c>
      <x:c r="M32" s="7" t="str"/>
      <x:c r="N32" s="7" t="str">
        <x:v>Le livrable « Scion » possède une scène ou un scénario de contrôle ; ses règles proposées, ses conditions et ses retours visuels sont vérifiables séparément.</x:v>
      </x:c>
      <x:c r="O32" s="7" t="str"/>
      <x:c r="P32" s="7" t="str">
        <x:v>Bestiaire ME2 / rencontres associées</x:v>
      </x:c>
      <x:c r="Q32" s="7" t="str">
        <x:v>ME2-SRC-COLLECTOR</x:v>
      </x:c>
      <x:c r="R32" s="21" t="str">
        <x:v>https://masseffect.fandom.com/wiki/Collector</x:v>
      </x:c>
      <x:c r="S32" s="21" t="str">
        <x:v>Spécification à réaliser. Les champs adaptation, gameplay, visual, animation, audio et implementation décrivent le fan game ; ils ne donnent pas des caractéristiques officielles de l’œuvre.</x:v>
      </x:c>
    </x:row>
    <x:row r="33" ht="68" customHeight="1">
      <x:c r="A33" s="18" t="str">
        <x:v>ME2-ENM-COLLECTOR-DRONE</x:v>
      </x:c>
      <x:c r="B33" s="9" t="str">
        <x:v>Collector Drone</x:v>
      </x:c>
      <x:c r="C33" s="15" t="str">
        <x:v>Défini</x:v>
      </x:c>
      <x:c r="D33" s="16" t="str">
        <x:v>Établi</x:v>
      </x:c>
      <x:c r="E33" s="16" t="str">
        <x:v>P1</x:v>
      </x:c>
      <x:c r="F33" s="9" t="str">
        <x:v>Infanterie des Collecteurs.</x:v>
      </x:c>
      <x:c r="G33" s="9" t="str">
        <x:v>Archétype à adapter autour de « Rafale organique ». Donner un rôle distinct dans les compositions de rencontre.</x:v>
      </x:c>
      <x:c r="H33" s="9" t="str">
        <x:v>Tir depuis couvert et repositionnement ailé ; les tirs de suppression bloquent le vol proposé.</x:v>
      </x:c>
      <x:c r="I33" s="9" t="str">
        <x:v>Chitine brune, aile repliée et arme organique.</x:v>
      </x:c>
      <x:c r="J33" s="9" t="str">
        <x:v>Prévoir attente, orientation et réaction au contexte ; conserver les repères décrits dans la silhouette pendant les changements de direction. Les mouvements sont des créations du fan game.</x:v>
      </x:c>
      <x:c r="K33" s="9" t="str">
        <x:v>Créer des bruitages et ambiances originaux adaptés au livrable ; sous-titrer les indices utiles et proposer un réglage indépendant des effets. Aucune extraction audio demandée.</x:v>
      </x:c>
      <x:c r="L33" s="9" t="str">
        <x:v>Prévu : fiche de données me2/enemies/collector-drone ; rattacher les ressources et états cités à cet identifiant. Aucun fichier de jeu créé par ce catalogue.</x:v>
      </x:c>
      <x:c r="M33" s="9" t="str"/>
      <x:c r="N33" s="9" t="str">
        <x:v>Le livrable « Collector Drone » possède une scène ou un scénario de contrôle ; ses règles proposées, ses conditions et ses retours visuels sont vérifiables séparément.</x:v>
      </x:c>
      <x:c r="O33" s="9" t="str"/>
      <x:c r="P33" s="9" t="str">
        <x:v>Bestiaire ME2 / rencontres associées</x:v>
      </x:c>
      <x:c r="Q33" s="9" t="str">
        <x:v>ME2-SRC-COLLECTOR</x:v>
      </x:c>
      <x:c r="R33" s="20" t="str">
        <x:v>https://masseffect.fandom.com/wiki/Collector</x:v>
      </x:c>
      <x:c r="S33" s="20" t="str">
        <x:v>Spécification à réaliser. Les champs adaptation, gameplay, visual, animation, audio et implementation décrivent le fan game ; ils ne donnent pas des caractéristiques officielles de l’œuvre.</x:v>
      </x:c>
    </x:row>
    <x:row r="34" ht="68" customHeight="1">
      <x:c r="A34" s="19" t="str">
        <x:v>ME2-ENM-COLLECTOR-GUARDIAN</x:v>
      </x:c>
      <x:c r="B34" s="7" t="str">
        <x:v>Collector Guardian</x:v>
      </x:c>
      <x:c r="C34" s="15" t="str">
        <x:v>Défini</x:v>
      </x:c>
      <x:c r="D34" s="17" t="str">
        <x:v>Établi</x:v>
      </x:c>
      <x:c r="E34" s="17" t="str">
        <x:v>P1</x:v>
      </x:c>
      <x:c r="F34" s="7" t="str">
        <x:v>Unité protectrice des Collecteurs.</x:v>
      </x:c>
      <x:c r="G34" s="7" t="str">
        <x:v>Archétype à adapter autour de « Écran de passage ». Donner un rôle distinct dans les compositions de rencontre.</x:v>
      </x:c>
      <x:c r="H34" s="7" t="str">
        <x:v>Place une protection sur une voie ; contourner ou employer un pouvoir anti-barrière.</x:v>
      </x:c>
      <x:c r="I34" s="7" t="str">
        <x:v>Silhouette de Collecteur et lueur de projection.</x:v>
      </x:c>
      <x:c r="J34" s="7" t="str">
        <x:v>Prévoir attente, orientation et réaction au contexte ; conserver les repères décrits dans la silhouette pendant les changements de direction. Les mouvements sont des créations du fan game.</x:v>
      </x:c>
      <x:c r="K34" s="7" t="str">
        <x:v>Créer des bruitages et ambiances originaux adaptés au livrable ; sous-titrer les indices utiles et proposer un réglage indépendant des effets. Aucune extraction audio demandée.</x:v>
      </x:c>
      <x:c r="L34" s="7" t="str">
        <x:v>Prévu : fiche de données me2/enemies/collector-guardian ; rattacher les ressources et états cités à cet identifiant. Aucun fichier de jeu créé par ce catalogue.</x:v>
      </x:c>
      <x:c r="M34" s="7" t="str"/>
      <x:c r="N34" s="7" t="str">
        <x:v>Le livrable « Collector Guardian » possède une scène ou un scénario de contrôle ; ses règles proposées, ses conditions et ses retours visuels sont vérifiables séparément.</x:v>
      </x:c>
      <x:c r="O34" s="7" t="str"/>
      <x:c r="P34" s="7" t="str">
        <x:v>Bestiaire ME2 / rencontres associées</x:v>
      </x:c>
      <x:c r="Q34" s="7" t="str">
        <x:v>ME2-SRC-COLLECTOR</x:v>
      </x:c>
      <x:c r="R34" s="21" t="str">
        <x:v>https://masseffect.fandom.com/wiki/Collector</x:v>
      </x:c>
      <x:c r="S34" s="21" t="str">
        <x:v>Spécification à réaliser. Les champs adaptation, gameplay, visual, animation, audio et implementation décrivent le fan game ; ils ne donnent pas des caractéristiques officielles de l’œuvre.</x:v>
      </x:c>
    </x:row>
    <x:row r="35" ht="68" customHeight="1">
      <x:c r="A35" s="18" t="str">
        <x:v>ME2-ENM-COLLECTOR-ASSASSIN</x:v>
      </x:c>
      <x:c r="B35" s="9" t="str">
        <x:v>Collector Assassin</x:v>
      </x:c>
      <x:c r="C35" s="15" t="str">
        <x:v>Défini</x:v>
      </x:c>
      <x:c r="D35" s="16" t="str">
        <x:v>Établi</x:v>
      </x:c>
      <x:c r="E35" s="16" t="str">
        <x:v>P1</x:v>
      </x:c>
      <x:c r="F35" s="9" t="str">
        <x:v>Tireur des Collecteurs.</x:v>
      </x:c>
      <x:c r="G35" s="9" t="str">
        <x:v>Archétype à adapter autour de « Rayon de précision ». Donner un rôle distinct dans les compositions de rencontre.</x:v>
      </x:c>
      <x:c r="H35" s="9" t="str">
        <x:v>Canal lumineux fixe une cible ; passer derrière un couvert épais ou interrompre le canal.</x:v>
      </x:c>
      <x:c r="I35" s="9" t="str">
        <x:v>Arme-faisceau et visée stable.</x:v>
      </x:c>
      <x:c r="J35" s="9" t="str">
        <x:v>Prévoir attente, orientation et réaction au contexte ; conserver les repères décrits dans la silhouette pendant les changements de direction. Les mouvements sont des créations du fan game.</x:v>
      </x:c>
      <x:c r="K35" s="9" t="str">
        <x:v>Créer des bruitages et ambiances originaux adaptés au livrable ; sous-titrer les indices utiles et proposer un réglage indépendant des effets. Aucune extraction audio demandée.</x:v>
      </x:c>
      <x:c r="L35" s="9" t="str">
        <x:v>Prévu : fiche de données me2/enemies/collector-assassin ; rattacher les ressources et états cités à cet identifiant. Aucun fichier de jeu créé par ce catalogue.</x:v>
      </x:c>
      <x:c r="M35" s="9" t="str"/>
      <x:c r="N35" s="9" t="str">
        <x:v>Le livrable « Collector Assassin » possède une scène ou un scénario de contrôle ; ses règles proposées, ses conditions et ses retours visuels sont vérifiables séparément.</x:v>
      </x:c>
      <x:c r="O35" s="9" t="str"/>
      <x:c r="P35" s="9" t="str">
        <x:v>Bestiaire ME2 / rencontres associées</x:v>
      </x:c>
      <x:c r="Q35" s="9" t="str">
        <x:v>ME2-SRC-COLLECTOR</x:v>
      </x:c>
      <x:c r="R35" s="20" t="str">
        <x:v>https://masseffect.fandom.com/wiki/Collector</x:v>
      </x:c>
      <x:c r="S35" s="20" t="str">
        <x:v>Spécification à réaliser. Les champs adaptation, gameplay, visual, animation, audio et implementation décrivent le fan game ; ils ne donnent pas des caractéristiques officielles de l’œuvre.</x:v>
      </x:c>
    </x:row>
    <x:row r="36" ht="68" customHeight="1">
      <x:c r="A36" s="19" t="str">
        <x:v>ME2-ENM-HARBINGER</x:v>
      </x:c>
      <x:c r="B36" s="7" t="str">
        <x:v>Collecteur possédé par Harbinger</x:v>
      </x:c>
      <x:c r="C36" s="15" t="str">
        <x:v>Défini</x:v>
      </x:c>
      <x:c r="D36" s="17" t="str">
        <x:v>Établi</x:v>
      </x:c>
      <x:c r="E36" s="17" t="str">
        <x:v>P1</x:v>
      </x:c>
      <x:c r="F36" s="7" t="str">
        <x:v>Harbinger prend le contrôle d’hôtes.</x:v>
      </x:c>
      <x:c r="G36" s="7" t="str">
        <x:v>Archétype à adapter autour de « Transfert d’autorité ». Donner un rôle distinct dans les compositions de rencontre.</x:v>
      </x:c>
      <x:c r="H36" s="7" t="str">
        <x:v>L’hôte brûle puis avance ; neutraliser ses soutiens limite les prochaines prises de contrôle.</x:v>
      </x:c>
      <x:c r="I36" s="7" t="str">
        <x:v>Chitine embrasée et tête éclairée.</x:v>
      </x:c>
      <x:c r="J36" s="7" t="str">
        <x:v>Prévoir attente, orientation et réaction au contexte ; conserver les repères décrits dans la silhouette pendant les changements de direction. Les mouvements sont des créations du fan game.</x:v>
      </x:c>
      <x:c r="K36" s="7" t="str">
        <x:v>Créer des bruitages et ambiances originaux adaptés au livrable ; sous-titrer les indices utiles et proposer un réglage indépendant des effets. Aucune extraction audio demandée.</x:v>
      </x:c>
      <x:c r="L36" s="7" t="str">
        <x:v>Prévu : fiche de données me2/enemies/harbinger ; rattacher les ressources et états cités à cet identifiant. Aucun fichier de jeu créé par ce catalogue.</x:v>
      </x:c>
      <x:c r="M36" s="7" t="str"/>
      <x:c r="N36" s="7" t="str">
        <x:v>Le livrable « Collecteur possédé par Harbinger » possède une scène ou un scénario de contrôle ; ses règles proposées, ses conditions et ses retours visuels sont vérifiables séparément.</x:v>
      </x:c>
      <x:c r="O36" s="7" t="str"/>
      <x:c r="P36" s="7" t="str">
        <x:v>Bestiaire ME2 / rencontres associées</x:v>
      </x:c>
      <x:c r="Q36" s="7" t="str">
        <x:v>ME2-SRC-COLLECTOR</x:v>
      </x:c>
      <x:c r="R36" s="21" t="str">
        <x:v>https://masseffect.fandom.com/wiki/Collector</x:v>
      </x:c>
      <x:c r="S36" s="21" t="str">
        <x:v>Spécification à réaliser. Les champs adaptation, gameplay, visual, animation, audio et implementation décrivent le fan game ; ils ne donnent pas des caractéristiques officielles de l’œuvre.</x:v>
      </x:c>
    </x:row>
    <x:row r="37" ht="68" customHeight="1">
      <x:c r="A37" s="18" t="str">
        <x:v>ME2-ENM-PRAETORIAN</x:v>
      </x:c>
      <x:c r="B37" s="9" t="str">
        <x:v>Praetorian</x:v>
      </x:c>
      <x:c r="C37" s="15" t="str">
        <x:v>Défini</x:v>
      </x:c>
      <x:c r="D37" s="16" t="str">
        <x:v>Établi</x:v>
      </x:c>
      <x:c r="E37" s="16" t="str">
        <x:v>P1</x:v>
      </x:c>
      <x:c r="F37" s="9" t="str">
        <x:v>Boss volant des rencontres Collecteurs.</x:v>
      </x:c>
      <x:c r="G37" s="9" t="str">
        <x:v>Archétype à adapter autour de « Poursuite et atterrissage ». Donner un rôle distinct dans les compositions de rencontre.</x:v>
      </x:c>
      <x:c r="H37" s="9" t="str">
        <x:v>Faisceau pendant poursuite, onde autour de l’atterrissage ; maintenir un pilier entre lui et la cible puis reculer.</x:v>
      </x:c>
      <x:c r="I37" s="9" t="str">
        <x:v>Carapace noire, membres pendants, plusieurs visages regroupés.</x:v>
      </x:c>
      <x:c r="J37" s="9" t="str">
        <x:v>Prévoir attente, orientation et réaction au contexte ; conserver les repères décrits dans la silhouette pendant les changements de direction. Les mouvements sont des créations du fan game.</x:v>
      </x:c>
      <x:c r="K37" s="9" t="str">
        <x:v>Créer des bruitages et ambiances originaux adaptés au livrable ; sous-titrer les indices utiles et proposer un réglage indépendant des effets. Aucune extraction audio demandée.</x:v>
      </x:c>
      <x:c r="L37" s="9" t="str">
        <x:v>Prévu : fiche de données me2/enemies/praetorian ; rattacher les ressources et états cités à cet identifiant. Aucun fichier de jeu créé par ce catalogue.</x:v>
      </x:c>
      <x:c r="M37" s="9" t="str"/>
      <x:c r="N37" s="9" t="str">
        <x:v>Le livrable « Praetorian » possède une scène ou un scénario de contrôle ; ses règles proposées, ses conditions et ses retours visuels sont vérifiables séparément.</x:v>
      </x:c>
      <x:c r="O37" s="9" t="str"/>
      <x:c r="P37" s="9" t="str">
        <x:v>Bestiaire ME2 / rencontres associées</x:v>
      </x:c>
      <x:c r="Q37" s="9" t="str">
        <x:v>ME2-SRC-PRAETORIAN</x:v>
      </x:c>
      <x:c r="R37" s="20" t="str">
        <x:v>https://masseffect.fandom.com/wiki/Praetorian</x:v>
      </x:c>
      <x:c r="S37" s="20" t="str">
        <x:v>Spécification à réaliser. Les champs adaptation, gameplay, visual, animation, audio et implementation décrivent le fan game ; ils ne donnent pas des caractéristiques officielles de l’œuvre.</x:v>
      </x:c>
    </x:row>
    <x:row r="38" ht="68" customHeight="1">
      <x:c r="A38" s="19" t="str">
        <x:v>ME2-ENM-OCULUS</x:v>
      </x:c>
      <x:c r="B38" s="7" t="str">
        <x:v>Oculus</x:v>
      </x:c>
      <x:c r="C38" s="15" t="str">
        <x:v>Défini</x:v>
      </x:c>
      <x:c r="D38" s="17" t="str">
        <x:v>Établi</x:v>
      </x:c>
      <x:c r="E38" s="17" t="str">
        <x:v>P1</x:v>
      </x:c>
      <x:c r="F38" s="7" t="str">
        <x:v>Drone des abords de la base Collecteur.</x:v>
      </x:c>
      <x:c r="G38" s="7" t="str">
        <x:v>Archétype à adapter autour de « Percée de coque ». Donner un rôle distinct dans les compositions de rencontre.</x:v>
      </x:c>
      <x:c r="H38" s="7" t="str">
        <x:v>Entrée annoncée, balayage puis recul ; le groupe rejoint le couvert opposé à son iris.</x:v>
      </x:c>
      <x:c r="I38" s="7" t="str">
        <x:v>Sphère mécanique à iris central.</x:v>
      </x:c>
      <x:c r="J38" s="7" t="str">
        <x:v>Prévoir attente, orientation et réaction au contexte ; conserver les repères décrits dans la silhouette pendant les changements de direction. Les mouvements sont des créations du fan game.</x:v>
      </x:c>
      <x:c r="K38" s="7" t="str">
        <x:v>Créer des bruitages et ambiances originaux adaptés au livrable ; sous-titrer les indices utiles et proposer un réglage indépendant des effets. Aucune extraction audio demandée.</x:v>
      </x:c>
      <x:c r="L38" s="7" t="str">
        <x:v>Prévu : fiche de données me2/enemies/oculus ; rattacher les ressources et états cités à cet identifiant. Aucun fichier de jeu créé par ce catalogue.</x:v>
      </x:c>
      <x:c r="M38" s="7" t="str"/>
      <x:c r="N38" s="7" t="str">
        <x:v>Le livrable « Oculus » possède une scène ou un scénario de contrôle ; ses règles proposées, ses conditions et ses retours visuels sont vérifiables séparément.</x:v>
      </x:c>
      <x:c r="O38" s="7" t="str"/>
      <x:c r="P38" s="7" t="str">
        <x:v>Bestiaire ME2 / rencontres associées</x:v>
      </x:c>
      <x:c r="Q38" s="7" t="str">
        <x:v>ME2-SRC-COLLECTOR</x:v>
      </x:c>
      <x:c r="R38" s="21" t="str">
        <x:v>https://masseffect.fandom.com/wiki/Collector</x:v>
      </x:c>
      <x:c r="S38" s="21" t="str">
        <x:v>Spécification à réaliser. Les champs adaptation, gameplay, visual, animation, audio et implementation décrivent le fan game ; ils ne donnent pas des caractéristiques officielles de l’œuvre.</x:v>
      </x:c>
    </x:row>
    <x:row r="39" ht="68" customHeight="1">
      <x:c r="A39" s="18" t="str">
        <x:v>ME2-ENM-HUMAN-REAPER</x:v>
      </x:c>
      <x:c r="B39" s="9" t="str">
        <x:v>Moissonneur humain</x:v>
      </x:c>
      <x:c r="C39" s="15" t="str">
        <x:v>Défini</x:v>
      </x:c>
      <x:c r="D39" s="16" t="str">
        <x:v>Établi</x:v>
      </x:c>
      <x:c r="E39" s="16" t="str">
        <x:v>P1</x:v>
      </x:c>
      <x:c r="F39" s="9" t="str">
        <x:v>Boss final de ME2.</x:v>
      </x:c>
      <x:c r="G39" s="9" t="str">
        <x:v>Archétype à adapter autour de « Bras et tubes ». Donner un rôle distinct dans les compositions de rencontre.</x:v>
      </x:c>
      <x:c r="H39" s="9" t="str">
        <x:v>Attaques de bandes puis exposition de points faibles ; détruire des alimentations sans confondre décor et cibles.</x:v>
      </x:c>
      <x:c r="I39" s="9" t="str">
        <x:v>Immense torse humanoïde métallique, yeux et tubes éclairés.</x:v>
      </x:c>
      <x:c r="J39" s="9" t="str">
        <x:v>Prévoir attente, orientation et réaction au contexte ; conserver les repères décrits dans la silhouette pendant les changements de direction. Les mouvements sont des créations du fan game.</x:v>
      </x:c>
      <x:c r="K39" s="9" t="str">
        <x:v>Créer des bruitages et ambiances originaux adaptés au livrable ; sous-titrer les indices utiles et proposer un réglage indépendant des effets. Aucune extraction audio demandée.</x:v>
      </x:c>
      <x:c r="L39" s="9" t="str">
        <x:v>Prévu : fiche de données me2/enemies/human-reaper ; rattacher les ressources et états cités à cet identifiant. Aucun fichier de jeu créé par ce catalogue.</x:v>
      </x:c>
      <x:c r="M39" s="9" t="str"/>
      <x:c r="N39" s="9" t="str">
        <x:v>Le livrable « Moissonneur humain » possède une scène ou un scénario de contrôle ; ses règles proposées, ses conditions et ses retours visuels sont vérifiables séparément.</x:v>
      </x:c>
      <x:c r="O39" s="9" t="str"/>
      <x:c r="P39" s="9" t="str">
        <x:v>Bestiaire ME2 / rencontres associées</x:v>
      </x:c>
      <x:c r="Q39" s="9" t="str">
        <x:v>ME2-SRC-FINAL</x:v>
      </x:c>
      <x:c r="R39" s="20" t="str">
        <x:v>https://masseffect.fandom.com/wiki/Collector_Base%3A_Final_Battle</x:v>
      </x:c>
      <x:c r="S39" s="20" t="str">
        <x:v>Spécification à réaliser. Les champs adaptation, gameplay, visual, animation, audio et implementation décrivent le fan game ; ils ne donnent pas des caractéristiques officielles de l’œuvre.</x:v>
      </x:c>
    </x:row>
    <x:row r="40" ht="68" customHeight="1">
      <x:c r="A40" s="19" t="str">
        <x:v>ME2-ENM-VARRREN</x:v>
      </x:c>
      <x:c r="B40" s="7" t="str">
        <x:v>Varren</x:v>
      </x:c>
      <x:c r="C40" s="15" t="str">
        <x:v>Défini</x:v>
      </x:c>
      <x:c r="D40" s="17" t="str">
        <x:v>Établi</x:v>
      </x:c>
      <x:c r="E40" s="17" t="str">
        <x:v>P1</x:v>
      </x:c>
      <x:c r="F40" s="7" t="str">
        <x:v>Faune hostile de ME2.</x:v>
      </x:c>
      <x:c r="G40" s="7" t="str">
        <x:v>Archétype à adapter autour de « Morsure en tenaille ». Donner un rôle distinct dans les compositions de rencontre.</x:v>
      </x:c>
      <x:c r="H40" s="7" t="str">
        <x:v>Deux approches décalées ; garde au contact ou projection empêchent d’être encerclé.</x:v>
      </x:c>
      <x:c r="I40" s="7" t="str">
        <x:v>Quadrupède trapu, gueule large, peau écailleuse.</x:v>
      </x:c>
      <x:c r="J40" s="7" t="str">
        <x:v>Prévoir attente, orientation et réaction au contexte ; conserver les repères décrits dans la silhouette pendant les changements de direction. Les mouvements sont des créations du fan game.</x:v>
      </x:c>
      <x:c r="K40" s="7" t="str">
        <x:v>Créer des bruitages et ambiances originaux adaptés au livrable ; sous-titrer les indices utiles et proposer un réglage indépendant des effets. Aucune extraction audio demandée.</x:v>
      </x:c>
      <x:c r="L40" s="7" t="str">
        <x:v>Prévu : fiche de données me2/enemies/varrren ; rattacher les ressources et états cités à cet identifiant. Aucun fichier de jeu créé par ce catalogue.</x:v>
      </x:c>
      <x:c r="M40" s="7" t="str"/>
      <x:c r="N40" s="7" t="str">
        <x:v>Le livrable « Varren » possède une scène ou un scénario de contrôle ; ses règles proposées, ses conditions et ses retours visuels sont vérifiables séparément.</x:v>
      </x:c>
      <x:c r="O40" s="7" t="str"/>
      <x:c r="P40" s="7" t="str">
        <x:v>Bestiaire ME2 / rencontres associées</x:v>
      </x:c>
      <x:c r="Q40" s="7" t="str">
        <x:v>ME2-SRC-PROF</x:v>
      </x:c>
      <x:c r="R40" s="21" t="str">
        <x:v>https://masseffect.fandom.com/wiki/Dossier%3A_The_Professor</x:v>
      </x:c>
      <x:c r="S40" s="21" t="str">
        <x:v>Spécification à réaliser. Les champs adaptation, gameplay, visual, animation, audio et implementation décrivent le fan game ; ils ne donnent pas des caractéristiques officielles de l’œuvre.</x:v>
      </x:c>
    </x:row>
    <x:row r="41" ht="68" customHeight="1">
      <x:c r="A41" s="18" t="str">
        <x:v>ME2-ENM-THRESHER</x:v>
      </x:c>
      <x:c r="B41" s="9" t="str">
        <x:v>Dévoreur du rite</x:v>
      </x:c>
      <x:c r="C41" s="15" t="str">
        <x:v>Défini</x:v>
      </x:c>
      <x:c r="D41" s="16" t="str">
        <x:v>Établi</x:v>
      </x:c>
      <x:c r="E41" s="16" t="str">
        <x:v>P1</x:v>
      </x:c>
      <x:c r="F41" s="9" t="str">
        <x:v>Rencontré lors du rite de Grunt.</x:v>
      </x:c>
      <x:c r="G41" s="9" t="str">
        <x:v>Archétype à adapter autour de « Émergence et projection ». Donner un rôle distinct dans les compositions de rencontre.</x:v>
      </x:c>
      <x:c r="H41" s="9" t="str">
        <x:v>Sol secoué avant sortie ; dissocier esquive et visée puis garder une marge de déplacement.</x:v>
      </x:c>
      <x:c r="I41" s="9" t="str">
        <x:v>Ver géant, bouche segmentée et poussière.</x:v>
      </x:c>
      <x:c r="J41" s="9" t="str">
        <x:v>Prévoir attente, orientation et réaction au contexte ; conserver les repères décrits dans la silhouette pendant les changements de direction. Les mouvements sont des créations du fan game.</x:v>
      </x:c>
      <x:c r="K41" s="9" t="str">
        <x:v>Créer des bruitages et ambiances originaux adaptés au livrable ; sous-titrer les indices utiles et proposer un réglage indépendant des effets. Aucune extraction audio demandée.</x:v>
      </x:c>
      <x:c r="L41" s="9" t="str">
        <x:v>Prévu : fiche de données me2/enemies/thresher ; rattacher les ressources et états cités à cet identifiant. Aucun fichier de jeu créé par ce catalogue.</x:v>
      </x:c>
      <x:c r="M41" s="9" t="str"/>
      <x:c r="N41" s="9" t="str">
        <x:v>Le livrable « Dévoreur du rite » possède une scène ou un scénario de contrôle ; ses règles proposées, ses conditions et ses retours visuels sont vérifiables séparément.</x:v>
      </x:c>
      <x:c r="O41" s="9" t="str"/>
      <x:c r="P41" s="9" t="str">
        <x:v>Bestiaire ME2 / rencontres associées</x:v>
      </x:c>
      <x:c r="Q41" s="9" t="str">
        <x:v>ME2-SRC-GRUNT</x:v>
      </x:c>
      <x:c r="R41" s="20" t="str">
        <x:v>https://masseffect.fandom.com/wiki/Grunt%3A_Rite_of_Passage</x:v>
      </x:c>
      <x:c r="S41" s="20" t="str">
        <x:v>Spécification à réaliser. Les champs adaptation, gameplay, visual, animation, audio et implementation décrivent le fan game ; ils ne donnent pas des caractéristiques officielles de l’œuvre.</x:v>
      </x:c>
    </x:row>
    <x:row r="42" ht="68" customHeight="1">
      <x:c r="A42" s="19" t="str">
        <x:v>ME2-ENM-GUNSHIP</x:v>
      </x:c>
      <x:c r="B42" s="7" t="str">
        <x:v>Aéronef de combat</x:v>
      </x:c>
      <x:c r="C42" s="15" t="str">
        <x:v>Défini</x:v>
      </x:c>
      <x:c r="D42" s="17" t="str">
        <x:v>Établi</x:v>
      </x:c>
      <x:c r="E42" s="17" t="str">
        <x:v>P1</x:v>
      </x:c>
      <x:c r="F42" s="7" t="str">
        <x:v>Des aéronefs servent de boss.</x:v>
      </x:c>
      <x:c r="G42" s="7" t="str">
        <x:v>Archétype à adapter autour de « Passe de mitraillage ». Donner un rôle distinct dans les compositions de rencontre.</x:v>
      </x:c>
      <x:c r="H42" s="7" t="str">
        <x:v>Ombre annonçant le secteur balayé ; changer d’abri puis attaquer pendant le demi-tour.</x:v>
      </x:c>
      <x:c r="I42" s="7" t="str">
        <x:v>Coque de gunship, canons et moteurs latéraux.</x:v>
      </x:c>
      <x:c r="J42" s="7" t="str">
        <x:v>Prévoir attente, orientation et réaction au contexte ; conserver les repères décrits dans la silhouette pendant les changements de direction. Les mouvements sont des créations du fan game.</x:v>
      </x:c>
      <x:c r="K42" s="7" t="str">
        <x:v>Créer des bruitages et ambiances originaux adaptés au livrable ; sous-titrer les indices utiles et proposer un réglage indépendant des effets. Aucune extraction audio demandée.</x:v>
      </x:c>
      <x:c r="L42" s="7" t="str">
        <x:v>Prévu : fiche de données me2/enemies/gunship ; rattacher les ressources et états cités à cet identifiant. Aucun fichier de jeu créé par ce catalogue.</x:v>
      </x:c>
      <x:c r="M42" s="7" t="str"/>
      <x:c r="N42" s="7" t="str">
        <x:v>Le livrable « Aéronef de combat » possède une scène ou un scénario de contrôle ; ses règles proposées, ses conditions et ses retours visuels sont vérifiables séparément.</x:v>
      </x:c>
      <x:c r="O42" s="7" t="str"/>
      <x:c r="P42" s="7" t="str">
        <x:v>Bestiaire ME2 / rencontres associées</x:v>
      </x:c>
      <x:c r="Q42" s="7" t="str">
        <x:v>ME2-SRC-ARCHANGEL, ME2-SRC-KASUMI</x:v>
      </x:c>
      <x:c r="R42" s="21" t="str">
        <x:v>https://masseffect.fandom.com/wiki/Dossier%3A_Archangel
https://masseffect.fandom.com/wiki/Kasumi%3A_Stealing_Memory</x:v>
      </x:c>
      <x:c r="S42" s="21" t="str">
        <x:v>Spécification à réaliser. Les champs adaptation, gameplay, visual, animation, audio et implementation décrivent le fan game ; ils ne donnent pas des caractéristiques officielles de l’œuvre.</x:v>
      </x:c>
    </x:row>
    <x:row r="43" ht="68" customHeight="1">
      <x:c r="A43" s="18" t="str">
        <x:v>ME2-ENM-BROKER-AGENT</x:v>
      </x:c>
      <x:c r="B43" s="9" t="str">
        <x:v>Shadow Broker Agent</x:v>
      </x:c>
      <x:c r="C43" s="15" t="str">
        <x:v>Défini</x:v>
      </x:c>
      <x:c r="D43" s="16" t="str">
        <x:v>Établi</x:v>
      </x:c>
      <x:c r="E43" s="16" t="str">
        <x:v>P1</x:v>
      </x:c>
      <x:c r="F43" s="9" t="str">
        <x:v>Unité du réseau du Courtier.</x:v>
      </x:c>
      <x:c r="G43" s="9" t="str">
        <x:v>Archétype à adapter autour de « Grenade d’éblouissement ». Donner un rôle distinct dans les compositions de rencontre.</x:v>
      </x:c>
      <x:c r="H43" s="9" t="str">
        <x:v>Objet lancé et icône de délai ; se couvrir ou viser le lanceur avant émission.</x:v>
      </x:c>
      <x:c r="I43" s="9" t="str">
        <x:v>Armure sombre et visière opaque.</x:v>
      </x:c>
      <x:c r="J43" s="9" t="str">
        <x:v>Prévoir attente, orientation et réaction au contexte ; conserver les repères décrits dans la silhouette pendant les changements de direction. Les mouvements sont des créations du fan game.</x:v>
      </x:c>
      <x:c r="K43" s="9" t="str">
        <x:v>Créer des bruitages et ambiances originaux adaptés au livrable ; sous-titrer les indices utiles et proposer un réglage indépendant des effets. Aucune extraction audio demandée.</x:v>
      </x:c>
      <x:c r="L43" s="9" t="str">
        <x:v>Prévu : fiche de données me2/enemies/broker-agent ; rattacher les ressources et états cités à cet identifiant. Aucun fichier de jeu créé par ce catalogue.</x:v>
      </x:c>
      <x:c r="M43" s="9" t="str"/>
      <x:c r="N43" s="9" t="str">
        <x:v>Le livrable « Shadow Broker Agent » possède une scène ou un scénario de contrôle ; ses règles proposées, ses conditions et ses retours visuels sont vérifiables séparément.</x:v>
      </x:c>
      <x:c r="O43" s="9" t="str"/>
      <x:c r="P43" s="9" t="str">
        <x:v>Bestiaire ME2 / rencontres associées</x:v>
      </x:c>
      <x:c r="Q43" s="9" t="str">
        <x:v>ME2-SRC-SHADOW</x:v>
      </x:c>
      <x:c r="R43" s="20" t="str">
        <x:v>https://masseffect.fandom.com/wiki/Lair_of_the_Shadow_Broker_%28mission%29</x:v>
      </x:c>
      <x:c r="S43" s="20" t="str">
        <x:v>Spécification à réaliser. Les champs adaptation, gameplay, visual, animation, audio et implementation décrivent le fan game ; ils ne donnent pas des caractéristiques officielles de l’œuvre.</x:v>
      </x:c>
    </x:row>
    <x:row r="44" ht="68" customHeight="1">
      <x:c r="A44" s="19" t="str">
        <x:v>ME2-ENM-BROKER-VANGUARD</x:v>
      </x:c>
      <x:c r="B44" s="7" t="str">
        <x:v>Shadow Broker Vanguard</x:v>
      </x:c>
      <x:c r="C44" s="15" t="str">
        <x:v>Défini</x:v>
      </x:c>
      <x:c r="D44" s="17" t="str">
        <x:v>Établi</x:v>
      </x:c>
      <x:c r="E44" s="17" t="str">
        <x:v>P1</x:v>
      </x:c>
      <x:c r="F44" s="7" t="str">
        <x:v>Biotique du Courtier.</x:v>
      </x:c>
      <x:c r="G44" s="7" t="str">
        <x:v>Archétype à adapter autour de « Charge oblique ». Donner un rôle distinct dans les compositions de rencontre.</x:v>
      </x:c>
      <x:c r="H44" s="7" t="str">
        <x:v>Marqueur d’arrivée avant déplacement ; esquive latérale et contre anti-barrière.</x:v>
      </x:c>
      <x:c r="I44" s="7" t="str">
        <x:v>Armure noire et énergie bleue.</x:v>
      </x:c>
      <x:c r="J44" s="7" t="str">
        <x:v>Prévoir attente, orientation et réaction au contexte ; conserver les repères décrits dans la silhouette pendant les changements de direction. Les mouvements sont des créations du fan game.</x:v>
      </x:c>
      <x:c r="K44" s="7" t="str">
        <x:v>Créer des bruitages et ambiances originaux adaptés au livrable ; sous-titrer les indices utiles et proposer un réglage indépendant des effets. Aucune extraction audio demandée.</x:v>
      </x:c>
      <x:c r="L44" s="7" t="str">
        <x:v>Prévu : fiche de données me2/enemies/broker-vanguard ; rattacher les ressources et états cités à cet identifiant. Aucun fichier de jeu créé par ce catalogue.</x:v>
      </x:c>
      <x:c r="M44" s="7" t="str"/>
      <x:c r="N44" s="7" t="str">
        <x:v>Le livrable « Shadow Broker Vanguard » possède une scène ou un scénario de contrôle ; ses règles proposées, ses conditions et ses retours visuels sont vérifiables séparément.</x:v>
      </x:c>
      <x:c r="O44" s="7" t="str"/>
      <x:c r="P44" s="7" t="str">
        <x:v>Bestiaire ME2 / rencontres associées</x:v>
      </x:c>
      <x:c r="Q44" s="7" t="str">
        <x:v>ME2-SRC-SHADOW</x:v>
      </x:c>
      <x:c r="R44" s="21" t="str">
        <x:v>https://masseffect.fandom.com/wiki/Lair_of_the_Shadow_Broker_%28mission%29</x:v>
      </x:c>
      <x:c r="S44" s="21" t="str">
        <x:v>Spécification à réaliser. Les champs adaptation, gameplay, visual, animation, audio et implementation décrivent le fan game ; ils ne donnent pas des caractéristiques officielles de l’œuvre.</x:v>
      </x:c>
    </x:row>
    <x:row r="45" ht="68" customHeight="1">
      <x:c r="A45" s="18" t="str">
        <x:v>ME2-ENM-VASIR</x:v>
      </x:c>
      <x:c r="B45" s="9" t="str">
        <x:v>Tela Vasir — boss</x:v>
      </x:c>
      <x:c r="C45" s="15" t="str">
        <x:v>Défini</x:v>
      </x:c>
      <x:c r="D45" s="16" t="str">
        <x:v>Établi</x:v>
      </x:c>
      <x:c r="E45" s="16" t="str">
        <x:v>P1</x:v>
      </x:c>
      <x:c r="F45" s="9" t="str">
        <x:v>Vasir combat Shepard et Liara.</x:v>
      </x:c>
      <x:c r="G45" s="9" t="str">
        <x:v>Archétype à adapter autour de « Chaîne de charges ». Donner un rôle distinct dans les compositions de rencontre.</x:v>
      </x:c>
      <x:c r="H45" s="9" t="str">
        <x:v>Tracer plusieurs segments avant résolution ; casser une phase en exploitant sa récupération.</x:v>
      </x:c>
      <x:c r="I45" s="9" t="str">
        <x:v>Asari en armure, traînée biotique et posture d’élan.</x:v>
      </x:c>
      <x:c r="J45" s="9" t="str">
        <x:v>Prévoir attente, orientation et réaction au contexte ; conserver les repères décrits dans la silhouette pendant les changements de direction. Les mouvements sont des créations du fan game.</x:v>
      </x:c>
      <x:c r="K45" s="9" t="str">
        <x:v>Créer des bruitages et ambiances originaux adaptés au livrable ; sous-titrer les indices utiles et proposer un réglage indépendant des effets. Aucune extraction audio demandée.</x:v>
      </x:c>
      <x:c r="L45" s="9" t="str">
        <x:v>Prévu : fiche de données me2/enemies/vasir ; rattacher les ressources et états cités à cet identifiant. Aucun fichier de jeu créé par ce catalogue.</x:v>
      </x:c>
      <x:c r="M45" s="9" t="str"/>
      <x:c r="N45" s="9" t="str">
        <x:v>Le livrable « Tela Vasir — boss » possède une scène ou un scénario de contrôle ; ses règles proposées, ses conditions et ses retours visuels sont vérifiables séparément.</x:v>
      </x:c>
      <x:c r="O45" s="9" t="str"/>
      <x:c r="P45" s="9" t="str">
        <x:v>Bestiaire ME2 / rencontres associées</x:v>
      </x:c>
      <x:c r="Q45" s="9" t="str">
        <x:v>ME2-SRC-SHADOW</x:v>
      </x:c>
      <x:c r="R45" s="20" t="str">
        <x:v>https://masseffect.fandom.com/wiki/Lair_of_the_Shadow_Broker_%28mission%29</x:v>
      </x:c>
      <x:c r="S45" s="20" t="str">
        <x:v>Spécification à réaliser. Les champs adaptation, gameplay, visual, animation, audio et implementation décrivent le fan game ; ils ne donnent pas des caractéristiques officielles de l’œuvre.</x:v>
      </x:c>
    </x:row>
    <x:row r="46" ht="68" customHeight="1">
      <x:c r="A46" s="19" t="str">
        <x:v>ME2-ENM-BROKER</x:v>
      </x:c>
      <x:c r="B46" s="7" t="str">
        <x:v>Courtier de l’Ombre — yahg</x:v>
      </x:c>
      <x:c r="C46" s="15" t="str">
        <x:v>Défini</x:v>
      </x:c>
      <x:c r="D46" s="17" t="str">
        <x:v>Établi</x:v>
      </x:c>
      <x:c r="E46" s="17" t="str">
        <x:v>P1</x:v>
      </x:c>
      <x:c r="F46" s="7" t="str">
        <x:v>Le Courtier affronté est un yahg.</x:v>
      </x:c>
      <x:c r="G46" s="7" t="str">
        <x:v>Archétype à adapter autour de « Bouclier et coup lourd ». Donner un rôle distinct dans les compositions de rencontre.</x:v>
      </x:c>
      <x:c r="H46" s="7" t="str">
        <x:v>Alterner tir, mêlée et coordination de Liara ; le côté protégé reste signalé.</x:v>
      </x:c>
      <x:c r="I46" s="7" t="str">
        <x:v>Yahg massif, yeux multiples et bouclier de grande taille.</x:v>
      </x:c>
      <x:c r="J46" s="7" t="str">
        <x:v>Prévoir attente, orientation et réaction au contexte ; conserver les repères décrits dans la silhouette pendant les changements de direction. Les mouvements sont des créations du fan game.</x:v>
      </x:c>
      <x:c r="K46" s="7" t="str">
        <x:v>Créer des bruitages et ambiances originaux adaptés au livrable ; sous-titrer les indices utiles et proposer un réglage indépendant des effets. Aucune extraction audio demandée.</x:v>
      </x:c>
      <x:c r="L46" s="7" t="str">
        <x:v>Prévu : fiche de données me2/enemies/broker ; rattacher les ressources et états cités à cet identifiant. Aucun fichier de jeu créé par ce catalogue.</x:v>
      </x:c>
      <x:c r="M46" s="7" t="str"/>
      <x:c r="N46" s="7" t="str">
        <x:v>Le livrable « Courtier de l’Ombre — yahg » possède une scène ou un scénario de contrôle ; ses règles proposées, ses conditions et ses retours visuels sont vérifiables séparément.</x:v>
      </x:c>
      <x:c r="O46" s="7" t="str"/>
      <x:c r="P46" s="7" t="str">
        <x:v>Bestiaire ME2 / rencontres associées</x:v>
      </x:c>
      <x:c r="Q46" s="7" t="str">
        <x:v>ME2-SRC-SHADOW</x:v>
      </x:c>
      <x:c r="R46" s="21" t="str">
        <x:v>https://masseffect.fandom.com/wiki/Lair_of_the_Shadow_Broker_%28mission%29</x:v>
      </x:c>
      <x:c r="S46" s="21" t="str">
        <x:v>Spécification à réaliser. Les champs adaptation, gameplay, visual, animation, audio et implementation décrivent le fan game ; ils ne donnent pas des caractéristiques officielles de l’œuvre.</x:v>
      </x:c>
    </x:row>
    <x:row r="47" ht="68" customHeight="1">
      <x:c r="A47" s="18" t="str">
        <x:v>ME2-ENM-OVERLORD</x:v>
      </x:c>
      <x:c r="B47" s="9" t="str">
        <x:v>Dispositif VI Overlord</x:v>
      </x:c>
      <x:c r="C47" s="15" t="str">
        <x:v>Défini</x:v>
      </x:c>
      <x:c r="D47" s="16" t="str">
        <x:v>Établi</x:v>
      </x:c>
      <x:c r="E47" s="16" t="str">
        <x:v>P1</x:v>
      </x:c>
      <x:c r="F47" s="9" t="str">
        <x:v>Le dispositif tente un transfert.</x:v>
      </x:c>
      <x:c r="G47" s="9" t="str">
        <x:v>Archétype à adapter autour de « Transfert par relais ». Donner un rôle distinct dans les compositions de rencontre.</x:v>
      </x:c>
      <x:c r="H47" s="9" t="str">
        <x:v>Nœuds activés successivement ; prioriser le relais qui annonce l’envoi sans attaquer la personne captive.</x:v>
      </x:c>
      <x:c r="I47" s="9" t="str">
        <x:v>Visage numérique vert et câbles de laboratoire.</x:v>
      </x:c>
      <x:c r="J47" s="9" t="str">
        <x:v>Prévoir attente, orientation et réaction au contexte ; conserver les repères décrits dans la silhouette pendant les changements de direction. Les mouvements sont des créations du fan game.</x:v>
      </x:c>
      <x:c r="K47" s="9" t="str">
        <x:v>Créer des bruitages et ambiances originaux adaptés au livrable ; sous-titrer les indices utiles et proposer un réglage indépendant des effets. Aucune extraction audio demandée.</x:v>
      </x:c>
      <x:c r="L47" s="9" t="str">
        <x:v>Prévu : fiche de données me2/enemies/overlord ; rattacher les ressources et états cités à cet identifiant. Aucun fichier de jeu créé par ce catalogue.</x:v>
      </x:c>
      <x:c r="M47" s="9" t="str"/>
      <x:c r="N47" s="9" t="str">
        <x:v>Le livrable « Dispositif VI Overlord » possède une scène ou un scénario de contrôle ; ses règles proposées, ses conditions et ses retours visuels sont vérifiables séparément.</x:v>
      </x:c>
      <x:c r="O47" s="9" t="str"/>
      <x:c r="P47" s="9" t="str">
        <x:v>Bestiaire ME2 / rencontres associées</x:v>
      </x:c>
      <x:c r="Q47" s="9" t="str">
        <x:v>ME2-SRC-ATLAS</x:v>
      </x:c>
      <x:c r="R47" s="20" t="str">
        <x:v>https://masseffect.fandom.com/wiki/Atlas_Station</x:v>
      </x:c>
      <x:c r="S47" s="20" t="str">
        <x:v>Spécification à réaliser. Les champs adaptation, gameplay, visual, animation, audio et implementation décrivent le fan game ; ils ne donnent pas des caractéristiques officielles de l’œuvre.</x:v>
      </x:c>
    </x:row>
    <x:row r="48" ht="68" customHeight="1">
      <x:c r="A48" s="19" t="str">
        <x:v>ME2-ENM-PROJECT-GUARD</x:v>
      </x:c>
      <x:c r="B48" s="7" t="str">
        <x:v>Project Guard</x:v>
      </x:c>
      <x:c r="C48" s="15" t="str">
        <x:v>Défini</x:v>
      </x:c>
      <x:c r="D48" s="17" t="str">
        <x:v>Établi</x:v>
      </x:c>
      <x:c r="E48" s="17" t="str">
        <x:v>P1</x:v>
      </x:c>
      <x:c r="F48" s="7" t="str">
        <x:v>Garde hostile dans Arrival.</x:v>
      </x:c>
      <x:c r="G48" s="7" t="str">
        <x:v>Archétype à adapter autour de « Verrouillage de couloir ». Donner un rôle distinct dans les compositions de rencontre.</x:v>
      </x:c>
      <x:c r="H48" s="7" t="str">
        <x:v>Avance après une grenade ; l’interface avertit du changement de couverture.</x:v>
      </x:c>
      <x:c r="I48" s="7" t="str">
        <x:v>Tenue technique et arme Cerberus.</x:v>
      </x:c>
      <x:c r="J48" s="7" t="str">
        <x:v>Prévoir attente, orientation et réaction au contexte ; conserver les repères décrits dans la silhouette pendant les changements de direction. Les mouvements sont des créations du fan game.</x:v>
      </x:c>
      <x:c r="K48" s="7" t="str">
        <x:v>Créer des bruitages et ambiances originaux adaptés au livrable ; sous-titrer les indices utiles et proposer un réglage indépendant des effets. Aucune extraction audio demandée.</x:v>
      </x:c>
      <x:c r="L48" s="7" t="str">
        <x:v>Prévu : fiche de données me2/enemies/project-guard ; rattacher les ressources et états cités à cet identifiant. Aucun fichier de jeu créé par ce catalogue.</x:v>
      </x:c>
      <x:c r="M48" s="7" t="str"/>
      <x:c r="N48" s="7" t="str">
        <x:v>Le livrable « Project Guard » possède une scène ou un scénario de contrôle ; ses règles proposées, ses conditions et ses retours visuels sont vérifiables séparément.</x:v>
      </x:c>
      <x:c r="O48" s="7" t="str"/>
      <x:c r="P48" s="7" t="str">
        <x:v>Bestiaire ME2 / rencontres associées</x:v>
      </x:c>
      <x:c r="Q48" s="7" t="str">
        <x:v>ME2-SRC-ARRIVAL</x:v>
      </x:c>
      <x:c r="R48" s="21" t="str">
        <x:v>https://masseffect.fandom.com/wiki/Arrival_%28assignment%29</x:v>
      </x:c>
      <x:c r="S48" s="21" t="str">
        <x:v>Spécification à réaliser. Les champs adaptation, gameplay, visual, animation, audio et implementation décrivent le fan game ; ils ne donnent pas des caractéristiques officielles de l’œuvre.</x:v>
      </x:c>
    </x:row>
    <x:row r="49" ht="68" customHeight="1">
      <x:c r="A49" s="18" t="str">
        <x:v>ME2-ENM-PROJECT-PYRO</x:v>
      </x:c>
      <x:c r="B49" s="9" t="str">
        <x:v>Project Pyro</x:v>
      </x:c>
      <x:c r="C49" s="15" t="str">
        <x:v>Défini</x:v>
      </x:c>
      <x:c r="D49" s="16" t="str">
        <x:v>Établi</x:v>
      </x:c>
      <x:c r="E49" s="16" t="str">
        <x:v>P1</x:v>
      </x:c>
      <x:c r="F49" s="9" t="str">
        <x:v>Unité incendiaire d’Arrival.</x:v>
      </x:c>
      <x:c r="G49" s="9" t="str">
        <x:v>Archétype à adapter autour de « Nettoyage de sas ». Donner un rôle distinct dans les compositions de rencontre.</x:v>
      </x:c>
      <x:c r="H49" s="9" t="str">
        <x:v>Brûleur le long d’un corridor ; détour court disponible et réservoir exposé après tir.</x:v>
      </x:c>
      <x:c r="I49" s="9" t="str">
        <x:v>Tenue de projet, réservoir et flammes.</x:v>
      </x:c>
      <x:c r="J49" s="9" t="str">
        <x:v>Prévoir attente, orientation et réaction au contexte ; conserver les repères décrits dans la silhouette pendant les changements de direction. Les mouvements sont des créations du fan game.</x:v>
      </x:c>
      <x:c r="K49" s="9" t="str">
        <x:v>Créer des bruitages et ambiances originaux adaptés au livrable ; sous-titrer les indices utiles et proposer un réglage indépendant des effets. Aucune extraction audio demandée.</x:v>
      </x:c>
      <x:c r="L49" s="9" t="str">
        <x:v>Prévu : fiche de données me2/enemies/project-pyro ; rattacher les ressources et états cités à cet identifiant. Aucun fichier de jeu créé par ce catalogue.</x:v>
      </x:c>
      <x:c r="M49" s="9" t="str"/>
      <x:c r="N49" s="9" t="str">
        <x:v>Le livrable « Project Pyro » possède une scène ou un scénario de contrôle ; ses règles proposées, ses conditions et ses retours visuels sont vérifiables séparément.</x:v>
      </x:c>
      <x:c r="O49" s="9" t="str"/>
      <x:c r="P49" s="9" t="str">
        <x:v>Bestiaire ME2 / rencontres associées</x:v>
      </x:c>
      <x:c r="Q49" s="9" t="str">
        <x:v>ME2-SRC-ARRIVAL</x:v>
      </x:c>
      <x:c r="R49" s="20" t="str">
        <x:v>https://masseffect.fandom.com/wiki/Arrival_%28assignment%29</x:v>
      </x:c>
      <x:c r="S49" s="20" t="str">
        <x:v>Spécification à réaliser. Les champs adaptation, gameplay, visual, animation, audio et implementation décrivent le fan game ; ils ne donnent pas des caractéristiques officielles de l’œuvre.</x:v>
      </x:c>
    </x:row>
    <x:row r="50" ht="68" customHeight="1">
      <x:c r="A50" s="19" t="str">
        <x:v>ME2-ENM-PRISON-GUARD</x:v>
      </x:c>
      <x:c r="B50" s="7" t="str">
        <x:v>Prison Guard</x:v>
      </x:c>
      <x:c r="C50" s="15" t="str">
        <x:v>Défini</x:v>
      </x:c>
      <x:c r="D50" s="17" t="str">
        <x:v>Établi</x:v>
      </x:c>
      <x:c r="E50" s="17" t="str">
        <x:v>P1</x:v>
      </x:c>
      <x:c r="F50" s="7" t="str">
        <x:v>Garde batarien d’Arrival.</x:v>
      </x:c>
      <x:c r="G50" s="7" t="str">
        <x:v>Archétype à adapter autour de « Alerte par témoin ». Donner un rôle distinct dans les compositions de rencontre.</x:v>
      </x:c>
      <x:c r="H50" s="7" t="str">
        <x:v>Observe, enquête puis transmet ; neutraliser la transmission ou choisir l’affrontement.</x:v>
      </x:c>
      <x:c r="I50" s="7" t="str">
        <x:v>Batarien armé dans la prison.</x:v>
      </x:c>
      <x:c r="J50" s="7" t="str">
        <x:v>Prévoir attente, orientation et réaction au contexte ; conserver les repères décrits dans la silhouette pendant les changements de direction. Les mouvements sont des créations du fan game.</x:v>
      </x:c>
      <x:c r="K50" s="7" t="str">
        <x:v>Créer des bruitages et ambiances originaux adaptés au livrable ; sous-titrer les indices utiles et proposer un réglage indépendant des effets. Aucune extraction audio demandée.</x:v>
      </x:c>
      <x:c r="L50" s="7" t="str">
        <x:v>Prévu : fiche de données me2/enemies/prison-guard ; rattacher les ressources et états cités à cet identifiant. Aucun fichier de jeu créé par ce catalogue.</x:v>
      </x:c>
      <x:c r="M50" s="7" t="str"/>
      <x:c r="N50" s="7" t="str">
        <x:v>Le livrable « Prison Guard » possède une scène ou un scénario de contrôle ; ses règles proposées, ses conditions et ses retours visuels sont vérifiables séparément.</x:v>
      </x:c>
      <x:c r="O50" s="7" t="str"/>
      <x:c r="P50" s="7" t="str">
        <x:v>Bestiaire ME2 / rencontres associées</x:v>
      </x:c>
      <x:c r="Q50" s="7" t="str">
        <x:v>ME2-SRC-ARRIVAL</x:v>
      </x:c>
      <x:c r="R50" s="21" t="str">
        <x:v>https://masseffect.fandom.com/wiki/Arrival_%28assignment%29</x:v>
      </x:c>
      <x:c r="S50" s="21" t="str">
        <x:v>Spécification à réaliser. Les champs adaptation, gameplay, visual, animation, audio et implementation décrivent le fan game ; ils ne donnent pas des caractéristiques officielles de l’œuvre.</x:v>
      </x:c>
    </x:row>
  </x:sheetData>
  <x:conditionalFormatting sqref="D7:D50">
    <x:cfRule type="cellIs" dxfId="32" priority="1" operator="equal">
      <x:formula>"À vérifier"</x:formula>
    </x:cfRule>
    <x:cfRule type="cellIs" dxfId="33" priority="2" operator="equal">
      <x:formula>"Extrapolation"</x:formula>
    </x:cfRule>
  </x:conditionalFormatting>
  <x:conditionalFormatting sqref="C7:C50">
    <x:cfRule type="cellIs" dxfId="34" priority="3" operator="equal">
      <x:formula>"Validé"</x:formula>
    </x:cfRule>
  </x:conditionalFormatting>
  <x:conditionalFormatting sqref="E7:E50">
    <x:cfRule type="cellIs" dxfId="35" priority="4" operator="equal">
      <x:formula>"P0"</x:formula>
    </x:cfRule>
  </x:conditionalFormatting>
  <x:dataValidations count="3">
    <x:dataValidation type="list" sqref="C7:C50">
      <x:formula1>"Défini,Prototype,Intégré,Validé"</x:formula1>
    </x:dataValidation>
    <x:dataValidation type="list" sqref="D7:D50">
      <x:formula1>"Établi,À vérifier,Extrapolation,Coupé attesté,Concept abandonné,Allégation écartée"</x:formula1>
    </x:dataValidation>
    <x:dataValidation type="list" sqref="E7:E50">
      <x:formula1>"P0,P1,P2"</x:formula1>
    </x:dataValidation>
  </x:dataValidations>
  <x:pageMargins left="0.7" right="0.7" top="0.75" bottom="0.75" header="0.3" footer="0.3"/>
  <x:tableParts count="1">
    <x:tablePart xmlns:r="http://schemas.openxmlformats.org/officeDocument/2006/relationships" r:id="Rd323e45968c54389"/>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158"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Missions</x:v>
      </x:c>
      <x:c r="B2" s="2"/>
      <x:c r="C2" s="2"/>
      <x:c r="D2" s="2"/>
      <x:c r="E2" s="2"/>
      <x:c r="F2" s="2"/>
      <x:c r="G2" s="2"/>
      <x:c r="H2" s="2"/>
      <x:c r="I2" s="2"/>
      <x:c r="J2" s="2"/>
      <x:c r="K2" s="2"/>
      <x:c r="L2" s="2"/>
      <x:c r="M2" s="2"/>
      <x:c r="N2" s="2"/>
      <x:c r="O2" s="2"/>
      <x:c r="P2" s="2"/>
      <x:c r="Q2" s="2"/>
      <x:c r="R2" s="2"/>
      <x:c r="S2" s="2"/>
    </x:row>
    <x:row r="3" ht="22" customHeight="1">
      <x:c r="A3" s="4" t="str">
        <x:v>Mass Effect 2 — Étapes de l’intrigue principale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ME2-MQ-SAVE-JOKER</x:v>
      </x:c>
      <x:c r="B7" s="9" t="str">
        <x:v>Prologue: Save Joker</x:v>
      </x:c>
      <x:c r="C7" s="15" t="str">
        <x:v>Défini</x:v>
      </x:c>
      <x:c r="D7" s="16" t="str">
        <x:v>Établi</x:v>
      </x:c>
      <x:c r="E7" s="16" t="str">
        <x:v>P0</x:v>
      </x:c>
      <x:c r="F7" s="9" t="str">
        <x:v>Prologue sur le Normandy attaqué.</x:v>
      </x:c>
      <x:c r="G7" s="9" t="str">
        <x:v>Tutoriel d’exploration en urgence : progression vers Joker, cloisons brûlantes et sortie ; commandes de dialogue conservées.</x:v>
      </x:c>
      <x:c r="H7" s="9" t="str">
        <x:v>Tutoriel d’exploration en urgence : progression vers Joker, cloisons brûlantes et sortie ; commandes de dialogue conservées.</x:v>
      </x:c>
      <x:c r="I7" s="9" t="str">
        <x:v>Coursives brisées, fumée basse, espace au-delà de la passerelle.</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me2/main_quests/save-joker ; rattacher les ressources et états cités à cet identifiant. Aucun fichier de jeu créé par ce catalogue.</x:v>
      </x:c>
      <x:c r="M7" s="9" t="str">
        <x:v>Introduction.</x:v>
      </x:c>
      <x:c r="N7" s="9" t="str">
        <x:v>Le livrable « Prologue: Save Joker » possède une scène ou un scénario de contrôle ; ses règles proposées, ses conditions et ses retours visuels sont vérifiables séparément.</x:v>
      </x:c>
      <x:c r="O7" s="9" t="str"/>
      <x:c r="P7" s="9" t="str">
        <x:v>Prologue: Save Joker</x:v>
      </x:c>
      <x:c r="Q7" s="9" t="str">
        <x:v>ME2-SRC-GUIDE</x:v>
      </x:c>
      <x:c r="R7" s="20" t="str">
        <x:v>https://masseffect.fandom.com/wiki/Mass_Effect_2_Guide</x:v>
      </x:c>
      <x:c r="S7" s="20" t="str">
        <x:v>Spécification à réaliser. Les champs adaptation, gameplay, visual, animation, audio et implementation décrivent le fan game ; ils ne donnent pas des caractéristiques officielles de l’œuvre.</x:v>
      </x:c>
    </x:row>
    <x:row r="8" ht="68" customHeight="1">
      <x:c r="A8" s="19" t="str">
        <x:v>ME2-MQ-AWAKENING</x:v>
      </x:c>
      <x:c r="B8" s="7" t="str">
        <x:v>Prologue: Awakening</x:v>
      </x:c>
      <x:c r="C8" s="15" t="str">
        <x:v>Défini</x:v>
      </x:c>
      <x:c r="D8" s="17" t="str">
        <x:v>Établi</x:v>
      </x:c>
      <x:c r="E8" s="17" t="str">
        <x:v>P0</x:v>
      </x:c>
      <x:c r="F8" s="7" t="str">
        <x:v>Shepard se réveille dans une installation Cerberus.</x:v>
      </x:c>
      <x:c r="G8" s="7" t="str">
        <x:v>Introduire tir, couverture, pouvoir et recrutement séparément pendant l’évacuation.</x:v>
      </x:c>
      <x:c r="H8" s="7" t="str">
        <x:v>Introduire tir, couverture, pouvoir et recrutement séparément pendant l’évacuation.</x:v>
      </x:c>
      <x:c r="I8" s="7" t="str">
        <x:v>Laboratoire clinique, alarmes et vitrages fissurés.</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me2/main_quests/awakening ; rattacher les ressources et états cités à cet identifiant. Aucun fichier de jeu créé par ce catalogue.</x:v>
      </x:c>
      <x:c r="M8" s="7" t="str">
        <x:v>Après le prologue.</x:v>
      </x:c>
      <x:c r="N8" s="7" t="str">
        <x:v>Le livrable « Prologue: Awakening » possède une scène ou un scénario de contrôle ; ses règles proposées, ses conditions et ses retours visuels sont vérifiables séparément.</x:v>
      </x:c>
      <x:c r="O8" s="7" t="str"/>
      <x:c r="P8" s="7" t="str">
        <x:v>Prologue: Awakening</x:v>
      </x:c>
      <x:c r="Q8" s="7" t="str">
        <x:v>ME2-SRC-GUIDE</x:v>
      </x:c>
      <x:c r="R8" s="21" t="str">
        <x:v>https://masseffect.fandom.com/wiki/Mass_Effect_2_Guide</x:v>
      </x:c>
      <x:c r="S8" s="21" t="str">
        <x:v>Spécification à réaliser. Les champs adaptation, gameplay, visual, animation, audio et implementation décrivent le fan game ; ils ne donnent pas des caractéristiques officielles de l’œuvre.</x:v>
      </x:c>
    </x:row>
    <x:row r="9" ht="68" customHeight="1">
      <x:c r="A9" s="18" t="str">
        <x:v>ME2-MQ-FREEDOM</x:v>
      </x:c>
      <x:c r="B9" s="9" t="str">
        <x:v>Freedom’s Progress</x:v>
      </x:c>
      <x:c r="C9" s="15" t="str">
        <x:v>Défini</x:v>
      </x:c>
      <x:c r="D9" s="16" t="str">
        <x:v>Établi</x:v>
      </x:c>
      <x:c r="E9" s="16" t="str">
        <x:v>P0</x:v>
      </x:c>
      <x:c r="F9" s="9" t="str">
        <x:v>Enquête sur une colonie disparue.</x:v>
      </x:c>
      <x:c r="G9" s="9" t="str">
        <x:v>Construire trois arènes de mécas puis un entretien avec Veetor ; permettre de préserver les munitions avant le YMIR.</x:v>
      </x:c>
      <x:c r="H9" s="9" t="str">
        <x:v>Construire trois arènes de mécas puis un entretien avec Veetor ; permettre de préserver les munitions avant le YMIR.</x:v>
      </x:c>
      <x:c r="I9" s="9" t="str">
        <x:v>Préfabriqués vides, éclairage froid et écrans de surveillance.</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me2/main_quests/freedom ; rattacher les ressources et états cités à cet identifiant. Aucun fichier de jeu créé par ce catalogue.</x:v>
      </x:c>
      <x:c r="M9" s="9" t="str">
        <x:v>Après Awakening.</x:v>
      </x:c>
      <x:c r="N9" s="9" t="str">
        <x:v>Le livrable « Freedom’s Progress » possède une scène ou un scénario de contrôle ; ses règles proposées, ses conditions et ses retours visuels sont vérifiables séparément.</x:v>
      </x:c>
      <x:c r="O9" s="9" t="str"/>
      <x:c r="P9" s="9" t="str">
        <x:v>Freedom’s Progress</x:v>
      </x:c>
      <x:c r="Q9" s="9" t="str">
        <x:v>ME2-SRC-FREEDOM</x:v>
      </x:c>
      <x:c r="R9" s="20" t="str">
        <x:v>https://masseffect.fandom.com/wiki/Freedom%27s_Progress_%28mission%29</x:v>
      </x:c>
      <x:c r="S9" s="20" t="str">
        <x:v>Spécification à réaliser. Les champs adaptation, gameplay, visual, animation, audio et implementation décrivent le fan game ; ils ne donnent pas des caractéristiques officielles de l’œuvre.</x:v>
      </x:c>
    </x:row>
    <x:row r="10" ht="68" customHeight="1">
      <x:c r="A10" s="19" t="str">
        <x:v>ME2-MQ-PROFESSOR</x:v>
      </x:c>
      <x:c r="B10" s="7" t="str">
        <x:v>Dossier: The Professor</x:v>
      </x:c>
      <x:c r="C10" s="15" t="str">
        <x:v>Défini</x:v>
      </x:c>
      <x:c r="D10" s="17" t="str">
        <x:v>Établi</x:v>
      </x:c>
      <x:c r="E10" s="17" t="str">
        <x:v>P0</x:v>
      </x:c>
      <x:c r="F10" s="7" t="str">
        <x:v>Mordin soigne une peste à Omega.</x:v>
      </x:c>
      <x:c r="G10" s="7" t="str">
        <x:v>Traverser quarantaine, clinique puis ventilation ; phase finale de protection des commandes d’air.</x:v>
      </x:c>
      <x:c r="H10" s="7" t="str">
        <x:v>Traverser quarantaine, clinique puis ventilation ; phase finale de protection des commandes d’air.</x:v>
      </x:c>
      <x:c r="I10" s="7" t="str">
        <x:v>Taudis enfumés, clinique claire, turbines industrielles.</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me2/main_quests/professor ; rattacher les ressources et états cités à cet identifiant. Aucun fichier de jeu créé par ce catalogue.</x:v>
      </x:c>
      <x:c r="M10" s="7" t="str">
        <x:v>Premier lot de dossiers.</x:v>
      </x:c>
      <x:c r="N10" s="7" t="str">
        <x:v>Le livrable « Dossier: The Professor » possède une scène ou un scénario de contrôle ; ses règles proposées, ses conditions et ses retours visuels sont vérifiables séparément.</x:v>
      </x:c>
      <x:c r="O10" s="7" t="str"/>
      <x:c r="P10" s="7" t="str">
        <x:v>Dossier: The Professor</x:v>
      </x:c>
      <x:c r="Q10" s="7" t="str">
        <x:v>ME2-SRC-PROF</x:v>
      </x:c>
      <x:c r="R10" s="21" t="str">
        <x:v>https://masseffect.fandom.com/wiki/Dossier%3A_The_Professor</x:v>
      </x:c>
      <x:c r="S10" s="21" t="str">
        <x:v>Spécification à réaliser. Les champs adaptation, gameplay, visual, animation, audio et implementation décrivent le fan game ; ils ne donnent pas des caractéristiques officielles de l’œuvre.</x:v>
      </x:c>
    </x:row>
    <x:row r="11" ht="68" customHeight="1">
      <x:c r="A11" s="18" t="str">
        <x:v>ME2-MQ-ARCHANGEL</x:v>
      </x:c>
      <x:c r="B11" s="9" t="str">
        <x:v>Dossier: Archangel</x:v>
      </x:c>
      <x:c r="C11" s="15" t="str">
        <x:v>Défini</x:v>
      </x:c>
      <x:c r="D11" s="16" t="str">
        <x:v>Établi</x:v>
      </x:c>
      <x:c r="E11" s="16" t="str">
        <x:v>P0</x:v>
      </x:c>
      <x:c r="F11" s="9" t="str">
        <x:v>Garrus affronte plusieurs groupes mercenaires.</x:v>
      </x:c>
      <x:c r="G11" s="9" t="str">
        <x:v>Défense étagée : saboter les préparatifs, couvrir le pont puis verrouiller les accès inférieurs.</x:v>
      </x:c>
      <x:c r="H11" s="9" t="str">
        <x:v>Défense étagée : saboter les préparatifs, couvrir le pont puis verrouiller les accès inférieurs.</x:v>
      </x:c>
      <x:c r="I11" s="9" t="str">
        <x:v>Planque criblée, balcon et pont exposé.</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me2/main_quests/archangel ; rattacher les ressources et états cités à cet identifiant. Aucun fichier de jeu créé par ce catalogue.</x:v>
      </x:c>
      <x:c r="M11" s="9" t="str">
        <x:v>Premier lot de dossiers.</x:v>
      </x:c>
      <x:c r="N11" s="9" t="str">
        <x:v>Le livrable « Dossier: Archangel » possède une scène ou un scénario de contrôle ; ses règles proposées, ses conditions et ses retours visuels sont vérifiables séparément.</x:v>
      </x:c>
      <x:c r="O11" s="9" t="str"/>
      <x:c r="P11" s="9" t="str">
        <x:v>Dossier: Archangel</x:v>
      </x:c>
      <x:c r="Q11" s="9" t="str">
        <x:v>ME2-SRC-ARCHANGEL</x:v>
      </x:c>
      <x:c r="R11" s="20" t="str">
        <x:v>https://masseffect.fandom.com/wiki/Dossier%3A_Archangel</x:v>
      </x:c>
      <x:c r="S11" s="20" t="str">
        <x:v>Spécification à réaliser. Les champs adaptation, gameplay, visual, animation, audio et implementation décrivent le fan game ; ils ne donnent pas des caractéristiques officielles de l’œuvre.</x:v>
      </x:c>
    </x:row>
    <x:row r="12" ht="68" customHeight="1">
      <x:c r="A12" s="19" t="str">
        <x:v>ME2-MQ-CONVICT</x:v>
      </x:c>
      <x:c r="B12" s="7" t="str">
        <x:v>Dossier: The Convict</x:v>
      </x:c>
      <x:c r="C12" s="15" t="str">
        <x:v>Défini</x:v>
      </x:c>
      <x:c r="D12" s="17" t="str">
        <x:v>Établi</x:v>
      </x:c>
      <x:c r="E12" s="17" t="str">
        <x:v>P0</x:v>
      </x:c>
      <x:c r="F12" s="7" t="str">
        <x:v>Jack est retenue sur Purgatory.</x:v>
      </x:c>
      <x:c r="G12" s="7" t="str">
        <x:v>Ouvrir par une inspection calme, faire basculer les systèmes puis relier libération et fuite tactique.</x:v>
      </x:c>
      <x:c r="H12" s="7" t="str">
        <x:v>Ouvrir par une inspection calme, faire basculer les systèmes puis relier libération et fuite tactique.</x:v>
      </x:c>
      <x:c r="I12" s="7" t="str">
        <x:v>Coursives carcérales, cellules et générateurs de protection.</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me2/main_quests/convict ; rattacher les ressources et états cités à cet identifiant. Aucun fichier de jeu créé par ce catalogue.</x:v>
      </x:c>
      <x:c r="M12" s="7" t="str">
        <x:v>Premier lot de dossiers.</x:v>
      </x:c>
      <x:c r="N12" s="7" t="str">
        <x:v>Le livrable « Dossier: The Convict » possède une scène ou un scénario de contrôle ; ses règles proposées, ses conditions et ses retours visuels sont vérifiables séparément.</x:v>
      </x:c>
      <x:c r="O12" s="7" t="str"/>
      <x:c r="P12" s="7" t="str">
        <x:v>Dossier: The Convict</x:v>
      </x:c>
      <x:c r="Q12" s="7" t="str">
        <x:v>ME2-SRC-CONVICT</x:v>
      </x:c>
      <x:c r="R12" s="21" t="str">
        <x:v>https://masseffect.fandom.com/wiki/Dossier%3A_The_Convict</x:v>
      </x:c>
      <x:c r="S12" s="21" t="str">
        <x:v>Spécification à réaliser. Les champs adaptation, gameplay, visual, animation, audio et implementation décrivent le fan game ; ils ne donnent pas des caractéristiques officielles de l’œuvre.</x:v>
      </x:c>
    </x:row>
    <x:row r="13" ht="68" customHeight="1">
      <x:c r="A13" s="18" t="str">
        <x:v>ME2-MQ-WARLORD</x:v>
      </x:c>
      <x:c r="B13" s="9" t="str">
        <x:v>Dossier: The Warlord</x:v>
      </x:c>
      <x:c r="C13" s="15" t="str">
        <x:v>Défini</x:v>
      </x:c>
      <x:c r="D13" s="16" t="str">
        <x:v>Établi</x:v>
      </x:c>
      <x:c r="E13" s="16" t="str">
        <x:v>P0</x:v>
      </x:c>
      <x:c r="F13" s="9" t="str">
        <x:v>Okeer travaille dans un camp de Korlus.</x:v>
      </x:c>
      <x:c r="G13" s="9" t="str">
        <x:v>Progression de ferraille en hauteur ; combat de cuves et récupération du conteneur krogan.</x:v>
      </x:c>
      <x:c r="H13" s="9" t="str">
        <x:v>Progression de ferraille en hauteur ; combat de cuves et récupération du conteneur krogan.</x:v>
      </x:c>
      <x:c r="I13" s="9" t="str">
        <x:v>Carcasses de vaisseaux, ascenseurs, laboratoire provisoire.</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me2/main_quests/warlord ; rattacher les ressources et états cités à cet identifiant. Aucun fichier de jeu créé par ce catalogue.</x:v>
      </x:c>
      <x:c r="M13" s="9" t="str">
        <x:v>Premier lot de dossiers.</x:v>
      </x:c>
      <x:c r="N13" s="9" t="str">
        <x:v>Le livrable « Dossier: The Warlord » possède une scène ou un scénario de contrôle ; ses règles proposées, ses conditions et ses retours visuels sont vérifiables séparément.</x:v>
      </x:c>
      <x:c r="O13" s="9" t="str"/>
      <x:c r="P13" s="9" t="str">
        <x:v>Dossier: The Warlord</x:v>
      </x:c>
      <x:c r="Q13" s="9" t="str">
        <x:v>ME2-SRC-WARLORD</x:v>
      </x:c>
      <x:c r="R13" s="20" t="str">
        <x:v>https://masseffect.fandom.com/wiki/Dossier%3A_The_Warlord</x:v>
      </x:c>
      <x:c r="S13" s="20" t="str">
        <x:v>Spécification à réaliser. Les champs adaptation, gameplay, visual, animation, audio et implementation décrivent le fan game ; ils ne donnent pas des caractéristiques officielles de l’œuvre.</x:v>
      </x:c>
    </x:row>
    <x:row r="14" ht="68" customHeight="1">
      <x:c r="A14" s="19" t="str">
        <x:v>ME2-MQ-GRUNT-TANK</x:v>
      </x:c>
      <x:c r="B14" s="7" t="str">
        <x:v>Dr. Okeer’s Legacy</x:v>
      </x:c>
      <x:c r="C14" s="15" t="str">
        <x:v>Défini</x:v>
      </x:c>
      <x:c r="D14" s="17" t="str">
        <x:v>Établi</x:v>
      </x:c>
      <x:c r="E14" s="17" t="str">
        <x:v>P0</x:v>
      </x:c>
      <x:c r="F14" s="7" t="str">
        <x:v>L’activation de Grunt reste une décision.</x:v>
      </x:c>
      <x:c r="G14" s="7" t="str">
        <x:v>Interaction de cuve hors combat ; expliquer le risque narratif sans imposer une loyauté automatique.</x:v>
      </x:c>
      <x:c r="H14" s="7" t="str">
        <x:v>Interaction de cuve hors combat ; expliquer le risque narratif sans imposer une loyauté automatique.</x:v>
      </x:c>
      <x:c r="I14" s="7" t="str">
        <x:v>Soute du Normandy et cuve translucide.</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me2/main_quests/grunt-tank ; rattacher les ressources et états cités à cet identifiant. Aucun fichier de jeu créé par ce catalogue.</x:v>
      </x:c>
      <x:c r="M14" s="7" t="str">
        <x:v>Après récupération de la cuve.</x:v>
      </x:c>
      <x:c r="N14" s="7" t="str">
        <x:v>Le livrable « Dr. Okeer’s Legacy » possède une scène ou un scénario de contrôle ; ses règles proposées, ses conditions et ses retours visuels sont vérifiables séparément.</x:v>
      </x:c>
      <x:c r="O14" s="7" t="str"/>
      <x:c r="P14" s="7" t="str">
        <x:v>Dr. Okeer’s Legacy</x:v>
      </x:c>
      <x:c r="Q14" s="7" t="str">
        <x:v>ME2-SRC-WARLORD</x:v>
      </x:c>
      <x:c r="R14" s="21" t="str">
        <x:v>https://masseffect.fandom.com/wiki/Dossier%3A_The_Warlord</x:v>
      </x:c>
      <x:c r="S14" s="21" t="str">
        <x:v>Spécification à réaliser. Les champs adaptation, gameplay, visual, animation, audio et implementation décrivent le fan game ; ils ne donnent pas des caractéristiques officielles de l’œuvre.</x:v>
      </x:c>
    </x:row>
    <x:row r="15" ht="68" customHeight="1">
      <x:c r="A15" s="18" t="str">
        <x:v>ME2-MQ-HORIZON</x:v>
      </x:c>
      <x:c r="B15" s="9" t="str">
        <x:v>Horizon</x:v>
      </x:c>
      <x:c r="C15" s="15" t="str">
        <x:v>Défini</x:v>
      </x:c>
      <x:c r="D15" s="16" t="str">
        <x:v>Établi</x:v>
      </x:c>
      <x:c r="E15" s="16" t="str">
        <x:v>P0</x:v>
      </x:c>
      <x:c r="F15" s="9" t="str">
        <x:v>La colonie subit une attaque des Collecteurs.</x:v>
      </x:c>
      <x:c r="G15" s="9" t="str">
        <x:v>Alternance sauvetage, réparation de défense et survie contre un Praetorian ; conserver des abris après les renforts.</x:v>
      </x:c>
      <x:c r="H15" s="9" t="str">
        <x:v>Alternance sauvetage, réparation de défense et survie contre un Praetorian ; conserver des abris après les renforts.</x:v>
      </x:c>
      <x:c r="I15" s="9" t="str">
        <x:v>Colonie agricole, tourelles et cocons lumineux.</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me2/main_quests/horizon ; rattacher les ressources et états cités à cet identifiant. Aucun fichier de jeu créé par ce catalogue.</x:v>
      </x:c>
      <x:c r="M15" s="9" t="str">
        <x:v>Seuil de campagne déclenché par les dossiers initiaux.</x:v>
      </x:c>
      <x:c r="N15" s="9" t="str">
        <x:v>Le livrable « Horizon » possède une scène ou un scénario de contrôle ; ses règles proposées, ses conditions et ses retours visuels sont vérifiables séparément.</x:v>
      </x:c>
      <x:c r="O15" s="9" t="str"/>
      <x:c r="P15" s="9" t="str">
        <x:v>Horizon</x:v>
      </x:c>
      <x:c r="Q15" s="9" t="str">
        <x:v>ME2-SRC-HORIZON, ME2-SRC-GUIDE</x:v>
      </x:c>
      <x:c r="R15" s="20" t="str">
        <x:v>https://masseffect.fandom.com/wiki/Horizon_%28mission%29
https://masseffect.fandom.com/wiki/Mass_Effect_2_Guide</x:v>
      </x:c>
      <x:c r="S15" s="20" t="str">
        <x:v>Spécification à réaliser. Les champs adaptation, gameplay, visual, animation, audio et implementation décrivent le fan game ; ils ne donnent pas des caractéristiques officielles de l’œuvre.</x:v>
      </x:c>
    </x:row>
    <x:row r="16" ht="68" customHeight="1">
      <x:c r="A16" s="19" t="str">
        <x:v>ME2-MQ-TALI</x:v>
      </x:c>
      <x:c r="B16" s="7" t="str">
        <x:v>Dossier: Tali</x:v>
      </x:c>
      <x:c r="C16" s="15" t="str">
        <x:v>Défini</x:v>
      </x:c>
      <x:c r="D16" s="17" t="str">
        <x:v>Établi</x:v>
      </x:c>
      <x:c r="E16" s="17" t="str">
        <x:v>P0</x:v>
      </x:c>
      <x:c r="F16" s="7" t="str">
        <x:v>Tali opère sur Haestrom sous les tirs geth.</x:v>
      </x:c>
      <x:c r="G16" s="7" t="str">
        <x:v>Zones d’ombre matérialisées ; détruire les obstacles, rejoindre Kal’Reegar puis aborder le Colosse par plusieurs routes.</x:v>
      </x:c>
      <x:c r="H16" s="7" t="str">
        <x:v>Zones d’ombre matérialisées ; détruire les obstacles, rejoindre Kal’Reegar puis aborder le Colosse par plusieurs routes.</x:v>
      </x:c>
      <x:c r="I16" s="7" t="str">
        <x:v>Ruines quariènes, soleil dur, abris noirs.</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me2/main_quests/tali ; rattacher les ressources et états cités à cet identifiant. Aucun fichier de jeu créé par ce catalogue.</x:v>
      </x:c>
      <x:c r="M16" s="7" t="str">
        <x:v>Après Horizon.</x:v>
      </x:c>
      <x:c r="N16" s="7" t="str">
        <x:v>Le livrable « Dossier: Tali » possède une scène ou un scénario de contrôle ; ses règles proposées, ses conditions et ses retours visuels sont vérifiables séparément.</x:v>
      </x:c>
      <x:c r="O16" s="7" t="str"/>
      <x:c r="P16" s="7" t="str">
        <x:v>Dossier: Tali</x:v>
      </x:c>
      <x:c r="Q16" s="7" t="str">
        <x:v>ME2-SRC-TALI</x:v>
      </x:c>
      <x:c r="R16" s="21" t="str">
        <x:v>https://masseffect.fandom.com/wiki/Dossier%3A_Tali</x:v>
      </x:c>
      <x:c r="S16" s="21" t="str">
        <x:v>Spécification à réaliser. Les champs adaptation, gameplay, visual, animation, audio et implementation décrivent le fan game ; ils ne donnent pas des caractéristiques officielles de l’œuvre.</x:v>
      </x:c>
    </x:row>
    <x:row r="17" ht="68" customHeight="1">
      <x:c r="A17" s="18" t="str">
        <x:v>ME2-MQ-ASSASSIN</x:v>
      </x:c>
      <x:c r="B17" s="9" t="str">
        <x:v>Dossier: The Assassin</x:v>
      </x:c>
      <x:c r="C17" s="15" t="str">
        <x:v>Défini</x:v>
      </x:c>
      <x:c r="D17" s="16" t="str">
        <x:v>Établi</x:v>
      </x:c>
      <x:c r="E17" s="16" t="str">
        <x:v>P0</x:v>
      </x:c>
      <x:c r="F17" s="9" t="str">
        <x:v>Thane poursuit une cible dans les tours Dantius.</x:v>
      </x:c>
      <x:c r="G17" s="9" t="str">
        <x:v>Ascension par paliers et sauvetage de travailleurs ; terminer par une scène de recrutement après la cible.</x:v>
      </x:c>
      <x:c r="H17" s="9" t="str">
        <x:v>Ascension par paliers et sauvetage de travailleurs ; terminer par une scène de recrutement après la cible.</x:v>
      </x:c>
      <x:c r="I17" s="9" t="str">
        <x:v>Tour inachevée, verre et vide urbain.</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me2/main_quests/assassin ; rattacher les ressources et états cités à cet identifiant. Aucun fichier de jeu créé par ce catalogue.</x:v>
      </x:c>
      <x:c r="M17" s="9" t="str">
        <x:v>Après Horizon.</x:v>
      </x:c>
      <x:c r="N17" s="9" t="str">
        <x:v>Le livrable « Dossier: The Assassin » possède une scène ou un scénario de contrôle ; ses règles proposées, ses conditions et ses retours visuels sont vérifiables séparément.</x:v>
      </x:c>
      <x:c r="O17" s="9" t="str"/>
      <x:c r="P17" s="9" t="str">
        <x:v>Dossier: The Assassin</x:v>
      </x:c>
      <x:c r="Q17" s="9" t="str">
        <x:v>ME2-SRC-ASSASSIN</x:v>
      </x:c>
      <x:c r="R17" s="20" t="str">
        <x:v>https://masseffect.fandom.com/wiki/Dossier%3A_The_Assassin</x:v>
      </x:c>
      <x:c r="S17" s="20" t="str">
        <x:v>Spécification à réaliser. Les champs adaptation, gameplay, visual, animation, audio et implementation décrivent le fan game ; ils ne donnent pas des caractéristiques officielles de l’œuvre.</x:v>
      </x:c>
    </x:row>
    <x:row r="18" ht="68" customHeight="1">
      <x:c r="A18" s="19" t="str">
        <x:v>ME2-MQ-JUSTICAR</x:v>
      </x:c>
      <x:c r="B18" s="7" t="str">
        <x:v>Dossier: The Justicar</x:v>
      </x:c>
      <x:c r="C18" s="15" t="str">
        <x:v>Défini</x:v>
      </x:c>
      <x:c r="D18" s="17" t="str">
        <x:v>Établi</x:v>
      </x:c>
      <x:c r="E18" s="17" t="str">
        <x:v>P0</x:v>
      </x:c>
      <x:c r="F18" s="7" t="str">
        <x:v>Samara enquête sur Illium.</x:v>
      </x:c>
      <x:c r="G18" s="7" t="str">
        <x:v>Enquête au spatioport puis entrepôts Eclipse ; l’information sur le vaisseau débloque le recrutement.</x:v>
      </x:c>
      <x:c r="H18" s="7" t="str">
        <x:v>Enquête au spatioport puis entrepôts Eclipse ; l’information sur le vaisseau débloque le recrutement.</x:v>
      </x:c>
      <x:c r="I18" s="7" t="str">
        <x:v>Police asari, fret industriel et nuages chimiques.</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me2/main_quests/justicar ; rattacher les ressources et états cités à cet identifiant. Aucun fichier de jeu créé par ce catalogue.</x:v>
      </x:c>
      <x:c r="M18" s="7" t="str">
        <x:v>Après Horizon.</x:v>
      </x:c>
      <x:c r="N18" s="7" t="str">
        <x:v>Le livrable « Dossier: The Justicar » possède une scène ou un scénario de contrôle ; ses règles proposées, ses conditions et ses retours visuels sont vérifiables séparément.</x:v>
      </x:c>
      <x:c r="O18" s="7" t="str"/>
      <x:c r="P18" s="7" t="str">
        <x:v>Dossier: The Justicar</x:v>
      </x:c>
      <x:c r="Q18" s="7" t="str">
        <x:v>ME2-SRC-JUSTICAR</x:v>
      </x:c>
      <x:c r="R18" s="21" t="str">
        <x:v>https://masseffect.fandom.com/wiki/Dossier%3A_The_Justicar</x:v>
      </x:c>
      <x:c r="S18" s="21" t="str">
        <x:v>Spécification à réaliser. Les champs adaptation, gameplay, visual, animation, audio et implementation décrivent le fan game ; ils ne donnent pas des caractéristiques officielles de l’œuvre.</x:v>
      </x:c>
    </x:row>
    <x:row r="19" ht="68" customHeight="1">
      <x:c r="A19" s="18" t="str">
        <x:v>ME2-MQ-COLLECTOR-SHIP</x:v>
      </x:c>
      <x:c r="B19" s="9" t="str">
        <x:v>Collector Ship</x:v>
      </x:c>
      <x:c r="C19" s="15" t="str">
        <x:v>Défini</x:v>
      </x:c>
      <x:c r="D19" s="16" t="str">
        <x:v>Établi</x:v>
      </x:c>
      <x:c r="E19" s="16" t="str">
        <x:v>P0</x:v>
      </x:c>
      <x:c r="F19" s="9" t="str">
        <x:v>Une exploration tourne à l’embuscade.</x:v>
      </x:c>
      <x:c r="G19" s="9" t="str">
        <x:v>Arènes de plateformes en mouvement ; signaler les débarquements avant de retirer des zones de couverture.</x:v>
      </x:c>
      <x:c r="H19" s="9" t="str">
        <x:v>Arènes de plateformes en mouvement ; signaler les débarquements avant de retirer des zones de couverture.</x:v>
      </x:c>
      <x:c r="I19" s="9" t="str">
        <x:v>Biomatière, couloirs alvéolés et plateformes suspendues.</x:v>
      </x:c>
      <x:c r="J19" s="9" t="str">
        <x:v>Transitions de caméra et d’interface interruptibles ; aucun délai d’animation ne doit consommer une décision encore ouverte.</x:v>
      </x:c>
      <x:c r="K19" s="9" t="str">
        <x:v>Créer des bruitages et ambiances originaux adaptés au livrable ; sous-titrer les indices utiles et proposer un réglage indépendant des effets. Aucune extraction audio demandée.</x:v>
      </x:c>
      <x:c r="L19" s="9" t="str">
        <x:v>Prévu : fiche de données me2/main_quests/collector-ship ; rattacher les ressources et états cités à cet identifiant. Aucun fichier de jeu créé par ce catalogue.</x:v>
      </x:c>
      <x:c r="M19" s="9" t="str">
        <x:v>Déclenchement de campagne à contrôler par états, pas par horloge réelle.</x:v>
      </x:c>
      <x:c r="N19" s="9" t="str">
        <x:v>Le livrable « Collector Ship » possède une scène ou un scénario de contrôle ; ses règles proposées, ses conditions et ses retours visuels sont vérifiables séparément.</x:v>
      </x:c>
      <x:c r="O19" s="9" t="str"/>
      <x:c r="P19" s="9" t="str">
        <x:v>Collector Ship</x:v>
      </x:c>
      <x:c r="Q19" s="9" t="str">
        <x:v>ME2-SRC-SHIP, ME2-SRC-GUIDE</x:v>
      </x:c>
      <x:c r="R19" s="20" t="str">
        <x:v>https://masseffect.fandom.com/wiki/Collector_Ship_%28mission%29
https://masseffect.fandom.com/wiki/Mass_Effect_2_Guide</x:v>
      </x:c>
      <x:c r="S19" s="20" t="str">
        <x:v>Spécification à réaliser. Les champs adaptation, gameplay, visual, animation, audio et implementation décrivent le fan game ; ils ne donnent pas des caractéristiques officielles de l’œuvre.</x:v>
      </x:c>
    </x:row>
    <x:row r="20" ht="68" customHeight="1">
      <x:c r="A20" s="19" t="str">
        <x:v>ME2-MQ-IFF</x:v>
      </x:c>
      <x:c r="B20" s="7" t="str">
        <x:v>Reaper IFF</x:v>
      </x:c>
      <x:c r="C20" s="15" t="str">
        <x:v>Défini</x:v>
      </x:c>
      <x:c r="D20" s="17" t="str">
        <x:v>Établi</x:v>
      </x:c>
      <x:c r="E20" s="17" t="str">
        <x:v>P0</x:v>
      </x:c>
      <x:c r="F20" s="7" t="str">
        <x:v>L’IFF est récupéré sur un Moissonneur abandonné.</x:v>
      </x:c>
      <x:c r="G20" s="7" t="str">
        <x:v>Exploration de laboratoire contaminé, poussée de husks puis cœur exposé ; réserver un temps de choix pour Legion.</x:v>
      </x:c>
      <x:c r="H20" s="7" t="str">
        <x:v>Exploration de laboratoire contaminé, poussée de husks puis cœur exposé ; réserver un temps de choix pour Legion.</x:v>
      </x:c>
      <x:c r="I20" s="7" t="str">
        <x:v>Matière noire, câbles organiques et cœur de masse.</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me2/main_quests/iff ; rattacher les ressources et états cités à cet identifiant. Aucun fichier de jeu créé par ce catalogue.</x:v>
      </x:c>
      <x:c r="M20" s="7" t="str">
        <x:v>Point stratégique qui engage la séquence finale.</x:v>
      </x:c>
      <x:c r="N20" s="7" t="str">
        <x:v>Le livrable « Reaper IFF » possède une scène ou un scénario de contrôle ; ses règles proposées, ses conditions et ses retours visuels sont vérifiables séparément.</x:v>
      </x:c>
      <x:c r="O20" s="7" t="str"/>
      <x:c r="P20" s="7" t="str">
        <x:v>Reaper IFF</x:v>
      </x:c>
      <x:c r="Q20" s="7" t="str">
        <x:v>ME2-SRC-STOP</x:v>
      </x:c>
      <x:c r="R20" s="21" t="str">
        <x:v>https://masseffect.fandom.com/wiki/Stop_the_Collectors</x:v>
      </x:c>
      <x:c r="S20" s="21" t="str">
        <x:v>Spécification à réaliser. Les champs adaptation, gameplay, visual, animation, audio et implementation décrivent le fan game ; ils ne donnent pas des caractéristiques officielles de l’œuvre.</x:v>
      </x:c>
    </x:row>
    <x:row r="21" ht="68" customHeight="1">
      <x:c r="A21" s="18" t="str">
        <x:v>ME2-MQ-ABDUCTION</x:v>
      </x:c>
      <x:c r="B21" s="9" t="str">
        <x:v>Attaque du Normandy — séquence Joker</x:v>
      </x:c>
      <x:c r="C21" s="15" t="str">
        <x:v>Défini</x:v>
      </x:c>
      <x:c r="D21" s="16" t="str">
        <x:v>Établi</x:v>
      </x:c>
      <x:c r="E21" s="16" t="str">
        <x:v>P0</x:v>
      </x:c>
      <x:c r="F21" s="9" t="str">
        <x:v>Les Collecteurs enlèvent l’équipage.</x:v>
      </x:c>
      <x:c r="G21" s="9" t="str">
        <x:v>Parcours de survie sans arsenal pour Joker ; EDI annonce des abris et ouvertures sûres.</x:v>
      </x:c>
      <x:c r="H21" s="9" t="str">
        <x:v>Parcours de survie sans arsenal pour Joker ; EDI annonce des abris et ouvertures sûres.</x:v>
      </x:c>
      <x:c r="I21" s="9" t="str">
        <x:v>Normandy envahi, portes déformées et silhouettes ennemies.</x:v>
      </x:c>
      <x:c r="J21" s="9" t="str">
        <x:v>Transitions de caméra et d’interface interruptibles ; aucun délai d’animation ne doit consommer une décision encore ouverte.</x:v>
      </x:c>
      <x:c r="K21" s="9" t="str">
        <x:v>Créer des bruitages et ambiances originaux adaptés au livrable ; sous-titrer les indices utiles et proposer un réglage indépendant des effets. Aucune extraction audio demandée.</x:v>
      </x:c>
      <x:c r="L21" s="9" t="str">
        <x:v>Prévu : fiche de données me2/main_quests/abduction ; rattacher les ressources et états cités à cet identifiant. Aucun fichier de jeu créé par ce catalogue.</x:v>
      </x:c>
      <x:c r="M21" s="9" t="str">
        <x:v>Après installation de l’IFF selon progression.</x:v>
      </x:c>
      <x:c r="N21" s="9" t="str">
        <x:v>Le livrable « Attaque du Normandy — séquence Joker » possède une scène ou un scénario de contrôle ; ses règles proposées, ses conditions et ses retours visuels sont vérifiables séparément.</x:v>
      </x:c>
      <x:c r="O21" s="9" t="str"/>
      <x:c r="P21" s="9" t="str">
        <x:v>Attaque du Normandy — séquence Joker</x:v>
      </x:c>
      <x:c r="Q21" s="9" t="str">
        <x:v>ME2-SRC-STORY, ME2-SRC-STOP</x:v>
      </x:c>
      <x:c r="R21" s="20" t="str">
        <x:v>https://masseffect.fandom.com/wiki/Storyline_II
https://masseffect.fandom.com/wiki/Stop_the_Collectors</x:v>
      </x:c>
      <x:c r="S21" s="20" t="str">
        <x:v>Spécification à réaliser. Les champs adaptation, gameplay, visual, animation, audio et implementation décrivent le fan game ; ils ne donnent pas des caractéristiques officielles de l’œuvre.</x:v>
      </x:c>
    </x:row>
    <x:row r="22" ht="68" customHeight="1">
      <x:c r="A22" s="19" t="str">
        <x:v>ME2-MQ-OMEGA4</x:v>
      </x:c>
      <x:c r="B22" s="7" t="str">
        <x:v>Passage du relais Omega-4</x:v>
      </x:c>
      <x:c r="C22" s="15" t="str">
        <x:v>Défini</x:v>
      </x:c>
      <x:c r="D22" s="17" t="str">
        <x:v>Établi</x:v>
      </x:c>
      <x:c r="E22" s="17" t="str">
        <x:v>P0</x:v>
      </x:c>
      <x:c r="F22" s="7" t="str">
        <x:v>Le relais conduit à la base des Collecteurs.</x:v>
      </x:c>
      <x:c r="G22" s="7" t="str">
        <x:v>Séquence spatiale résolue par améliorations et états du vaisseau ; présenter les raisons des dégâts.</x:v>
      </x:c>
      <x:c r="H22" s="7" t="str">
        <x:v>Séquence spatiale résolue par améliorations et états du vaisseau ; présenter les raisons des dégâts.</x:v>
      </x:c>
      <x:c r="I22" s="7" t="str">
        <x:v>Épaves dans le vide, attaques Oculus et approche organique.</x:v>
      </x:c>
      <x:c r="J22" s="7" t="str">
        <x:v>Transitions de caméra et d’interface interruptibles ; aucun délai d’animation ne doit consommer une décision encore ouverte.</x:v>
      </x:c>
      <x:c r="K22" s="7" t="str">
        <x:v>Créer des bruitages et ambiances originaux adaptés au livrable ; sous-titrer les indices utiles et proposer un réglage indépendant des effets. Aucune extraction audio demandée.</x:v>
      </x:c>
      <x:c r="L22" s="7" t="str">
        <x:v>Prévu : fiche de données me2/main_quests/omega4 ; rattacher les ressources et états cités à cet identifiant. Aucun fichier de jeu créé par ce catalogue.</x:v>
      </x:c>
      <x:c r="M22" s="7" t="str">
        <x:v>Départ volontaire après activation IFF.</x:v>
      </x:c>
      <x:c r="N22" s="7" t="str">
        <x:v>Le livrable « Passage du relais Omega-4 » possède une scène ou un scénario de contrôle ; ses règles proposées, ses conditions et ses retours visuels sont vérifiables séparément.</x:v>
      </x:c>
      <x:c r="O22" s="7" t="str"/>
      <x:c r="P22" s="7" t="str">
        <x:v>Passage du relais Omega-4</x:v>
      </x:c>
      <x:c r="Q22" s="7" t="str">
        <x:v>ME2-SRC-GUIDE</x:v>
      </x:c>
      <x:c r="R22" s="21" t="str">
        <x:v>https://masseffect.fandom.com/wiki/Mass_Effect_2_Guide</x:v>
      </x:c>
      <x:c r="S22" s="21" t="str">
        <x:v>Spécification à réaliser. Les champs adaptation, gameplay, visual, animation, audio et implementation décrivent le fan game ; ils ne donnent pas des caractéristiques officielles de l’œuvre.</x:v>
      </x:c>
    </x:row>
    <x:row r="23" ht="68" customHeight="1">
      <x:c r="A23" s="18" t="str">
        <x:v>ME2-MQ-INFILTRATION</x:v>
      </x:c>
      <x:c r="B23" s="9" t="str">
        <x:v>Collector Base: Infiltration</x:v>
      </x:c>
      <x:c r="C23" s="15" t="str">
        <x:v>Défini</x:v>
      </x:c>
      <x:c r="D23" s="16" t="str">
        <x:v>Établi</x:v>
      </x:c>
      <x:c r="E23" s="16" t="str">
        <x:v>P0</x:v>
      </x:c>
      <x:c r="F23" s="9" t="str">
        <x:v>L’équipe se divise autour d’un spécialiste.</x:v>
      </x:c>
      <x:c r="G23" s="9" t="str">
        <x:v>Ordres de chef et technicien avant combat ; valves à activer pendant que le groupe protège le conduit.</x:v>
      </x:c>
      <x:c r="H23" s="9" t="str">
        <x:v>Ordres de chef et technicien avant combat ; valves à activer pendant que le groupe protège le conduit.</x:v>
      </x:c>
      <x:c r="I23" s="9" t="str">
        <x:v>Ventilations chaudes, ponts et panneaux de sécurité.</x:v>
      </x:c>
      <x:c r="J23" s="9" t="str">
        <x:v>Transitions de caméra et d’interface interruptibles ; aucun délai d’animation ne doit consommer une décision encore ouverte.</x:v>
      </x:c>
      <x:c r="K23" s="9" t="str">
        <x:v>Créer des bruitages et ambiances originaux adaptés au livrable ; sous-titrer les indices utiles et proposer un réglage indépendant des effets. Aucune extraction audio demandée.</x:v>
      </x:c>
      <x:c r="L23" s="9" t="str">
        <x:v>Prévu : fiche de données me2/main_quests/infiltration ; rattacher les ressources et états cités à cet identifiant. Aucun fichier de jeu créé par ce catalogue.</x:v>
      </x:c>
      <x:c r="M23" s="9" t="str">
        <x:v>Compétence et loyauté des affectations influencent l’issue.</x:v>
      </x:c>
      <x:c r="N23" s="9" t="str">
        <x:v>Le livrable « Collector Base: Infiltration » possède une scène ou un scénario de contrôle ; ses règles proposées, ses conditions et ses retours visuels sont vérifiables séparément.</x:v>
      </x:c>
      <x:c r="O23" s="9" t="str"/>
      <x:c r="P23" s="9" t="str">
        <x:v>Collector Base: Infiltration</x:v>
      </x:c>
      <x:c r="Q23" s="9" t="str">
        <x:v>ME2-SRC-INFIL</x:v>
      </x:c>
      <x:c r="R23" s="20" t="str">
        <x:v>https://masseffect.fandom.com/wiki/Collector_Base%3A_Infiltration</x:v>
      </x:c>
      <x:c r="S23" s="20" t="str">
        <x:v>Spécification à réaliser. Les champs adaptation, gameplay, visual, animation, audio et implementation décrivent le fan game ; ils ne donnent pas des caractéristiques officielles de l’œuvre.</x:v>
      </x:c>
    </x:row>
    <x:row r="24" ht="68" customHeight="1">
      <x:c r="A24" s="19" t="str">
        <x:v>ME2-MQ-LONG-WALK</x:v>
      </x:c>
      <x:c r="B24" s="7" t="str">
        <x:v>Collector Base: The Long Walk</x:v>
      </x:c>
      <x:c r="C24" s="15" t="str">
        <x:v>Défini</x:v>
      </x:c>
      <x:c r="D24" s="17" t="str">
        <x:v>Établi</x:v>
      </x:c>
      <x:c r="E24" s="17" t="str">
        <x:v>P0</x:v>
      </x:c>
      <x:c r="F24" s="7" t="str">
        <x:v>Une barrière biotique protège des essaims.</x:v>
      </x:c>
      <x:c r="G24" s="7" t="str">
        <x:v>Déplacement du groupe dans un volume mobile ; intégrer escorte des survivants comme décision distincte.</x:v>
      </x:c>
      <x:c r="H24" s="7" t="str">
        <x:v>Déplacement du groupe dans un volume mobile ; intégrer escorte des survivants comme décision distincte.</x:v>
      </x:c>
      <x:c r="I24" s="7" t="str">
        <x:v>Nuage d’insectes, dôme biotique et couloir de captifs.</x:v>
      </x:c>
      <x:c r="J24" s="7" t="str">
        <x:v>Transitions de caméra et d’interface interruptibles ; aucun délai d’animation ne doit consommer une décision encore ouverte.</x:v>
      </x:c>
      <x:c r="K24" s="7" t="str">
        <x:v>Créer des bruitages et ambiances originaux adaptés au livrable ; sous-titrer les indices utiles et proposer un réglage indépendant des effets. Aucune extraction audio demandée.</x:v>
      </x:c>
      <x:c r="L24" s="7" t="str">
        <x:v>Prévu : fiche de données me2/main_quests/long-walk ; rattacher les ressources et états cités à cet identifiant. Aucun fichier de jeu créé par ce catalogue.</x:v>
      </x:c>
      <x:c r="M24" s="7" t="str">
        <x:v>Après infiltration ; délai de départ affecte les captifs.</x:v>
      </x:c>
      <x:c r="N24" s="7" t="str">
        <x:v>Le livrable « Collector Base: The Long Walk » possède une scène ou un scénario de contrôle ; ses règles proposées, ses conditions et ses retours visuels sont vérifiables séparément.</x:v>
      </x:c>
      <x:c r="O24" s="7" t="str"/>
      <x:c r="P24" s="7" t="str">
        <x:v>Collector Base: The Long Walk</x:v>
      </x:c>
      <x:c r="Q24" s="7" t="str">
        <x:v>ME2-SRC-WALK</x:v>
      </x:c>
      <x:c r="R24" s="21" t="str">
        <x:v>https://masseffect.fandom.com/wiki/Collector_Base%3A_The_Long_Walk</x:v>
      </x:c>
      <x:c r="S24" s="21" t="str">
        <x:v>Spécification à réaliser. Les champs adaptation, gameplay, visual, animation, audio et implementation décrivent le fan game ; ils ne donnent pas des caractéristiques officielles de l’œuvre.</x:v>
      </x:c>
    </x:row>
    <x:row r="25" ht="68" customHeight="1">
      <x:c r="A25" s="18" t="str">
        <x:v>ME2-MQ-FINAL</x:v>
      </x:c>
      <x:c r="B25" s="9" t="str">
        <x:v>Collector Base: Final Battle</x:v>
      </x:c>
      <x:c r="C25" s="15" t="str">
        <x:v>Défini</x:v>
      </x:c>
      <x:c r="D25" s="16" t="str">
        <x:v>Établi</x:v>
      </x:c>
      <x:c r="E25" s="16" t="str">
        <x:v>P0</x:v>
      </x:c>
      <x:c r="F25" s="9" t="str">
        <x:v>La confrontation termine la mission suicide.</x:v>
      </x:c>
      <x:c r="G25" s="9" t="str">
        <x:v>Boss à points faibles et phases de retrait ; choix de la base après le combat, puis extraction.</x:v>
      </x:c>
      <x:c r="H25" s="9" t="str">
        <x:v>Boss à points faibles et phases de retrait ; choix de la base après le combat, puis extraction.</x:v>
      </x:c>
      <x:c r="I25" s="9" t="str">
        <x:v>Plateforme suspendue et Moissonneur humain en construction.</x:v>
      </x:c>
      <x:c r="J25" s="9" t="str">
        <x:v>Transitions de caméra et d’interface interruptibles ; aucun délai d’animation ne doit consommer une décision encore ouverte.</x:v>
      </x:c>
      <x:c r="K25" s="9" t="str">
        <x:v>Créer des bruitages et ambiances originaux adaptés au livrable ; sous-titrer les indices utiles et proposer un réglage indépendant des effets. Aucune extraction audio demandée.</x:v>
      </x:c>
      <x:c r="L25" s="9" t="str">
        <x:v>Prévu : fiche de données me2/main_quests/final ; rattacher les ressources et états cités à cet identifiant. Aucun fichier de jeu créé par ce catalogue.</x:v>
      </x:c>
      <x:c r="M25" s="9" t="str">
        <x:v>Composition du dernier groupe et défense arrière à résoudre séparément.</x:v>
      </x:c>
      <x:c r="N25" s="9" t="str">
        <x:v>Le livrable « Collector Base: Final Battle » possède une scène ou un scénario de contrôle ; ses règles proposées, ses conditions et ses retours visuels sont vérifiables séparément.</x:v>
      </x:c>
      <x:c r="O25" s="9" t="str"/>
      <x:c r="P25" s="9" t="str">
        <x:v>Collector Base: Final Battle</x:v>
      </x:c>
      <x:c r="Q25" s="9" t="str">
        <x:v>ME2-SRC-FINAL</x:v>
      </x:c>
      <x:c r="R25" s="20" t="str">
        <x:v>https://masseffect.fandom.com/wiki/Collector_Base%3A_Final_Battle</x:v>
      </x:c>
      <x:c r="S25" s="20" t="str">
        <x:v>Spécification à réaliser. Les champs adaptation, gameplay, visual, animation, audio et implementation décrivent le fan game ; ils ne donnent pas des caractéristiques officielles de l’œuvre.</x:v>
      </x:c>
    </x:row>
    <x:row r="26" ht="68" customHeight="1">
      <x:c r="A26" s="19" t="str">
        <x:v>ME2-MQ-LOY-GARRUS</x:v>
      </x:c>
      <x:c r="B26" s="7" t="str">
        <x:v>Garrus: Eye for an Eye</x:v>
      </x:c>
      <x:c r="C26" s="15" t="str">
        <x:v>Défini</x:v>
      </x:c>
      <x:c r="D26" s="17" t="str">
        <x:v>Établi</x:v>
      </x:c>
      <x:c r="E26" s="17" t="str">
        <x:v>P0</x:v>
      </x:c>
      <x:c r="F26" s="7" t="str">
        <x:v>Garrus recherche Sidonis.</x:v>
      </x:c>
      <x:c r="G26" s="7" t="str">
        <x:v>Enquête, entrepôt et cadrage de tir ; laisser au joueur une vraie fenêtre de désescalade.</x:v>
      </x:c>
      <x:c r="H26" s="7" t="str">
        <x:v>Enquête, entrepôt et cadrage de tir ; laisser au joueur une vraie fenêtre de désescalade.</x:v>
      </x:c>
      <x:c r="I26" s="7" t="str">
        <x:v>Secteur industriel puis belvédère de la Citadelle.</x:v>
      </x:c>
      <x:c r="J26" s="7" t="str">
        <x:v>Transitions de caméra et d’interface interruptibles ; aucun délai d’animation ne doit consommer une décision encore ouverte.</x:v>
      </x:c>
      <x:c r="K26" s="7" t="str">
        <x:v>Créer des bruitages et ambiances originaux adaptés au livrable ; sous-titrer les indices utiles et proposer un réglage indépendant des effets. Aucune extraction audio demandée.</x:v>
      </x:c>
      <x:c r="L26" s="7" t="str">
        <x:v>Prévu : fiche de données me2/main_quests/loy-garrus ; rattacher les ressources et états cités à cet identifiant. Aucun fichier de jeu créé par ce catalogue.</x:v>
      </x:c>
      <x:c r="M26" s="7" t="str">
        <x:v>Garrus recruté et requête ouverte.</x:v>
      </x:c>
      <x:c r="N26" s="7" t="str">
        <x:v>Le livrable « Garrus: Eye for an Eye » possède une scène ou un scénario de contrôle ; ses règles proposées, ses conditions et ses retours visuels sont vérifiables séparément.</x:v>
      </x:c>
      <x:c r="O26" s="7" t="str"/>
      <x:c r="P26" s="7" t="str">
        <x:v>Garrus: Eye for an Eye</x:v>
      </x:c>
      <x:c r="Q26" s="7" t="str">
        <x:v>ME2-SRC-GARRUS</x:v>
      </x:c>
      <x:c r="R26" s="21" t="str">
        <x:v>https://masseffect.fandom.com/wiki/Garrus%3A_Eye_for_an_Eye</x:v>
      </x:c>
      <x:c r="S26" s="21" t="str">
        <x:v>Spécification à réaliser. Les champs adaptation, gameplay, visual, animation, audio et implementation décrivent le fan game ; ils ne donnent pas des caractéristiques officielles de l’œuvre.</x:v>
      </x:c>
    </x:row>
    <x:row r="27" ht="68" customHeight="1">
      <x:c r="A27" s="18" t="str">
        <x:v>ME2-MQ-LOY-GRUNT</x:v>
      </x:c>
      <x:c r="B27" s="9" t="str">
        <x:v>Grunt: Rite of Passage</x:v>
      </x:c>
      <x:c r="C27" s="15" t="str">
        <x:v>Défini</x:v>
      </x:c>
      <x:c r="D27" s="16" t="str">
        <x:v>Établi</x:v>
      </x:c>
      <x:c r="E27" s="16" t="str">
        <x:v>P0</x:v>
      </x:c>
      <x:c r="F27" s="9" t="str">
        <x:v>Grunt entreprend un rite krogan.</x:v>
      </x:c>
      <x:c r="G27" s="9" t="str">
        <x:v>Arena de survie à vagues et objectif de durée proposé ; duel de fin séparé de la performance face au dévoreur.</x:v>
      </x:c>
      <x:c r="H27" s="9" t="str">
        <x:v>Arena de survie à vagues et objectif de durée proposé ; duel de fin séparé de la performance face au dévoreur.</x:v>
      </x:c>
      <x:c r="I27" s="9" t="str">
        <x:v>Arène de Tuchanka et monument rituel.</x:v>
      </x:c>
      <x:c r="J27" s="9" t="str">
        <x:v>Transitions de caméra et d’interface interruptibles ; aucun délai d’animation ne doit consommer une décision encore ouverte.</x:v>
      </x:c>
      <x:c r="K27" s="9" t="str">
        <x:v>Créer des bruitages et ambiances originaux adaptés au livrable ; sous-titrer les indices utiles et proposer un réglage indépendant des effets. Aucune extraction audio demandée.</x:v>
      </x:c>
      <x:c r="L27" s="9" t="str">
        <x:v>Prévu : fiche de données me2/main_quests/loy-grunt ; rattacher les ressources et états cités à cet identifiant. Aucun fichier de jeu créé par ce catalogue.</x:v>
      </x:c>
      <x:c r="M27" s="9" t="str">
        <x:v>Grunt activé.</x:v>
      </x:c>
      <x:c r="N27" s="9" t="str">
        <x:v>Le livrable « Grunt: Rite of Passage » possède une scène ou un scénario de contrôle ; ses règles proposées, ses conditions et ses retours visuels sont vérifiables séparément.</x:v>
      </x:c>
      <x:c r="O27" s="9" t="str"/>
      <x:c r="P27" s="9" t="str">
        <x:v>Grunt: Rite of Passage</x:v>
      </x:c>
      <x:c r="Q27" s="9" t="str">
        <x:v>ME2-SRC-GRUNT</x:v>
      </x:c>
      <x:c r="R27" s="20" t="str">
        <x:v>https://masseffect.fandom.com/wiki/Grunt%3A_Rite_of_Passage</x:v>
      </x:c>
      <x:c r="S27" s="20" t="str">
        <x:v>Spécification à réaliser. Les champs adaptation, gameplay, visual, animation, audio et implementation décrivent le fan game ; ils ne donnent pas des caractéristiques officielles de l’œuvre.</x:v>
      </x:c>
    </x:row>
    <x:row r="28" ht="68" customHeight="1">
      <x:c r="A28" s="19" t="str">
        <x:v>ME2-MQ-LOY-JACK</x:v>
      </x:c>
      <x:c r="B28" s="7" t="str">
        <x:v>Jack: Subject Zero</x:v>
      </x:c>
      <x:c r="C28" s="15" t="str">
        <x:v>Défini</x:v>
      </x:c>
      <x:c r="D28" s="17" t="str">
        <x:v>Établi</x:v>
      </x:c>
      <x:c r="E28" s="17" t="str">
        <x:v>P0</x:v>
      </x:c>
      <x:c r="F28" s="7" t="str">
        <x:v>Jack retourne au centre de Pragia.</x:v>
      </x:c>
      <x:c r="G28" s="7" t="str">
        <x:v>Exploration des salles de souvenirs puis pose de charge ; permettre le silence après chaque découverte.</x:v>
      </x:c>
      <x:c r="H28" s="7" t="str">
        <x:v>Exploration des salles de souvenirs puis pose de charge ; permettre le silence après chaque découverte.</x:v>
      </x:c>
      <x:c r="I28" s="7" t="str">
        <x:v>Jungle intrusive et ancien laboratoire.</x:v>
      </x:c>
      <x:c r="J28" s="7" t="str">
        <x:v>Transitions de caméra et d’interface interruptibles ; aucun délai d’animation ne doit consommer une décision encore ouverte.</x:v>
      </x:c>
      <x:c r="K28" s="7" t="str">
        <x:v>Créer des bruitages et ambiances originaux adaptés au livrable ; sous-titrer les indices utiles et proposer un réglage indépendant des effets. Aucune extraction audio demandée.</x:v>
      </x:c>
      <x:c r="L28" s="7" t="str">
        <x:v>Prévu : fiche de données me2/main_quests/loy-jack ; rattacher les ressources et états cités à cet identifiant. Aucun fichier de jeu créé par ce catalogue.</x:v>
      </x:c>
      <x:c r="M28" s="7" t="str">
        <x:v>Jack recrutée.</x:v>
      </x:c>
      <x:c r="N28" s="7" t="str">
        <x:v>Le livrable « Jack: Subject Zero » possède une scène ou un scénario de contrôle ; ses règles proposées, ses conditions et ses retours visuels sont vérifiables séparément.</x:v>
      </x:c>
      <x:c r="O28" s="7" t="str"/>
      <x:c r="P28" s="7" t="str">
        <x:v>Jack: Subject Zero</x:v>
      </x:c>
      <x:c r="Q28" s="7" t="str">
        <x:v>ME2-SRC-JACK</x:v>
      </x:c>
      <x:c r="R28" s="21" t="str">
        <x:v>https://masseffect.fandom.com/wiki/Jack%3A_Subject_Zero</x:v>
      </x:c>
      <x:c r="S28" s="21" t="str">
        <x:v>Spécification à réaliser. Les champs adaptation, gameplay, visual, animation, audio et implementation décrivent le fan game ; ils ne donnent pas des caractéristiques officielles de l’œuvre.</x:v>
      </x:c>
    </x:row>
    <x:row r="29" ht="68" customHeight="1">
      <x:c r="A29" s="18" t="str">
        <x:v>ME2-MQ-LOY-JACOB</x:v>
      </x:c>
      <x:c r="B29" s="9" t="str">
        <x:v>Jacob: The Gift of Greatness</x:v>
      </x:c>
      <x:c r="C29" s="15" t="str">
        <x:v>Défini</x:v>
      </x:c>
      <x:c r="D29" s="16" t="str">
        <x:v>Établi</x:v>
      </x:c>
      <x:c r="E29" s="16" t="str">
        <x:v>P0</x:v>
      </x:c>
      <x:c r="F29" s="9" t="str">
        <x:v>Le signal du Gernsback mène à Aeia.</x:v>
      </x:c>
      <x:c r="G29" s="9" t="str">
        <x:v>Assembler les indices avant la confrontation ; protéger les survivants dans les combats intermédiaires.</x:v>
      </x:c>
      <x:c r="H29" s="9" t="str">
        <x:v>Assembler les indices avant la confrontation ; protéger les survivants dans les combats intermédiaires.</x:v>
      </x:c>
      <x:c r="I29" s="9" t="str">
        <x:v>Plage, épave, camp séparé et végétation.</x:v>
      </x:c>
      <x:c r="J29" s="9" t="str">
        <x:v>Transitions de caméra et d’interface interruptibles ; aucun délai d’animation ne doit consommer une décision encore ouverte.</x:v>
      </x:c>
      <x:c r="K29" s="9" t="str">
        <x:v>Créer des bruitages et ambiances originaux adaptés au livrable ; sous-titrer les indices utiles et proposer un réglage indépendant des effets. Aucune extraction audio demandée.</x:v>
      </x:c>
      <x:c r="L29" s="9" t="str">
        <x:v>Prévu : fiche de données me2/main_quests/loy-jacob ; rattacher les ressources et états cités à cet identifiant. Aucun fichier de jeu créé par ce catalogue.</x:v>
      </x:c>
      <x:c r="M29" s="9" t="str">
        <x:v>Jacob recruté.</x:v>
      </x:c>
      <x:c r="N29" s="9" t="str">
        <x:v>Le livrable « Jacob: The Gift of Greatness » possède une scène ou un scénario de contrôle ; ses règles proposées, ses conditions et ses retours visuels sont vérifiables séparément.</x:v>
      </x:c>
      <x:c r="O29" s="9" t="str"/>
      <x:c r="P29" s="9" t="str">
        <x:v>Jacob: The Gift of Greatness</x:v>
      </x:c>
      <x:c r="Q29" s="9" t="str">
        <x:v>ME2-SRC-JACOB</x:v>
      </x:c>
      <x:c r="R29" s="20" t="str">
        <x:v>https://masseffect.fandom.com/wiki/Jacob%3A_The_Gift_of_Greatness</x:v>
      </x:c>
      <x:c r="S29" s="20" t="str">
        <x:v>Spécification à réaliser. Les champs adaptation, gameplay, visual, animation, audio et implementation décrivent le fan game ; ils ne donnent pas des caractéristiques officielles de l’œuvre.</x:v>
      </x:c>
    </x:row>
    <x:row r="30" ht="68" customHeight="1">
      <x:c r="A30" s="19" t="str">
        <x:v>ME2-MQ-LOY-MIRANDA</x:v>
      </x:c>
      <x:c r="B30" s="7" t="str">
        <x:v>Miranda: The Prodigal</x:v>
      </x:c>
      <x:c r="C30" s="15" t="str">
        <x:v>Défini</x:v>
      </x:c>
      <x:c r="D30" s="17" t="str">
        <x:v>Établi</x:v>
      </x:c>
      <x:c r="E30" s="17" t="str">
        <x:v>P0</x:v>
      </x:c>
      <x:c r="F30" s="7" t="str">
        <x:v>Miranda protège sa sœur sur Illium.</x:v>
      </x:c>
      <x:c r="G30" s="7" t="str">
        <x:v>Combat de fret à convoyeurs ; preuves, confrontation de Niket puis choix de rencontre avec Oriana.</x:v>
      </x:c>
      <x:c r="H30" s="7" t="str">
        <x:v>Combat de fret à convoyeurs ; preuves, confrontation de Niket puis choix de rencontre avec Oriana.</x:v>
      </x:c>
      <x:c r="I30" s="7" t="str">
        <x:v>Terminal cargo, conteneurs et quais.</x:v>
      </x:c>
      <x:c r="J30" s="7" t="str">
        <x:v>Transitions de caméra et d’interface interruptibles ; aucun délai d’animation ne doit consommer une décision encore ouverte.</x:v>
      </x:c>
      <x:c r="K30" s="7" t="str">
        <x:v>Créer des bruitages et ambiances originaux adaptés au livrable ; sous-titrer les indices utiles et proposer un réglage indépendant des effets. Aucune extraction audio demandée.</x:v>
      </x:c>
      <x:c r="L30" s="7" t="str">
        <x:v>Prévu : fiche de données me2/main_quests/loy-miranda ; rattacher les ressources et états cités à cet identifiant. Aucun fichier de jeu créé par ce catalogue.</x:v>
      </x:c>
      <x:c r="M30" s="7" t="str">
        <x:v>Miranda recrutée.</x:v>
      </x:c>
      <x:c r="N30" s="7" t="str">
        <x:v>Le livrable « Miranda: The Prodigal » possède une scène ou un scénario de contrôle ; ses règles proposées, ses conditions et ses retours visuels sont vérifiables séparément.</x:v>
      </x:c>
      <x:c r="O30" s="7" t="str"/>
      <x:c r="P30" s="7" t="str">
        <x:v>Miranda: The Prodigal</x:v>
      </x:c>
      <x:c r="Q30" s="7" t="str">
        <x:v>ME2-SRC-MIRANDA</x:v>
      </x:c>
      <x:c r="R30" s="21" t="str">
        <x:v>https://masseffect.fandom.com/wiki/Miranda%3A_The_Prodigal</x:v>
      </x:c>
      <x:c r="S30" s="21" t="str">
        <x:v>Spécification à réaliser. Les champs adaptation, gameplay, visual, animation, audio et implementation décrivent le fan game ; ils ne donnent pas des caractéristiques officielles de l’œuvre.</x:v>
      </x:c>
    </x:row>
    <x:row r="31" ht="68" customHeight="1">
      <x:c r="A31" s="18" t="str">
        <x:v>ME2-MQ-LOY-MORDIN</x:v>
      </x:c>
      <x:c r="B31" s="9" t="str">
        <x:v>Mordin: Old Blood</x:v>
      </x:c>
      <x:c r="C31" s="15" t="str">
        <x:v>Défini</x:v>
      </x:c>
      <x:c r="D31" s="16" t="str">
        <x:v>Établi</x:v>
      </x:c>
      <x:c r="E31" s="16" t="str">
        <x:v>P0</x:v>
      </x:c>
      <x:c r="F31" s="9" t="str">
        <x:v>Mordin retrouve les travaux de Maelon.</x:v>
      </x:c>
      <x:c r="G31" s="9" t="str">
        <x:v>Exploration médicale puis choix distincts sur Maelon et ses recherches ; bannir un résumé qui fusionne les deux.</x:v>
      </x:c>
      <x:c r="H31" s="9" t="str">
        <x:v>Exploration médicale puis choix distincts sur Maelon et ses recherches ; bannir un résumé qui fusionne les deux.</x:v>
      </x:c>
      <x:c r="I31" s="9" t="str">
        <x:v>Hôpital en ruine et laboratoire clandestin.</x:v>
      </x:c>
      <x:c r="J31" s="9" t="str">
        <x:v>Transitions de caméra et d’interface interruptibles ; aucun délai d’animation ne doit consommer une décision encore ouverte.</x:v>
      </x:c>
      <x:c r="K31" s="9" t="str">
        <x:v>Créer des bruitages et ambiances originaux adaptés au livrable ; sous-titrer les indices utiles et proposer un réglage indépendant des effets. Aucune extraction audio demandée.</x:v>
      </x:c>
      <x:c r="L31" s="9" t="str">
        <x:v>Prévu : fiche de données me2/main_quests/loy-mordin ; rattacher les ressources et états cités à cet identifiant. Aucun fichier de jeu créé par ce catalogue.</x:v>
      </x:c>
      <x:c r="M31" s="9" t="str">
        <x:v>Mordin recruté.</x:v>
      </x:c>
      <x:c r="N31" s="9" t="str">
        <x:v>Le livrable « Mordin: Old Blood » possède une scène ou un scénario de contrôle ; ses règles proposées, ses conditions et ses retours visuels sont vérifiables séparément.</x:v>
      </x:c>
      <x:c r="O31" s="9" t="str"/>
      <x:c r="P31" s="9" t="str">
        <x:v>Mordin: Old Blood</x:v>
      </x:c>
      <x:c r="Q31" s="9" t="str">
        <x:v>ME2-SRC-MORDIN</x:v>
      </x:c>
      <x:c r="R31" s="20" t="str">
        <x:v>https://masseffect.fandom.com/wiki/Mordin%3A_Old_Blood</x:v>
      </x:c>
      <x:c r="S31" s="20" t="str">
        <x:v>Spécification à réaliser. Les champs adaptation, gameplay, visual, animation, audio et implementation décrivent le fan game ; ils ne donnent pas des caractéristiques officielles de l’œuvre.</x:v>
      </x:c>
    </x:row>
    <x:row r="32" ht="68" customHeight="1">
      <x:c r="A32" s="19" t="str">
        <x:v>ME2-MQ-LOY-SAMARA</x:v>
      </x:c>
      <x:c r="B32" s="7" t="str">
        <x:v>Samara: The Ardat-Yakshi</x:v>
      </x:c>
      <x:c r="C32" s="15" t="str">
        <x:v>Défini</x:v>
      </x:c>
      <x:c r="D32" s="17" t="str">
        <x:v>Établi</x:v>
      </x:c>
      <x:c r="E32" s="17" t="str">
        <x:v>P0</x:v>
      </x:c>
      <x:c r="F32" s="7" t="str">
        <x:v>Samara poursuit Morinth.</x:v>
      </x:c>
      <x:c r="G32" s="7" t="str">
        <x:v>Enquête sociale, sélection d’indices et conversation à risque ; aucune fusillade obligatoire ajoutée.</x:v>
      </x:c>
      <x:c r="H32" s="7" t="str">
        <x:v>Enquête sociale, sélection d’indices et conversation à risque ; aucune fusillade obligatoire ajoutée.</x:v>
      </x:c>
      <x:c r="I32" s="7" t="str">
        <x:v>Appartement de victime, club VIP et demeure de Morinth.</x:v>
      </x:c>
      <x:c r="J32" s="7" t="str">
        <x:v>Transitions de caméra et d’interface interruptibles ; aucun délai d’animation ne doit consommer une décision encore ouverte.</x:v>
      </x:c>
      <x:c r="K32" s="7" t="str">
        <x:v>Créer des bruitages et ambiances originaux adaptés au livrable ; sous-titrer les indices utiles et proposer un réglage indépendant des effets. Aucune extraction audio demandée.</x:v>
      </x:c>
      <x:c r="L32" s="7" t="str">
        <x:v>Prévu : fiche de données me2/main_quests/loy-samara ; rattacher les ressources et états cités à cet identifiant. Aucun fichier de jeu créé par ce catalogue.</x:v>
      </x:c>
      <x:c r="M32" s="7" t="str">
        <x:v>Samara recrutée ; substitution conditionnelle.</x:v>
      </x:c>
      <x:c r="N32" s="7" t="str">
        <x:v>Le livrable « Samara: The Ardat-Yakshi » possède une scène ou un scénario de contrôle ; ses règles proposées, ses conditions et ses retours visuels sont vérifiables séparément.</x:v>
      </x:c>
      <x:c r="O32" s="7" t="str"/>
      <x:c r="P32" s="7" t="str">
        <x:v>Samara: The Ardat-Yakshi</x:v>
      </x:c>
      <x:c r="Q32" s="7" t="str">
        <x:v>ME2-SRC-SAMARA</x:v>
      </x:c>
      <x:c r="R32" s="21" t="str">
        <x:v>https://masseffect.fandom.com/wiki/Samara%3A_The_Ardat-Yakshi</x:v>
      </x:c>
      <x:c r="S32" s="21" t="str">
        <x:v>Spécification à réaliser. Les champs adaptation, gameplay, visual, animation, audio et implementation décrivent le fan game ; ils ne donnent pas des caractéristiques officielles de l’œuvre.</x:v>
      </x:c>
    </x:row>
    <x:row r="33" ht="68" customHeight="1">
      <x:c r="A33" s="18" t="str">
        <x:v>ME2-MQ-LOY-TALI</x:v>
      </x:c>
      <x:c r="B33" s="9" t="str">
        <x:v>Tali: Treason</x:v>
      </x:c>
      <x:c r="C33" s="15" t="str">
        <x:v>Défini</x:v>
      </x:c>
      <x:c r="D33" s="16" t="str">
        <x:v>Établi</x:v>
      </x:c>
      <x:c r="E33" s="16" t="str">
        <x:v>P0</x:v>
      </x:c>
      <x:c r="F33" s="9" t="str">
        <x:v>Tali est jugée par la Flotte.</x:v>
      </x:c>
      <x:c r="G33" s="9" t="str">
        <x:v>Audience, fouille de l’Alarei puis verdict ; garder preuve, disculpation et loyauté comme variables distinctes.</x:v>
      </x:c>
      <x:c r="H33" s="9" t="str">
        <x:v>Audience, fouille de l’Alarei puis verdict ; garder preuve, disculpation et loyauté comme variables distinctes.</x:v>
      </x:c>
      <x:c r="I33" s="9" t="str">
        <x:v>Vaisseaux quariens, assemblée et pont contaminé.</x:v>
      </x:c>
      <x:c r="J33" s="9" t="str">
        <x:v>Transitions de caméra et d’interface interruptibles ; aucun délai d’animation ne doit consommer une décision encore ouverte.</x:v>
      </x:c>
      <x:c r="K33" s="9" t="str">
        <x:v>Créer des bruitages et ambiances originaux adaptés au livrable ; sous-titrer les indices utiles et proposer un réglage indépendant des effets. Aucune extraction audio demandée.</x:v>
      </x:c>
      <x:c r="L33" s="9" t="str">
        <x:v>Prévu : fiche de données me2/main_quests/loy-tali ; rattacher les ressources et états cités à cet identifiant. Aucun fichier de jeu créé par ce catalogue.</x:v>
      </x:c>
      <x:c r="M33" s="9" t="str">
        <x:v>Tali recrutée.</x:v>
      </x:c>
      <x:c r="N33" s="9" t="str">
        <x:v>Le livrable « Tali: Treason » possède une scène ou un scénario de contrôle ; ses règles proposées, ses conditions et ses retours visuels sont vérifiables séparément.</x:v>
      </x:c>
      <x:c r="O33" s="9" t="str"/>
      <x:c r="P33" s="9" t="str">
        <x:v>Tali: Treason</x:v>
      </x:c>
      <x:c r="Q33" s="9" t="str">
        <x:v>ME2-SRC-TREASON</x:v>
      </x:c>
      <x:c r="R33" s="20" t="str">
        <x:v>https://masseffect.fandom.com/wiki/Tali%3A_Treason</x:v>
      </x:c>
      <x:c r="S33" s="20" t="str">
        <x:v>Spécification à réaliser. Les champs adaptation, gameplay, visual, animation, audio et implementation décrivent le fan game ; ils ne donnent pas des caractéristiques officielles de l’œuvre.</x:v>
      </x:c>
    </x:row>
    <x:row r="34" ht="68" customHeight="1">
      <x:c r="A34" s="19" t="str">
        <x:v>ME2-MQ-LOY-THANE</x:v>
      </x:c>
      <x:c r="B34" s="7" t="str">
        <x:v>Thane: Sins of the Father</x:v>
      </x:c>
      <x:c r="C34" s="15" t="str">
        <x:v>Défini</x:v>
      </x:c>
      <x:c r="D34" s="17" t="str">
        <x:v>Établi</x:v>
      </x:c>
      <x:c r="E34" s="17" t="str">
        <x:v>P0</x:v>
      </x:c>
      <x:c r="F34" s="7" t="str">
        <x:v>Thane veut arrêter le contrat de Kolyat.</x:v>
      </x:c>
      <x:c r="G34" s="7" t="str">
        <x:v>Interrogatoire puis filature par passerelles ; échec de suivi et réussite diplomatique ont des retours différents.</x:v>
      </x:c>
      <x:c r="H34" s="7" t="str">
        <x:v>Interrogatoire puis filature par passerelles ; échec de suivi et réussite diplomatique ont des retours différents.</x:v>
      </x:c>
      <x:c r="I34" s="7" t="str">
        <x:v>Citadelle, ponts intérieurs et appartement de la cible.</x:v>
      </x:c>
      <x:c r="J34" s="7" t="str">
        <x:v>Transitions de caméra et d’interface interruptibles ; aucun délai d’animation ne doit consommer une décision encore ouverte.</x:v>
      </x:c>
      <x:c r="K34" s="7" t="str">
        <x:v>Créer des bruitages et ambiances originaux adaptés au livrable ; sous-titrer les indices utiles et proposer un réglage indépendant des effets. Aucune extraction audio demandée.</x:v>
      </x:c>
      <x:c r="L34" s="7" t="str">
        <x:v>Prévu : fiche de données me2/main_quests/loy-thane ; rattacher les ressources et états cités à cet identifiant. Aucun fichier de jeu créé par ce catalogue.</x:v>
      </x:c>
      <x:c r="M34" s="7" t="str">
        <x:v>Thane recruté.</x:v>
      </x:c>
      <x:c r="N34" s="7" t="str">
        <x:v>Le livrable « Thane: Sins of the Father » possède une scène ou un scénario de contrôle ; ses règles proposées, ses conditions et ses retours visuels sont vérifiables séparément.</x:v>
      </x:c>
      <x:c r="O34" s="7" t="str"/>
      <x:c r="P34" s="7" t="str">
        <x:v>Thane: Sins of the Father</x:v>
      </x:c>
      <x:c r="Q34" s="7" t="str">
        <x:v>ME2-SRC-THANE</x:v>
      </x:c>
      <x:c r="R34" s="21" t="str">
        <x:v>https://masseffect.fandom.com/wiki/Thane%3A_Sins_of_the_Father</x:v>
      </x:c>
      <x:c r="S34" s="21" t="str">
        <x:v>Spécification à réaliser. Les champs adaptation, gameplay, visual, animation, audio et implementation décrivent le fan game ; ils ne donnent pas des caractéristiques officielles de l’œuvre.</x:v>
      </x:c>
    </x:row>
    <x:row r="35" ht="68" customHeight="1">
      <x:c r="A35" s="18" t="str">
        <x:v>ME2-MQ-LOY-LEGION</x:v>
      </x:c>
      <x:c r="B35" s="9" t="str">
        <x:v>Legion: A House Divided</x:v>
      </x:c>
      <x:c r="C35" s="15" t="str">
        <x:v>Défini</x:v>
      </x:c>
      <x:c r="D35" s="16" t="str">
        <x:v>Établi</x:v>
      </x:c>
      <x:c r="E35" s="16" t="str">
        <x:v>P0</x:v>
      </x:c>
      <x:c r="F35" s="9" t="str">
        <x:v>Des geth hérétiques préparent un virus.</x:v>
      </x:c>
      <x:c r="G35" s="9" t="str">
        <x:v>Piratage de défenses avant alerte ; tenir un terminal puis choisir destruction ou réécriture.</x:v>
      </x:c>
      <x:c r="H35" s="9" t="str">
        <x:v>Piratage de défenses avant alerte ; tenir un terminal puis choisir destruction ou réécriture.</x:v>
      </x:c>
      <x:c r="I35" s="9" t="str">
        <x:v>Station sans confort organique, serveurs et lignes vertes.</x:v>
      </x:c>
      <x:c r="J35" s="9" t="str">
        <x:v>Transitions de caméra et d’interface interruptibles ; aucun délai d’animation ne doit consommer une décision encore ouverte.</x:v>
      </x:c>
      <x:c r="K35" s="9" t="str">
        <x:v>Créer des bruitages et ambiances originaux adaptés au livrable ; sous-titrer les indices utiles et proposer un réglage indépendant des effets. Aucune extraction audio demandée.</x:v>
      </x:c>
      <x:c r="L35" s="9" t="str">
        <x:v>Prévu : fiche de données me2/main_quests/loy-legion ; rattacher les ressources et états cités à cet identifiant. Aucun fichier de jeu créé par ce catalogue.</x:v>
      </x:c>
      <x:c r="M35" s="9" t="str">
        <x:v>Legion activé ; vérifier calendrier de l’équipage.</x:v>
      </x:c>
      <x:c r="N35" s="9" t="str">
        <x:v>Le livrable « Legion: A House Divided » possède une scène ou un scénario de contrôle ; ses règles proposées, ses conditions et ses retours visuels sont vérifiables séparément.</x:v>
      </x:c>
      <x:c r="O35" s="9" t="str"/>
      <x:c r="P35" s="9" t="str">
        <x:v>Legion: A House Divided</x:v>
      </x:c>
      <x:c r="Q35" s="9" t="str">
        <x:v>ME2-SRC-LEGION</x:v>
      </x:c>
      <x:c r="R35" s="20" t="str">
        <x:v>https://masseffect.fandom.com/wiki/Legion%3A_A_House_Divided</x:v>
      </x:c>
      <x:c r="S35" s="20" t="str">
        <x:v>Spécification à réaliser. Les champs adaptation, gameplay, visual, animation, audio et implementation décrivent le fan game ; ils ne donnent pas des caractéristiques officielles de l’œuvre.</x:v>
      </x:c>
    </x:row>
    <x:row r="36" ht="68" customHeight="1">
      <x:c r="A36" s="19" t="str">
        <x:v>ME2-MQ-KASUMI-RECRUIT</x:v>
      </x:c>
      <x:c r="B36" s="7" t="str">
        <x:v>Dossier: The Master Thief</x:v>
      </x:c>
      <x:c r="C36" s="15" t="str">
        <x:v>Défini</x:v>
      </x:c>
      <x:c r="D36" s="17" t="str">
        <x:v>Établi</x:v>
      </x:c>
      <x:c r="E36" s="17" t="str">
        <x:v>P0</x:v>
      </x:c>
      <x:c r="F36" s="7" t="str">
        <x:v>Kasumi se recrute sur la Citadelle.</x:v>
      </x:c>
      <x:c r="G36" s="7" t="str">
        <x:v>Rencontre d’alias au terminal public ; établir un canal privé avant d’ouvrir le cambriolage.</x:v>
      </x:c>
      <x:c r="H36" s="7" t="str">
        <x:v>Rencontre d’alias au terminal public ; établir un canal privé avant d’ouvrir le cambriolage.</x:v>
      </x:c>
      <x:c r="I36" s="7" t="str">
        <x:v>Publicité holographique et foule discrète.</x:v>
      </x:c>
      <x:c r="J36" s="7" t="str">
        <x:v>Transitions de caméra et d’interface interruptibles ; aucun délai d’animation ne doit consommer une décision encore ouverte.</x:v>
      </x:c>
      <x:c r="K36" s="7" t="str">
        <x:v>Créer des bruitages et ambiances originaux adaptés au livrable ; sous-titrer les indices utiles et proposer un réglage indépendant des effets. Aucune extraction audio demandée.</x:v>
      </x:c>
      <x:c r="L36" s="7" t="str">
        <x:v>Prévu : fiche de données me2/main_quests/kasumi-recruit ; rattacher les ressources et états cités à cet identifiant. Aucun fichier de jeu créé par ce catalogue.</x:v>
      </x:c>
      <x:c r="M36" s="7" t="str">
        <x:v>Pack Kasumi / Legendary.</x:v>
      </x:c>
      <x:c r="N36" s="7" t="str">
        <x:v>Le livrable « Dossier: The Master Thief » possède une scène ou un scénario de contrôle ; ses règles proposées, ses conditions et ses retours visuels sont vérifiables séparément.</x:v>
      </x:c>
      <x:c r="O36" s="7" t="str"/>
      <x:c r="P36" s="7" t="str">
        <x:v>Dossier: The Master Thief</x:v>
      </x:c>
      <x:c r="Q36" s="7" t="str">
        <x:v>ME2-SRC-MISSIONS</x:v>
      </x:c>
      <x:c r="R36" s="21" t="str">
        <x:v>https://masseffect.fandom.com/wiki/Missions</x:v>
      </x:c>
      <x:c r="S36" s="21" t="str">
        <x:v>Spécification à réaliser. Les champs adaptation, gameplay, visual, animation, audio et implementation décrivent le fan game ; ils ne donnent pas des caractéristiques officielles de l’œuvre.</x:v>
      </x:c>
    </x:row>
    <x:row r="37" ht="68" customHeight="1">
      <x:c r="A37" s="18" t="str">
        <x:v>ME2-MQ-KASUMI-HEIST</x:v>
      </x:c>
      <x:c r="B37" s="9" t="str">
        <x:v>Kasumi: Stealing Memory</x:v>
      </x:c>
      <x:c r="C37" s="15" t="str">
        <x:v>Défini</x:v>
      </x:c>
      <x:c r="D37" s="16" t="str">
        <x:v>Établi</x:v>
      </x:c>
      <x:c r="E37" s="16" t="str">
        <x:v>P0</x:v>
      </x:c>
      <x:c r="F37" s="9" t="str">
        <x:v>Le cambriolage vise le graybox de Keiji.</x:v>
      </x:c>
      <x:c r="G37" s="9" t="str">
        <x:v>Préparer accès vocal, prélèvement et brouillage, puis sortir du coffre sous le feu.</x:v>
      </x:c>
      <x:c r="H37" s="9" t="str">
        <x:v>Préparer accès vocal, prélèvement et brouillage, puis sortir du coffre sous le feu.</x:v>
      </x:c>
      <x:c r="I37" s="9" t="str">
        <x:v>Manoir de Bekenstein, réception, collection et terrasse.</x:v>
      </x:c>
      <x:c r="J37" s="9" t="str">
        <x:v>Transitions de caméra et d’interface interruptibles ; aucun délai d’animation ne doit consommer une décision encore ouverte.</x:v>
      </x:c>
      <x:c r="K37" s="9" t="str">
        <x:v>Créer des bruitages et ambiances originaux adaptés au livrable ; sous-titrer les indices utiles et proposer un réglage indépendant des effets. Aucune extraction audio demandée.</x:v>
      </x:c>
      <x:c r="L37" s="9" t="str">
        <x:v>Prévu : fiche de données me2/main_quests/kasumi-heist ; rattacher les ressources et états cités à cet identifiant. Aucun fichier de jeu créé par ce catalogue.</x:v>
      </x:c>
      <x:c r="M37" s="9" t="str">
        <x:v>Kasumi recrutée.</x:v>
      </x:c>
      <x:c r="N37" s="9" t="str">
        <x:v>Le livrable « Kasumi: Stealing Memory » possède une scène ou un scénario de contrôle ; ses règles proposées, ses conditions et ses retours visuels sont vérifiables séparément.</x:v>
      </x:c>
      <x:c r="O37" s="9" t="str"/>
      <x:c r="P37" s="9" t="str">
        <x:v>Kasumi: Stealing Memory</x:v>
      </x:c>
      <x:c r="Q37" s="9" t="str">
        <x:v>ME2-SRC-KASUMI</x:v>
      </x:c>
      <x:c r="R37" s="20" t="str">
        <x:v>https://masseffect.fandom.com/wiki/Kasumi%3A_Stealing_Memory</x:v>
      </x:c>
      <x:c r="S37" s="20" t="str">
        <x:v>Spécification à réaliser. Les champs adaptation, gameplay, visual, animation, audio et implementation décrivent le fan game ; ils ne donnent pas des caractéristiques officielles de l’œuvre.</x:v>
      </x:c>
    </x:row>
    <x:row r="38" ht="68" customHeight="1">
      <x:c r="A38" s="19" t="str">
        <x:v>ME2-MQ-ZAEED-RECRUIT</x:v>
      </x:c>
      <x:c r="B38" s="7" t="str">
        <x:v>Dossier: The Veteran</x:v>
      </x:c>
      <x:c r="C38" s="15" t="str">
        <x:v>Défini</x:v>
      </x:c>
      <x:c r="D38" s="17" t="str">
        <x:v>Établi</x:v>
      </x:c>
      <x:c r="E38" s="17" t="str">
        <x:v>P0</x:v>
      </x:c>
      <x:c r="F38" s="7" t="str">
        <x:v>Zaeed se recrute sur Omega.</x:v>
      </x:c>
      <x:c r="G38" s="7" t="str">
        <x:v>Entretien court présentant sa méthode et sa dette ; ouvrir la mission sans la confondre avec sa résolution.</x:v>
      </x:c>
      <x:c r="H38" s="7" t="str">
        <x:v>Entretien court présentant sa méthode et sa dette ; ouvrir la mission sans la confondre avec sa résolution.</x:v>
      </x:c>
      <x:c r="I38" s="7" t="str">
        <x:v>Quai industriel et départ de mercenaires.</x:v>
      </x:c>
      <x:c r="J38" s="7" t="str">
        <x:v>Transitions de caméra et d’interface interruptibles ; aucun délai d’animation ne doit consommer une décision encore ouverte.</x:v>
      </x:c>
      <x:c r="K38" s="7" t="str">
        <x:v>Créer des bruitages et ambiances originaux adaptés au livrable ; sous-titrer les indices utiles et proposer un réglage indépendant des effets. Aucune extraction audio demandée.</x:v>
      </x:c>
      <x:c r="L38" s="7" t="str">
        <x:v>Prévu : fiche de données me2/main_quests/zaeed-recruit ; rattacher les ressources et états cités à cet identifiant. Aucun fichier de jeu créé par ce catalogue.</x:v>
      </x:c>
      <x:c r="M38" s="7" t="str">
        <x:v>Pack Zaeed / Legendary.</x:v>
      </x:c>
      <x:c r="N38" s="7" t="str">
        <x:v>Le livrable « Dossier: The Veteran » possède une scène ou un scénario de contrôle ; ses règles proposées, ses conditions et ses retours visuels sont vérifiables séparément.</x:v>
      </x:c>
      <x:c r="O38" s="7" t="str"/>
      <x:c r="P38" s="7" t="str">
        <x:v>Dossier: The Veteran</x:v>
      </x:c>
      <x:c r="Q38" s="7" t="str">
        <x:v>ME2-SRC-MISSIONS</x:v>
      </x:c>
      <x:c r="R38" s="21" t="str">
        <x:v>https://masseffect.fandom.com/wiki/Missions</x:v>
      </x:c>
      <x:c r="S38" s="21" t="str">
        <x:v>Spécification à réaliser. Les champs adaptation, gameplay, visual, animation, audio et implementation décrivent le fan game ; ils ne donnent pas des caractéristiques officielles de l’œuvre.</x:v>
      </x:c>
    </x:row>
    <x:row r="39" ht="68" customHeight="1">
      <x:c r="A39" s="18" t="str">
        <x:v>ME2-MQ-ZAEED-LOY</x:v>
      </x:c>
      <x:c r="B39" s="9" t="str">
        <x:v>Zaeed: The Price of Revenge</x:v>
      </x:c>
      <x:c r="C39" s="15" t="str">
        <x:v>Défini</x:v>
      </x:c>
      <x:c r="D39" s="16" t="str">
        <x:v>Établi</x:v>
      </x:c>
      <x:c r="E39" s="16" t="str">
        <x:v>P0</x:v>
      </x:c>
      <x:c r="F39" s="9" t="str">
        <x:v>Zaeed poursuit Vido dans une raffinerie.</x:v>
      </x:c>
      <x:c r="G39" s="9" t="str">
        <x:v>Embranchements physiques entre secours et poursuite ; faire comprendre les conséquences avant leur verrouillage.</x:v>
      </x:c>
      <x:c r="H39" s="9" t="str">
        <x:v>Embranchements physiques entre secours et poursuite ; faire comprendre les conséquences avant leur verrouillage.</x:v>
      </x:c>
      <x:c r="I39" s="9" t="str">
        <x:v>Feu industriel et passerelles de raffinerie.</x:v>
      </x:c>
      <x:c r="J39" s="9" t="str">
        <x:v>Transitions de caméra et d’interface interruptibles ; aucun délai d’animation ne doit consommer une décision encore ouverte.</x:v>
      </x:c>
      <x:c r="K39" s="9" t="str">
        <x:v>Créer des bruitages et ambiances originaux adaptés au livrable ; sous-titrer les indices utiles et proposer un réglage indépendant des effets. Aucune extraction audio demandée.</x:v>
      </x:c>
      <x:c r="L39" s="9" t="str">
        <x:v>Prévu : fiche de données me2/main_quests/zaeed-loy ; rattacher les ressources et états cités à cet identifiant. Aucun fichier de jeu créé par ce catalogue.</x:v>
      </x:c>
      <x:c r="M39" s="9" t="str">
        <x:v>Zaeed recruté ; loyauté et survie séparées.</x:v>
      </x:c>
      <x:c r="N39" s="9" t="str">
        <x:v>Le livrable « Zaeed: The Price of Revenge » possède une scène ou un scénario de contrôle ; ses règles proposées, ses conditions et ses retours visuels sont vérifiables séparément.</x:v>
      </x:c>
      <x:c r="O39" s="9" t="str"/>
      <x:c r="P39" s="9" t="str">
        <x:v>Zaeed: The Price of Revenge</x:v>
      </x:c>
      <x:c r="Q39" s="9" t="str">
        <x:v>ME2-SRC-ZAEED</x:v>
      </x:c>
      <x:c r="R39" s="20" t="str">
        <x:v>https://masseffect.fandom.com/wiki/Zaeed%3A_The_Price_of_Revenge</x:v>
      </x:c>
      <x:c r="S39" s="20" t="str">
        <x:v>Spécification à réaliser. Les champs adaptation, gameplay, visual, animation, audio et implementation décrivent le fan game ; ils ne donnent pas des caractéristiques officielles de l’œuvre.</x:v>
      </x:c>
    </x:row>
    <x:row r="40" ht="68" customHeight="1">
      <x:c r="A40" s="19" t="str">
        <x:v>ME2-MQ-SHADOW</x:v>
      </x:c>
      <x:c r="B40" s="7" t="str">
        <x:v>Lair of the Shadow Broker</x:v>
      </x:c>
      <x:c r="C40" s="15" t="str">
        <x:v>Défini</x:v>
      </x:c>
      <x:c r="D40" s="17" t="str">
        <x:v>Établi</x:v>
      </x:c>
      <x:c r="E40" s="17" t="str">
        <x:v>P0</x:v>
      </x:c>
      <x:c r="F40" s="7" t="str">
        <x:v>Shepard aide Liara à retrouver le Courtier.</x:v>
      </x:c>
      <x:c r="G40" s="7" t="str">
        <x:v>Enquête, poursuite, duel Vasir, assaut extérieur puis boss yahg ; points de reprise entre grands segments.</x:v>
      </x:c>
      <x:c r="H40" s="7" t="str">
        <x:v>Enquête, poursuite, duel Vasir, assaut extérieur puis boss yahg ; points de reprise entre grands segments.</x:v>
      </x:c>
      <x:c r="I40" s="7" t="str">
        <x:v>Illium luxueuse puis coque sous orage d’Hagalaz.</x:v>
      </x:c>
      <x:c r="J40" s="7" t="str">
        <x:v>Transitions de caméra et d’interface interruptibles ; aucun délai d’animation ne doit consommer une décision encore ouverte.</x:v>
      </x:c>
      <x:c r="K40" s="7" t="str">
        <x:v>Créer des bruitages et ambiances originaux adaptés au livrable ; sous-titrer les indices utiles et proposer un réglage indépendant des effets. Aucune extraction audio demandée.</x:v>
      </x:c>
      <x:c r="L40" s="7" t="str">
        <x:v>Prévu : fiche de données me2/main_quests/shadow ; rattacher les ressources et états cités à cet identifiant. Aucun fichier de jeu créé par ce catalogue.</x:v>
      </x:c>
      <x:c r="M40" s="7" t="str">
        <x:v>DLC / Legendary ; Liara temporairement imposée.</x:v>
      </x:c>
      <x:c r="N40" s="7" t="str">
        <x:v>Le livrable « Lair of the Shadow Broker » possède une scène ou un scénario de contrôle ; ses règles proposées, ses conditions et ses retours visuels sont vérifiables séparément.</x:v>
      </x:c>
      <x:c r="O40" s="7" t="str"/>
      <x:c r="P40" s="7" t="str">
        <x:v>Lair of the Shadow Broker</x:v>
      </x:c>
      <x:c r="Q40" s="7" t="str">
        <x:v>ME2-SRC-SHADOW, ME2-SRC-EA-SHADOW</x:v>
      </x:c>
      <x:c r="R40" s="21" t="str">
        <x:v>https://masseffect.fandom.com/wiki/Lair_of_the_Shadow_Broker_%28mission%29
https://news.ea.com/press-releases/press-releases-details/2010/The-Battles-Rage-On-in-New-Downloadable-Content-for-BioWares-Dragon-Age-Origins-and-Mass-Effect-2/default.aspx</x:v>
      </x:c>
      <x:c r="S40" s="21" t="str">
        <x:v>Spécification à réaliser. Les champs adaptation, gameplay, visual, animation, audio et implementation décrivent le fan game ; ils ne donnent pas des caractéristiques officielles de l’œuvre.</x:v>
      </x:c>
    </x:row>
    <x:row r="41" ht="68" customHeight="1">
      <x:c r="A41" s="18" t="str">
        <x:v>ME2-MQ-OVERLORD</x:v>
      </x:c>
      <x:c r="B41" s="9" t="str">
        <x:v>Overlord — opération d’Aite</x:v>
      </x:c>
      <x:c r="C41" s="15" t="str">
        <x:v>Défini</x:v>
      </x:c>
      <x:c r="D41" s="16" t="str">
        <x:v>Établi</x:v>
      </x:c>
      <x:c r="E41" s="16" t="str">
        <x:v>P0</x:v>
      </x:c>
      <x:c r="F41" s="9" t="str">
        <x:v>Un projet Cerberus échappe au contrôle.</x:v>
      </x:c>
      <x:c r="G41" s="9" t="str">
        <x:v>Centre attaqué, exploration Hammerhead et deux stations débloquant Atlas ; progression suivie par verrouillages.</x:v>
      </x:c>
      <x:c r="H41" s="9" t="str">
        <x:v>Centre attaqué, exploration Hammerhead et deux stations débloquant Atlas ; progression suivie par verrouillages.</x:v>
      </x:c>
      <x:c r="I41" s="9" t="str">
        <x:v>Antennes, vallée verte et laboratoires contaminés.</x:v>
      </x:c>
      <x:c r="J41" s="9" t="str">
        <x:v>Transitions de caméra et d’interface interruptibles ; aucun délai d’animation ne doit consommer une décision encore ouverte.</x:v>
      </x:c>
      <x:c r="K41" s="9" t="str">
        <x:v>Créer des bruitages et ambiances originaux adaptés au livrable ; sous-titrer les indices utiles et proposer un réglage indépendant des effets. Aucune extraction audio demandée.</x:v>
      </x:c>
      <x:c r="L41" s="9" t="str">
        <x:v>Prévu : fiche de données me2/main_quests/overlord ; rattacher les ressources et états cités à cet identifiant. Aucun fichier de jeu créé par ce catalogue.</x:v>
      </x:c>
      <x:c r="M41" s="9" t="str">
        <x:v>DLC / Legendary.</x:v>
      </x:c>
      <x:c r="N41" s="9" t="str">
        <x:v>Le livrable « Overlord — opération d’Aite » possède une scène ou un scénario de contrôle ; ses règles proposées, ses conditions et ses retours visuels sont vérifiables séparément.</x:v>
      </x:c>
      <x:c r="O41" s="9" t="str"/>
      <x:c r="P41" s="9" t="str">
        <x:v>Overlord — opération d’Aite</x:v>
      </x:c>
      <x:c r="Q41" s="9" t="str">
        <x:v>ME2-SRC-OVERLORD, ME2-SRC-ATLAS</x:v>
      </x:c>
      <x:c r="R41" s="20" t="str">
        <x:v>https://masseffect.fandom.com/wiki/Overlord
https://masseffect.fandom.com/wiki/Atlas_Station</x:v>
      </x:c>
      <x:c r="S41" s="20" t="str">
        <x:v>Spécification à réaliser. Les champs adaptation, gameplay, visual, animation, audio et implementation décrivent le fan game ; ils ne donnent pas des caractéristiques officielles de l’œuvre.</x:v>
      </x:c>
    </x:row>
    <x:row r="42" ht="68" customHeight="1">
      <x:c r="A42" s="19" t="str">
        <x:v>ME2-MQ-OV-VULCAN</x:v>
      </x:c>
      <x:c r="B42" s="7" t="str">
        <x:v>Overlord: Vulcan Station</x:v>
      </x:c>
      <x:c r="C42" s="15" t="str">
        <x:v>Défini</x:v>
      </x:c>
      <x:c r="D42" s="17" t="str">
        <x:v>Établi</x:v>
      </x:c>
      <x:c r="E42" s="17" t="str">
        <x:v>P0</x:v>
      </x:c>
      <x:c r="F42" s="7" t="str">
        <x:v>Vulcan appartient aux installations d’Aite.</x:v>
      </x:c>
      <x:c r="G42" s="7" t="str">
        <x:v>Alterner géothermie et mécas ; ouvrir l’accès local sans rendre Atlas disponible avant les autres verrous.</x:v>
      </x:c>
      <x:c r="H42" s="7" t="str">
        <x:v>Alterner géothermie et mécas ; ouvrir l’accès local sans rendre Atlas disponible avant les autres verrous.</x:v>
      </x:c>
      <x:c r="I42" s="7" t="str">
        <x:v>Basalte, vapeur, lave et réseaux Cerberus.</x:v>
      </x:c>
      <x:c r="J42" s="7" t="str">
        <x:v>Transitions de caméra et d’interface interruptibles ; aucun délai d’animation ne doit consommer une décision encore ouverte.</x:v>
      </x:c>
      <x:c r="K42" s="7" t="str">
        <x:v>Créer des bruitages et ambiances originaux adaptés au livrable ; sous-titrer les indices utiles et proposer un réglage indépendant des effets. Aucune extraction audio demandée.</x:v>
      </x:c>
      <x:c r="L42" s="7" t="str">
        <x:v>Prévu : fiche de données me2/main_quests/ov-vulcan ; rattacher les ressources et états cités à cet identifiant. Aucun fichier de jeu créé par ce catalogue.</x:v>
      </x:c>
      <x:c r="M42" s="7" t="str">
        <x:v>Opération Overlord ouverte.</x:v>
      </x:c>
      <x:c r="N42" s="7" t="str">
        <x:v>Le livrable « Overlord: Vulcan Station » possède une scène ou un scénario de contrôle ; ses règles proposées, ses conditions et ses retours visuels sont vérifiables séparément.</x:v>
      </x:c>
      <x:c r="O42" s="7" t="str"/>
      <x:c r="P42" s="7" t="str">
        <x:v>Overlord: Vulcan Station</x:v>
      </x:c>
      <x:c r="Q42" s="7" t="str">
        <x:v>ME2-SRC-ATLAS</x:v>
      </x:c>
      <x:c r="R42" s="21" t="str">
        <x:v>https://masseffect.fandom.com/wiki/Atlas_Station</x:v>
      </x:c>
      <x:c r="S42" s="21" t="str">
        <x:v>Spécification à réaliser. Les champs adaptation, gameplay, visual, animation, audio et implementation décrivent le fan game ; ils ne donnent pas des caractéristiques officielles de l’œuvre.</x:v>
      </x:c>
    </x:row>
    <x:row r="43" ht="68" customHeight="1">
      <x:c r="A43" s="18" t="str">
        <x:v>ME2-MQ-OV-PROMETHEUS</x:v>
      </x:c>
      <x:c r="B43" s="9" t="str">
        <x:v>Overlord: Prometheus Station</x:v>
      </x:c>
      <x:c r="C43" s="15" t="str">
        <x:v>Défini</x:v>
      </x:c>
      <x:c r="D43" s="16" t="str">
        <x:v>Établi</x:v>
      </x:c>
      <x:c r="E43" s="16" t="str">
        <x:v>P0</x:v>
      </x:c>
      <x:c r="F43" s="9" t="str">
        <x:v>Prometheus est nécessaire pour ouvrir Atlas.</x:v>
      </x:c>
      <x:c r="G43" s="9" t="str">
        <x:v>Approche d’une épave geth puis exploration intérieure ; utiliser un faisceau adverse comme contrainte d’abri.</x:v>
      </x:c>
      <x:c r="H43" s="9" t="str">
        <x:v>Approche d’une épave geth puis exploration intérieure ; utiliser un faisceau adverse comme contrainte d’abri.</x:v>
      </x:c>
      <x:c r="I43" s="9" t="str">
        <x:v>Carcasse geth et modules industriels.</x:v>
      </x:c>
      <x:c r="J43" s="9" t="str">
        <x:v>Transitions de caméra et d’interface interruptibles ; aucun délai d’animation ne doit consommer une décision encore ouverte.</x:v>
      </x:c>
      <x:c r="K43" s="9" t="str">
        <x:v>Créer des bruitages et ambiances originaux adaptés au livrable ; sous-titrer les indices utiles et proposer un réglage indépendant des effets. Aucune extraction audio demandée.</x:v>
      </x:c>
      <x:c r="L43" s="9" t="str">
        <x:v>Prévu : fiche de données me2/main_quests/ov-prometheus ; rattacher les ressources et états cités à cet identifiant. Aucun fichier de jeu créé par ce catalogue.</x:v>
      </x:c>
      <x:c r="M43" s="9" t="str">
        <x:v>Opération Overlord ouverte.</x:v>
      </x:c>
      <x:c r="N43" s="9" t="str">
        <x:v>Le livrable « Overlord: Prometheus Station » possède une scène ou un scénario de contrôle ; ses règles proposées, ses conditions et ses retours visuels sont vérifiables séparément.</x:v>
      </x:c>
      <x:c r="O43" s="9" t="str"/>
      <x:c r="P43" s="9" t="str">
        <x:v>Overlord: Prometheus Station</x:v>
      </x:c>
      <x:c r="Q43" s="9" t="str">
        <x:v>ME2-SRC-ATLAS</x:v>
      </x:c>
      <x:c r="R43" s="20" t="str">
        <x:v>https://masseffect.fandom.com/wiki/Atlas_Station</x:v>
      </x:c>
      <x:c r="S43" s="20" t="str">
        <x:v>Spécification à réaliser. Les champs adaptation, gameplay, visual, animation, audio et implementation décrivent le fan game ; ils ne donnent pas des caractéristiques officielles de l’œuvre.</x:v>
      </x:c>
    </x:row>
    <x:row r="44" ht="68" customHeight="1">
      <x:c r="A44" s="19" t="str">
        <x:v>ME2-MQ-OV-ATLAS</x:v>
      </x:c>
      <x:c r="B44" s="7" t="str">
        <x:v>Overlord: Atlas Station</x:v>
      </x:c>
      <x:c r="C44" s="15" t="str">
        <x:v>Défini</x:v>
      </x:c>
      <x:c r="D44" s="17" t="str">
        <x:v>Établi</x:v>
      </x:c>
      <x:c r="E44" s="17" t="str">
        <x:v>P0</x:v>
      </x:c>
      <x:c r="F44" s="7" t="str">
        <x:v>David Archer est relié au dispositif.</x:v>
      </x:c>
      <x:c r="G44" s="7" t="str">
        <x:v>Dissocier données virtuelles, arrêt de transfert et décision concernant David ; dernier acte en solo contrôlé.</x:v>
      </x:c>
      <x:c r="H44" s="7" t="str">
        <x:v>Dissocier données virtuelles, arrêt de transfert et décision concernant David ; dernier acte en solo contrôlé.</x:v>
      </x:c>
      <x:c r="I44" s="7" t="str">
        <x:v>Superposition de réel et flux numériques verts.</x:v>
      </x:c>
      <x:c r="J44" s="7" t="str">
        <x:v>Transitions de caméra et d’interface interruptibles ; aucun délai d’animation ne doit consommer une décision encore ouverte.</x:v>
      </x:c>
      <x:c r="K44" s="7" t="str">
        <x:v>Créer des bruitages et ambiances originaux adaptés au livrable ; sous-titrer les indices utiles et proposer un réglage indépendant des effets. Aucune extraction audio demandée.</x:v>
      </x:c>
      <x:c r="L44" s="7" t="str">
        <x:v>Prévu : fiche de données me2/main_quests/ov-atlas ; rattacher les ressources et états cités à cet identifiant. Aucun fichier de jeu créé par ce catalogue.</x:v>
      </x:c>
      <x:c r="M44" s="7" t="str">
        <x:v>Verrous de stations levés.</x:v>
      </x:c>
      <x:c r="N44" s="7" t="str">
        <x:v>Le livrable « Overlord: Atlas Station » possède une scène ou un scénario de contrôle ; ses règles proposées, ses conditions et ses retours visuels sont vérifiables séparément.</x:v>
      </x:c>
      <x:c r="O44" s="7" t="str"/>
      <x:c r="P44" s="7" t="str">
        <x:v>Overlord: Atlas Station</x:v>
      </x:c>
      <x:c r="Q44" s="7" t="str">
        <x:v>ME2-SRC-ATLAS</x:v>
      </x:c>
      <x:c r="R44" s="21" t="str">
        <x:v>https://masseffect.fandom.com/wiki/Atlas_Station</x:v>
      </x:c>
      <x:c r="S44" s="21" t="str">
        <x:v>Spécification à réaliser. Les champs adaptation, gameplay, visual, animation, audio et implementation décrivent le fan game ; ils ne donnent pas des caractéristiques officielles de l’œuvre.</x:v>
      </x:c>
    </x:row>
    <x:row r="45" ht="68" customHeight="1">
      <x:c r="A45" s="18" t="str">
        <x:v>ME2-MQ-ARRIVAL</x:v>
      </x:c>
      <x:c r="B45" s="9" t="str">
        <x:v>Arrival</x:v>
      </x:c>
      <x:c r="C45" s="15" t="str">
        <x:v>Défini</x:v>
      </x:c>
      <x:c r="D45" s="16" t="str">
        <x:v>Établi</x:v>
      </x:c>
      <x:c r="E45" s="16" t="str">
        <x:v>P0</x:v>
      </x:c>
      <x:c r="F45" s="9" t="str">
        <x:v>Shepard détruit le relais Alpha.</x:v>
      </x:c>
      <x:c r="G45" s="9" t="str">
        <x:v>Évasion de prison, artefact puis course au projet ; mission globalement solo avec compagnon temporaire local.</x:v>
      </x:c>
      <x:c r="H45" s="9" t="str">
        <x:v>Évasion de prison, artefact puis course au projet ; mission globalement solo avec compagnon temporaire local.</x:v>
      </x:c>
      <x:c r="I45" s="9" t="str">
        <x:v>Prison batarienne, astéroïde et vue du relais.</x:v>
      </x:c>
      <x:c r="J45" s="9" t="str">
        <x:v>Transitions de caméra et d’interface interruptibles ; aucun délai d’animation ne doit consommer une décision encore ouverte.</x:v>
      </x:c>
      <x:c r="K45" s="9" t="str">
        <x:v>Créer des bruitages et ambiances originaux adaptés au livrable ; sous-titrer les indices utiles et proposer un réglage indépendant des effets. Aucune extraction audio demandée.</x:v>
      </x:c>
      <x:c r="L45" s="9" t="str">
        <x:v>Prévu : fiche de données me2/main_quests/arrival ; rattacher les ressources et états cités à cet identifiant. Aucun fichier de jeu créé par ce catalogue.</x:v>
      </x:c>
      <x:c r="M45" s="9" t="str">
        <x:v>DLC / Legendary ; contenu de fin d’arc.</x:v>
      </x:c>
      <x:c r="N45" s="9" t="str">
        <x:v>Le livrable « Arrival » possède une scène ou un scénario de contrôle ; ses règles proposées, ses conditions et ses retours visuels sont vérifiables séparément.</x:v>
      </x:c>
      <x:c r="O45" s="9" t="str"/>
      <x:c r="P45" s="9" t="str">
        <x:v>Arrival</x:v>
      </x:c>
      <x:c r="Q45" s="9" t="str">
        <x:v>ME2-SRC-ARRIVAL</x:v>
      </x:c>
      <x:c r="R45" s="20" t="str">
        <x:v>https://masseffect.fandom.com/wiki/Arrival_%28assignment%29</x:v>
      </x:c>
      <x:c r="S45" s="20" t="str">
        <x:v>Spécification à réaliser. Les champs adaptation, gameplay, visual, animation, audio et implementation décrivent le fan game ; ils ne donnent pas des caractéristiques officielles de l’œuvre.</x:v>
      </x:c>
    </x:row>
  </x:sheetData>
  <x:conditionalFormatting sqref="D7:D45">
    <x:cfRule type="cellIs" dxfId="36" priority="1" operator="equal">
      <x:formula>"À vérifier"</x:formula>
    </x:cfRule>
    <x:cfRule type="cellIs" dxfId="37" priority="2" operator="equal">
      <x:formula>"Extrapolation"</x:formula>
    </x:cfRule>
  </x:conditionalFormatting>
  <x:conditionalFormatting sqref="C7:C45">
    <x:cfRule type="cellIs" dxfId="38" priority="3" operator="equal">
      <x:formula>"Validé"</x:formula>
    </x:cfRule>
  </x:conditionalFormatting>
  <x:conditionalFormatting sqref="E7:E45">
    <x:cfRule type="cellIs" dxfId="39" priority="4" operator="equal">
      <x:formula>"P0"</x:formula>
    </x:cfRule>
  </x:conditionalFormatting>
  <x:dataValidations count="3">
    <x:dataValidation type="list" sqref="C7:C45">
      <x:formula1>"Défini,Prototype,Intégré,Validé"</x:formula1>
    </x:dataValidation>
    <x:dataValidation type="list" sqref="D7:D45">
      <x:formula1>"Établi,À vérifier,Extrapolation,Coupé attesté,Concept abandonné,Allégation écartée"</x:formula1>
    </x:dataValidation>
    <x:dataValidation type="list" sqref="E7:E45">
      <x:formula1>"P0,P1,P2"</x:formula1>
    </x:dataValidation>
  </x:dataValidations>
  <x:pageMargins left="0.7" right="0.7" top="0.75" bottom="0.75" header="0.3" footer="0.3"/>
  <x:tableParts count="1">
    <x:tablePart xmlns:r="http://schemas.openxmlformats.org/officeDocument/2006/relationships" r:id="R6b74cb1d601f4845"/>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Secondaires et DLC</x:v>
      </x:c>
      <x:c r="B2" s="2"/>
      <x:c r="C2" s="2"/>
      <x:c r="D2" s="2"/>
      <x:c r="E2" s="2"/>
      <x:c r="F2" s="2"/>
      <x:c r="G2" s="2"/>
      <x:c r="H2" s="2"/>
      <x:c r="I2" s="2"/>
      <x:c r="J2" s="2"/>
      <x:c r="K2" s="2"/>
      <x:c r="L2" s="2"/>
      <x:c r="M2" s="2"/>
      <x:c r="N2" s="2"/>
      <x:c r="O2" s="2"/>
      <x:c r="P2" s="2"/>
      <x:c r="Q2" s="2"/>
      <x:c r="R2" s="2"/>
      <x:c r="S2" s="2"/>
    </x:row>
    <x:row r="3" ht="22" customHeight="1">
      <x:c r="A3" s="4" t="str">
        <x:v>Mass Effect 2 — Contenus annexes, variantes et extensions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ME2-SQ-NORMANDY-BRANDY</x:v>
      </x:c>
      <x:c r="B7" s="9" t="str">
        <x:v>Normandy: Serrice Ice Brandy</x:v>
      </x:c>
      <x:c r="C7" s="15" t="str">
        <x:v>Défini</x:v>
      </x:c>
      <x:c r="D7" s="16" t="str">
        <x:v>Établi</x:v>
      </x:c>
      <x:c r="E7" s="16" t="str">
        <x:v>P1</x:v>
      </x:c>
      <x:c r="F7" s="9" t="str">
        <x:v>Affectation de Chakwas.</x:v>
      </x:c>
      <x:c r="G7" s="9" t="str">
        <x:v>Trouver une bouteille au marchand, confirmer sa remise et ouvrir la conversation de repos.</x:v>
      </x:c>
      <x:c r="H7" s="9" t="str">
        <x:v>Trouver une bouteille au marchand, confirmer sa remise et ouvrir la conversation de repos.</x:v>
      </x:c>
      <x:c r="I7" s="9" t="str">
        <x:v>Objet ambré dans inventaire de quête.</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me2/side_quests/normandy-brandy ; rattacher les ressources et états cités à cet identifiant. Aucun fichier de jeu créé par ce catalogue.</x:v>
      </x:c>
      <x:c r="M7" s="9" t="str">
        <x:v>Ne pas consommer comme objet de combat.</x:v>
      </x:c>
      <x:c r="N7" s="9" t="str">
        <x:v>Le livrable « Normandy: Serrice Ice Brandy » possède une scène ou un scénario de contrôle ; ses règles proposées, ses conditions et ses retours visuels sont vérifiables séparément.</x:v>
      </x:c>
      <x:c r="O7" s="9" t="str"/>
      <x:c r="P7" s="9" t="str">
        <x:v>Normandy: Serrice Ice Brandy</x:v>
      </x:c>
      <x:c r="Q7" s="9" t="str">
        <x:v>ME2-SRC-ASSIGN</x:v>
      </x:c>
      <x:c r="R7" s="20" t="str">
        <x:v>https://masseffect.fandom.com/wiki/Assignments</x:v>
      </x:c>
      <x:c r="S7" s="20" t="str">
        <x:v>Spécification à réaliser. Les champs adaptation, gameplay, visual, animation, audio et implementation décrivent le fan game ; ils ne donnent pas des caractéristiques officielles de l’œuvre.</x:v>
      </x:c>
    </x:row>
    <x:row r="8" ht="68" customHeight="1">
      <x:c r="A8" s="19" t="str">
        <x:v>ME2-SQ-NORMANDY-FBA</x:v>
      </x:c>
      <x:c r="B8" s="7" t="str">
        <x:v>Normandy: FBA Couplings</x:v>
      </x:c>
      <x:c r="C8" s="15" t="str">
        <x:v>Défini</x:v>
      </x:c>
      <x:c r="D8" s="17" t="str">
        <x:v>Établi</x:v>
      </x:c>
      <x:c r="E8" s="17" t="str">
        <x:v>P1</x:v>
      </x:c>
      <x:c r="F8" s="7" t="str">
        <x:v>Affectation de maintenance du Normandy.</x:v>
      </x:c>
      <x:c r="G8" s="7" t="str">
        <x:v>Acheter une pièce, la remettre à l’ingénierie ; afficher le circuit de service complété.</x:v>
      </x:c>
      <x:c r="H8" s="7" t="str">
        <x:v>Acheter une pièce, la remettre à l’ingénierie ; afficher le circuit de service complété.</x:v>
      </x:c>
      <x:c r="I8" s="7" t="str">
        <x:v>Coupleurs industriels marqués pour la soute.</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me2/side_quests/normandy-fba ; rattacher les ressources et états cités à cet identifiant. Aucun fichier de jeu créé par ce catalogue.</x:v>
      </x:c>
      <x:c r="M8" s="7" t="str"/>
      <x:c r="N8" s="7" t="str">
        <x:v>Le livrable « Normandy: FBA Couplings » possède une scène ou un scénario de contrôle ; ses règles proposées, ses conditions et ses retours visuels sont vérifiables séparément.</x:v>
      </x:c>
      <x:c r="O8" s="7" t="str"/>
      <x:c r="P8" s="7" t="str">
        <x:v>Normandy: FBA Couplings</x:v>
      </x:c>
      <x:c r="Q8" s="7" t="str">
        <x:v>ME2-SRC-ASSIGN</x:v>
      </x:c>
      <x:c r="R8" s="21" t="str">
        <x:v>https://masseffect.fandom.com/wiki/Assignments</x:v>
      </x:c>
      <x:c r="S8" s="21" t="str">
        <x:v>Spécification à réaliser. Les champs adaptation, gameplay, visual, animation, audio et implementation décrivent le fan game ; ils ne donnent pas des caractéristiques officielles de l’œuvre.</x:v>
      </x:c>
    </x:row>
    <x:row r="9" ht="68" customHeight="1">
      <x:c r="A9" s="18" t="str">
        <x:v>ME2-SQ-NORMANDY-FOOD</x:v>
      </x:c>
      <x:c r="B9" s="9" t="str">
        <x:v>Normandy: Special Ingredients</x:v>
      </x:c>
      <x:c r="C9" s="15" t="str">
        <x:v>Défini</x:v>
      </x:c>
      <x:c r="D9" s="16" t="str">
        <x:v>Établi</x:v>
      </x:c>
      <x:c r="E9" s="16" t="str">
        <x:v>P1</x:v>
      </x:c>
      <x:c r="F9" s="9" t="str">
        <x:v>Affectation d’approvisionnement du mess.</x:v>
      </x:c>
      <x:c r="G9" s="9" t="str">
        <x:v>Liste de courses courte ; mise à jour du mess après livraison.</x:v>
      </x:c>
      <x:c r="H9" s="9" t="str">
        <x:v>Liste de courses courte ; mise à jour du mess après livraison.</x:v>
      </x:c>
      <x:c r="I9" s="9" t="str">
        <x:v>Caisses alimentaires distinctes du ravitaillement d’armes.</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me2/side_quests/normandy-food ; rattacher les ressources et états cités à cet identifiant. Aucun fichier de jeu créé par ce catalogue.</x:v>
      </x:c>
      <x:c r="M9" s="9" t="str"/>
      <x:c r="N9" s="9" t="str">
        <x:v>Le livrable « Normandy: Special Ingredients » possède une scène ou un scénario de contrôle ; ses règles proposées, ses conditions et ses retours visuels sont vérifiables séparément.</x:v>
      </x:c>
      <x:c r="O9" s="9" t="str"/>
      <x:c r="P9" s="9" t="str">
        <x:v>Normandy: Special Ingredients</x:v>
      </x:c>
      <x:c r="Q9" s="9" t="str">
        <x:v>ME2-SRC-ASSIGN</x:v>
      </x:c>
      <x:c r="R9" s="20" t="str">
        <x:v>https://masseffect.fandom.com/wiki/Assignments</x:v>
      </x:c>
      <x:c r="S9" s="20" t="str">
        <x:v>Spécification à réaliser. Les champs adaptation, gameplay, visual, animation, audio et implementation décrivent le fan game ; ils ne donnent pas des caractéristiques officielles de l’œuvre.</x:v>
      </x:c>
    </x:row>
    <x:row r="10" ht="68" customHeight="1">
      <x:c r="A10" s="19" t="str">
        <x:v>ME2-SQ-OMEGA-DATAPAD</x:v>
      </x:c>
      <x:c r="B10" s="7" t="str">
        <x:v>Omega: Archangel: Datapad Recovered</x:v>
      </x:c>
      <x:c r="C10" s="15" t="str">
        <x:v>Défini</x:v>
      </x:c>
      <x:c r="D10" s="17" t="str">
        <x:v>Établi</x:v>
      </x:c>
      <x:c r="E10" s="17" t="str">
        <x:v>P1</x:v>
      </x:c>
      <x:c r="F10" s="7" t="str">
        <x:v>Document associé à Archangel.</x:v>
      </x:c>
      <x:c r="G10" s="7" t="str">
        <x:v>Retourner une preuve trouvée pendant le siège ; permettre consultation et remise séparées.</x:v>
      </x:c>
      <x:c r="H10" s="7" t="str">
        <x:v>Retourner une preuve trouvée pendant le siège ; permettre consultation et remise séparées.</x:v>
      </x:c>
      <x:c r="I10" s="7" t="str">
        <x:v>Datapad orange et icône de preuve.</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me2/side_quests/omega-datapad ; rattacher les ressources et états cités à cet identifiant. Aucun fichier de jeu créé par ce catalogue.</x:v>
      </x:c>
      <x:c r="M10" s="7" t="str"/>
      <x:c r="N10" s="7" t="str">
        <x:v>Le livrable « Omega: Archangel: Datapad Recovered » possède une scène ou un scénario de contrôle ; ses règles proposées, ses conditions et ses retours visuels sont vérifiables séparément.</x:v>
      </x:c>
      <x:c r="O10" s="7" t="str"/>
      <x:c r="P10" s="7" t="str">
        <x:v>Omega: Archangel: Datapad Recovered</x:v>
      </x:c>
      <x:c r="Q10" s="7" t="str">
        <x:v>ME2-SRC-ASSIGN</x:v>
      </x:c>
      <x:c r="R10" s="21" t="str">
        <x:v>https://masseffect.fandom.com/wiki/Assignments</x:v>
      </x:c>
      <x:c r="S10" s="21" t="str">
        <x:v>Spécification à réaliser. Les champs adaptation, gameplay, visual, animation, audio et implementation décrivent le fan game ; ils ne donnent pas des caractéristiques officielles de l’œuvre.</x:v>
      </x:c>
    </x:row>
    <x:row r="11" ht="68" customHeight="1">
      <x:c r="A11" s="18" t="str">
        <x:v>ME2-SQ-OMEGA-BARTENDER</x:v>
      </x:c>
      <x:c r="B11" s="9" t="str">
        <x:v>Omega: Batarian Bartender</x:v>
      </x:c>
      <x:c r="C11" s="15" t="str">
        <x:v>Défini</x:v>
      </x:c>
      <x:c r="D11" s="16" t="str">
        <x:v>Établi</x:v>
      </x:c>
      <x:c r="E11" s="16" t="str">
        <x:v>P1</x:v>
      </x:c>
      <x:c r="F11" s="9" t="str">
        <x:v>Affectation du bar d’Omega.</x:v>
      </x:c>
      <x:c r="G11" s="9" t="str">
        <x:v>Enquête sociale sur la boisson ; offrir réponse verbale et confrontation via un embranchement visible.</x:v>
      </x:c>
      <x:c r="H11" s="9" t="str">
        <x:v>Enquête sociale sur la boisson ; offrir réponse verbale et confrontation via un embranchement visible.</x:v>
      </x:c>
      <x:c r="I11" s="9" t="str">
        <x:v>Comptoir sombre et verre contaminé stylisé.</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me2/side_quests/omega-bartender ; rattacher les ressources et états cités à cet identifiant. Aucun fichier de jeu créé par ce catalogue.</x:v>
      </x:c>
      <x:c r="M11" s="9" t="str"/>
      <x:c r="N11" s="9" t="str">
        <x:v>Le livrable « Omega: Batarian Bartender » possède une scène ou un scénario de contrôle ; ses règles proposées, ses conditions et ses retours visuels sont vérifiables séparément.</x:v>
      </x:c>
      <x:c r="O11" s="9" t="str"/>
      <x:c r="P11" s="9" t="str">
        <x:v>Omega: Batarian Bartender</x:v>
      </x:c>
      <x:c r="Q11" s="9" t="str">
        <x:v>ME2-SRC-ASSIGN</x:v>
      </x:c>
      <x:c r="R11" s="20" t="str">
        <x:v>https://masseffect.fandom.com/wiki/Assignments</x:v>
      </x:c>
      <x:c r="S11" s="20" t="str">
        <x:v>Spécification à réaliser. Les champs adaptation, gameplay, visual, animation, audio et implementation décrivent le fan game ; ils ne donnent pas des caractéristiques officielles de l’œuvre.</x:v>
      </x:c>
    </x:row>
    <x:row r="12" ht="68" customHeight="1">
      <x:c r="A12" s="19" t="str">
        <x:v>ME2-SQ-OMEGA-ISH</x:v>
      </x:c>
      <x:c r="B12" s="7" t="str">
        <x:v>Omega: Packages for Ish</x:v>
      </x:c>
      <x:c r="C12" s="15" t="str">
        <x:v>Défini</x:v>
      </x:c>
      <x:c r="D12" s="17" t="str">
        <x:v>Établi</x:v>
      </x:c>
      <x:c r="E12" s="17" t="str">
        <x:v>P1</x:v>
      </x:c>
      <x:c r="F12" s="7" t="str">
        <x:v>Affectation de colis.</x:v>
      </x:c>
      <x:c r="G12" s="7" t="str">
        <x:v>Circuit entre hubs avec inspection du destinataire ; distinguer un colis acquis d’un colis remis.</x:v>
      </x:c>
      <x:c r="H12" s="7" t="str">
        <x:v>Circuit entre hubs avec inspection du destinataire ; distinguer un colis acquis d’un colis remis.</x:v>
      </x:c>
      <x:c r="I12" s="7" t="str">
        <x:v>Colis et reçu numérique.</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me2/side_quests/omega-ish ; rattacher les ressources et états cités à cet identifiant. Aucun fichier de jeu créé par ce catalogue.</x:v>
      </x:c>
      <x:c r="M12" s="7" t="str"/>
      <x:c r="N12" s="7" t="str">
        <x:v>Le livrable « Omega: Packages for Ish » possède une scène ou un scénario de contrôle ; ses règles proposées, ses conditions et ses retours visuels sont vérifiables séparément.</x:v>
      </x:c>
      <x:c r="O12" s="7" t="str"/>
      <x:c r="P12" s="7" t="str">
        <x:v>Omega: Packages for Ish</x:v>
      </x:c>
      <x:c r="Q12" s="7" t="str">
        <x:v>ME2-SRC-ASSIGN</x:v>
      </x:c>
      <x:c r="R12" s="21" t="str">
        <x:v>https://masseffect.fandom.com/wiki/Assignments</x:v>
      </x:c>
      <x:c r="S12" s="21" t="str">
        <x:v>Spécification à réaliser. Les champs adaptation, gameplay, visual, animation, audio et implementation décrivent le fan game ; ils ne donnent pas des caractéristiques officielles de l’œuvre.</x:v>
      </x:c>
    </x:row>
    <x:row r="13" ht="68" customHeight="1">
      <x:c r="A13" s="18" t="str">
        <x:v>ME2-SQ-OMEGA-QUARIAN</x:v>
      </x:c>
      <x:c r="B13" s="9" t="str">
        <x:v>Omega: Struggling Quarian</x:v>
      </x:c>
      <x:c r="C13" s="15" t="str">
        <x:v>Défini</x:v>
      </x:c>
      <x:c r="D13" s="16" t="str">
        <x:v>Établi</x:v>
      </x:c>
      <x:c r="E13" s="16" t="str">
        <x:v>P1</x:v>
      </x:c>
      <x:c r="F13" s="9" t="str">
        <x:v>Affectation d’aide à un quarien.</x:v>
      </x:c>
      <x:c r="G13" s="9" t="str">
        <x:v>Séparer commerce, remise et aide au voyage ; supprimer la quête du journal seulement après résultat confirmé.</x:v>
      </x:c>
      <x:c r="H13" s="9" t="str">
        <x:v>Séparer commerce, remise et aide au voyage ; supprimer la quête du journal seulement après résultat confirmé.</x:v>
      </x:c>
      <x:c r="I13" s="9" t="str">
        <x:v>Étal de récupération et affiche de transit.</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me2/side_quests/omega-quarian ; rattacher les ressources et états cités à cet identifiant. Aucun fichier de jeu créé par ce catalogue.</x:v>
      </x:c>
      <x:c r="M13" s="9" t="str"/>
      <x:c r="N13" s="9" t="str">
        <x:v>Le livrable « Omega: Struggling Quarian » possède une scène ou un scénario de contrôle ; ses règles proposées, ses conditions et ses retours visuels sont vérifiables séparément.</x:v>
      </x:c>
      <x:c r="O13" s="9" t="str"/>
      <x:c r="P13" s="9" t="str">
        <x:v>Omega: Struggling Quarian</x:v>
      </x:c>
      <x:c r="Q13" s="9" t="str">
        <x:v>ME2-SRC-ASSIGN</x:v>
      </x:c>
      <x:c r="R13" s="20" t="str">
        <x:v>https://masseffect.fandom.com/wiki/Assignments</x:v>
      </x:c>
      <x:c r="S13" s="20" t="str">
        <x:v>Spécification à réaliser. Les champs adaptation, gameplay, visual, animation, audio et implementation décrivent le fan game ; ils ne donnent pas des caractéristiques officielles de l’œuvre.</x:v>
      </x:c>
    </x:row>
    <x:row r="14" ht="68" customHeight="1">
      <x:c r="A14" s="19" t="str">
        <x:v>ME2-SQ-OMEGA-PATRIARCH</x:v>
      </x:c>
      <x:c r="B14" s="7" t="str">
        <x:v>Omega: The Patriarch</x:v>
      </x:c>
      <x:c r="C14" s="15" t="str">
        <x:v>Défini</x:v>
      </x:c>
      <x:c r="D14" s="17" t="str">
        <x:v>Établi</x:v>
      </x:c>
      <x:c r="E14" s="17" t="str">
        <x:v>P1</x:v>
      </x:c>
      <x:c r="F14" s="7" t="str">
        <x:v>Affectation liée au Patriarche.</x:v>
      </x:c>
      <x:c r="G14" s="7" t="str">
        <x:v>Organiser protection ou confrontation ; gérer la sortie du club et le retour au donneur.</x:v>
      </x:c>
      <x:c r="H14" s="7" t="str">
        <x:v>Organiser protection ou confrontation ; gérer la sortie du club et le retour au donneur.</x:v>
      </x:c>
      <x:c r="I14" s="7" t="str">
        <x:v>Coin de bar isolé et couloir d’accès.</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me2/side_quests/omega-patriarch ; rattacher les ressources et états cités à cet identifiant. Aucun fichier de jeu créé par ce catalogue.</x:v>
      </x:c>
      <x:c r="M14" s="7" t="str"/>
      <x:c r="N14" s="7" t="str">
        <x:v>Le livrable « Omega: The Patriarch » possède une scène ou un scénario de contrôle ; ses règles proposées, ses conditions et ses retours visuels sont vérifiables séparément.</x:v>
      </x:c>
      <x:c r="O14" s="7" t="str"/>
      <x:c r="P14" s="7" t="str">
        <x:v>Omega: The Patriarch</x:v>
      </x:c>
      <x:c r="Q14" s="7" t="str">
        <x:v>ME2-SRC-ASSIGN</x:v>
      </x:c>
      <x:c r="R14" s="21" t="str">
        <x:v>https://masseffect.fandom.com/wiki/Assignments</x:v>
      </x:c>
      <x:c r="S14" s="21" t="str">
        <x:v>Spécification à réaliser. Les champs adaptation, gameplay, visual, animation, audio et implementation décrivent le fan game ; ils ne donnent pas des caractéristiques officielles de l’œuvre.</x:v>
      </x:c>
    </x:row>
    <x:row r="15" ht="68" customHeight="1">
      <x:c r="A15" s="18" t="str">
        <x:v>ME2-SQ-OMEGA-DANIEL</x:v>
      </x:c>
      <x:c r="B15" s="9" t="str">
        <x:v>Omega: The Professor: Missing Assistant</x:v>
      </x:c>
      <x:c r="C15" s="15" t="str">
        <x:v>Défini</x:v>
      </x:c>
      <x:c r="D15" s="16" t="str">
        <x:v>Établi</x:v>
      </x:c>
      <x:c r="E15" s="16" t="str">
        <x:v>P1</x:v>
      </x:c>
      <x:c r="F15" s="9" t="str">
        <x:v>Mordin demande de retrouver Daniel.</x:v>
      </x:c>
      <x:c r="G15" s="9" t="str">
        <x:v>Dialoguer avant de dégainer ; confirmer le retour à la clinique après négociation.</x:v>
      </x:c>
      <x:c r="H15" s="9" t="str">
        <x:v>Dialoguer avant de dégainer ; confirmer le retour à la clinique après négociation.</x:v>
      </x:c>
      <x:c r="I15" s="9" t="str">
        <x:v>Zone civile de quarantaine.</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me2/side_quests/omega-daniel ; rattacher les ressources et états cités à cet identifiant. Aucun fichier de jeu créé par ce catalogue.</x:v>
      </x:c>
      <x:c r="M15" s="9" t="str">
        <x:v>Pendant recrutement de Mordin.</x:v>
      </x:c>
      <x:c r="N15" s="9" t="str">
        <x:v>Le livrable « Omega: The Professor: Missing Assistant » possède une scène ou un scénario de contrôle ; ses règles proposées, ses conditions et ses retours visuels sont vérifiables séparément.</x:v>
      </x:c>
      <x:c r="O15" s="9" t="str"/>
      <x:c r="P15" s="9" t="str">
        <x:v>Omega: The Professor: Missing Assistant</x:v>
      </x:c>
      <x:c r="Q15" s="9" t="str">
        <x:v>ME2-SRC-PROF</x:v>
      </x:c>
      <x:c r="R15" s="20" t="str">
        <x:v>https://masseffect.fandom.com/wiki/Dossier%3A_The_Professor</x:v>
      </x:c>
      <x:c r="S15" s="20" t="str">
        <x:v>Spécification à réaliser. Les champs adaptation, gameplay, visual, animation, audio et implementation décrivent le fan game ; ils ne donnent pas des caractéristiques officielles de l’œuvre.</x:v>
      </x:c>
    </x:row>
    <x:row r="16" ht="68" customHeight="1">
      <x:c r="A16" s="19" t="str">
        <x:v>ME2-SQ-CIT-CRIME</x:v>
      </x:c>
      <x:c r="B16" s="7" t="str">
        <x:v>Citadel: Crime in Progress</x:v>
      </x:c>
      <x:c r="C16" s="15" t="str">
        <x:v>Défini</x:v>
      </x:c>
      <x:c r="D16" s="17" t="str">
        <x:v>Établi</x:v>
      </x:c>
      <x:c r="E16" s="17" t="str">
        <x:v>P1</x:v>
      </x:c>
      <x:c r="F16" s="7" t="str">
        <x:v>Affectation de Citadelle.</x:v>
      </x:c>
      <x:c r="G16" s="7" t="str">
        <x:v>Interroger plusieurs témoins et inspecter la preuve avant accusation.</x:v>
      </x:c>
      <x:c r="H16" s="7" t="str">
        <x:v>Interroger plusieurs témoins et inspecter la preuve avant accusation.</x:v>
      </x:c>
      <x:c r="I16" s="7" t="str">
        <x:v>Marché public et objet porté disparu.</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me2/side_quests/cit-crime ; rattacher les ressources et états cités à cet identifiant. Aucun fichier de jeu créé par ce catalogue.</x:v>
      </x:c>
      <x:c r="M16" s="7" t="str"/>
      <x:c r="N16" s="7" t="str">
        <x:v>Le livrable « Citadel: Crime in Progress » possède une scène ou un scénario de contrôle ; ses règles proposées, ses conditions et ses retours visuels sont vérifiables séparément.</x:v>
      </x:c>
      <x:c r="O16" s="7" t="str"/>
      <x:c r="P16" s="7" t="str">
        <x:v>Citadel: Crime in Progress</x:v>
      </x:c>
      <x:c r="Q16" s="7" t="str">
        <x:v>ME2-SRC-ASSIGN</x:v>
      </x:c>
      <x:c r="R16" s="21" t="str">
        <x:v>https://masseffect.fandom.com/wiki/Assignments</x:v>
      </x:c>
      <x:c r="S16" s="21" t="str">
        <x:v>Spécification à réaliser. Les champs adaptation, gameplay, visual, animation, audio et implementation décrivent le fan game ; ils ne donnent pas des caractéristiques officielles de l’œuvre.</x:v>
      </x:c>
    </x:row>
    <x:row r="17" ht="68" customHeight="1">
      <x:c r="A17" s="18" t="str">
        <x:v>ME2-SQ-CIT-ID</x:v>
      </x:c>
      <x:c r="B17" s="9" t="str">
        <x:v>Citadel: Found Forged ID / False Positives</x:v>
      </x:c>
      <x:c r="C17" s="15" t="str">
        <x:v>Défini</x:v>
      </x:c>
      <x:c r="D17" s="16" t="str">
        <x:v>Établi</x:v>
      </x:c>
      <x:c r="E17" s="16" t="str">
        <x:v>P1</x:v>
      </x:c>
      <x:c r="F17" s="9" t="str">
        <x:v>Deux intitulés reliés concernent des identités.</x:v>
      </x:c>
      <x:c r="G17" s="9" t="str">
        <x:v>Unifier l’objet et la résolution dans un graphe ; aucune récompense doublée pour les alias du journal.</x:v>
      </x:c>
      <x:c r="H17" s="9" t="str">
        <x:v>Unifier l’objet et la résolution dans un graphe ; aucune récompense doublée pour les alias du journal.</x:v>
      </x:c>
      <x:c r="I17" s="9" t="str">
        <x:v>Papiers numériques et poste de douane.</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me2/side_quests/cit-id ; rattacher les ressources et états cités à cet identifiant. Aucun fichier de jeu créé par ce catalogue.</x:v>
      </x:c>
      <x:c r="M17" s="9" t="str"/>
      <x:c r="N17" s="9" t="str">
        <x:v>Le livrable « Citadel: Found Forged ID / False Positives » possède une scène ou un scénario de contrôle ; ses règles proposées, ses conditions et ses retours visuels sont vérifiables séparément.</x:v>
      </x:c>
      <x:c r="O17" s="9" t="str"/>
      <x:c r="P17" s="9" t="str">
        <x:v>Citadel: Found Forged ID / False Positives</x:v>
      </x:c>
      <x:c r="Q17" s="9" t="str">
        <x:v>ME2-SRC-ASSIGN</x:v>
      </x:c>
      <x:c r="R17" s="20" t="str">
        <x:v>https://masseffect.fandom.com/wiki/Assignments</x:v>
      </x:c>
      <x:c r="S17" s="20" t="str">
        <x:v>Spécification à réaliser. Les champs adaptation, gameplay, visual, animation, audio et implementation décrivent le fan game ; ils ne donnent pas des caractéristiques officielles de l’œuvre.</x:v>
      </x:c>
    </x:row>
    <x:row r="18" ht="68" customHeight="1">
      <x:c r="A18" s="19" t="str">
        <x:v>ME2-SQ-CIT-SUSHI</x:v>
      </x:c>
      <x:c r="B18" s="7" t="str">
        <x:v>Citadel: Krogan Sushi</x:v>
      </x:c>
      <x:c r="C18" s="15" t="str">
        <x:v>Défini</x:v>
      </x:c>
      <x:c r="D18" s="17" t="str">
        <x:v>Établi</x:v>
      </x:c>
      <x:c r="E18" s="17" t="str">
        <x:v>P1</x:v>
      </x:c>
      <x:c r="F18" s="7" t="str">
        <x:v>Affectation des poissons du Présidium.</x:v>
      </x:c>
      <x:c r="G18" s="7" t="str">
        <x:v>Demande humoristique avec enquête au commerce ; ne pas créer de pêche de combat.</x:v>
      </x:c>
      <x:c r="H18" s="7" t="str">
        <x:v>Demande humoristique avec enquête au commerce ; ne pas créer de pêche de combat.</x:v>
      </x:c>
      <x:c r="I18" s="7" t="str">
        <x:v>Aquarium et stand de restauration.</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me2/side_quests/cit-sushi ; rattacher les ressources et états cités à cet identifiant. Aucun fichier de jeu créé par ce catalogue.</x:v>
      </x:c>
      <x:c r="M18" s="7" t="str"/>
      <x:c r="N18" s="7" t="str">
        <x:v>Le livrable « Citadel: Krogan Sushi » possède une scène ou un scénario de contrôle ; ses règles proposées, ses conditions et ses retours visuels sont vérifiables séparément.</x:v>
      </x:c>
      <x:c r="O18" s="7" t="str"/>
      <x:c r="P18" s="7" t="str">
        <x:v>Citadel: Krogan Sushi</x:v>
      </x:c>
      <x:c r="Q18" s="7" t="str">
        <x:v>ME2-SRC-ASSIGN</x:v>
      </x:c>
      <x:c r="R18" s="21" t="str">
        <x:v>https://masseffect.fandom.com/wiki/Assignments</x:v>
      </x:c>
      <x:c r="S18" s="21" t="str">
        <x:v>Spécification à réaliser. Les champs adaptation, gameplay, visual, animation, audio et implementation décrivent le fan game ; ils ne donnent pas des caractéristiques officielles de l’œuvre.</x:v>
      </x:c>
    </x:row>
    <x:row r="19" ht="68" customHeight="1">
      <x:c r="A19" s="18" t="str">
        <x:v>ME2-SQ-CIT-COUNCIL</x:v>
      </x:c>
      <x:c r="B19" s="9" t="str">
        <x:v>Citadel: The Council</x:v>
      </x:c>
      <x:c r="C19" s="15" t="str">
        <x:v>Défini</x:v>
      </x:c>
      <x:c r="D19" s="16" t="str">
        <x:v>Établi</x:v>
      </x:c>
      <x:c r="E19" s="16" t="str">
        <x:v>P1</x:v>
      </x:c>
      <x:c r="F19" s="9" t="str">
        <x:v>Rencontre politique facultative.</x:v>
      </x:c>
      <x:c r="G19" s="9" t="str">
        <x:v>Vérifier la composition importée du Conseil et la possibilité de réintégration ; interface de statut séparée.</x:v>
      </x:c>
      <x:c r="H19" s="9" t="str">
        <x:v>Vérifier la composition importée du Conseil et la possibilité de réintégration ; interface de statut séparée.</x:v>
      </x:c>
      <x:c r="I19" s="9" t="str">
        <x:v>Salle de conseil ou liaison holographique.</x:v>
      </x:c>
      <x:c r="J19" s="9" t="str">
        <x:v>Transitions de caméra et d’interface interruptibles ; aucun délai d’animation ne doit consommer une décision encore ouverte.</x:v>
      </x:c>
      <x:c r="K19" s="9" t="str">
        <x:v>Créer des bruitages et ambiances originaux adaptés au livrable ; sous-titrer les indices utiles et proposer un réglage indépendant des effets. Aucune extraction audio demandée.</x:v>
      </x:c>
      <x:c r="L19" s="9" t="str">
        <x:v>Prévu : fiche de données me2/side_quests/cit-council ; rattacher les ressources et états cités à cet identifiant. Aucun fichier de jeu créé par ce catalogue.</x:v>
      </x:c>
      <x:c r="M19" s="9" t="str">
        <x:v>Dépend de ME1.</x:v>
      </x:c>
      <x:c r="N19" s="9" t="str">
        <x:v>Le livrable « Citadel: The Council » possède une scène ou un scénario de contrôle ; ses règles proposées, ses conditions et ses retours visuels sont vérifiables séparément.</x:v>
      </x:c>
      <x:c r="O19" s="9" t="str"/>
      <x:c r="P19" s="9" t="str">
        <x:v>Citadel: The Council</x:v>
      </x:c>
      <x:c r="Q19" s="9" t="str">
        <x:v>ME2-SRC-MISSIONS, ME2-SRC-SAVE</x:v>
      </x:c>
      <x:c r="R19" s="20" t="str">
        <x:v>https://masseffect.fandom.com/wiki/Missions
https://masseffect.fandom.com/wiki/Save_File_Transfer</x:v>
      </x:c>
      <x:c r="S19" s="20" t="str">
        <x:v>Spécification à réaliser. Les champs adaptation, gameplay, visual, animation, audio et implementation décrivent le fan game ; ils ne donnent pas des caractéristiques officielles de l’œuvre.</x:v>
      </x:c>
    </x:row>
    <x:row r="20" ht="68" customHeight="1">
      <x:c r="A20" s="19" t="str">
        <x:v>ME2-SQ-CIT-BAILEY</x:v>
      </x:c>
      <x:c r="B20" s="7" t="str">
        <x:v>Citadel: Captain Bailey</x:v>
      </x:c>
      <x:c r="C20" s="15" t="str">
        <x:v>Défini</x:v>
      </x:c>
      <x:c r="D20" s="17" t="str">
        <x:v>Établi</x:v>
      </x:c>
      <x:c r="E20" s="17" t="str">
        <x:v>P1</x:v>
      </x:c>
      <x:c r="F20" s="7" t="str">
        <x:v>Contact facultatif avec Bailey.</x:v>
      </x:c>
      <x:c r="G20" s="7" t="str">
        <x:v>Débloquer le réseau C-Sec et le repère de bureau ; ne pas exiger un combat.</x:v>
      </x:c>
      <x:c r="H20" s="7" t="str">
        <x:v>Débloquer le réseau C-Sec et le repère de bureau ; ne pas exiger un combat.</x:v>
      </x:c>
      <x:c r="I20" s="7" t="str">
        <x:v>Bureau de contrôle des entrées.</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me2/side_quests/cit-bailey ; rattacher les ressources et états cités à cet identifiant. Aucun fichier de jeu créé par ce catalogue.</x:v>
      </x:c>
      <x:c r="M20" s="7" t="str"/>
      <x:c r="N20" s="7" t="str">
        <x:v>Le livrable « Citadel: Captain Bailey » possède une scène ou un scénario de contrôle ; ses règles proposées, ses conditions et ses retours visuels sont vérifiables séparément.</x:v>
      </x:c>
      <x:c r="O20" s="7" t="str"/>
      <x:c r="P20" s="7" t="str">
        <x:v>Citadel: Captain Bailey</x:v>
      </x:c>
      <x:c r="Q20" s="7" t="str">
        <x:v>ME2-SRC-MISSIONS</x:v>
      </x:c>
      <x:c r="R20" s="21" t="str">
        <x:v>https://masseffect.fandom.com/wiki/Missions</x:v>
      </x:c>
      <x:c r="S20" s="21" t="str">
        <x:v>Spécification à réaliser. Les champs adaptation, gameplay, visual, animation, audio et implementation décrivent le fan game ; ils ne donnent pas des caractéristiques officielles de l’œuvre.</x:v>
      </x:c>
    </x:row>
    <x:row r="21" ht="68" customHeight="1">
      <x:c r="A21" s="18" t="str">
        <x:v>ME2-SQ-ILLIUM-HACK</x:v>
      </x:c>
      <x:c r="B21" s="9" t="str">
        <x:v>Illium: Liara: System Hacking</x:v>
      </x:c>
      <x:c r="C21" s="15" t="str">
        <x:v>Défini</x:v>
      </x:c>
      <x:c r="D21" s="16" t="str">
        <x:v>Établi</x:v>
      </x:c>
      <x:c r="E21" s="16" t="str">
        <x:v>P1</x:v>
      </x:c>
      <x:c r="F21" s="9" t="str">
        <x:v>Mission de piratage pour Liara.</x:v>
      </x:c>
      <x:c r="G21" s="9" t="str">
        <x:v>Parcours de terminaux avec accès local et retour ; afficher les bornes déjà traitées.</x:v>
      </x:c>
      <x:c r="H21" s="9" t="str">
        <x:v>Parcours de terminaux avec accès local et retour ; afficher les bornes déjà traitées.</x:v>
      </x:c>
      <x:c r="I21" s="9" t="str">
        <x:v>Terminaux répartis dans Nos Astra.</x:v>
      </x:c>
      <x:c r="J21" s="9" t="str">
        <x:v>Transitions de caméra et d’interface interruptibles ; aucun délai d’animation ne doit consommer une décision encore ouverte.</x:v>
      </x:c>
      <x:c r="K21" s="9" t="str">
        <x:v>Créer des bruitages et ambiances originaux adaptés au livrable ; sous-titrer les indices utiles et proposer un réglage indépendant des effets. Aucune extraction audio demandée.</x:v>
      </x:c>
      <x:c r="L21" s="9" t="str">
        <x:v>Prévu : fiche de données me2/side_quests/illium-hack ; rattacher les ressources et états cités à cet identifiant. Aucun fichier de jeu créé par ce catalogue.</x:v>
      </x:c>
      <x:c r="M21" s="9" t="str">
        <x:v>À résoudre avant d’embrayer sur Shadow Broker pour préserver son contenu.</x:v>
      </x:c>
      <x:c r="N21" s="9" t="str">
        <x:v>Le livrable « Illium: Liara: System Hacking » possède une scène ou un scénario de contrôle ; ses règles proposées, ses conditions et ses retours visuels sont vérifiables séparément.</x:v>
      </x:c>
      <x:c r="O21" s="9" t="str"/>
      <x:c r="P21" s="9" t="str">
        <x:v>Illium: Liara: System Hacking</x:v>
      </x:c>
      <x:c r="Q21" s="9" t="str">
        <x:v>ME2-SRC-MISSIONS, ME2-SRC-SHADOW</x:v>
      </x:c>
      <x:c r="R21" s="20" t="str">
        <x:v>https://masseffect.fandom.com/wiki/Missions
https://masseffect.fandom.com/wiki/Lair_of_the_Shadow_Broker_%28mission%29</x:v>
      </x:c>
      <x:c r="S21" s="20" t="str">
        <x:v>Spécification à réaliser. Les champs adaptation, gameplay, visual, animation, audio et implementation décrivent le fan game ; ils ne donnent pas des caractéristiques officielles de l’œuvre.</x:v>
      </x:c>
    </x:row>
    <x:row r="22" ht="68" customHeight="1">
      <x:c r="A22" s="19" t="str">
        <x:v>ME2-SQ-ILLIUM-OBSERVER</x:v>
      </x:c>
      <x:c r="B22" s="7" t="str">
        <x:v>Illium: Liara: The Observer</x:v>
      </x:c>
      <x:c r="C22" s="15" t="str">
        <x:v>Défini</x:v>
      </x:c>
      <x:c r="D22" s="17" t="str">
        <x:v>Établi</x:v>
      </x:c>
      <x:c r="E22" s="17" t="str">
        <x:v>P1</x:v>
      </x:c>
      <x:c r="F22" s="7" t="str">
        <x:v>Enquête après le piratage.</x:v>
      </x:c>
      <x:c r="G22" s="7" t="str">
        <x:v>Assembler des fragments de preuve dans un tableau ; autoriser la réponse de doute si l’identification n’est pas étayée.</x:v>
      </x:c>
      <x:c r="H22" s="7" t="str">
        <x:v>Assembler des fragments de preuve dans un tableau ; autoriser la réponse de doute si l’identification n’est pas étayée.</x:v>
      </x:c>
      <x:c r="I22" s="7" t="str">
        <x:v>Écrans de renseignements et dossier annoté.</x:v>
      </x:c>
      <x:c r="J22" s="7" t="str">
        <x:v>Transitions de caméra et d’interface interruptibles ; aucun délai d’animation ne doit consommer une décision encore ouverte.</x:v>
      </x:c>
      <x:c r="K22" s="7" t="str">
        <x:v>Créer des bruitages et ambiances originaux adaptés au livrable ; sous-titrer les indices utiles et proposer un réglage indépendant des effets. Aucune extraction audio demandée.</x:v>
      </x:c>
      <x:c r="L22" s="7" t="str">
        <x:v>Prévu : fiche de données me2/side_quests/illium-observer ; rattacher les ressources et états cités à cet identifiant. Aucun fichier de jeu créé par ce catalogue.</x:v>
      </x:c>
      <x:c r="M22" s="7" t="str"/>
      <x:c r="N22" s="7" t="str">
        <x:v>Le livrable « Illium: Liara: The Observer » possède une scène ou un scénario de contrôle ; ses règles proposées, ses conditions et ses retours visuels sont vérifiables séparément.</x:v>
      </x:c>
      <x:c r="O22" s="7" t="str"/>
      <x:c r="P22" s="7" t="str">
        <x:v>Illium: Liara: The Observer</x:v>
      </x:c>
      <x:c r="Q22" s="7" t="str">
        <x:v>ME2-SRC-MISSIONS</x:v>
      </x:c>
      <x:c r="R22" s="21" t="str">
        <x:v>https://masseffect.fandom.com/wiki/Missions</x:v>
      </x:c>
      <x:c r="S22" s="21" t="str">
        <x:v>Spécification à réaliser. Les champs adaptation, gameplay, visual, animation, audio et implementation décrivent le fan game ; ils ne donnent pas des caractéristiques officielles de l’œuvre.</x:v>
      </x:c>
    </x:row>
    <x:row r="23" ht="68" customHeight="1">
      <x:c r="A23" s="18" t="str">
        <x:v>ME2-SQ-ILLIUM-CONRAD</x:v>
      </x:c>
      <x:c r="B23" s="9" t="str">
        <x:v>Illium: Conrad Verner</x:v>
      </x:c>
      <x:c r="C23" s="15" t="str">
        <x:v>Défini</x:v>
      </x:c>
      <x:c r="D23" s="16" t="str">
        <x:v>Établi</x:v>
      </x:c>
      <x:c r="E23" s="16" t="str">
        <x:v>P1</x:v>
      </x:c>
      <x:c r="F23" s="9" t="str">
        <x:v>Affectation du fan de Shepard.</x:v>
      </x:c>
      <x:c r="G23" s="9" t="str">
        <x:v>Conversation de désescalade ; vérifier l’état importé sans présenter un bug historique comme un choix du joueur.</x:v>
      </x:c>
      <x:c r="H23" s="9" t="str">
        <x:v>Conversation de désescalade ; vérifier l’état importé sans présenter un bug historique comme un choix du joueur.</x:v>
      </x:c>
      <x:c r="I23" s="9" t="str">
        <x:v>Bar et tenue de Conrad.</x:v>
      </x:c>
      <x:c r="J23" s="9" t="str">
        <x:v>Transitions de caméra et d’interface interruptibles ; aucun délai d’animation ne doit consommer une décision encore ouverte.</x:v>
      </x:c>
      <x:c r="K23" s="9" t="str">
        <x:v>Créer des bruitages et ambiances originaux adaptés au livrable ; sous-titrer les indices utiles et proposer un réglage indépendant des effets. Aucune extraction audio demandée.</x:v>
      </x:c>
      <x:c r="L23" s="9" t="str">
        <x:v>Prévu : fiche de données me2/side_quests/illium-conrad ; rattacher les ressources et états cités à cet identifiant. Aucun fichier de jeu créé par ce catalogue.</x:v>
      </x:c>
      <x:c r="M23" s="9" t="str"/>
      <x:c r="N23" s="9" t="str">
        <x:v>Le livrable « Illium: Conrad Verner » possède une scène ou un scénario de contrôle ; ses règles proposées, ses conditions et ses retours visuels sont vérifiables séparément.</x:v>
      </x:c>
      <x:c r="O23" s="9" t="str"/>
      <x:c r="P23" s="9" t="str">
        <x:v>Illium: Conrad Verner</x:v>
      </x:c>
      <x:c r="Q23" s="9" t="str">
        <x:v>ME2-SRC-ASSIGN</x:v>
      </x:c>
      <x:c r="R23" s="20" t="str">
        <x:v>https://masseffect.fandom.com/wiki/Assignments</x:v>
      </x:c>
      <x:c r="S23" s="20" t="str">
        <x:v>Spécification à réaliser. Les champs adaptation, gameplay, visual, animation, audio et implementation décrivent le fan game ; ils ne donnent pas des caractéristiques officielles de l’œuvre.</x:v>
      </x:c>
    </x:row>
    <x:row r="24" ht="68" customHeight="1">
      <x:c r="A24" s="19" t="str">
        <x:v>ME2-SQ-ILLIUM-BLUE</x:v>
      </x:c>
      <x:c r="B24" s="7" t="str">
        <x:v>Illium: Blue Rose of Illium</x:v>
      </x:c>
      <x:c r="C24" s="15" t="str">
        <x:v>Défini</x:v>
      </x:c>
      <x:c r="D24" s="17" t="str">
        <x:v>Établi</x:v>
      </x:c>
      <x:c r="E24" s="17" t="str">
        <x:v>P1</x:v>
      </x:c>
      <x:c r="F24" s="7" t="str">
        <x:v>Affectation relationnelle à Illium.</x:v>
      </x:c>
      <x:c r="G24" s="7" t="str">
        <x:v>Entretiens brefs avec points de vue distincts ; récompense sociale séparée d’un recrutement.</x:v>
      </x:c>
      <x:c r="H24" s="7" t="str">
        <x:v>Entretiens brefs avec points de vue distincts ; récompense sociale séparée d’un recrutement.</x:v>
      </x:c>
      <x:c r="I24" s="7" t="str">
        <x:v>Couple séparé dans le hub.</x:v>
      </x:c>
      <x:c r="J24" s="7" t="str">
        <x:v>Transitions de caméra et d’interface interruptibles ; aucun délai d’animation ne doit consommer une décision encore ouverte.</x:v>
      </x:c>
      <x:c r="K24" s="7" t="str">
        <x:v>Créer des bruitages et ambiances originaux adaptés au livrable ; sous-titrer les indices utiles et proposer un réglage indépendant des effets. Aucune extraction audio demandée.</x:v>
      </x:c>
      <x:c r="L24" s="7" t="str">
        <x:v>Prévu : fiche de données me2/side_quests/illium-blue ; rattacher les ressources et états cités à cet identifiant. Aucun fichier de jeu créé par ce catalogue.</x:v>
      </x:c>
      <x:c r="M24" s="7" t="str"/>
      <x:c r="N24" s="7" t="str">
        <x:v>Le livrable « Illium: Blue Rose of Illium » possède une scène ou un scénario de contrôle ; ses règles proposées, ses conditions et ses retours visuels sont vérifiables séparément.</x:v>
      </x:c>
      <x:c r="O24" s="7" t="str"/>
      <x:c r="P24" s="7" t="str">
        <x:v>Illium: Blue Rose of Illium</x:v>
      </x:c>
      <x:c r="Q24" s="7" t="str">
        <x:v>ME2-SRC-ASSIGN</x:v>
      </x:c>
      <x:c r="R24" s="21" t="str">
        <x:v>https://masseffect.fandom.com/wiki/Assignments</x:v>
      </x:c>
      <x:c r="S24" s="21" t="str">
        <x:v>Spécification à réaliser. Les champs adaptation, gameplay, visual, animation, audio et implementation décrivent le fan game ; ils ne donnent pas des caractéristiques officielles de l’œuvre.</x:v>
      </x:c>
    </x:row>
    <x:row r="25" ht="68" customHeight="1">
      <x:c r="A25" s="18" t="str">
        <x:v>ME2-SQ-ILLIUM-GIANNA</x:v>
      </x:c>
      <x:c r="B25" s="9" t="str">
        <x:v>Illium: Gianna Parasini</x:v>
      </x:c>
      <x:c r="C25" s="15" t="str">
        <x:v>Défini</x:v>
      </x:c>
      <x:c r="D25" s="16" t="str">
        <x:v>Établi</x:v>
      </x:c>
      <x:c r="E25" s="16" t="str">
        <x:v>P1</x:v>
      </x:c>
      <x:c r="F25" s="9" t="str">
        <x:v>Rencontre avec Gianna sur Illium.</x:v>
      </x:c>
      <x:c r="G25" s="9" t="str">
        <x:v>Repérer un marchand et retourner au contact ; l’identité de couverture ne doit pas être révélée par l’UI.</x:v>
      </x:c>
      <x:c r="H25" s="9" t="str">
        <x:v>Repérer un marchand et retourner au contact ; l’identité de couverture ne doit pas être révélée par l’UI.</x:v>
      </x:c>
      <x:c r="I25" s="9" t="str">
        <x:v>Table de café et boutique.</x:v>
      </x:c>
      <x:c r="J25" s="9" t="str">
        <x:v>Transitions de caméra et d’interface interruptibles ; aucun délai d’animation ne doit consommer une décision encore ouverte.</x:v>
      </x:c>
      <x:c r="K25" s="9" t="str">
        <x:v>Créer des bruitages et ambiances originaux adaptés au livrable ; sous-titrer les indices utiles et proposer un réglage indépendant des effets. Aucune extraction audio demandée.</x:v>
      </x:c>
      <x:c r="L25" s="9" t="str">
        <x:v>Prévu : fiche de données me2/side_quests/illium-gianna ; rattacher les ressources et états cités à cet identifiant. Aucun fichier de jeu créé par ce catalogue.</x:v>
      </x:c>
      <x:c r="M25" s="9" t="str">
        <x:v>Variante de retrouvailles selon ME1.</x:v>
      </x:c>
      <x:c r="N25" s="9" t="str">
        <x:v>Le livrable « Illium: Gianna Parasini » possède une scène ou un scénario de contrôle ; ses règles proposées, ses conditions et ses retours visuels sont vérifiables séparément.</x:v>
      </x:c>
      <x:c r="O25" s="9" t="str"/>
      <x:c r="P25" s="9" t="str">
        <x:v>Illium: Gianna Parasini</x:v>
      </x:c>
      <x:c r="Q25" s="9" t="str">
        <x:v>ME2-SRC-ASSIGN</x:v>
      </x:c>
      <x:c r="R25" s="20" t="str">
        <x:v>https://masseffect.fandom.com/wiki/Assignments</x:v>
      </x:c>
      <x:c r="S25" s="20" t="str">
        <x:v>Spécification à réaliser. Les champs adaptation, gameplay, visual, animation, audio et implementation décrivent le fan game ; ils ne donnent pas des caractéristiques officielles de l’œuvre.</x:v>
      </x:c>
    </x:row>
    <x:row r="26" ht="68" customHeight="1">
      <x:c r="A26" s="19" t="str">
        <x:v>ME2-SQ-ILLIUM-INDENTURE</x:v>
      </x:c>
      <x:c r="B26" s="7" t="str">
        <x:v>Illium: Indentured Service</x:v>
      </x:c>
      <x:c r="C26" s="15" t="str">
        <x:v>Défini</x:v>
      </x:c>
      <x:c r="D26" s="17" t="str">
        <x:v>Établi</x:v>
      </x:c>
      <x:c r="E26" s="17" t="str">
        <x:v>P1</x:v>
      </x:c>
      <x:c r="F26" s="7" t="str">
        <x:v>Affectation sur un contrat de service.</x:v>
      </x:c>
      <x:c r="G26" s="7" t="str">
        <x:v>Lire les conditions puis négocier une issue ; le contrat n’est pas un objet vendable.</x:v>
      </x:c>
      <x:c r="H26" s="7" t="str">
        <x:v>Lire les conditions puis négocier une issue ; le contrat n’est pas un objet vendable.</x:v>
      </x:c>
      <x:c r="I26" s="7" t="str">
        <x:v>Bureau, cliente quariène et documents.</x:v>
      </x:c>
      <x:c r="J26" s="7" t="str">
        <x:v>Transitions de caméra et d’interface interruptibles ; aucun délai d’animation ne doit consommer une décision encore ouverte.</x:v>
      </x:c>
      <x:c r="K26" s="7" t="str">
        <x:v>Créer des bruitages et ambiances originaux adaptés au livrable ; sous-titrer les indices utiles et proposer un réglage indépendant des effets. Aucune extraction audio demandée.</x:v>
      </x:c>
      <x:c r="L26" s="7" t="str">
        <x:v>Prévu : fiche de données me2/side_quests/illium-indenture ; rattacher les ressources et états cités à cet identifiant. Aucun fichier de jeu créé par ce catalogue.</x:v>
      </x:c>
      <x:c r="M26" s="7" t="str"/>
      <x:c r="N26" s="7" t="str">
        <x:v>Le livrable « Illium: Indentured Service » possède une scène ou un scénario de contrôle ; ses règles proposées, ses conditions et ses retours visuels sont vérifiables séparément.</x:v>
      </x:c>
      <x:c r="O26" s="7" t="str"/>
      <x:c r="P26" s="7" t="str">
        <x:v>Illium: Indentured Service</x:v>
      </x:c>
      <x:c r="Q26" s="7" t="str">
        <x:v>ME2-SRC-ASSIGN</x:v>
      </x:c>
      <x:c r="R26" s="21" t="str">
        <x:v>https://masseffect.fandom.com/wiki/Assignments</x:v>
      </x:c>
      <x:c r="S26" s="21" t="str">
        <x:v>Spécification à réaliser. Les champs adaptation, gameplay, visual, animation, audio et implementation décrivent le fan game ; ils ne donnent pas des caractéristiques officielles de l’œuvre.</x:v>
      </x:c>
    </x:row>
    <x:row r="27" ht="68" customHeight="1">
      <x:c r="A27" s="18" t="str">
        <x:v>ME2-SQ-ILLIUM-MEDICAL</x:v>
      </x:c>
      <x:c r="B27" s="9" t="str">
        <x:v>Illium: Medical Scans</x:v>
      </x:c>
      <x:c r="C27" s="15" t="str">
        <x:v>Défini</x:v>
      </x:c>
      <x:c r="D27" s="16" t="str">
        <x:v>Établi</x:v>
      </x:c>
      <x:c r="E27" s="16" t="str">
        <x:v>P1</x:v>
      </x:c>
      <x:c r="F27" s="9" t="str">
        <x:v>Affectation de données médicales.</x:v>
      </x:c>
      <x:c r="G27" s="9" t="str">
        <x:v>Traduire en autorisation ou refus de partage des données ; afficher la personne concernée.</x:v>
      </x:c>
      <x:c r="H27" s="9" t="str">
        <x:v>Traduire en autorisation ou refus de partage des données ; afficher la personne concernée.</x:v>
      </x:c>
      <x:c r="I27" s="9" t="str">
        <x:v>Terminal de société biomédicale.</x:v>
      </x:c>
      <x:c r="J27" s="9" t="str">
        <x:v>Transitions de caméra et d’interface interruptibles ; aucun délai d’animation ne doit consommer une décision encore ouverte.</x:v>
      </x:c>
      <x:c r="K27" s="9" t="str">
        <x:v>Créer des bruitages et ambiances originaux adaptés au livrable ; sous-titrer les indices utiles et proposer un réglage indépendant des effets. Aucune extraction audio demandée.</x:v>
      </x:c>
      <x:c r="L27" s="9" t="str">
        <x:v>Prévu : fiche de données me2/side_quests/illium-medical ; rattacher les ressources et états cités à cet identifiant. Aucun fichier de jeu créé par ce catalogue.</x:v>
      </x:c>
      <x:c r="M27" s="9" t="str"/>
      <x:c r="N27" s="9" t="str">
        <x:v>Le livrable « Illium: Medical Scans » possède une scène ou un scénario de contrôle ; ses règles proposées, ses conditions et ses retours visuels sont vérifiables séparément.</x:v>
      </x:c>
      <x:c r="O27" s="9" t="str"/>
      <x:c r="P27" s="9" t="str">
        <x:v>Illium: Medical Scans</x:v>
      </x:c>
      <x:c r="Q27" s="9" t="str">
        <x:v>ME2-SRC-ASSIGN</x:v>
      </x:c>
      <x:c r="R27" s="20" t="str">
        <x:v>https://masseffect.fandom.com/wiki/Assignments</x:v>
      </x:c>
      <x:c r="S27" s="20" t="str">
        <x:v>Spécification à réaliser. Les champs adaptation, gameplay, visual, animation, audio et implementation décrivent le fan game ; ils ne donnent pas des caractéristiques officielles de l’œuvre.</x:v>
      </x:c>
    </x:row>
    <x:row r="28" ht="68" customHeight="1">
      <x:c r="A28" s="19" t="str">
        <x:v>ME2-SQ-ILLIUM-FAMILY</x:v>
      </x:c>
      <x:c r="B28" s="7" t="str">
        <x:v>Illium: The Assassin: Salarian Family Data</x:v>
      </x:c>
      <x:c r="C28" s="15" t="str">
        <x:v>Défini</x:v>
      </x:c>
      <x:c r="D28" s="17" t="str">
        <x:v>Établi</x:v>
      </x:c>
      <x:c r="E28" s="17" t="str">
        <x:v>P1</x:v>
      </x:c>
      <x:c r="F28" s="7" t="str">
        <x:v>Données retrouvées pendant le recrutement de Thane.</x:v>
      </x:c>
      <x:c r="G28" s="7" t="str">
        <x:v>Chaîner découverte et restitution ; l’objet de quête reste disponible après la mission.</x:v>
      </x:c>
      <x:c r="H28" s="7" t="str">
        <x:v>Chaîner découverte et restitution ; l’objet de quête reste disponible après la mission.</x:v>
      </x:c>
      <x:c r="I28" s="7" t="str">
        <x:v>Datapad salarian dans une zone de chantier.</x:v>
      </x:c>
      <x:c r="J28" s="7" t="str">
        <x:v>Transitions de caméra et d’interface interruptibles ; aucun délai d’animation ne doit consommer une décision encore ouverte.</x:v>
      </x:c>
      <x:c r="K28" s="7" t="str">
        <x:v>Créer des bruitages et ambiances originaux adaptés au livrable ; sous-titrer les indices utiles et proposer un réglage indépendant des effets. Aucune extraction audio demandée.</x:v>
      </x:c>
      <x:c r="L28" s="7" t="str">
        <x:v>Prévu : fiche de données me2/side_quests/illium-family ; rattacher les ressources et états cités à cet identifiant. Aucun fichier de jeu créé par ce catalogue.</x:v>
      </x:c>
      <x:c r="M28" s="7" t="str"/>
      <x:c r="N28" s="7" t="str">
        <x:v>Le livrable « Illium: The Assassin: Salarian Family Data » possède une scène ou un scénario de contrôle ; ses règles proposées, ses conditions et ses retours visuels sont vérifiables séparément.</x:v>
      </x:c>
      <x:c r="O28" s="7" t="str"/>
      <x:c r="P28" s="7" t="str">
        <x:v>Illium: The Assassin: Salarian Family Data</x:v>
      </x:c>
      <x:c r="Q28" s="7" t="str">
        <x:v>ME2-SRC-ASSIGN</x:v>
      </x:c>
      <x:c r="R28" s="21" t="str">
        <x:v>https://masseffect.fandom.com/wiki/Assignments</x:v>
      </x:c>
      <x:c r="S28" s="21" t="str">
        <x:v>Spécification à réaliser. Les champs adaptation, gameplay, visual, animation, audio et implementation décrivent le fan game ; ils ne donnent pas des caractéristiques officielles de l’œuvre.</x:v>
      </x:c>
    </x:row>
    <x:row r="29" ht="68" customHeight="1">
      <x:c r="A29" s="18" t="str">
        <x:v>ME2-SQ-ILLIUM-SMUGGLE</x:v>
      </x:c>
      <x:c r="B29" s="9" t="str">
        <x:v>Illium: The Justicar: Smuggling Evidence</x:v>
      </x:c>
      <x:c r="C29" s="15" t="str">
        <x:v>Défini</x:v>
      </x:c>
      <x:c r="D29" s="16" t="str">
        <x:v>Établi</x:v>
      </x:c>
      <x:c r="E29" s="16" t="str">
        <x:v>P1</x:v>
      </x:c>
      <x:c r="F29" s="9" t="str">
        <x:v>Preuve de contrebande à Illium.</x:v>
      </x:c>
      <x:c r="G29" s="9" t="str">
        <x:v>Choisir destinataire des preuves et enregistrer la remise irréversible ; proposer un aperçu avant validation.</x:v>
      </x:c>
      <x:c r="H29" s="9" t="str">
        <x:v>Choisir destinataire des preuves et enregistrer la remise irréversible ; proposer un aperçu avant validation.</x:v>
      </x:c>
      <x:c r="I29" s="9" t="str">
        <x:v>Document de fret et bureau d’enquête.</x:v>
      </x:c>
      <x:c r="J29" s="9" t="str">
        <x:v>Transitions de caméra et d’interface interruptibles ; aucun délai d’animation ne doit consommer une décision encore ouverte.</x:v>
      </x:c>
      <x:c r="K29" s="9" t="str">
        <x:v>Créer des bruitages et ambiances originaux adaptés au livrable ; sous-titrer les indices utiles et proposer un réglage indépendant des effets. Aucune extraction audio demandée.</x:v>
      </x:c>
      <x:c r="L29" s="9" t="str">
        <x:v>Prévu : fiche de données me2/side_quests/illium-smuggle ; rattacher les ressources et états cités à cet identifiant. Aucun fichier de jeu créé par ce catalogue.</x:v>
      </x:c>
      <x:c r="M29" s="9" t="str"/>
      <x:c r="N29" s="9" t="str">
        <x:v>Le livrable « Illium: The Justicar: Smuggling Evidence » possède une scène ou un scénario de contrôle ; ses règles proposées, ses conditions et ses retours visuels sont vérifiables séparément.</x:v>
      </x:c>
      <x:c r="O29" s="9" t="str"/>
      <x:c r="P29" s="9" t="str">
        <x:v>Illium: The Justicar: Smuggling Evidence</x:v>
      </x:c>
      <x:c r="Q29" s="9" t="str">
        <x:v>ME2-SRC-ASSIGN, ME2-SRC-JUSTICAR</x:v>
      </x:c>
      <x:c r="R29" s="20" t="str">
        <x:v>https://masseffect.fandom.com/wiki/Assignments
https://masseffect.fandom.com/wiki/Dossier%3A_The_Justicar</x:v>
      </x:c>
      <x:c r="S29" s="20" t="str">
        <x:v>Spécification à réaliser. Les champs adaptation, gameplay, visual, animation, audio et implementation décrivent le fan game ; ils ne donnent pas des caractéristiques officielles de l’œuvre.</x:v>
      </x:c>
    </x:row>
    <x:row r="30" ht="68" customHeight="1">
      <x:c r="A30" s="19" t="str">
        <x:v>ME2-SQ-ILLIUM-GOODS</x:v>
      </x:c>
      <x:c r="B30" s="7" t="str">
        <x:v>Illium: The Justicar: Stolen Goods Found</x:v>
      </x:c>
      <x:c r="C30" s="15" t="str">
        <x:v>Défini</x:v>
      </x:c>
      <x:c r="D30" s="17" t="str">
        <x:v>Établi</x:v>
      </x:c>
      <x:c r="E30" s="17" t="str">
        <x:v>P1</x:v>
      </x:c>
      <x:c r="F30" s="7" t="str">
        <x:v>Marchandises volées liées au dossier Samara.</x:v>
      </x:c>
      <x:c r="G30" s="7" t="str">
        <x:v>Associer la découverte au bon commerçant ; ne pas imposer une revisite d’arène déjà fermée.</x:v>
      </x:c>
      <x:c r="H30" s="7" t="str">
        <x:v>Associer la découverte au bon commerçant ; ne pas imposer une revisite d’arène déjà fermée.</x:v>
      </x:c>
      <x:c r="I30" s="7" t="str">
        <x:v>Caisse et identifiant commercial.</x:v>
      </x:c>
      <x:c r="J30" s="7" t="str">
        <x:v>Transitions de caméra et d’interface interruptibles ; aucun délai d’animation ne doit consommer une décision encore ouverte.</x:v>
      </x:c>
      <x:c r="K30" s="7" t="str">
        <x:v>Créer des bruitages et ambiances originaux adaptés au livrable ; sous-titrer les indices utiles et proposer un réglage indépendant des effets. Aucune extraction audio demandée.</x:v>
      </x:c>
      <x:c r="L30" s="7" t="str">
        <x:v>Prévu : fiche de données me2/side_quests/illium-goods ; rattacher les ressources et états cités à cet identifiant. Aucun fichier de jeu créé par ce catalogue.</x:v>
      </x:c>
      <x:c r="M30" s="7" t="str"/>
      <x:c r="N30" s="7" t="str">
        <x:v>Le livrable « Illium: The Justicar: Stolen Goods Found » possède une scène ou un scénario de contrôle ; ses règles proposées, ses conditions et ses retours visuels sont vérifiables séparément.</x:v>
      </x:c>
      <x:c r="O30" s="7" t="str"/>
      <x:c r="P30" s="7" t="str">
        <x:v>Illium: The Justicar: Stolen Goods Found</x:v>
      </x:c>
      <x:c r="Q30" s="7" t="str">
        <x:v>ME2-SRC-ASSIGN</x:v>
      </x:c>
      <x:c r="R30" s="21" t="str">
        <x:v>https://masseffect.fandom.com/wiki/Assignments</x:v>
      </x:c>
      <x:c r="S30" s="21" t="str">
        <x:v>Spécification à réaliser. Les champs adaptation, gameplay, visual, animation, audio et implementation décrivent le fan game ; ils ne donnent pas des caractéristiques officielles de l’œuvre.</x:v>
      </x:c>
    </x:row>
    <x:row r="31" ht="68" customHeight="1">
      <x:c r="A31" s="18" t="str">
        <x:v>ME2-SQ-ILLIUM-LOCKET</x:v>
      </x:c>
      <x:c r="B31" s="9" t="str">
        <x:v>Illium: The Prodigal: Lost Locket Found</x:v>
      </x:c>
      <x:c r="C31" s="15" t="str">
        <x:v>Défini</x:v>
      </x:c>
      <x:c r="D31" s="16" t="str">
        <x:v>Établi</x:v>
      </x:c>
      <x:c r="E31" s="16" t="str">
        <x:v>P1</x:v>
      </x:c>
      <x:c r="F31" s="9" t="str">
        <x:v>Objet familial de la mission Miranda.</x:v>
      </x:c>
      <x:c r="G31" s="9" t="str">
        <x:v>Restitution au hub ; inspection sans consommation.</x:v>
      </x:c>
      <x:c r="H31" s="9" t="str">
        <x:v>Restitution au hub ; inspection sans consommation.</x:v>
      </x:c>
      <x:c r="I31" s="9" t="str">
        <x:v>Petit pendentif avec icône propre.</x:v>
      </x:c>
      <x:c r="J31" s="9" t="str">
        <x:v>Transitions de caméra et d’interface interruptibles ; aucun délai d’animation ne doit consommer une décision encore ouverte.</x:v>
      </x:c>
      <x:c r="K31" s="9" t="str">
        <x:v>Créer des bruitages et ambiances originaux adaptés au livrable ; sous-titrer les indices utiles et proposer un réglage indépendant des effets. Aucune extraction audio demandée.</x:v>
      </x:c>
      <x:c r="L31" s="9" t="str">
        <x:v>Prévu : fiche de données me2/side_quests/illium-locket ; rattacher les ressources et états cités à cet identifiant. Aucun fichier de jeu créé par ce catalogue.</x:v>
      </x:c>
      <x:c r="M31" s="9" t="str"/>
      <x:c r="N31" s="9" t="str">
        <x:v>Le livrable « Illium: The Prodigal: Lost Locket Found » possède une scène ou un scénario de contrôle ; ses règles proposées, ses conditions et ses retours visuels sont vérifiables séparément.</x:v>
      </x:c>
      <x:c r="O31" s="9" t="str"/>
      <x:c r="P31" s="9" t="str">
        <x:v>Illium: The Prodigal: Lost Locket Found</x:v>
      </x:c>
      <x:c r="Q31" s="9" t="str">
        <x:v>ME2-SRC-ASSIGN</x:v>
      </x:c>
      <x:c r="R31" s="20" t="str">
        <x:v>https://masseffect.fandom.com/wiki/Assignments</x:v>
      </x:c>
      <x:c r="S31" s="20" t="str">
        <x:v>Spécification à réaliser. Les champs adaptation, gameplay, visual, animation, audio et implementation décrivent le fan game ; ils ne donnent pas des caractéristiques officielles de l’œuvre.</x:v>
      </x:c>
    </x:row>
    <x:row r="32" ht="68" customHeight="1">
      <x:c r="A32" s="19" t="str">
        <x:v>ME2-SQ-TUCH-MANIFOLD</x:v>
      </x:c>
      <x:c r="B32" s="7" t="str">
        <x:v>Tuchanka: Combustion Manifold</x:v>
      </x:c>
      <x:c r="C32" s="15" t="str">
        <x:v>Défini</x:v>
      </x:c>
      <x:c r="D32" s="17" t="str">
        <x:v>Établi</x:v>
      </x:c>
      <x:c r="E32" s="17" t="str">
        <x:v>P1</x:v>
      </x:c>
      <x:c r="F32" s="7" t="str">
        <x:v>Pièce mécanique recherchée sur Tuchanka.</x:v>
      </x:c>
      <x:c r="G32" s="7" t="str">
        <x:v>Lier l’objet trouvé au mécanicien ; prévoir retour de dialogue après départ de mission.</x:v>
      </x:c>
      <x:c r="H32" s="7" t="str">
        <x:v>Lier l’objet trouvé au mécanicien ; prévoir retour de dialogue après départ de mission.</x:v>
      </x:c>
      <x:c r="I32" s="7" t="str">
        <x:v>Collecteur usé et atelier krogan.</x:v>
      </x:c>
      <x:c r="J32" s="7" t="str">
        <x:v>Transitions de caméra et d’interface interruptibles ; aucun délai d’animation ne doit consommer une décision encore ouverte.</x:v>
      </x:c>
      <x:c r="K32" s="7" t="str">
        <x:v>Créer des bruitages et ambiances originaux adaptés au livrable ; sous-titrer les indices utiles et proposer un réglage indépendant des effets. Aucune extraction audio demandée.</x:v>
      </x:c>
      <x:c r="L32" s="7" t="str">
        <x:v>Prévu : fiche de données me2/side_quests/tuch-manifold ; rattacher les ressources et états cités à cet identifiant. Aucun fichier de jeu créé par ce catalogue.</x:v>
      </x:c>
      <x:c r="M32" s="7" t="str"/>
      <x:c r="N32" s="7" t="str">
        <x:v>Le livrable « Tuchanka: Combustion Manifold » possède une scène ou un scénario de contrôle ; ses règles proposées, ses conditions et ses retours visuels sont vérifiables séparément.</x:v>
      </x:c>
      <x:c r="O32" s="7" t="str"/>
      <x:c r="P32" s="7" t="str">
        <x:v>Tuchanka: Combustion Manifold</x:v>
      </x:c>
      <x:c r="Q32" s="7" t="str">
        <x:v>ME2-SRC-ASSIGN</x:v>
      </x:c>
      <x:c r="R32" s="21" t="str">
        <x:v>https://masseffect.fandom.com/wiki/Assignments</x:v>
      </x:c>
      <x:c r="S32" s="21" t="str">
        <x:v>Spécification à réaliser. Les champs adaptation, gameplay, visual, animation, audio et implementation décrivent le fan game ; ils ne donnent pas des caractéristiques officielles de l’œuvre.</x:v>
      </x:c>
    </x:row>
    <x:row r="33" ht="68" customHeight="1">
      <x:c r="A33" s="18" t="str">
        <x:v>ME2-SQ-TUCH-PYJAK</x:v>
      </x:c>
      <x:c r="B33" s="9" t="str">
        <x:v>Tuchanka: Killing Pyjaks</x:v>
      </x:c>
      <x:c r="C33" s="15" t="str">
        <x:v>Défini</x:v>
      </x:c>
      <x:c r="D33" s="16" t="str">
        <x:v>Établi</x:v>
      </x:c>
      <x:c r="E33" s="16" t="str">
        <x:v>P1</x:v>
      </x:c>
      <x:c r="F33" s="9" t="str">
        <x:v>Affectation contre des pyjaks.</x:v>
      </x:c>
      <x:c r="G33" s="9" t="str">
        <x:v>Mini-jeu de tourelle facultatif converti en choix de cibles chronométrées ; mode sans timing proposé.</x:v>
      </x:c>
      <x:c r="H33" s="9" t="str">
        <x:v>Mini-jeu de tourelle facultatif converti en choix de cibles chronométrées ; mode sans timing proposé.</x:v>
      </x:c>
      <x:c r="I33" s="9" t="str">
        <x:v>Tour de garde et champs de nourriture.</x:v>
      </x:c>
      <x:c r="J33" s="9" t="str">
        <x:v>Transitions de caméra et d’interface interruptibles ; aucun délai d’animation ne doit consommer une décision encore ouverte.</x:v>
      </x:c>
      <x:c r="K33" s="9" t="str">
        <x:v>Créer des bruitages et ambiances originaux adaptés au livrable ; sous-titrer les indices utiles et proposer un réglage indépendant des effets. Aucune extraction audio demandée.</x:v>
      </x:c>
      <x:c r="L33" s="9" t="str">
        <x:v>Prévu : fiche de données me2/side_quests/tuch-pyjak ; rattacher les ressources et états cités à cet identifiant. Aucun fichier de jeu créé par ce catalogue.</x:v>
      </x:c>
      <x:c r="M33" s="9" t="str"/>
      <x:c r="N33" s="9" t="str">
        <x:v>Le livrable « Tuchanka: Killing Pyjaks » possède une scène ou un scénario de contrôle ; ses règles proposées, ses conditions et ses retours visuels sont vérifiables séparément.</x:v>
      </x:c>
      <x:c r="O33" s="9" t="str"/>
      <x:c r="P33" s="9" t="str">
        <x:v>Tuchanka: Killing Pyjaks</x:v>
      </x:c>
      <x:c r="Q33" s="9" t="str">
        <x:v>ME2-SRC-ASSIGN</x:v>
      </x:c>
      <x:c r="R33" s="20" t="str">
        <x:v>https://masseffect.fandom.com/wiki/Assignments</x:v>
      </x:c>
      <x:c r="S33" s="20" t="str">
        <x:v>Spécification à réaliser. Les champs adaptation, gameplay, visual, animation, audio et implementation décrivent le fan game ; ils ne donnent pas des caractéristiques officielles de l’œuvre.</x:v>
      </x:c>
    </x:row>
    <x:row r="34" ht="68" customHeight="1">
      <x:c r="A34" s="19" t="str">
        <x:v>ME2-SQ-TUCH-SCOUT</x:v>
      </x:c>
      <x:c r="B34" s="7" t="str">
        <x:v>Tuchanka: Old Blood: Missing Scout</x:v>
      </x:c>
      <x:c r="C34" s="15" t="str">
        <x:v>Défini</x:v>
      </x:c>
      <x:c r="D34" s="17" t="str">
        <x:v>Établi</x:v>
      </x:c>
      <x:c r="E34" s="17" t="str">
        <x:v>P1</x:v>
      </x:c>
      <x:c r="F34" s="7" t="str">
        <x:v>Éclaireur lié à l’enquête Mordin.</x:v>
      </x:c>
      <x:c r="G34" s="7" t="str">
        <x:v>Conversation dans l’hôpital puis compte rendu au clan ; distinguer retrouvé et revenu.</x:v>
      </x:c>
      <x:c r="H34" s="7" t="str">
        <x:v>Conversation dans l’hôpital puis compte rendu au clan ; distinguer retrouvé et revenu.</x:v>
      </x:c>
      <x:c r="I34" s="7" t="str">
        <x:v>Krogan blessé dans une salle latérale.</x:v>
      </x:c>
      <x:c r="J34" s="7" t="str">
        <x:v>Transitions de caméra et d’interface interruptibles ; aucun délai d’animation ne doit consommer une décision encore ouverte.</x:v>
      </x:c>
      <x:c r="K34" s="7" t="str">
        <x:v>Créer des bruitages et ambiances originaux adaptés au livrable ; sous-titrer les indices utiles et proposer un réglage indépendant des effets. Aucune extraction audio demandée.</x:v>
      </x:c>
      <x:c r="L34" s="7" t="str">
        <x:v>Prévu : fiche de données me2/side_quests/tuch-scout ; rattacher les ressources et états cités à cet identifiant. Aucun fichier de jeu créé par ce catalogue.</x:v>
      </x:c>
      <x:c r="M34" s="7" t="str"/>
      <x:c r="N34" s="7" t="str">
        <x:v>Le livrable « Tuchanka: Old Blood: Missing Scout » possède une scène ou un scénario de contrôle ; ses règles proposées, ses conditions et ses retours visuels sont vérifiables séparément.</x:v>
      </x:c>
      <x:c r="O34" s="7" t="str"/>
      <x:c r="P34" s="7" t="str">
        <x:v>Tuchanka: Old Blood: Missing Scout</x:v>
      </x:c>
      <x:c r="Q34" s="7" t="str">
        <x:v>ME2-SRC-ASSIGN</x:v>
      </x:c>
      <x:c r="R34" s="21" t="str">
        <x:v>https://masseffect.fandom.com/wiki/Assignments</x:v>
      </x:c>
      <x:c r="S34" s="21" t="str">
        <x:v>Spécification à réaliser. Les champs adaptation, gameplay, visual, animation, audio et implementation décrivent le fan game ; ils ne donnent pas des caractéristiques officielles de l’œuvre.</x:v>
      </x:c>
    </x:row>
    <x:row r="35" ht="68" customHeight="1">
      <x:c r="A35" s="18" t="str">
        <x:v>ME2-SQ-N7-RESEARCH</x:v>
      </x:c>
      <x:c r="B35" s="9" t="str">
        <x:v>N7: Abandoned Research Station</x:v>
      </x:c>
      <x:c r="C35" s="15" t="str">
        <x:v>Défini</x:v>
      </x:c>
      <x:c r="D35" s="16" t="str">
        <x:v>Établi</x:v>
      </x:c>
      <x:c r="E35" s="16" t="str">
        <x:v>P1</x:v>
      </x:c>
      <x:c r="F35" s="9" t="str">
        <x:v>Affectation N7.</x:v>
      </x:c>
      <x:c r="G35" s="9" t="str">
        <x:v>Puzzle de station où chaque système rétabli ouvre un secteur mais alimente une nouvelle menace.</x:v>
      </x:c>
      <x:c r="H35" s="9" t="str">
        <x:v>Puzzle de station où chaque système rétabli ouvre un secteur mais alimente une nouvelle menace.</x:v>
      </x:c>
      <x:c r="I35" s="9" t="str">
        <x:v>Salle machines et câbles interrompus.</x:v>
      </x:c>
      <x:c r="J35" s="9" t="str">
        <x:v>Transitions de caméra et d’interface interruptibles ; aucun délai d’animation ne doit consommer une décision encore ouverte.</x:v>
      </x:c>
      <x:c r="K35" s="9" t="str">
        <x:v>Créer des bruitages et ambiances originaux adaptés au livrable ; sous-titrer les indices utiles et proposer un réglage indépendant des effets. Aucune extraction audio demandée.</x:v>
      </x:c>
      <x:c r="L35" s="9" t="str">
        <x:v>Prévu : fiche de données me2/side_quests/n7-research ; rattacher les ressources et états cités à cet identifiant. Aucun fichier de jeu créé par ce catalogue.</x:v>
      </x:c>
      <x:c r="M35" s="9" t="str"/>
      <x:c r="N35" s="9" t="str">
        <x:v>Le livrable « N7: Abandoned Research Station » possède une scène ou un scénario de contrôle ; ses règles proposées, ses conditions et ses retours visuels sont vérifiables séparément.</x:v>
      </x:c>
      <x:c r="O35" s="9" t="str"/>
      <x:c r="P35" s="9" t="str">
        <x:v>N7: Abandoned Research Station</x:v>
      </x:c>
      <x:c r="Q35" s="9" t="str">
        <x:v>ME2-SRC-ASSIGN</x:v>
      </x:c>
      <x:c r="R35" s="20" t="str">
        <x:v>https://masseffect.fandom.com/wiki/Assignments</x:v>
      </x:c>
      <x:c r="S35" s="20" t="str">
        <x:v>Spécification à réaliser. Les champs adaptation, gameplay, visual, animation, audio et implementation décrivent le fan game ; ils ne donnent pas des caractéristiques officielles de l’œuvre.</x:v>
      </x:c>
    </x:row>
    <x:row r="36" ht="68" customHeight="1">
      <x:c r="A36" s="19" t="str">
        <x:v>ME2-SQ-N7-MINE</x:v>
      </x:c>
      <x:c r="B36" s="7" t="str">
        <x:v>N7: Abandoned Mine</x:v>
      </x:c>
      <x:c r="C36" s="15" t="str">
        <x:v>Défini</x:v>
      </x:c>
      <x:c r="D36" s="17" t="str">
        <x:v>Établi</x:v>
      </x:c>
      <x:c r="E36" s="17" t="str">
        <x:v>P1</x:v>
      </x:c>
      <x:c r="F36" s="7" t="str">
        <x:v>Affectation N7.</x:v>
      </x:c>
      <x:c r="G36" s="7" t="str">
        <x:v>Descente à éclairage limité ; maintenir un passage d’extraction libre quand des husks convergent.</x:v>
      </x:c>
      <x:c r="H36" s="7" t="str">
        <x:v>Descente à éclairage limité ; maintenir un passage d’extraction libre quand des husks convergent.</x:v>
      </x:c>
      <x:c r="I36" s="7" t="str">
        <x:v>Tunnels, ascenseur et foreuse immobile.</x:v>
      </x:c>
      <x:c r="J36" s="7" t="str">
        <x:v>Transitions de caméra et d’interface interruptibles ; aucun délai d’animation ne doit consommer une décision encore ouverte.</x:v>
      </x:c>
      <x:c r="K36" s="7" t="str">
        <x:v>Créer des bruitages et ambiances originaux adaptés au livrable ; sous-titrer les indices utiles et proposer un réglage indépendant des effets. Aucune extraction audio demandée.</x:v>
      </x:c>
      <x:c r="L36" s="7" t="str">
        <x:v>Prévu : fiche de données me2/side_quests/n7-mine ; rattacher les ressources et états cités à cet identifiant. Aucun fichier de jeu créé par ce catalogue.</x:v>
      </x:c>
      <x:c r="M36" s="7" t="str"/>
      <x:c r="N36" s="7" t="str">
        <x:v>Le livrable « N7: Abandoned Mine » possède une scène ou un scénario de contrôle ; ses règles proposées, ses conditions et ses retours visuels sont vérifiables séparément.</x:v>
      </x:c>
      <x:c r="O36" s="7" t="str"/>
      <x:c r="P36" s="7" t="str">
        <x:v>N7: Abandoned Mine</x:v>
      </x:c>
      <x:c r="Q36" s="7" t="str">
        <x:v>ME2-SRC-ASSIGN</x:v>
      </x:c>
      <x:c r="R36" s="21" t="str">
        <x:v>https://masseffect.fandom.com/wiki/Assignments</x:v>
      </x:c>
      <x:c r="S36" s="21" t="str">
        <x:v>Spécification à réaliser. Les champs adaptation, gameplay, visual, animation, audio et implementation décrivent le fan game ; ils ne donnent pas des caractéristiques officielles de l’œuvre.</x:v>
      </x:c>
    </x:row>
    <x:row r="37" ht="68" customHeight="1">
      <x:c r="A37" s="18" t="str">
        <x:v>ME2-SQ-N7-WEATHER</x:v>
      </x:c>
      <x:c r="B37" s="9" t="str">
        <x:v>N7: Anomalous Weather Detected</x:v>
      </x:c>
      <x:c r="C37" s="15" t="str">
        <x:v>Défini</x:v>
      </x:c>
      <x:c r="D37" s="16" t="str">
        <x:v>Établi</x:v>
      </x:c>
      <x:c r="E37" s="16" t="str">
        <x:v>P1</x:v>
      </x:c>
      <x:c r="F37" s="9" t="str">
        <x:v>Affectation N7.</x:v>
      </x:c>
      <x:c r="G37" s="9" t="str">
        <x:v>Faire de l’anomalie une contrainte de visibilité ; baliser les approches et désactiver des émetteurs.</x:v>
      </x:c>
      <x:c r="H37" s="9" t="str">
        <x:v>Faire de l’anomalie une contrainte de visibilité ; baliser les approches et désactiver des émetteurs.</x:v>
      </x:c>
      <x:c r="I37" s="9" t="str">
        <x:v>Brume électrique et relief rocheux.</x:v>
      </x:c>
      <x:c r="J37" s="9" t="str">
        <x:v>Transitions de caméra et d’interface interruptibles ; aucun délai d’animation ne doit consommer une décision encore ouverte.</x:v>
      </x:c>
      <x:c r="K37" s="9" t="str">
        <x:v>Créer des bruitages et ambiances originaux adaptés au livrable ; sous-titrer les indices utiles et proposer un réglage indépendant des effets. Aucune extraction audio demandée.</x:v>
      </x:c>
      <x:c r="L37" s="9" t="str">
        <x:v>Prévu : fiche de données me2/side_quests/n7-weather ; rattacher les ressources et états cités à cet identifiant. Aucun fichier de jeu créé par ce catalogue.</x:v>
      </x:c>
      <x:c r="M37" s="9" t="str"/>
      <x:c r="N37" s="9" t="str">
        <x:v>Le livrable « N7: Anomalous Weather Detected » possède une scène ou un scénario de contrôle ; ses règles proposées, ses conditions et ses retours visuels sont vérifiables séparément.</x:v>
      </x:c>
      <x:c r="O37" s="9" t="str"/>
      <x:c r="P37" s="9" t="str">
        <x:v>N7: Anomalous Weather Detected</x:v>
      </x:c>
      <x:c r="Q37" s="9" t="str">
        <x:v>ME2-SRC-ASSIGN</x:v>
      </x:c>
      <x:c r="R37" s="20" t="str">
        <x:v>https://masseffect.fandom.com/wiki/Assignments</x:v>
      </x:c>
      <x:c r="S37" s="20" t="str">
        <x:v>Spécification à réaliser. Les champs adaptation, gameplay, visual, animation, audio et implementation décrivent le fan game ; ils ne donnent pas des caractéristiques officielles de l’œuvre.</x:v>
      </x:c>
    </x:row>
    <x:row r="38" ht="68" customHeight="1">
      <x:c r="A38" s="19" t="str">
        <x:v>ME2-SQ-N7-ARCHEO</x:v>
      </x:c>
      <x:c r="B38" s="7" t="str">
        <x:v>N7: Archeological Dig Site</x:v>
      </x:c>
      <x:c r="C38" s="15" t="str">
        <x:v>Défini</x:v>
      </x:c>
      <x:c r="D38" s="17" t="str">
        <x:v>Établi</x:v>
      </x:c>
      <x:c r="E38" s="17" t="str">
        <x:v>P1</x:v>
      </x:c>
      <x:c r="F38" s="7" t="str">
        <x:v>Début d’une chaîne N7.</x:v>
      </x:c>
      <x:c r="G38" s="7" t="str">
        <x:v>Fouiller les excavations sous pression mercenaire et récupérer une piste menant au Strontium Mule.</x:v>
      </x:c>
      <x:c r="H38" s="7" t="str">
        <x:v>Fouiller les excavations sous pression mercenaire et récupérer une piste menant au Strontium Mule.</x:v>
      </x:c>
      <x:c r="I38" s="7" t="str">
        <x:v>Fouilles, tentes et structures anciennes.</x:v>
      </x:c>
      <x:c r="J38" s="7" t="str">
        <x:v>Transitions de caméra et d’interface interruptibles ; aucun délai d’animation ne doit consommer une décision encore ouverte.</x:v>
      </x:c>
      <x:c r="K38" s="7" t="str">
        <x:v>Créer des bruitages et ambiances originaux adaptés au livrable ; sous-titrer les indices utiles et proposer un réglage indépendant des effets. Aucune extraction audio demandée.</x:v>
      </x:c>
      <x:c r="L38" s="7" t="str">
        <x:v>Prévu : fiche de données me2/side_quests/n7-archeo ; rattacher les ressources et états cités à cet identifiant. Aucun fichier de jeu créé par ce catalogue.</x:v>
      </x:c>
      <x:c r="M38" s="7" t="str"/>
      <x:c r="N38" s="7" t="str">
        <x:v>Le livrable « N7: Archeological Dig Site » possède une scène ou un scénario de contrôle ; ses règles proposées, ses conditions et ses retours visuels sont vérifiables séparément.</x:v>
      </x:c>
      <x:c r="O38" s="7" t="str"/>
      <x:c r="P38" s="7" t="str">
        <x:v>N7: Archeological Dig Site</x:v>
      </x:c>
      <x:c r="Q38" s="7" t="str">
        <x:v>ME2-SRC-ASSIGN</x:v>
      </x:c>
      <x:c r="R38" s="21" t="str">
        <x:v>https://masseffect.fandom.com/wiki/Assignments</x:v>
      </x:c>
      <x:c r="S38" s="21" t="str">
        <x:v>Spécification à réaliser. Les champs adaptation, gameplay, visual, animation, audio et implementation décrivent le fan game ; ils ne donnent pas des caractéristiques officielles de l’œuvre.</x:v>
      </x:c>
    </x:row>
    <x:row r="39" ht="68" customHeight="1">
      <x:c r="A39" s="18" t="str">
        <x:v>ME2-SQ-N7-BLOOD-RELAY</x:v>
      </x:c>
      <x:c r="B39" s="9" t="str">
        <x:v>N7: Blood Pack Communications Relay</x:v>
      </x:c>
      <x:c r="C39" s="15" t="str">
        <x:v>Défini</x:v>
      </x:c>
      <x:c r="D39" s="16" t="str">
        <x:v>Établi</x:v>
      </x:c>
      <x:c r="E39" s="16" t="str">
        <x:v>P1</x:v>
      </x:c>
      <x:c r="F39" s="9" t="str">
        <x:v>Affectation menant à une base Blood Pack.</x:v>
      </x:c>
      <x:c r="G39" s="9" t="str">
        <x:v>Repérer les relais en visibilité réduite ; sabotage de communication avant fuite.</x:v>
      </x:c>
      <x:c r="H39" s="9" t="str">
        <x:v>Repérer les relais en visibilité réduite ; sabotage de communication avant fuite.</x:v>
      </x:c>
      <x:c r="I39" s="9" t="str">
        <x:v>Brouillard, balises et antenne.</x:v>
      </x:c>
      <x:c r="J39" s="9" t="str">
        <x:v>Transitions de caméra et d’interface interruptibles ; aucun délai d’animation ne doit consommer une décision encore ouverte.</x:v>
      </x:c>
      <x:c r="K39" s="9" t="str">
        <x:v>Créer des bruitages et ambiances originaux adaptés au livrable ; sous-titrer les indices utiles et proposer un réglage indépendant des effets. Aucune extraction audio demandée.</x:v>
      </x:c>
      <x:c r="L39" s="9" t="str">
        <x:v>Prévu : fiche de données me2/side_quests/n7-blood-relay ; rattacher les ressources et états cités à cet identifiant. Aucun fichier de jeu créé par ce catalogue.</x:v>
      </x:c>
      <x:c r="M39" s="9" t="str">
        <x:v>Ouvre la piste de la base.</x:v>
      </x:c>
      <x:c r="N39" s="9" t="str">
        <x:v>Le livrable « N7: Blood Pack Communications Relay » possède une scène ou un scénario de contrôle ; ses règles proposées, ses conditions et ses retours visuels sont vérifiables séparément.</x:v>
      </x:c>
      <x:c r="O39" s="9" t="str"/>
      <x:c r="P39" s="9" t="str">
        <x:v>N7: Blood Pack Communications Relay</x:v>
      </x:c>
      <x:c r="Q39" s="9" t="str">
        <x:v>ME2-SRC-ASSIGN</x:v>
      </x:c>
      <x:c r="R39" s="20" t="str">
        <x:v>https://masseffect.fandom.com/wiki/Assignments</x:v>
      </x:c>
      <x:c r="S39" s="20" t="str">
        <x:v>Spécification à réaliser. Les champs adaptation, gameplay, visual, animation, audio et implementation décrivent le fan game ; ils ne donnent pas des caractéristiques officielles de l’œuvre.</x:v>
      </x:c>
    </x:row>
    <x:row r="40" ht="68" customHeight="1">
      <x:c r="A40" s="19" t="str">
        <x:v>ME2-SQ-N7-BLOOD-BASE</x:v>
      </x:c>
      <x:c r="B40" s="7" t="str">
        <x:v>N7: Blood Pack Base</x:v>
      </x:c>
      <x:c r="C40" s="15" t="str">
        <x:v>Défini</x:v>
      </x:c>
      <x:c r="D40" s="17" t="str">
        <x:v>Établi</x:v>
      </x:c>
      <x:c r="E40" s="17" t="str">
        <x:v>P1</x:v>
      </x:c>
      <x:c r="F40" s="7" t="str">
        <x:v>Affectation N7 du Blood Pack.</x:v>
      </x:c>
      <x:c r="G40" s="7" t="str">
        <x:v>Assaut d’installation avec portes latérales ; prioriser le chef qui appelle les renforts.</x:v>
      </x:c>
      <x:c r="H40" s="7" t="str">
        <x:v>Assaut d’installation avec portes latérales ; prioriser le chef qui appelle les renforts.</x:v>
      </x:c>
      <x:c r="I40" s="7" t="str">
        <x:v>Atelier armé et équipements krogan/vorcha.</x:v>
      </x:c>
      <x:c r="J40" s="7" t="str">
        <x:v>Transitions de caméra et d’interface interruptibles ; aucun délai d’animation ne doit consommer une décision encore ouverte.</x:v>
      </x:c>
      <x:c r="K40" s="7" t="str">
        <x:v>Créer des bruitages et ambiances originaux adaptés au livrable ; sous-titrer les indices utiles et proposer un réglage indépendant des effets. Aucune extraction audio demandée.</x:v>
      </x:c>
      <x:c r="L40" s="7" t="str">
        <x:v>Prévu : fiche de données me2/side_quests/n7-blood-base ; rattacher les ressources et états cités à cet identifiant. Aucun fichier de jeu créé par ce catalogue.</x:v>
      </x:c>
      <x:c r="M40" s="7" t="str"/>
      <x:c r="N40" s="7" t="str">
        <x:v>Le livrable « N7: Blood Pack Base » possède une scène ou un scénario de contrôle ; ses règles proposées, ses conditions et ses retours visuels sont vérifiables séparément.</x:v>
      </x:c>
      <x:c r="O40" s="7" t="str"/>
      <x:c r="P40" s="7" t="str">
        <x:v>N7: Blood Pack Base</x:v>
      </x:c>
      <x:c r="Q40" s="7" t="str">
        <x:v>ME2-SRC-ASSIGN</x:v>
      </x:c>
      <x:c r="R40" s="21" t="str">
        <x:v>https://masseffect.fandom.com/wiki/Assignments</x:v>
      </x:c>
      <x:c r="S40" s="21" t="str">
        <x:v>Spécification à réaliser. Les champs adaptation, gameplay, visual, animation, audio et implementation décrivent le fan game ; ils ne donnent pas des caractéristiques officielles de l’œuvre.</x:v>
      </x:c>
    </x:row>
    <x:row r="41" ht="68" customHeight="1">
      <x:c r="A41" s="18" t="str">
        <x:v>ME2-SQ-N7-BLUESUN</x:v>
      </x:c>
      <x:c r="B41" s="9" t="str">
        <x:v>N7: Blue Suns Base</x:v>
      </x:c>
      <x:c r="C41" s="15" t="str">
        <x:v>Défini</x:v>
      </x:c>
      <x:c r="D41" s="16" t="str">
        <x:v>Établi</x:v>
      </x:c>
      <x:c r="E41" s="16" t="str">
        <x:v>P1</x:v>
      </x:c>
      <x:c r="F41" s="9" t="str">
        <x:v>Étape de chaîne N7.</x:v>
      </x:c>
      <x:c r="G41" s="9" t="str">
        <x:v>Entrée par cour puis bunker ; obtenir des informations sur les missiles après sécurisation.</x:v>
      </x:c>
      <x:c r="H41" s="9" t="str">
        <x:v>Entrée par cour puis bunker ; obtenir des informations sur les missiles après sécurisation.</x:v>
      </x:c>
      <x:c r="I41" s="9" t="str">
        <x:v>Bunker mercenaire à codes bleus.</x:v>
      </x:c>
      <x:c r="J41" s="9" t="str">
        <x:v>Transitions de caméra et d’interface interruptibles ; aucun délai d’animation ne doit consommer une décision encore ouverte.</x:v>
      </x:c>
      <x:c r="K41" s="9" t="str">
        <x:v>Créer des bruitages et ambiances originaux adaptés au livrable ; sous-titrer les indices utiles et proposer un réglage indépendant des effets. Aucune extraction audio demandée.</x:v>
      </x:c>
      <x:c r="L41" s="9" t="str">
        <x:v>Prévu : fiche de données me2/side_quests/n7-bluesun ; rattacher les ressources et états cités à cet identifiant. Aucun fichier de jeu créé par ce catalogue.</x:v>
      </x:c>
      <x:c r="M41" s="9" t="str"/>
      <x:c r="N41" s="9" t="str">
        <x:v>Le livrable « N7: Blue Suns Base » possède une scène ou un scénario de contrôle ; ses règles proposées, ses conditions et ses retours visuels sont vérifiables séparément.</x:v>
      </x:c>
      <x:c r="O41" s="9" t="str"/>
      <x:c r="P41" s="9" t="str">
        <x:v>N7: Blue Suns Base</x:v>
      </x:c>
      <x:c r="Q41" s="9" t="str">
        <x:v>ME2-SRC-ASSIGN</x:v>
      </x:c>
      <x:c r="R41" s="20" t="str">
        <x:v>https://masseffect.fandom.com/wiki/Assignments</x:v>
      </x:c>
      <x:c r="S41" s="20" t="str">
        <x:v>Spécification à réaliser. Les champs adaptation, gameplay, visual, animation, audio et implementation décrivent le fan game ; ils ne donnent pas des caractéristiques officielles de l’œuvre.</x:v>
      </x:c>
    </x:row>
    <x:row r="42" ht="68" customHeight="1">
      <x:c r="A42" s="19" t="str">
        <x:v>ME2-SQ-N7-CAPTURED</x:v>
      </x:c>
      <x:c r="B42" s="7" t="str">
        <x:v>N7: Captured Mining Facility</x:v>
      </x:c>
      <x:c r="C42" s="15" t="str">
        <x:v>Défini</x:v>
      </x:c>
      <x:c r="D42" s="17" t="str">
        <x:v>Établi</x:v>
      </x:c>
      <x:c r="E42" s="17" t="str">
        <x:v>P1</x:v>
      </x:c>
      <x:c r="F42" s="7" t="str">
        <x:v>Affectation de mine occupée.</x:v>
      </x:c>
      <x:c r="G42" s="7" t="str">
        <x:v>Libérer des points de travail sans tirer sur les équipements identifiés ; organiser les lignes de vue de deux galeries.</x:v>
      </x:c>
      <x:c r="H42" s="7" t="str">
        <x:v>Libérer des points de travail sans tirer sur les équipements identifiés ; organiser les lignes de vue de deux galeries.</x:v>
      </x:c>
      <x:c r="I42" s="7" t="str">
        <x:v>Machinerie et postes Eclipse.</x:v>
      </x:c>
      <x:c r="J42" s="7" t="str">
        <x:v>Transitions de caméra et d’interface interruptibles ; aucun délai d’animation ne doit consommer une décision encore ouverte.</x:v>
      </x:c>
      <x:c r="K42" s="7" t="str">
        <x:v>Créer des bruitages et ambiances originaux adaptés au livrable ; sous-titrer les indices utiles et proposer un réglage indépendant des effets. Aucune extraction audio demandée.</x:v>
      </x:c>
      <x:c r="L42" s="7" t="str">
        <x:v>Prévu : fiche de données me2/side_quests/n7-captured ; rattacher les ressources et états cités à cet identifiant. Aucun fichier de jeu créé par ce catalogue.</x:v>
      </x:c>
      <x:c r="M42" s="7" t="str"/>
      <x:c r="N42" s="7" t="str">
        <x:v>Le livrable « N7: Captured Mining Facility » possède une scène ou un scénario de contrôle ; ses règles proposées, ses conditions et ses retours visuels sont vérifiables séparément.</x:v>
      </x:c>
      <x:c r="O42" s="7" t="str"/>
      <x:c r="P42" s="7" t="str">
        <x:v>N7: Captured Mining Facility</x:v>
      </x:c>
      <x:c r="Q42" s="7" t="str">
        <x:v>ME2-SRC-ASSIGN</x:v>
      </x:c>
      <x:c r="R42" s="21" t="str">
        <x:v>https://masseffect.fandom.com/wiki/Assignments</x:v>
      </x:c>
      <x:c r="S42" s="21" t="str">
        <x:v>Spécification à réaliser. Les champs adaptation, gameplay, visual, animation, audio et implementation décrivent le fan game ; ils ne donnent pas des caractéristiques officielles de l’œuvre.</x:v>
      </x:c>
    </x:row>
    <x:row r="43" ht="68" customHeight="1">
      <x:c r="A43" s="18" t="str">
        <x:v>ME2-SQ-N7-ECLIPSE</x:v>
      </x:c>
      <x:c r="B43" s="9" t="str">
        <x:v>N7: Eclipse Smuggling Depot</x:v>
      </x:c>
      <x:c r="C43" s="15" t="str">
        <x:v>Défini</x:v>
      </x:c>
      <x:c r="D43" s="16" t="str">
        <x:v>Établi</x:v>
      </x:c>
      <x:c r="E43" s="16" t="str">
        <x:v>P1</x:v>
      </x:c>
      <x:c r="F43" s="9" t="str">
        <x:v>Affectation N7 Eclipse.</x:v>
      </x:c>
      <x:c r="G43" s="9" t="str">
        <x:v>Course de sauvegarde de cargaisons : choisir les caisses à protéger et neutraliser les mécas destructeurs.</x:v>
      </x:c>
      <x:c r="H43" s="9" t="str">
        <x:v>Course de sauvegarde de cargaisons : choisir les caisses à protéger et neutraliser les mécas destructeurs.</x:v>
      </x:c>
      <x:c r="I43" s="9" t="str">
        <x:v>Dépôt ouvert, caisses numérotées et brûlures.</x:v>
      </x:c>
      <x:c r="J43" s="9" t="str">
        <x:v>Transitions de caméra et d’interface interruptibles ; aucun délai d’animation ne doit consommer une décision encore ouverte.</x:v>
      </x:c>
      <x:c r="K43" s="9" t="str">
        <x:v>Créer des bruitages et ambiances originaux adaptés au livrable ; sous-titrer les indices utiles et proposer un réglage indépendant des effets. Aucune extraction audio demandée.</x:v>
      </x:c>
      <x:c r="L43" s="9" t="str">
        <x:v>Prévu : fiche de données me2/side_quests/n7-eclipse ; rattacher les ressources et états cités à cet identifiant. Aucun fichier de jeu créé par ce catalogue.</x:v>
      </x:c>
      <x:c r="M43" s="9" t="str"/>
      <x:c r="N43" s="9" t="str">
        <x:v>Le livrable « N7: Eclipse Smuggling Depot » possède une scène ou un scénario de contrôle ; ses règles proposées, ses conditions et ses retours visuels sont vérifiables séparément.</x:v>
      </x:c>
      <x:c r="O43" s="9" t="str"/>
      <x:c r="P43" s="9" t="str">
        <x:v>N7: Eclipse Smuggling Depot</x:v>
      </x:c>
      <x:c r="Q43" s="9" t="str">
        <x:v>ME2-SRC-ASSIGN</x:v>
      </x:c>
      <x:c r="R43" s="20" t="str">
        <x:v>https://masseffect.fandom.com/wiki/Assignments</x:v>
      </x:c>
      <x:c r="S43" s="20" t="str">
        <x:v>Spécification à réaliser. Les champs adaptation, gameplay, visual, animation, audio et implementation décrivent le fan game ; ils ne donnent pas des caractéristiques officielles de l’œuvre.</x:v>
      </x:c>
    </x:row>
    <x:row r="44" ht="68" customHeight="1">
      <x:c r="A44" s="19" t="str">
        <x:v>ME2-SQ-N7-ENDANGERED</x:v>
      </x:c>
      <x:c r="B44" s="7" t="str">
        <x:v>N7: Endangered Research Station</x:v>
      </x:c>
      <x:c r="C44" s="15" t="str">
        <x:v>Défini</x:v>
      </x:c>
      <x:c r="D44" s="17" t="str">
        <x:v>Établi</x:v>
      </x:c>
      <x:c r="E44" s="17" t="str">
        <x:v>P1</x:v>
      </x:c>
      <x:c r="F44" s="7" t="str">
        <x:v>Affectation N7 de station menacée.</x:v>
      </x:c>
      <x:c r="G44" s="7" t="str">
        <x:v>Rerouter l’énergie entre capteurs et protection ; validation montrant ce qui a été sauvé.</x:v>
      </x:c>
      <x:c r="H44" s="7" t="str">
        <x:v>Rerouter l’énergie entre capteurs et protection ; validation montrant ce qui a été sauvé.</x:v>
      </x:c>
      <x:c r="I44" s="7" t="str">
        <x:v>Panneaux de puissance et dôme de recherche.</x:v>
      </x:c>
      <x:c r="J44" s="7" t="str">
        <x:v>Transitions de caméra et d’interface interruptibles ; aucun délai d’animation ne doit consommer une décision encore ouverte.</x:v>
      </x:c>
      <x:c r="K44" s="7" t="str">
        <x:v>Créer des bruitages et ambiances originaux adaptés au livrable ; sous-titrer les indices utiles et proposer un réglage indépendant des effets. Aucune extraction audio demandée.</x:v>
      </x:c>
      <x:c r="L44" s="7" t="str">
        <x:v>Prévu : fiche de données me2/side_quests/n7-endangered ; rattacher les ressources et états cités à cet identifiant. Aucun fichier de jeu créé par ce catalogue.</x:v>
      </x:c>
      <x:c r="M44" s="7" t="str"/>
      <x:c r="N44" s="7" t="str">
        <x:v>Le livrable « N7: Endangered Research Station » possède une scène ou un scénario de contrôle ; ses règles proposées, ses conditions et ses retours visuels sont vérifiables séparément.</x:v>
      </x:c>
      <x:c r="O44" s="7" t="str"/>
      <x:c r="P44" s="7" t="str">
        <x:v>N7: Endangered Research Station</x:v>
      </x:c>
      <x:c r="Q44" s="7" t="str">
        <x:v>ME2-SRC-ASSIGN</x:v>
      </x:c>
      <x:c r="R44" s="21" t="str">
        <x:v>https://masseffect.fandom.com/wiki/Assignments</x:v>
      </x:c>
      <x:c r="S44" s="21" t="str">
        <x:v>Spécification à réaliser. Les champs adaptation, gameplay, visual, animation, audio et implementation décrivent le fan game ; ils ne donnent pas des caractéristiques officielles de l’œuvre.</x:v>
      </x:c>
    </x:row>
    <x:row r="45" ht="68" customHeight="1">
      <x:c r="A45" s="18" t="str">
        <x:v>ME2-SQ-N7-HAHNE</x:v>
      </x:c>
      <x:c r="B45" s="9" t="str">
        <x:v>N7: Hahne-Kedar Facility</x:v>
      </x:c>
      <x:c r="C45" s="15" t="str">
        <x:v>Défini</x:v>
      </x:c>
      <x:c r="D45" s="16" t="str">
        <x:v>Établi</x:v>
      </x:c>
      <x:c r="E45" s="16" t="str">
        <x:v>P1</x:v>
      </x:c>
      <x:c r="F45" s="9" t="str">
        <x:v>Affectation liée aux mécas défaillants.</x:v>
      </x:c>
      <x:c r="G45" s="9" t="str">
        <x:v>Traverser chaîne d’assemblage, couper l’origine des commandes puis laisser une route de sortie.</x:v>
      </x:c>
      <x:c r="H45" s="9" t="str">
        <x:v>Traverser chaîne d’assemblage, couper l’origine des commandes puis laisser une route de sortie.</x:v>
      </x:c>
      <x:c r="I45" s="9" t="str">
        <x:v>Usine de mécas et convoyeurs.</x:v>
      </x:c>
      <x:c r="J45" s="9" t="str">
        <x:v>Transitions de caméra et d’interface interruptibles ; aucun délai d’animation ne doit consommer une décision encore ouverte.</x:v>
      </x:c>
      <x:c r="K45" s="9" t="str">
        <x:v>Créer des bruitages et ambiances originaux adaptés au livrable ; sous-titrer les indices utiles et proposer un réglage indépendant des effets. Aucune extraction audio demandée.</x:v>
      </x:c>
      <x:c r="L45" s="9" t="str">
        <x:v>Prévu : fiche de données me2/side_quests/n7-hahne ; rattacher les ressources et états cités à cet identifiant. Aucun fichier de jeu créé par ce catalogue.</x:v>
      </x:c>
      <x:c r="M45" s="9" t="str"/>
      <x:c r="N45" s="9" t="str">
        <x:v>Le livrable « N7: Hahne-Kedar Facility » possède une scène ou un scénario de contrôle ; ses règles proposées, ses conditions et ses retours visuels sont vérifiables séparément.</x:v>
      </x:c>
      <x:c r="O45" s="9" t="str"/>
      <x:c r="P45" s="9" t="str">
        <x:v>N7: Hahne-Kedar Facility</x:v>
      </x:c>
      <x:c r="Q45" s="9" t="str">
        <x:v>ME2-SRC-ASSIGN</x:v>
      </x:c>
      <x:c r="R45" s="20" t="str">
        <x:v>https://masseffect.fandom.com/wiki/Assignments</x:v>
      </x:c>
      <x:c r="S45" s="20" t="str">
        <x:v>Spécification à réaliser. Les champs adaptation, gameplay, visual, animation, audio et implementation décrivent le fan game ; ils ne donnent pas des caractéristiques officielles de l’œuvre.</x:v>
      </x:c>
    </x:row>
    <x:row r="46" ht="68" customHeight="1">
      <x:c r="A46" s="19" t="str">
        <x:v>ME2-SQ-N7-CRASH</x:v>
      </x:c>
      <x:c r="B46" s="7" t="str">
        <x:v>N7: Imminent Ship Crash</x:v>
      </x:c>
      <x:c r="C46" s="15" t="str">
        <x:v>Défini</x:v>
      </x:c>
      <x:c r="D46" s="17" t="str">
        <x:v>Établi</x:v>
      </x:c>
      <x:c r="E46" s="17" t="str">
        <x:v>P1</x:v>
      </x:c>
      <x:c r="F46" s="7" t="str">
        <x:v>Affectation N7 d’urgence.</x:v>
      </x:c>
      <x:c r="G46" s="7" t="str">
        <x:v>Réparer la propulsion avant échéance proposée ; temps gelé pendant lecture indispensable.</x:v>
      </x:c>
      <x:c r="H46" s="7" t="str">
        <x:v>Réparer la propulsion avant échéance proposée ; temps gelé pendant lecture indispensable.</x:v>
      </x:c>
      <x:c r="I46" s="7" t="str">
        <x:v>Frégate inclinée, conduite et étoiles en mouvement.</x:v>
      </x:c>
      <x:c r="J46" s="7" t="str">
        <x:v>Transitions de caméra et d’interface interruptibles ; aucun délai d’animation ne doit consommer une décision encore ouverte.</x:v>
      </x:c>
      <x:c r="K46" s="7" t="str">
        <x:v>Créer des bruitages et ambiances originaux adaptés au livrable ; sous-titrer les indices utiles et proposer un réglage indépendant des effets. Aucune extraction audio demandée.</x:v>
      </x:c>
      <x:c r="L46" s="7" t="str">
        <x:v>Prévu : fiche de données me2/side_quests/n7-crash ; rattacher les ressources et états cités à cet identifiant. Aucun fichier de jeu créé par ce catalogue.</x:v>
      </x:c>
      <x:c r="M46" s="7" t="str"/>
      <x:c r="N46" s="7" t="str">
        <x:v>Le livrable « N7: Imminent Ship Crash » possède une scène ou un scénario de contrôle ; ses règles proposées, ses conditions et ses retours visuels sont vérifiables séparément.</x:v>
      </x:c>
      <x:c r="O46" s="7" t="str"/>
      <x:c r="P46" s="7" t="str">
        <x:v>N7: Imminent Ship Crash</x:v>
      </x:c>
      <x:c r="Q46" s="7" t="str">
        <x:v>ME2-SRC-ASSIGN</x:v>
      </x:c>
      <x:c r="R46" s="21" t="str">
        <x:v>https://masseffect.fandom.com/wiki/Assignments</x:v>
      </x:c>
      <x:c r="S46" s="21" t="str">
        <x:v>Spécification à réaliser. Les champs adaptation, gameplay, visual, animation, audio et implementation décrivent le fan game ; ils ne donnent pas des caractéristiques officielles de l’œuvre.</x:v>
      </x:c>
    </x:row>
    <x:row r="47" ht="68" customHeight="1">
      <x:c r="A47" s="18" t="str">
        <x:v>ME2-SQ-N7-JAVELIN</x:v>
      </x:c>
      <x:c r="B47" s="9" t="str">
        <x:v>N7: Javelin Missiles Launched</x:v>
      </x:c>
      <x:c r="C47" s="15" t="str">
        <x:v>Défini</x:v>
      </x:c>
      <x:c r="D47" s="16" t="str">
        <x:v>Établi</x:v>
      </x:c>
      <x:c r="E47" s="16" t="str">
        <x:v>P1</x:v>
      </x:c>
      <x:c r="F47" s="9" t="str">
        <x:v>Dernière étape d’une chaîne N7.</x:v>
      </x:c>
      <x:c r="G47" s="9" t="str">
        <x:v>Infiltrer la commande et choisir un objectif de neutralisation ; indiquer l’irréversibilité finale.</x:v>
      </x:c>
      <x:c r="H47" s="9" t="str">
        <x:v>Infiltrer la commande et choisir un objectif de neutralisation ; indiquer l’irréversibilité finale.</x:v>
      </x:c>
      <x:c r="I47" s="9" t="str">
        <x:v>Bunker et carte de trajectoires.</x:v>
      </x:c>
      <x:c r="J47" s="9" t="str">
        <x:v>Transitions de caméra et d’interface interruptibles ; aucun délai d’animation ne doit consommer une décision encore ouverte.</x:v>
      </x:c>
      <x:c r="K47" s="9" t="str">
        <x:v>Créer des bruitages et ambiances originaux adaptés au livrable ; sous-titrer les indices utiles et proposer un réglage indépendant des effets. Aucune extraction audio demandée.</x:v>
      </x:c>
      <x:c r="L47" s="9" t="str">
        <x:v>Prévu : fiche de données me2/side_quests/n7-javelin ; rattacher les ressources et états cités à cet identifiant. Aucun fichier de jeu créé par ce catalogue.</x:v>
      </x:c>
      <x:c r="M47" s="9" t="str">
        <x:v>Chaîne de base Blue Suns.</x:v>
      </x:c>
      <x:c r="N47" s="9" t="str">
        <x:v>Le livrable « N7: Javelin Missiles Launched » possède une scène ou un scénario de contrôle ; ses règles proposées, ses conditions et ses retours visuels sont vérifiables séparément.</x:v>
      </x:c>
      <x:c r="O47" s="9" t="str"/>
      <x:c r="P47" s="9" t="str">
        <x:v>N7: Javelin Missiles Launched</x:v>
      </x:c>
      <x:c r="Q47" s="9" t="str">
        <x:v>ME2-SRC-ASSIGN</x:v>
      </x:c>
      <x:c r="R47" s="20" t="str">
        <x:v>https://masseffect.fandom.com/wiki/Assignments</x:v>
      </x:c>
      <x:c r="S47" s="20" t="str">
        <x:v>Spécification à réaliser. Les champs adaptation, gameplay, visual, animation, audio et implementation décrivent le fan game ; ils ne donnent pas des caractéristiques officielles de l’œuvre.</x:v>
      </x:c>
    </x:row>
    <x:row r="48" ht="68" customHeight="1">
      <x:c r="A48" s="19" t="str">
        <x:v>ME2-SQ-N7-OPERATIVE</x:v>
      </x:c>
      <x:c r="B48" s="7" t="str">
        <x:v>N7: Lost Operative</x:v>
      </x:c>
      <x:c r="C48" s="15" t="str">
        <x:v>Défini</x:v>
      </x:c>
      <x:c r="D48" s="17" t="str">
        <x:v>Établi</x:v>
      </x:c>
      <x:c r="E48" s="17" t="str">
        <x:v>P1</x:v>
      </x:c>
      <x:c r="F48" s="7" t="str">
        <x:v>Affectation N7 Cerberus.</x:v>
      </x:c>
      <x:c r="G48" s="7" t="str">
        <x:v>Fouiller les journaux d’un poste silencieux et récupérer des données sans ajouter de vague artificielle.</x:v>
      </x:c>
      <x:c r="H48" s="7" t="str">
        <x:v>Fouiller les journaux d’un poste silencieux et récupérer des données sans ajouter de vague artificielle.</x:v>
      </x:c>
      <x:c r="I48" s="7" t="str">
        <x:v>Petit avant-poste abandonné.</x:v>
      </x:c>
      <x:c r="J48" s="7" t="str">
        <x:v>Transitions de caméra et d’interface interruptibles ; aucun délai d’animation ne doit consommer une décision encore ouverte.</x:v>
      </x:c>
      <x:c r="K48" s="7" t="str">
        <x:v>Créer des bruitages et ambiances originaux adaptés au livrable ; sous-titrer les indices utiles et proposer un réglage indépendant des effets. Aucune extraction audio demandée.</x:v>
      </x:c>
      <x:c r="L48" s="7" t="str">
        <x:v>Prévu : fiche de données me2/side_quests/n7-operative ; rattacher les ressources et états cités à cet identifiant. Aucun fichier de jeu créé par ce catalogue.</x:v>
      </x:c>
      <x:c r="M48" s="7" t="str"/>
      <x:c r="N48" s="7" t="str">
        <x:v>Le livrable « N7: Lost Operative » possède une scène ou un scénario de contrôle ; ses règles proposées, ses conditions et ses retours visuels sont vérifiables séparément.</x:v>
      </x:c>
      <x:c r="O48" s="7" t="str"/>
      <x:c r="P48" s="7" t="str">
        <x:v>N7: Lost Operative</x:v>
      </x:c>
      <x:c r="Q48" s="7" t="str">
        <x:v>ME2-SRC-ASSIGN</x:v>
      </x:c>
      <x:c r="R48" s="21" t="str">
        <x:v>https://masseffect.fandom.com/wiki/Assignments</x:v>
      </x:c>
      <x:c r="S48" s="21" t="str">
        <x:v>Spécification à réaliser. Les champs adaptation, gameplay, visual, animation, audio et implementation décrivent le fan game ; ils ne donnent pas des caractéristiques officielles de l’œuvre.</x:v>
      </x:c>
    </x:row>
    <x:row r="49" ht="68" customHeight="1">
      <x:c r="A49" s="18" t="str">
        <x:v>ME2-SQ-N7-CANYON</x:v>
      </x:c>
      <x:c r="B49" s="9" t="str">
        <x:v>N7: Mining the Canyon</x:v>
      </x:c>
      <x:c r="C49" s="15" t="str">
        <x:v>Défini</x:v>
      </x:c>
      <x:c r="D49" s="16" t="str">
        <x:v>Établi</x:v>
      </x:c>
      <x:c r="E49" s="16" t="str">
        <x:v>P1</x:v>
      </x:c>
      <x:c r="F49" s="9" t="str">
        <x:v>Affectation N7 de canyon.</x:v>
      </x:c>
      <x:c r="G49" s="9" t="str">
        <x:v>Escorter un méca de travail via relais d’énergie ; éviter le blocage de trajectoire par le groupe.</x:v>
      </x:c>
      <x:c r="H49" s="9" t="str">
        <x:v>Escorter un méca de travail via relais d’énergie ; éviter le blocage de trajectoire par le groupe.</x:v>
      </x:c>
      <x:c r="I49" s="9" t="str">
        <x:v>Canyon et minerai bleu-gris.</x:v>
      </x:c>
      <x:c r="J49" s="9" t="str">
        <x:v>Transitions de caméra et d’interface interruptibles ; aucun délai d’animation ne doit consommer une décision encore ouverte.</x:v>
      </x:c>
      <x:c r="K49" s="9" t="str">
        <x:v>Créer des bruitages et ambiances originaux adaptés au livrable ; sous-titrer les indices utiles et proposer un réglage indépendant des effets. Aucune extraction audio demandée.</x:v>
      </x:c>
      <x:c r="L49" s="9" t="str">
        <x:v>Prévu : fiche de données me2/side_quests/n7-canyon ; rattacher les ressources et états cités à cet identifiant. Aucun fichier de jeu créé par ce catalogue.</x:v>
      </x:c>
      <x:c r="M49" s="9" t="str"/>
      <x:c r="N49" s="9" t="str">
        <x:v>Le livrable « N7: Mining the Canyon » possède une scène ou un scénario de contrôle ; ses règles proposées, ses conditions et ses retours visuels sont vérifiables séparément.</x:v>
      </x:c>
      <x:c r="O49" s="9" t="str"/>
      <x:c r="P49" s="9" t="str">
        <x:v>N7: Mining the Canyon</x:v>
      </x:c>
      <x:c r="Q49" s="9" t="str">
        <x:v>ME2-SRC-ASSIGN</x:v>
      </x:c>
      <x:c r="R49" s="20" t="str">
        <x:v>https://masseffect.fandom.com/wiki/Assignments</x:v>
      </x:c>
      <x:c r="S49" s="20" t="str">
        <x:v>Spécification à réaliser. Les champs adaptation, gameplay, visual, animation, audio et implementation décrivent le fan game ; ils ne donnent pas des caractéristiques officielles de l’œuvre.</x:v>
      </x:c>
    </x:row>
    <x:row r="50" ht="68" customHeight="1">
      <x:c r="A50" s="19" t="str">
        <x:v>ME2-SQ-N7-ESTEVANICO</x:v>
      </x:c>
      <x:c r="B50" s="7" t="str">
        <x:v>N7: MSV Estevanico</x:v>
      </x:c>
      <x:c r="C50" s="15" t="str">
        <x:v>Défini</x:v>
      </x:c>
      <x:c r="D50" s="17" t="str">
        <x:v>Établi</x:v>
      </x:c>
      <x:c r="E50" s="17" t="str">
        <x:v>P1</x:v>
      </x:c>
      <x:c r="F50" s="7" t="str">
        <x:v>Affectation d’exploration d’épave.</x:v>
      </x:c>
      <x:c r="G50" s="7" t="str">
        <x:v>Parcours de coque instable avec points d’appui clairement marqués ; proposer une option sans réflexe.</x:v>
      </x:c>
      <x:c r="H50" s="7" t="str">
        <x:v>Parcours de coque instable avec points d’appui clairement marqués ; proposer une option sans réflexe.</x:v>
      </x:c>
      <x:c r="I50" s="7" t="str">
        <x:v>Épave suspendue dans un relief désertique.</x:v>
      </x:c>
      <x:c r="J50" s="7" t="str">
        <x:v>Transitions de caméra et d’interface interruptibles ; aucun délai d’animation ne doit consommer une décision encore ouverte.</x:v>
      </x:c>
      <x:c r="K50" s="7" t="str">
        <x:v>Créer des bruitages et ambiances originaux adaptés au livrable ; sous-titrer les indices utiles et proposer un réglage indépendant des effets. Aucune extraction audio demandée.</x:v>
      </x:c>
      <x:c r="L50" s="7" t="str">
        <x:v>Prévu : fiche de données me2/side_quests/n7-estevanico ; rattacher les ressources et états cités à cet identifiant. Aucun fichier de jeu créé par ce catalogue.</x:v>
      </x:c>
      <x:c r="M50" s="7" t="str"/>
      <x:c r="N50" s="7" t="str">
        <x:v>Le livrable « N7: MSV Estevanico » possède une scène ou un scénario de contrôle ; ses règles proposées, ses conditions et ses retours visuels sont vérifiables séparément.</x:v>
      </x:c>
      <x:c r="O50" s="7" t="str"/>
      <x:c r="P50" s="7" t="str">
        <x:v>N7: MSV Estevanico</x:v>
      </x:c>
      <x:c r="Q50" s="7" t="str">
        <x:v>ME2-SRC-ASSIGN</x:v>
      </x:c>
      <x:c r="R50" s="21" t="str">
        <x:v>https://masseffect.fandom.com/wiki/Assignments</x:v>
      </x:c>
      <x:c r="S50" s="21" t="str">
        <x:v>Spécification à réaliser. Les champs adaptation, gameplay, visual, animation, audio et implementation décrivent le fan game ; ils ne donnent pas des caractéristiques officielles de l’œuvre.</x:v>
      </x:c>
    </x:row>
    <x:row r="51" ht="68" customHeight="1">
      <x:c r="A51" s="18" t="str">
        <x:v>ME2-SQ-N7-STRONTIUM</x:v>
      </x:c>
      <x:c r="B51" s="9" t="str">
        <x:v>N7: MSV Strontium Mule</x:v>
      </x:c>
      <x:c r="C51" s="15" t="str">
        <x:v>Défini</x:v>
      </x:c>
      <x:c r="D51" s="16" t="str">
        <x:v>Établi</x:v>
      </x:c>
      <x:c r="E51" s="16" t="str">
        <x:v>P1</x:v>
      </x:c>
      <x:c r="F51" s="9" t="str">
        <x:v>Étape d’une chaîne N7.</x:v>
      </x:c>
      <x:c r="G51" s="9" t="str">
        <x:v>Aborder le cargo, débloquer ses ponts et identifier la piste de la base Blue Suns.</x:v>
      </x:c>
      <x:c r="H51" s="9" t="str">
        <x:v>Aborder le cargo, débloquer ses ponts et identifier la piste de la base Blue Suns.</x:v>
      </x:c>
      <x:c r="I51" s="9" t="str">
        <x:v>Couloirs de cargo et soute étroite.</x:v>
      </x:c>
      <x:c r="J51" s="9" t="str">
        <x:v>Transitions de caméra et d’interface interruptibles ; aucun délai d’animation ne doit consommer une décision encore ouverte.</x:v>
      </x:c>
      <x:c r="K51" s="9" t="str">
        <x:v>Créer des bruitages et ambiances originaux adaptés au livrable ; sous-titrer les indices utiles et proposer un réglage indépendant des effets. Aucune extraction audio demandée.</x:v>
      </x:c>
      <x:c r="L51" s="9" t="str">
        <x:v>Prévu : fiche de données me2/side_quests/n7-strontium ; rattacher les ressources et états cités à cet identifiant. Aucun fichier de jeu créé par ce catalogue.</x:v>
      </x:c>
      <x:c r="M51" s="9" t="str"/>
      <x:c r="N51" s="9" t="str">
        <x:v>Le livrable « N7: MSV Strontium Mule » possède une scène ou un scénario de contrôle ; ses règles proposées, ses conditions et ses retours visuels sont vérifiables séparément.</x:v>
      </x:c>
      <x:c r="O51" s="9" t="str"/>
      <x:c r="P51" s="9" t="str">
        <x:v>N7: MSV Strontium Mule</x:v>
      </x:c>
      <x:c r="Q51" s="9" t="str">
        <x:v>ME2-SRC-ASSIGN</x:v>
      </x:c>
      <x:c r="R51" s="20" t="str">
        <x:v>https://masseffect.fandom.com/wiki/Assignments</x:v>
      </x:c>
      <x:c r="S51" s="20" t="str">
        <x:v>Spécification à réaliser. Les champs adaptation, gameplay, visual, animation, audio et implementation décrivent le fan game ; ils ne donnent pas des caractéristiques officielles de l’œuvre.</x:v>
      </x:c>
    </x:row>
    <x:row r="52" ht="68" customHeight="1">
      <x:c r="A52" s="19" t="str">
        <x:v>ME2-SQ-N7-QUARIAN</x:v>
      </x:c>
      <x:c r="B52" s="7" t="str">
        <x:v>N7: Quarian Crash Site</x:v>
      </x:c>
      <x:c r="C52" s="15" t="str">
        <x:v>Défini</x:v>
      </x:c>
      <x:c r="D52" s="17" t="str">
        <x:v>Établi</x:v>
      </x:c>
      <x:c r="E52" s="17" t="str">
        <x:v>P1</x:v>
      </x:c>
      <x:c r="F52" s="7" t="str">
        <x:v>Affectation de secours.</x:v>
      </x:c>
      <x:c r="G52" s="7" t="str">
        <x:v>Protéger un survivant jusqu’au départ de sa navette ; éloigner les charges animales de sa position.</x:v>
      </x:c>
      <x:c r="H52" s="7" t="str">
        <x:v>Protéger un survivant jusqu’au départ de sa navette ; éloigner les charges animales de sa position.</x:v>
      </x:c>
      <x:c r="I52" s="7" t="str">
        <x:v>Cratère, débris quariens et navette de secours.</x:v>
      </x:c>
      <x:c r="J52" s="7" t="str">
        <x:v>Transitions de caméra et d’interface interruptibles ; aucun délai d’animation ne doit consommer une décision encore ouverte.</x:v>
      </x:c>
      <x:c r="K52" s="7" t="str">
        <x:v>Créer des bruitages et ambiances originaux adaptés au livrable ; sous-titrer les indices utiles et proposer un réglage indépendant des effets. Aucune extraction audio demandée.</x:v>
      </x:c>
      <x:c r="L52" s="7" t="str">
        <x:v>Prévu : fiche de données me2/side_quests/n7-quarian ; rattacher les ressources et états cités à cet identifiant. Aucun fichier de jeu créé par ce catalogue.</x:v>
      </x:c>
      <x:c r="M52" s="7" t="str"/>
      <x:c r="N52" s="7" t="str">
        <x:v>Le livrable « N7: Quarian Crash Site » possède une scène ou un scénario de contrôle ; ses règles proposées, ses conditions et ses retours visuels sont vérifiables séparément.</x:v>
      </x:c>
      <x:c r="O52" s="7" t="str"/>
      <x:c r="P52" s="7" t="str">
        <x:v>N7: Quarian Crash Site</x:v>
      </x:c>
      <x:c r="Q52" s="7" t="str">
        <x:v>ME2-SRC-ASSIGN</x:v>
      </x:c>
      <x:c r="R52" s="21" t="str">
        <x:v>https://masseffect.fandom.com/wiki/Assignments</x:v>
      </x:c>
      <x:c r="S52" s="21" t="str">
        <x:v>Spécification à réaliser. Les champs adaptation, gameplay, visual, animation, audio et implementation décrivent le fan game ; ils ne donnent pas des caractéristiques officielles de l’œuvre.</x:v>
      </x:c>
    </x:row>
    <x:row r="53" ht="68" customHeight="1">
      <x:c r="A53" s="18" t="str">
        <x:v>ME2-SQ-N7-WRECK</x:v>
      </x:c>
      <x:c r="B53" s="9" t="str">
        <x:v>N7: Wrecked Merchant Freighter</x:v>
      </x:c>
      <x:c r="C53" s="15" t="str">
        <x:v>Défini</x:v>
      </x:c>
      <x:c r="D53" s="16" t="str">
        <x:v>Établi</x:v>
      </x:c>
      <x:c r="E53" s="16" t="str">
        <x:v>P1</x:v>
      </x:c>
      <x:c r="F53" s="9" t="str">
        <x:v>Début de chaîne des mécas défaillants.</x:v>
      </x:c>
      <x:c r="G53" s="9" t="str">
        <x:v>Enquêter entre les débris et survivre aux machines encore actives ; rapport mène à la station.</x:v>
      </x:c>
      <x:c r="H53" s="9" t="str">
        <x:v>Enquêter entre les débris et survivre aux machines encore actives ; rapport mène à la station.</x:v>
      </x:c>
      <x:c r="I53" s="9" t="str">
        <x:v>Cargo fracturé et modules LOKI.</x:v>
      </x:c>
      <x:c r="J53" s="9" t="str">
        <x:v>Transitions de caméra et d’interface interruptibles ; aucun délai d’animation ne doit consommer une décision encore ouverte.</x:v>
      </x:c>
      <x:c r="K53" s="9" t="str">
        <x:v>Créer des bruitages et ambiances originaux adaptés au livrable ; sous-titrer les indices utiles et proposer un réglage indépendant des effets. Aucune extraction audio demandée.</x:v>
      </x:c>
      <x:c r="L53" s="9" t="str">
        <x:v>Prévu : fiche de données me2/side_quests/n7-wreck ; rattacher les ressources et états cités à cet identifiant. Aucun fichier de jeu créé par ce catalogue.</x:v>
      </x:c>
      <x:c r="M53" s="9" t="str"/>
      <x:c r="N53" s="9" t="str">
        <x:v>Le livrable « N7: Wrecked Merchant Freighter » possède une scène ou un scénario de contrôle ; ses règles proposées, ses conditions et ses retours visuels sont vérifiables séparément.</x:v>
      </x:c>
      <x:c r="O53" s="9" t="str"/>
      <x:c r="P53" s="9" t="str">
        <x:v>N7: Wrecked Merchant Freighter</x:v>
      </x:c>
      <x:c r="Q53" s="9" t="str">
        <x:v>ME2-SRC-ASSIGN</x:v>
      </x:c>
      <x:c r="R53" s="20" t="str">
        <x:v>https://masseffect.fandom.com/wiki/Assignments</x:v>
      </x:c>
      <x:c r="S53" s="20" t="str">
        <x:v>Spécification à réaliser. Les champs adaptation, gameplay, visual, animation, audio et implementation décrivent le fan game ; ils ne donnent pas des caractéristiques officielles de l’œuvre.</x:v>
      </x:c>
    </x:row>
    <x:row r="54" ht="68" customHeight="1">
      <x:c r="A54" s="19" t="str">
        <x:v>ME2-SQ-CRASH-SITE</x:v>
      </x:c>
      <x:c r="B54" s="7" t="str">
        <x:v>Normandy Crash Site</x:v>
      </x:c>
      <x:c r="C54" s="15" t="str">
        <x:v>Défini</x:v>
      </x:c>
      <x:c r="D54" s="17" t="str">
        <x:v>Établi</x:v>
      </x:c>
      <x:c r="E54" s="17" t="str">
        <x:v>P1</x:v>
      </x:c>
      <x:c r="F54" s="7" t="str">
        <x:v>DLC de retour sur le site du Normandy.</x:v>
      </x:c>
      <x:c r="G54" s="7" t="str">
        <x:v>Exploration commémorative sans ennemi ajouté ; poser le mémorial et retrouver des traces de l’équipage.</x:v>
      </x:c>
      <x:c r="H54" s="7" t="str">
        <x:v>Exploration commémorative sans ennemi ajouté ; poser le mémorial et retrouver des traces de l’équipage.</x:v>
      </x:c>
      <x:c r="I54" s="7" t="str">
        <x:v>Neige, morceaux du SR-1 et plaque de souvenir.</x:v>
      </x:c>
      <x:c r="J54" s="7" t="str">
        <x:v>Transitions de caméra et d’interface interruptibles ; aucun délai d’animation ne doit consommer une décision encore ouverte.</x:v>
      </x:c>
      <x:c r="K54" s="7" t="str">
        <x:v>Créer des bruitages et ambiances originaux adaptés au livrable ; sous-titrer les indices utiles et proposer un réglage indépendant des effets. Aucune extraction audio demandée.</x:v>
      </x:c>
      <x:c r="L54" s="7" t="str">
        <x:v>Prévu : fiche de données me2/side_quests/crash-site ; rattacher les ressources et états cités à cet identifiant. Aucun fichier de jeu créé par ce catalogue.</x:v>
      </x:c>
      <x:c r="M54" s="7" t="str">
        <x:v>DLC / Legendary.</x:v>
      </x:c>
      <x:c r="N54" s="7" t="str">
        <x:v>Le livrable « Normandy Crash Site » possède une scène ou un scénario de contrôle ; ses règles proposées, ses conditions et ses retours visuels sont vérifiables séparément.</x:v>
      </x:c>
      <x:c r="O54" s="7" t="str"/>
      <x:c r="P54" s="7" t="str">
        <x:v>Normandy Crash Site</x:v>
      </x:c>
      <x:c r="Q54" s="7" t="str">
        <x:v>ME2-SRC-ASSIGN, ME2-SRC-EA-DLC</x:v>
      </x:c>
      <x:c r="R54" s="21" t="str">
        <x:v>https://masseffect.fandom.com/wiki/Assignments
https://help.ea.com/en//articles/orders-and-rewards/dlc-for-classic-games/</x:v>
      </x:c>
      <x:c r="S54" s="21" t="str">
        <x:v>Spécification à réaliser. Les champs adaptation, gameplay, visual, animation, audio et implementation décrivent le fan game ; ils ne donnent pas des caractéristiques officielles de l’œuvre.</x:v>
      </x:c>
    </x:row>
    <x:row r="55" ht="68" customHeight="1">
      <x:c r="A55" s="18" t="str">
        <x:v>ME2-SQ-FIRE-ROSALIE</x:v>
      </x:c>
      <x:c r="B55" s="9" t="str">
        <x:v>Project Firewalker: Rosalie Lost</x:v>
      </x:c>
      <x:c r="C55" s="15" t="str">
        <x:v>Défini</x:v>
      </x:c>
      <x:c r="D55" s="16" t="str">
        <x:v>Établi</x:v>
      </x:c>
      <x:c r="E55" s="16" t="str">
        <x:v>P1</x:v>
      </x:c>
      <x:c r="F55" s="9" t="str">
        <x:v>Début du pack Hammerhead.</x:v>
      </x:c>
      <x:c r="G55" s="9" t="str">
        <x:v>Tutoriel de saut, vol stationnaire et extraction par faisceau ; aucun atelier d’amélioration inventé comme canon.</x:v>
      </x:c>
      <x:c r="H55" s="9" t="str">
        <x:v>Tutoriel de saut, vol stationnaire et extraction par faisceau ; aucun atelier d’amélioration inventé comme canon.</x:v>
      </x:c>
      <x:c r="I55" s="9" t="str">
        <x:v>Site de recherche et Hammerhead posé.</x:v>
      </x:c>
      <x:c r="J55" s="9" t="str">
        <x:v>Transitions de caméra et d’interface interruptibles ; aucun délai d’animation ne doit consommer une décision encore ouverte.</x:v>
      </x:c>
      <x:c r="K55" s="9" t="str">
        <x:v>Créer des bruitages et ambiances originaux adaptés au livrable ; sous-titrer les indices utiles et proposer un réglage indépendant des effets. Aucune extraction audio demandée.</x:v>
      </x:c>
      <x:c r="L55" s="9" t="str">
        <x:v>Prévu : fiche de données me2/side_quests/fire-rosalie ; rattacher les ressources et états cités à cet identifiant. Aucun fichier de jeu créé par ce catalogue.</x:v>
      </x:c>
      <x:c r="M55" s="9" t="str">
        <x:v>DLC / Legendary.</x:v>
      </x:c>
      <x:c r="N55" s="9" t="str">
        <x:v>Le livrable « Project Firewalker: Rosalie Lost » possède une scène ou un scénario de contrôle ; ses règles proposées, ses conditions et ses retours visuels sont vérifiables séparément.</x:v>
      </x:c>
      <x:c r="O55" s="9" t="str"/>
      <x:c r="P55" s="9" t="str">
        <x:v>Project Firewalker: Rosalie Lost</x:v>
      </x:c>
      <x:c r="Q55" s="9" t="str">
        <x:v>ME2-SRC-FIRE-START</x:v>
      </x:c>
      <x:c r="R55" s="20" t="str">
        <x:v>https://masseffect.fandom.com/wiki/Project_Firewalker%3A_Rosalie_Lost</x:v>
      </x:c>
      <x:c r="S55" s="20" t="str">
        <x:v>Spécification à réaliser. Les champs adaptation, gameplay, visual, animation, audio et implementation décrivent le fan game ; ils ne donnent pas des caractéristiques officielles de l’œuvre.</x:v>
      </x:c>
    </x:row>
    <x:row r="56" ht="68" customHeight="1">
      <x:c r="A56" s="19" t="str">
        <x:v>ME2-SQ-FIRE-SURVEY</x:v>
      </x:c>
      <x:c r="B56" s="7" t="str">
        <x:v>Project Firewalker: Survey Sites Located</x:v>
      </x:c>
      <x:c r="C56" s="15" t="str">
        <x:v>Défini</x:v>
      </x:c>
      <x:c r="D56" s="17" t="str">
        <x:v>Établi</x:v>
      </x:c>
      <x:c r="E56" s="17" t="str">
        <x:v>P1</x:v>
      </x:c>
      <x:c r="F56" s="7" t="str">
        <x:v>Affectation du pack Firewalker.</x:v>
      </x:c>
      <x:c r="G56" s="7" t="str">
        <x:v>Parcours de collecte à embranchements ; distinguer parcours sûr et détour de minerais.</x:v>
      </x:c>
      <x:c r="H56" s="7" t="str">
        <x:v>Parcours de collecte à embranchements ; distinguer parcours sûr et détour de minerais.</x:v>
      </x:c>
      <x:c r="I56" s="7" t="str">
        <x:v>Terrasses minérales et balises d’étude.</x:v>
      </x:c>
      <x:c r="J56" s="7" t="str">
        <x:v>Transitions de caméra et d’interface interruptibles ; aucun délai d’animation ne doit consommer une décision encore ouverte.</x:v>
      </x:c>
      <x:c r="K56" s="7" t="str">
        <x:v>Créer des bruitages et ambiances originaux adaptés au livrable ; sous-titrer les indices utiles et proposer un réglage indépendant des effets. Aucune extraction audio demandée.</x:v>
      </x:c>
      <x:c r="L56" s="7" t="str">
        <x:v>Prévu : fiche de données me2/side_quests/fire-survey ; rattacher les ressources et états cités à cet identifiant. Aucun fichier de jeu créé par ce catalogue.</x:v>
      </x:c>
      <x:c r="M56" s="7" t="str">
        <x:v>Hammerhead obtenu.</x:v>
      </x:c>
      <x:c r="N56" s="7" t="str">
        <x:v>Le livrable « Project Firewalker: Survey Sites Located » possède une scène ou un scénario de contrôle ; ses règles proposées, ses conditions et ses retours visuels sont vérifiables séparément.</x:v>
      </x:c>
      <x:c r="O56" s="7" t="str"/>
      <x:c r="P56" s="7" t="str">
        <x:v>Project Firewalker: Survey Sites Located</x:v>
      </x:c>
      <x:c r="Q56" s="7" t="str">
        <x:v>ME2-SRC-FIRE</x:v>
      </x:c>
      <x:c r="R56" s="21" t="str">
        <x:v>https://masseffect.fandom.com/wiki/Firewalker_Pack</x:v>
      </x:c>
      <x:c r="S56" s="21" t="str">
        <x:v>Spécification à réaliser. Les champs adaptation, gameplay, visual, animation, audio et implementation décrivent le fan game ; ils ne donnent pas des caractéristiques officielles de l’œuvre.</x:v>
      </x:c>
    </x:row>
    <x:row r="57" ht="68" customHeight="1">
      <x:c r="A57" s="18" t="str">
        <x:v>ME2-SQ-FIRE-COLD</x:v>
      </x:c>
      <x:c r="B57" s="9" t="str">
        <x:v>Project Firewalker: Geth Incursion</x:v>
      </x:c>
      <x:c r="C57" s="15" t="str">
        <x:v>Défini</x:v>
      </x:c>
      <x:c r="D57" s="16" t="str">
        <x:v>Établi</x:v>
      </x:c>
      <x:c r="E57" s="16" t="str">
        <x:v>P1</x:v>
      </x:c>
      <x:c r="F57" s="9" t="str">
        <x:v>Le froid menace le moteur sur Lattesh.</x:v>
      </x:c>
      <x:c r="G57" s="9" t="str">
        <x:v>Courte expédition à jauge thermique ; chaque sonde réchauffe le véhicule, l’échec devient retour partiel.</x:v>
      </x:c>
      <x:c r="H57" s="9" t="str">
        <x:v>Courte expédition à jauge thermique ; chaque sonde réchauffe le véhicule, l’échec devient retour partiel.</x:v>
      </x:c>
      <x:c r="I57" s="9" t="str">
        <x:v>Canyon glacé et colonnes rouges de sondes.</x:v>
      </x:c>
      <x:c r="J57" s="9" t="str">
        <x:v>Transitions de caméra et d’interface interruptibles ; aucun délai d’animation ne doit consommer une décision encore ouverte.</x:v>
      </x:c>
      <x:c r="K57" s="9" t="str">
        <x:v>Créer des bruitages et ambiances originaux adaptés au livrable ; sous-titrer les indices utiles et proposer un réglage indépendant des effets. Aucune extraction audio demandée.</x:v>
      </x:c>
      <x:c r="L57" s="9" t="str">
        <x:v>Prévu : fiche de données me2/side_quests/fire-cold ; rattacher les ressources et états cités à cet identifiant. Aucun fichier de jeu créé par ce catalogue.</x:v>
      </x:c>
      <x:c r="M57" s="9" t="str">
        <x:v>Hammerhead obtenu.</x:v>
      </x:c>
      <x:c r="N57" s="9" t="str">
        <x:v>Le livrable « Project Firewalker: Geth Incursion » possède une scène ou un scénario de contrôle ; ses règles proposées, ses conditions et ses retours visuels sont vérifiables séparément.</x:v>
      </x:c>
      <x:c r="O57" s="9" t="str"/>
      <x:c r="P57" s="9" t="str">
        <x:v>Project Firewalker: Geth Incursion</x:v>
      </x:c>
      <x:c r="Q57" s="9" t="str">
        <x:v>ME2-SRC-FIRE-COLD</x:v>
      </x:c>
      <x:c r="R57" s="20" t="str">
        <x:v>https://masseffect.fandom.com/wiki/Project_Firewalker%3A_Geth_Incursion</x:v>
      </x:c>
      <x:c r="S57" s="20" t="str">
        <x:v>Spécification à réaliser. Les champs adaptation, gameplay, visual, animation, audio et implementation décrivent le fan game ; ils ne donnent pas des caractéristiques officielles de l’œuvre.</x:v>
      </x:c>
    </x:row>
    <x:row r="58" ht="68" customHeight="1">
      <x:c r="A58" s="19" t="str">
        <x:v>ME2-SQ-FIRE-VOLCANO</x:v>
      </x:c>
      <x:c r="B58" s="7" t="str">
        <x:v>Project Firewalker: Volcano Station</x:v>
      </x:c>
      <x:c r="C58" s="15" t="str">
        <x:v>Défini</x:v>
      </x:c>
      <x:c r="D58" s="17" t="str">
        <x:v>Établi</x:v>
      </x:c>
      <x:c r="E58" s="17" t="str">
        <x:v>P1</x:v>
      </x:c>
      <x:c r="F58" s="7" t="str">
        <x:v>Affectation du pack Firewalker.</x:v>
      </x:c>
      <x:c r="G58" s="7" t="str">
        <x:v>Enchaîner plateformes et fuite d’une zone volcanique ; conserver une trajectoire sûre lisible.</x:v>
      </x:c>
      <x:c r="H58" s="7" t="str">
        <x:v>Enchaîner plateformes et fuite d’une zone volcanique ; conserver une trajectoire sûre lisible.</x:v>
      </x:c>
      <x:c r="I58" s="7" t="str">
        <x:v>Lave et station en surchauffe.</x:v>
      </x:c>
      <x:c r="J58" s="7" t="str">
        <x:v>Transitions de caméra et d’interface interruptibles ; aucun délai d’animation ne doit consommer une décision encore ouverte.</x:v>
      </x:c>
      <x:c r="K58" s="7" t="str">
        <x:v>Créer des bruitages et ambiances originaux adaptés au livrable ; sous-titrer les indices utiles et proposer un réglage indépendant des effets. Aucune extraction audio demandée.</x:v>
      </x:c>
      <x:c r="L58" s="7" t="str">
        <x:v>Prévu : fiche de données me2/side_quests/fire-volcano ; rattacher les ressources et états cités à cet identifiant. Aucun fichier de jeu créé par ce catalogue.</x:v>
      </x:c>
      <x:c r="M58" s="7" t="str">
        <x:v>Hammerhead obtenu.</x:v>
      </x:c>
      <x:c r="N58" s="7" t="str">
        <x:v>Le livrable « Project Firewalker: Volcano Station » possède une scène ou un scénario de contrôle ; ses règles proposées, ses conditions et ses retours visuels sont vérifiables séparément.</x:v>
      </x:c>
      <x:c r="O58" s="7" t="str"/>
      <x:c r="P58" s="7" t="str">
        <x:v>Project Firewalker: Volcano Station</x:v>
      </x:c>
      <x:c r="Q58" s="7" t="str">
        <x:v>ME2-SRC-FIRE</x:v>
      </x:c>
      <x:c r="R58" s="21" t="str">
        <x:v>https://masseffect.fandom.com/wiki/Firewalker_Pack</x:v>
      </x:c>
      <x:c r="S58" s="21" t="str">
        <x:v>Spécification à réaliser. Les champs adaptation, gameplay, visual, animation, audio et implementation décrivent le fan game ; ils ne donnent pas des caractéristiques officielles de l’œuvre.</x:v>
      </x:c>
    </x:row>
    <x:row r="59" ht="68" customHeight="1">
      <x:c r="A59" s="18" t="str">
        <x:v>ME2-SQ-FIRE-PROTHEAN</x:v>
      </x:c>
      <x:c r="B59" s="9" t="str">
        <x:v>Project Firewalker: Prothean Site</x:v>
      </x:c>
      <x:c r="C59" s="15" t="str">
        <x:v>Défini</x:v>
      </x:c>
      <x:c r="D59" s="16" t="str">
        <x:v>Établi</x:v>
      </x:c>
      <x:c r="E59" s="16" t="str">
        <x:v>P1</x:v>
      </x:c>
      <x:c r="F59" s="9" t="str">
        <x:v>Conclusion de recherche du pack.</x:v>
      </x:c>
      <x:c r="G59" s="9" t="str">
        <x:v>Passer de véhicule à salle d’exploration ; signaler les éléments scientifiques sans prétendre connaître leur usage.</x:v>
      </x:c>
      <x:c r="H59" s="9" t="str">
        <x:v>Passer de véhicule à salle d’exploration ; signaler les éléments scientifiques sans prétendre connaître leur usage.</x:v>
      </x:c>
      <x:c r="I59" s="9" t="str">
        <x:v>Ruines et artefact suspendu.</x:v>
      </x:c>
      <x:c r="J59" s="9" t="str">
        <x:v>Transitions de caméra et d’interface interruptibles ; aucun délai d’animation ne doit consommer une décision encore ouverte.</x:v>
      </x:c>
      <x:c r="K59" s="9" t="str">
        <x:v>Créer des bruitages et ambiances originaux adaptés au livrable ; sous-titrer les indices utiles et proposer un réglage indépendant des effets. Aucune extraction audio demandée.</x:v>
      </x:c>
      <x:c r="L59" s="9" t="str">
        <x:v>Prévu : fiche de données me2/side_quests/fire-prothean ; rattacher les ressources et états cités à cet identifiant. Aucun fichier de jeu créé par ce catalogue.</x:v>
      </x:c>
      <x:c r="M59" s="9" t="str">
        <x:v>Autres pistes du pack avancées.</x:v>
      </x:c>
      <x:c r="N59" s="9" t="str">
        <x:v>Le livrable « Project Firewalker: Prothean Site » possède une scène ou un scénario de contrôle ; ses règles proposées, ses conditions et ses retours visuels sont vérifiables séparément.</x:v>
      </x:c>
      <x:c r="O59" s="9" t="str"/>
      <x:c r="P59" s="9" t="str">
        <x:v>Project Firewalker: Prothean Site</x:v>
      </x:c>
      <x:c r="Q59" s="9" t="str">
        <x:v>ME2-SRC-FIRE</x:v>
      </x:c>
      <x:c r="R59" s="20" t="str">
        <x:v>https://masseffect.fandom.com/wiki/Firewalker_Pack</x:v>
      </x:c>
      <x:c r="S59" s="20" t="str">
        <x:v>Spécification à réaliser. Les champs adaptation, gameplay, visual, animation, audio et implementation décrivent le fan game ; ils ne donnent pas des caractéristiques officielles de l’œuvre.</x:v>
      </x:c>
    </x:row>
  </x:sheetData>
  <x:conditionalFormatting sqref="D7:D59">
    <x:cfRule type="cellIs" dxfId="40" priority="1" operator="equal">
      <x:formula>"À vérifier"</x:formula>
    </x:cfRule>
    <x:cfRule type="cellIs" dxfId="41" priority="2" operator="equal">
      <x:formula>"Extrapolation"</x:formula>
    </x:cfRule>
  </x:conditionalFormatting>
  <x:conditionalFormatting sqref="C7:C59">
    <x:cfRule type="cellIs" dxfId="42" priority="3" operator="equal">
      <x:formula>"Validé"</x:formula>
    </x:cfRule>
  </x:conditionalFormatting>
  <x:conditionalFormatting sqref="E7:E59">
    <x:cfRule type="cellIs" dxfId="43" priority="4" operator="equal">
      <x:formula>"P0"</x:formula>
    </x:cfRule>
  </x:conditionalFormatting>
  <x:dataValidations count="3">
    <x:dataValidation type="list" sqref="C7:C59">
      <x:formula1>"Défini,Prototype,Intégré,Validé"</x:formula1>
    </x:dataValidation>
    <x:dataValidation type="list" sqref="D7:D59">
      <x:formula1>"Établi,À vérifier,Extrapolation,Coupé attesté,Concept abandonné,Allégation écartée"</x:formula1>
    </x:dataValidation>
    <x:dataValidation type="list" sqref="E7:E59">
      <x:formula1>"P0,P1,P2"</x:formula1>
    </x:dataValidation>
  </x:dataValidations>
  <x:pageMargins left="0.7" right="0.7" top="0.75" bottom="0.75" header="0.3" footer="0.3"/>
  <x:tableParts count="1">
    <x:tablePart xmlns:r="http://schemas.openxmlformats.org/officeDocument/2006/relationships" r:id="R0783aec161044ac4"/>
  </x:tableParts>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Choix et relations</x:v>
      </x:c>
      <x:c r="B2" s="2"/>
      <x:c r="C2" s="2"/>
      <x:c r="D2" s="2"/>
      <x:c r="E2" s="2"/>
      <x:c r="F2" s="2"/>
      <x:c r="G2" s="2"/>
      <x:c r="H2" s="2"/>
      <x:c r="I2" s="2"/>
      <x:c r="J2" s="2"/>
      <x:c r="K2" s="2"/>
      <x:c r="L2" s="2"/>
      <x:c r="M2" s="2"/>
      <x:c r="N2" s="2"/>
      <x:c r="O2" s="2"/>
      <x:c r="P2" s="2"/>
      <x:c r="Q2" s="2"/>
      <x:c r="R2" s="2"/>
      <x:c r="S2" s="2"/>
    </x:row>
    <x:row r="3" ht="22" customHeight="1">
      <x:c r="A3" s="4" t="str">
        <x:v>Mass Effect 2 — Conséquences persistantes et relations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ME2-CHO-VEETOR</x:v>
      </x:c>
      <x:c r="B7" s="9" t="str">
        <x:v>Veetor : transfert ou retour</x:v>
      </x:c>
      <x:c r="C7" s="15" t="str">
        <x:v>Défini</x:v>
      </x:c>
      <x:c r="D7" s="16" t="str">
        <x:v>Établi</x:v>
      </x:c>
      <x:c r="E7" s="16" t="str">
        <x:v>P1</x:v>
      </x:c>
      <x:c r="F7" s="9" t="str">
        <x:v>Le sort immédiat de Veetor peut varier.</x:v>
      </x:c>
      <x:c r="G7" s="9" t="str">
        <x:v>Sauvegarder le destinataire et l’état de confiance ; ne pas changer le résultat après avoir quitté le dialogue.</x:v>
      </x:c>
      <x:c r="H7" s="9" t="str">
        <x:v>Sauvegarder le destinataire et l’état de confiance ; ne pas changer le résultat après avoir quitté le dialogue.</x:v>
      </x:c>
      <x:c r="I7" s="9" t="str">
        <x:v>Deux destinataires dans l’UI de décision.</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me2/choices/veetor ; rattacher les ressources et états cités à cet identifiant. Aucun fichier de jeu créé par ce catalogue.</x:v>
      </x:c>
      <x:c r="M7" s="9" t="str"/>
      <x:c r="N7" s="9" t="str">
        <x:v>Le livrable « Veetor : transfert ou retour » possède une scène ou un scénario de contrôle ; ses règles proposées, ses conditions et ses retours visuels sont vérifiables séparément.</x:v>
      </x:c>
      <x:c r="O7" s="9" t="str"/>
      <x:c r="P7" s="9" t="str">
        <x:v>Veetor : transfert ou retour</x:v>
      </x:c>
      <x:c r="Q7" s="9" t="str">
        <x:v>ME2-SRC-FREEDOM</x:v>
      </x:c>
      <x:c r="R7" s="20" t="str">
        <x:v>https://masseffect.fandom.com/wiki/Freedom%27s_Progress_%28mission%29</x:v>
      </x:c>
      <x:c r="S7" s="20" t="str">
        <x:v>Spécification à réaliser. Les champs adaptation, gameplay, visual, animation, audio et implementation décrivent le fan game ; ils ne donnent pas des caractéristiques officielles de l’œuvre.</x:v>
      </x:c>
    </x:row>
    <x:row r="8" ht="68" customHeight="1">
      <x:c r="A8" s="19" t="str">
        <x:v>ME2-CHO-GRUNT</x:v>
      </x:c>
      <x:c r="B8" s="7" t="str">
        <x:v>Ouvrir la cuve de Grunt</x:v>
      </x:c>
      <x:c r="C8" s="15" t="str">
        <x:v>Défini</x:v>
      </x:c>
      <x:c r="D8" s="17" t="str">
        <x:v>Établi</x:v>
      </x:c>
      <x:c r="E8" s="17" t="str">
        <x:v>P1</x:v>
      </x:c>
      <x:c r="F8" s="7" t="str">
        <x:v>Grunt peut rester dans sa cuve.</x:v>
      </x:c>
      <x:c r="G8" s="7" t="str">
        <x:v>Afficher l’effet sur le recrutement et demander une décision narrative claire ; aucune ouverture par simple inspection.</x:v>
      </x:c>
      <x:c r="H8" s="7" t="str">
        <x:v>Afficher l’effet sur le recrutement et demander une décision narrative claire ; aucune ouverture par simple inspection.</x:v>
      </x:c>
      <x:c r="I8" s="7" t="str">
        <x:v>Cuve fermée et commande séparée.</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me2/choices/grunt ; rattacher les ressources et états cités à cet identifiant. Aucun fichier de jeu créé par ce catalogue.</x:v>
      </x:c>
      <x:c r="M8" s="7" t="str"/>
      <x:c r="N8" s="7" t="str">
        <x:v>Le livrable « Ouvrir la cuve de Grunt » possède une scène ou un scénario de contrôle ; ses règles proposées, ses conditions et ses retours visuels sont vérifiables séparément.</x:v>
      </x:c>
      <x:c r="O8" s="7" t="str"/>
      <x:c r="P8" s="7" t="str">
        <x:v>Ouvrir la cuve de Grunt</x:v>
      </x:c>
      <x:c r="Q8" s="7" t="str">
        <x:v>ME2-SRC-WARLORD</x:v>
      </x:c>
      <x:c r="R8" s="21" t="str">
        <x:v>https://masseffect.fandom.com/wiki/Dossier%3A_The_Warlord</x:v>
      </x:c>
      <x:c r="S8" s="21" t="str">
        <x:v>Spécification à réaliser. Les champs adaptation, gameplay, visual, animation, audio et implementation décrivent le fan game ; ils ne donnent pas des caractéristiques officielles de l’œuvre.</x:v>
      </x:c>
    </x:row>
    <x:row r="9" ht="68" customHeight="1">
      <x:c r="A9" s="18" t="str">
        <x:v>ME2-CHO-COUNCIL</x:v>
      </x:c>
      <x:c r="B9" s="9" t="str">
        <x:v>Statut de Spectre et Conseil</x:v>
      </x:c>
      <x:c r="C9" s="15" t="str">
        <x:v>Défini</x:v>
      </x:c>
      <x:c r="D9" s="16" t="str">
        <x:v>Établi</x:v>
      </x:c>
      <x:c r="E9" s="16" t="str">
        <x:v>P1</x:v>
      </x:c>
      <x:c r="F9" s="9" t="str">
        <x:v>L’import affecte la rencontre politique.</x:v>
      </x:c>
      <x:c r="G9" s="9" t="str">
        <x:v>Table de variantes par Conseil survivant et représentant humain ; statut de Spectre indépendant des crédits.</x:v>
      </x:c>
      <x:c r="H9" s="9" t="str">
        <x:v>Table de variantes par Conseil survivant et représentant humain ; statut de Spectre indépendant des crédits.</x:v>
      </x:c>
      <x:c r="I9" s="9" t="str">
        <x:v>Badge et compte rendu de réunion.</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me2/choices/council ; rattacher les ressources et états cités à cet identifiant. Aucun fichier de jeu créé par ce catalogue.</x:v>
      </x:c>
      <x:c r="M9" s="9" t="str"/>
      <x:c r="N9" s="9" t="str">
        <x:v>Le livrable « Statut de Spectre et Conseil » possède une scène ou un scénario de contrôle ; ses règles proposées, ses conditions et ses retours visuels sont vérifiables séparément.</x:v>
      </x:c>
      <x:c r="O9" s="9" t="str"/>
      <x:c r="P9" s="9" t="str">
        <x:v>Statut de Spectre et Conseil</x:v>
      </x:c>
      <x:c r="Q9" s="9" t="str">
        <x:v>ME2-SRC-MISSIONS, ME2-SRC-SAVE</x:v>
      </x:c>
      <x:c r="R9" s="20" t="str">
        <x:v>https://masseffect.fandom.com/wiki/Missions
https://masseffect.fandom.com/wiki/Save_File_Transfer</x:v>
      </x:c>
      <x:c r="S9" s="20" t="str">
        <x:v>Spécification à réaliser. Les champs adaptation, gameplay, visual, animation, audio et implementation décrivent le fan game ; ils ne donnent pas des caractéristiques officielles de l’œuvre.</x:v>
      </x:c>
    </x:row>
    <x:row r="10" ht="68" customHeight="1">
      <x:c r="A10" s="19" t="str">
        <x:v>ME2-CHO-SIDONIS</x:v>
      </x:c>
      <x:c r="B10" s="7" t="str">
        <x:v>Épargner ou laisser viser Sidonis</x:v>
      </x:c>
      <x:c r="C10" s="15" t="str">
        <x:v>Défini</x:v>
      </x:c>
      <x:c r="D10" s="17" t="str">
        <x:v>Établi</x:v>
      </x:c>
      <x:c r="E10" s="17" t="str">
        <x:v>P1</x:v>
      </x:c>
      <x:c r="F10" s="7" t="str">
        <x:v>La confrontation de Garrus possède un choix.</x:v>
      </x:c>
      <x:c r="G10" s="7" t="str">
        <x:v>Position de Shepard garde la ligne de tir bloquée jusqu’au verrouillage ; enregistrer issue sans effacer la loyauté.</x:v>
      </x:c>
      <x:c r="H10" s="7" t="str">
        <x:v>Position de Shepard garde la ligne de tir bloquée jusqu’au verrouillage ; enregistrer issue sans effacer la loyauté.</x:v>
      </x:c>
      <x:c r="I10" s="7" t="str">
        <x:v>Cible, viseur et zone protégée.</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me2/choices/sidonis ; rattacher les ressources et états cités à cet identifiant. Aucun fichier de jeu créé par ce catalogue.</x:v>
      </x:c>
      <x:c r="M10" s="7" t="str"/>
      <x:c r="N10" s="7" t="str">
        <x:v>Le livrable « Épargner ou laisser viser Sidonis » possède une scène ou un scénario de contrôle ; ses règles proposées, ses conditions et ses retours visuels sont vérifiables séparément.</x:v>
      </x:c>
      <x:c r="O10" s="7" t="str"/>
      <x:c r="P10" s="7" t="str">
        <x:v>Épargner ou laisser viser Sidonis</x:v>
      </x:c>
      <x:c r="Q10" s="7" t="str">
        <x:v>ME2-SRC-GARRUS</x:v>
      </x:c>
      <x:c r="R10" s="21" t="str">
        <x:v>https://masseffect.fandom.com/wiki/Garrus%3A_Eye_for_an_Eye</x:v>
      </x:c>
      <x:c r="S10" s="21" t="str">
        <x:v>Spécification à réaliser. Les champs adaptation, gameplay, visual, animation, audio et implementation décrivent le fan game ; ils ne donnent pas des caractéristiques officielles de l’œuvre.</x:v>
      </x:c>
    </x:row>
    <x:row r="11" ht="68" customHeight="1">
      <x:c r="A11" s="18" t="str">
        <x:v>ME2-CHO-ARESH</x:v>
      </x:c>
      <x:c r="B11" s="9" t="str">
        <x:v>Aresh : confrontation de Jack</x:v>
      </x:c>
      <x:c r="C11" s="15" t="str">
        <x:v>Défini</x:v>
      </x:c>
      <x:c r="D11" s="16" t="str">
        <x:v>Établi</x:v>
      </x:c>
      <x:c r="E11" s="16" t="str">
        <x:v>P1</x:v>
      </x:c>
      <x:c r="F11" s="9" t="str">
        <x:v>Une interruption peut désamorcer la scène.</x:v>
      </x:c>
      <x:c r="G11" s="9" t="str">
        <x:v>Fenêtre allongée proposée ; option textuelle équivalente au geste.</x:v>
      </x:c>
      <x:c r="H11" s="9" t="str">
        <x:v>Fenêtre allongée proposée ; option textuelle équivalente au geste.</x:v>
      </x:c>
      <x:c r="I11" s="9" t="str">
        <x:v>Portraits rapprochés et arme abaissée.</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me2/choices/aresh ; rattacher les ressources et états cités à cet identifiant. Aucun fichier de jeu créé par ce catalogue.</x:v>
      </x:c>
      <x:c r="M11" s="9" t="str"/>
      <x:c r="N11" s="9" t="str">
        <x:v>Le livrable « Aresh : confrontation de Jack » possède une scène ou un scénario de contrôle ; ses règles proposées, ses conditions et ses retours visuels sont vérifiables séparément.</x:v>
      </x:c>
      <x:c r="O11" s="9" t="str"/>
      <x:c r="P11" s="9" t="str">
        <x:v>Aresh : confrontation de Jack</x:v>
      </x:c>
      <x:c r="Q11" s="9" t="str">
        <x:v>ME2-SRC-INTERRUPT, ME2-SRC-JACK</x:v>
      </x:c>
      <x:c r="R11" s="20" t="str">
        <x:v>https://masseffect.fandom.com/wiki/Interrupt
https://masseffect.fandom.com/wiki/Jack%3A_Subject_Zero</x:v>
      </x:c>
      <x:c r="S11" s="20" t="str">
        <x:v>Spécification à réaliser. Les champs adaptation, gameplay, visual, animation, audio et implementation décrivent le fan game ; ils ne donnent pas des caractéristiques officielles de l’œuvre.</x:v>
      </x:c>
    </x:row>
    <x:row r="12" ht="68" customHeight="1">
      <x:c r="A12" s="19" t="str">
        <x:v>ME2-CHO-RONALD</x:v>
      </x:c>
      <x:c r="B12" s="7" t="str">
        <x:v>Jugement de Ronald Taylor</x:v>
      </x:c>
      <x:c r="C12" s="15" t="str">
        <x:v>Défini</x:v>
      </x:c>
      <x:c r="D12" s="17" t="str">
        <x:v>Établi</x:v>
      </x:c>
      <x:c r="E12" s="17" t="str">
        <x:v>P1</x:v>
      </x:c>
      <x:c r="F12" s="7" t="str">
        <x:v>La loyauté de Jacob mène à son père.</x:v>
      </x:c>
      <x:c r="G12" s="7" t="str">
        <x:v>Présenter les issues dans un résumé concis après les preuves ; aucune issue choisie par défaut au timeout.</x:v>
      </x:c>
      <x:c r="H12" s="7" t="str">
        <x:v>Présenter les issues dans un résumé concis après les preuves ; aucune issue choisie par défaut au timeout.</x:v>
      </x:c>
      <x:c r="I12" s="7" t="str">
        <x:v>Zone de conversation neutralisée.</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me2/choices/ronald ; rattacher les ressources et états cités à cet identifiant. Aucun fichier de jeu créé par ce catalogue.</x:v>
      </x:c>
      <x:c r="M12" s="7" t="str"/>
      <x:c r="N12" s="7" t="str">
        <x:v>Le livrable « Jugement de Ronald Taylor » possède une scène ou un scénario de contrôle ; ses règles proposées, ses conditions et ses retours visuels sont vérifiables séparément.</x:v>
      </x:c>
      <x:c r="O12" s="7" t="str"/>
      <x:c r="P12" s="7" t="str">
        <x:v>Jugement de Ronald Taylor</x:v>
      </x:c>
      <x:c r="Q12" s="7" t="str">
        <x:v>ME2-SRC-JACOB</x:v>
      </x:c>
      <x:c r="R12" s="21" t="str">
        <x:v>https://masseffect.fandom.com/wiki/Jacob%3A_The_Gift_of_Greatness</x:v>
      </x:c>
      <x:c r="S12" s="21" t="str">
        <x:v>Spécification à réaliser. Les champs adaptation, gameplay, visual, animation, audio et implementation décrivent le fan game ; ils ne donnent pas des caractéristiques officielles de l’œuvre.</x:v>
      </x:c>
    </x:row>
    <x:row r="13" ht="68" customHeight="1">
      <x:c r="A13" s="18" t="str">
        <x:v>ME2-CHO-NIKET</x:v>
      </x:c>
      <x:c r="B13" s="9" t="str">
        <x:v>Intervenir auprès de Miranda</x:v>
      </x:c>
      <x:c r="C13" s="15" t="str">
        <x:v>Défini</x:v>
      </x:c>
      <x:c r="D13" s="16" t="str">
        <x:v>Établi</x:v>
      </x:c>
      <x:c r="E13" s="16" t="str">
        <x:v>P1</x:v>
      </x:c>
      <x:c r="F13" s="9" t="str">
        <x:v>La scène de Niket peut être interrompue.</x:v>
      </x:c>
      <x:c r="G13" s="9" t="str">
        <x:v>Séparer interruption émotionnelle et événements non évitables ; ne pas promettre une survie absente du jeu publié.</x:v>
      </x:c>
      <x:c r="H13" s="9" t="str">
        <x:v>Séparer interruption émotionnelle et événements non évitables ; ne pas promettre une survie absente du jeu publié.</x:v>
      </x:c>
      <x:c r="I13" s="9" t="str">
        <x:v>Main, arme et champ de dialogue.</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me2/choices/niket ; rattacher les ressources et états cités à cet identifiant. Aucun fichier de jeu créé par ce catalogue.</x:v>
      </x:c>
      <x:c r="M13" s="9" t="str"/>
      <x:c r="N13" s="9" t="str">
        <x:v>Le livrable « Intervenir auprès de Miranda » possède une scène ou un scénario de contrôle ; ses règles proposées, ses conditions et ses retours visuels sont vérifiables séparément.</x:v>
      </x:c>
      <x:c r="O13" s="9" t="str"/>
      <x:c r="P13" s="9" t="str">
        <x:v>Intervenir auprès de Miranda</x:v>
      </x:c>
      <x:c r="Q13" s="9" t="str">
        <x:v>ME2-SRC-MIRANDA, ME2-SRC-INTERRUPT</x:v>
      </x:c>
      <x:c r="R13" s="20" t="str">
        <x:v>https://masseffect.fandom.com/wiki/Miranda%3A_The_Prodigal
https://masseffect.fandom.com/wiki/Interrupt</x:v>
      </x:c>
      <x:c r="S13" s="20" t="str">
        <x:v>Spécification à réaliser. Les champs adaptation, gameplay, visual, animation, audio et implementation décrivent le fan game ; ils ne donnent pas des caractéristiques officielles de l’œuvre.</x:v>
      </x:c>
    </x:row>
    <x:row r="14" ht="68" customHeight="1">
      <x:c r="A14" s="19" t="str">
        <x:v>ME2-CHO-ORIANA</x:v>
      </x:c>
      <x:c r="B14" s="7" t="str">
        <x:v>Miranda et Oriana</x:v>
      </x:c>
      <x:c r="C14" s="15" t="str">
        <x:v>Défini</x:v>
      </x:c>
      <x:c r="D14" s="17" t="str">
        <x:v>Établi</x:v>
      </x:c>
      <x:c r="E14" s="17" t="str">
        <x:v>P1</x:v>
      </x:c>
      <x:c r="F14" s="7" t="str">
        <x:v>L’arc permet une rencontre familiale.</x:v>
      </x:c>
      <x:c r="G14" s="7" t="str">
        <x:v>Sauvegarder la décision de contact sans en faire un prérequis de combat.</x:v>
      </x:c>
      <x:c r="H14" s="7" t="str">
        <x:v>Sauvegarder la décision de contact sans en faire un prérequis de combat.</x:v>
      </x:c>
      <x:c r="I14" s="7" t="str">
        <x:v>Distance entre les deux personnages.</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me2/choices/oriana ; rattacher les ressources et états cités à cet identifiant. Aucun fichier de jeu créé par ce catalogue.</x:v>
      </x:c>
      <x:c r="M14" s="7" t="str"/>
      <x:c r="N14" s="7" t="str">
        <x:v>Le livrable « Miranda et Oriana » possède une scène ou un scénario de contrôle ; ses règles proposées, ses conditions et ses retours visuels sont vérifiables séparément.</x:v>
      </x:c>
      <x:c r="O14" s="7" t="str"/>
      <x:c r="P14" s="7" t="str">
        <x:v>Miranda et Oriana</x:v>
      </x:c>
      <x:c r="Q14" s="7" t="str">
        <x:v>ME2-SRC-MIRANDA</x:v>
      </x:c>
      <x:c r="R14" s="21" t="str">
        <x:v>https://masseffect.fandom.com/wiki/Miranda%3A_The_Prodigal</x:v>
      </x:c>
      <x:c r="S14" s="21" t="str">
        <x:v>Spécification à réaliser. Les champs adaptation, gameplay, visual, animation, audio et implementation décrivent le fan game ; ils ne donnent pas des caractéristiques officielles de l’œuvre.</x:v>
      </x:c>
    </x:row>
    <x:row r="15" ht="68" customHeight="1">
      <x:c r="A15" s="18" t="str">
        <x:v>ME2-CHO-MAELON-LIFE</x:v>
      </x:c>
      <x:c r="B15" s="9" t="str">
        <x:v>Sort de Maelon</x:v>
      </x:c>
      <x:c r="C15" s="15" t="str">
        <x:v>Défini</x:v>
      </x:c>
      <x:c r="D15" s="16" t="str">
        <x:v>Établi</x:v>
      </x:c>
      <x:c r="E15" s="16" t="str">
        <x:v>P1</x:v>
      </x:c>
      <x:c r="F15" s="9" t="str">
        <x:v>Mordin peut être arrêté par Shepard.</x:v>
      </x:c>
      <x:c r="G15" s="9" t="str">
        <x:v>Choix indépendant du sort des données ; conserver deux champs d’état.</x:v>
      </x:c>
      <x:c r="H15" s="9" t="str">
        <x:v>Choix indépendant du sort des données ; conserver deux champs d’état.</x:v>
      </x:c>
      <x:c r="I15" s="9" t="str">
        <x:v>Arme, Maelon et terminal en trois points.</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me2/choices/maelon-life ; rattacher les ressources et états cités à cet identifiant. Aucun fichier de jeu créé par ce catalogue.</x:v>
      </x:c>
      <x:c r="M15" s="9" t="str"/>
      <x:c r="N15" s="9" t="str">
        <x:v>Le livrable « Sort de Maelon » possède une scène ou un scénario de contrôle ; ses règles proposées, ses conditions et ses retours visuels sont vérifiables séparément.</x:v>
      </x:c>
      <x:c r="O15" s="9" t="str"/>
      <x:c r="P15" s="9" t="str">
        <x:v>Sort de Maelon</x:v>
      </x:c>
      <x:c r="Q15" s="9" t="str">
        <x:v>ME2-SRC-MORDIN</x:v>
      </x:c>
      <x:c r="R15" s="20" t="str">
        <x:v>https://masseffect.fandom.com/wiki/Mordin%3A_Old_Blood</x:v>
      </x:c>
      <x:c r="S15" s="20" t="str">
        <x:v>Spécification à réaliser. Les champs adaptation, gameplay, visual, animation, audio et implementation décrivent le fan game ; ils ne donnent pas des caractéristiques officielles de l’œuvre.</x:v>
      </x:c>
    </x:row>
    <x:row r="16" ht="68" customHeight="1">
      <x:c r="A16" s="19" t="str">
        <x:v>ME2-CHO-MAELON-DATA</x:v>
      </x:c>
      <x:c r="B16" s="7" t="str">
        <x:v>Conserver les données de Maelon</x:v>
      </x:c>
      <x:c r="C16" s="15" t="str">
        <x:v>Défini</x:v>
      </x:c>
      <x:c r="D16" s="17" t="str">
        <x:v>Établi</x:v>
      </x:c>
      <x:c r="E16" s="17" t="str">
        <x:v>P1</x:v>
      </x:c>
      <x:c r="F16" s="7" t="str">
        <x:v>Le joueur statue sur la recherche.</x:v>
      </x:c>
      <x:c r="G16" s="7" t="str">
        <x:v>Résumé des raisons et aperçu de l’état conservé ; aucune prévision omnisciente de ME3 dans le dialogue.</x:v>
      </x:c>
      <x:c r="H16" s="7" t="str">
        <x:v>Résumé des raisons et aperçu de l’état conservé ; aucune prévision omnisciente de ME3 dans le dialogue.</x:v>
      </x:c>
      <x:c r="I16" s="7" t="str">
        <x:v>Données gardées ou effacées.</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me2/choices/maelon-data ; rattacher les ressources et états cités à cet identifiant. Aucun fichier de jeu créé par ce catalogue.</x:v>
      </x:c>
      <x:c r="M16" s="7" t="str"/>
      <x:c r="N16" s="7" t="str">
        <x:v>Le livrable « Conserver les données de Maelon » possède une scène ou un scénario de contrôle ; ses règles proposées, ses conditions et ses retours visuels sont vérifiables séparément.</x:v>
      </x:c>
      <x:c r="O16" s="7" t="str"/>
      <x:c r="P16" s="7" t="str">
        <x:v>Conserver les données de Maelon</x:v>
      </x:c>
      <x:c r="Q16" s="7" t="str">
        <x:v>ME2-SRC-MORDIN</x:v>
      </x:c>
      <x:c r="R16" s="21" t="str">
        <x:v>https://masseffect.fandom.com/wiki/Mordin%3A_Old_Blood</x:v>
      </x:c>
      <x:c r="S16" s="21" t="str">
        <x:v>Spécification à réaliser. Les champs adaptation, gameplay, visual, animation, audio et implementation décrivent le fan game ; ils ne donnent pas des caractéristiques officielles de l’œuvre.</x:v>
      </x:c>
    </x:row>
    <x:row r="17" ht="68" customHeight="1">
      <x:c r="A17" s="18" t="str">
        <x:v>ME2-CHO-SAMARA</x:v>
      </x:c>
      <x:c r="B17" s="9" t="str">
        <x:v>Samara ou Morinth</x:v>
      </x:c>
      <x:c r="C17" s="15" t="str">
        <x:v>Défini</x:v>
      </x:c>
      <x:c r="D17" s="16" t="str">
        <x:v>Établi</x:v>
      </x:c>
      <x:c r="E17" s="16" t="str">
        <x:v>P1</x:v>
      </x:c>
      <x:c r="F17" s="9" t="str">
        <x:v>Morinth peut remplacer Samara.</x:v>
      </x:c>
      <x:c r="G17" s="9" t="str">
        <x:v>Préconditions de résistance vérifiables ; un seul emplacement d’équipe, identité réelle et identité affichée séparées.</x:v>
      </x:c>
      <x:c r="H17" s="9" t="str">
        <x:v>Préconditions de résistance vérifiables ; un seul emplacement d’équipe, identité réelle et identité affichée séparées.</x:v>
      </x:c>
      <x:c r="I17" s="9" t="str">
        <x:v>Deux portraits exclusifs.</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me2/choices/samara ; rattacher les ressources et états cités à cet identifiant. Aucun fichier de jeu créé par ce catalogue.</x:v>
      </x:c>
      <x:c r="M17" s="9" t="str"/>
      <x:c r="N17" s="9" t="str">
        <x:v>Le livrable « Samara ou Morinth » possède une scène ou un scénario de contrôle ; ses règles proposées, ses conditions et ses retours visuels sont vérifiables séparément.</x:v>
      </x:c>
      <x:c r="O17" s="9" t="str"/>
      <x:c r="P17" s="9" t="str">
        <x:v>Samara ou Morinth</x:v>
      </x:c>
      <x:c r="Q17" s="9" t="str">
        <x:v>ME2-SRC-SAMARA</x:v>
      </x:c>
      <x:c r="R17" s="20" t="str">
        <x:v>https://masseffect.fandom.com/wiki/Samara%3A_The_Ardat-Yakshi</x:v>
      </x:c>
      <x:c r="S17" s="20" t="str">
        <x:v>Spécification à réaliser. Les champs adaptation, gameplay, visual, animation, audio et implementation décrivent le fan game ; ils ne donnent pas des caractéristiques officielles de l’œuvre.</x:v>
      </x:c>
    </x:row>
    <x:row r="18" ht="68" customHeight="1">
      <x:c r="A18" s="19" t="str">
        <x:v>ME2-CHO-TALI-PROOF</x:v>
      </x:c>
      <x:c r="B18" s="7" t="str">
        <x:v>Données de l’Alarei au procès</x:v>
      </x:c>
      <x:c r="C18" s="15" t="str">
        <x:v>Défini</x:v>
      </x:c>
      <x:c r="D18" s="17" t="str">
        <x:v>Établi</x:v>
      </x:c>
      <x:c r="E18" s="17" t="str">
        <x:v>P1</x:v>
      </x:c>
      <x:c r="F18" s="7" t="str">
        <x:v>Le procès offre plusieurs résolutions.</x:v>
      </x:c>
      <x:c r="G18" s="7" t="str">
        <x:v>Matrice preuves, témoignages, verdict, exil et loyauté ; afficher le verdict exact au débriefing.</x:v>
      </x:c>
      <x:c r="H18" s="7" t="str">
        <x:v>Matrice preuves, témoignages, verdict, exil et loyauté ; afficher le verdict exact au débriefing.</x:v>
      </x:c>
      <x:c r="I18" s="7" t="str">
        <x:v>Auditoire et preuve en surimpression.</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me2/choices/tali-proof ; rattacher les ressources et états cités à cet identifiant. Aucun fichier de jeu créé par ce catalogue.</x:v>
      </x:c>
      <x:c r="M18" s="7" t="str"/>
      <x:c r="N18" s="7" t="str">
        <x:v>Le livrable « Données de l’Alarei au procès » possède une scène ou un scénario de contrôle ; ses règles proposées, ses conditions et ses retours visuels sont vérifiables séparément.</x:v>
      </x:c>
      <x:c r="O18" s="7" t="str"/>
      <x:c r="P18" s="7" t="str">
        <x:v>Données de l’Alarei au procès</x:v>
      </x:c>
      <x:c r="Q18" s="7" t="str">
        <x:v>ME2-SRC-TREASON</x:v>
      </x:c>
      <x:c r="R18" s="21" t="str">
        <x:v>https://masseffect.fandom.com/wiki/Tali%3A_Treason</x:v>
      </x:c>
      <x:c r="S18" s="21" t="str">
        <x:v>Spécification à réaliser. Les champs adaptation, gameplay, visual, animation, audio et implementation décrivent le fan game ; ils ne donnent pas des caractéristiques officielles de l’œuvre.</x:v>
      </x:c>
    </x:row>
    <x:row r="19" ht="68" customHeight="1">
      <x:c r="A19" s="18" t="str">
        <x:v>ME2-CHO-TALI-LEGION</x:v>
      </x:c>
      <x:c r="B19" s="9" t="str">
        <x:v>Dispute Tali / Legion</x:v>
      </x:c>
      <x:c r="C19" s="15" t="str">
        <x:v>Défini</x:v>
      </x:c>
      <x:c r="D19" s="16" t="str">
        <x:v>Établi</x:v>
      </x:c>
      <x:c r="E19" s="16" t="str">
        <x:v>P1</x:v>
      </x:c>
      <x:c r="F19" s="9" t="str">
        <x:v>Les loyautés peuvent être affectées.</x:v>
      </x:c>
      <x:c r="G19" s="9" t="str">
        <x:v>Dialogue de médiation conditionnel ; une loyauté récupérée ne modifie pas secrètement les autres choix.</x:v>
      </x:c>
      <x:c r="H19" s="9" t="str">
        <x:v>Dialogue de médiation conditionnel ; une loyauté récupérée ne modifie pas secrètement les autres choix.</x:v>
      </x:c>
      <x:c r="I19" s="9" t="str">
        <x:v>Deux portraits et résultat par personne.</x:v>
      </x:c>
      <x:c r="J19" s="9" t="str">
        <x:v>Transitions de caméra et d’interface interruptibles ; aucun délai d’animation ne doit consommer une décision encore ouverte.</x:v>
      </x:c>
      <x:c r="K19" s="9" t="str">
        <x:v>Créer des bruitages et ambiances originaux adaptés au livrable ; sous-titrer les indices utiles et proposer un réglage indépendant des effets. Aucune extraction audio demandée.</x:v>
      </x:c>
      <x:c r="L19" s="9" t="str">
        <x:v>Prévu : fiche de données me2/choices/tali-legion ; rattacher les ressources et états cités à cet identifiant. Aucun fichier de jeu créé par ce catalogue.</x:v>
      </x:c>
      <x:c r="M19" s="9" t="str"/>
      <x:c r="N19" s="9" t="str">
        <x:v>Le livrable « Dispute Tali / Legion » possède une scène ou un scénario de contrôle ; ses règles proposées, ses conditions et ses retours visuels sont vérifiables séparément.</x:v>
      </x:c>
      <x:c r="O19" s="9" t="str"/>
      <x:c r="P19" s="9" t="str">
        <x:v>Dispute Tali / Legion</x:v>
      </x:c>
      <x:c r="Q19" s="9" t="str">
        <x:v>ME2-SRC-GUIDE, ME2-SRC-POWERS</x:v>
      </x:c>
      <x:c r="R19" s="20" t="str">
        <x:v>https://masseffect.fandom.com/wiki/Mass_Effect_2_Guide
https://masseffect.fandom.com/wiki/Powers</x:v>
      </x:c>
      <x:c r="S19" s="20" t="str">
        <x:v>Spécification à réaliser. Les champs adaptation, gameplay, visual, animation, audio et implementation décrivent le fan game ; ils ne donnent pas des caractéristiques officielles de l’œuvre.</x:v>
      </x:c>
    </x:row>
    <x:row r="20" ht="68" customHeight="1">
      <x:c r="A20" s="19" t="str">
        <x:v>ME2-CHO-JACK-MIRANDA</x:v>
      </x:c>
      <x:c r="B20" s="7" t="str">
        <x:v>Dispute Jack / Miranda</x:v>
      </x:c>
      <x:c r="C20" s="15" t="str">
        <x:v>Défini</x:v>
      </x:c>
      <x:c r="D20" s="17" t="str">
        <x:v>Établi</x:v>
      </x:c>
      <x:c r="E20" s="17" t="str">
        <x:v>P1</x:v>
      </x:c>
      <x:c r="F20" s="7" t="str">
        <x:v>Les loyautés peuvent être affectées.</x:v>
      </x:c>
      <x:c r="G20" s="7" t="str">
        <x:v>État distinct pour grief et loyauté ; possibilité de revenir parler sans rejouer la scène entière.</x:v>
      </x:c>
      <x:c r="H20" s="7" t="str">
        <x:v>État distinct pour grief et loyauté ; possibilité de revenir parler sans rejouer la scène entière.</x:v>
      </x:c>
      <x:c r="I20" s="7" t="str">
        <x:v>Cabine centrale et séparation spatiale.</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me2/choices/jack-miranda ; rattacher les ressources et états cités à cet identifiant. Aucun fichier de jeu créé par ce catalogue.</x:v>
      </x:c>
      <x:c r="M20" s="7" t="str"/>
      <x:c r="N20" s="7" t="str">
        <x:v>Le livrable « Dispute Jack / Miranda » possède une scène ou un scénario de contrôle ; ses règles proposées, ses conditions et ses retours visuels sont vérifiables séparément.</x:v>
      </x:c>
      <x:c r="O20" s="7" t="str"/>
      <x:c r="P20" s="7" t="str">
        <x:v>Dispute Jack / Miranda</x:v>
      </x:c>
      <x:c r="Q20" s="7" t="str">
        <x:v>ME2-SRC-GUIDE, ME2-SRC-POWERS</x:v>
      </x:c>
      <x:c r="R20" s="21" t="str">
        <x:v>https://masseffect.fandom.com/wiki/Mass_Effect_2_Guide
https://masseffect.fandom.com/wiki/Powers</x:v>
      </x:c>
      <x:c r="S20" s="21" t="str">
        <x:v>Spécification à réaliser. Les champs adaptation, gameplay, visual, animation, audio et implementation décrivent le fan game ; ils ne donnent pas des caractéristiques officielles de l’œuvre.</x:v>
      </x:c>
    </x:row>
    <x:row r="21" ht="68" customHeight="1">
      <x:c r="A21" s="18" t="str">
        <x:v>ME2-CHO-KOLYAT</x:v>
      </x:c>
      <x:c r="B21" s="9" t="str">
        <x:v>Interception de Kolyat</x:v>
      </x:c>
      <x:c r="C21" s="15" t="str">
        <x:v>Défini</x:v>
      </x:c>
      <x:c r="D21" s="16" t="str">
        <x:v>Établi</x:v>
      </x:c>
      <x:c r="E21" s="16" t="str">
        <x:v>P1</x:v>
      </x:c>
      <x:c r="F21" s="9" t="str">
        <x:v>La filature influence la loyauté de Thane.</x:v>
      </x:c>
      <x:c r="G21" s="9" t="str">
        <x:v>Échec de suivi signifié immédiatement ; mode d’aide ne change pas les dialogues obtenus.</x:v>
      </x:c>
      <x:c r="H21" s="9" t="str">
        <x:v>Échec de suivi signifié immédiatement ; mode d’aide ne change pas les dialogues obtenus.</x:v>
      </x:c>
      <x:c r="I21" s="9" t="str">
        <x:v>Témoin de suivi et marqueur de cible.</x:v>
      </x:c>
      <x:c r="J21" s="9" t="str">
        <x:v>Transitions de caméra et d’interface interruptibles ; aucun délai d’animation ne doit consommer une décision encore ouverte.</x:v>
      </x:c>
      <x:c r="K21" s="9" t="str">
        <x:v>Créer des bruitages et ambiances originaux adaptés au livrable ; sous-titrer les indices utiles et proposer un réglage indépendant des effets. Aucune extraction audio demandée.</x:v>
      </x:c>
      <x:c r="L21" s="9" t="str">
        <x:v>Prévu : fiche de données me2/choices/kolyat ; rattacher les ressources et états cités à cet identifiant. Aucun fichier de jeu créé par ce catalogue.</x:v>
      </x:c>
      <x:c r="M21" s="9" t="str"/>
      <x:c r="N21" s="9" t="str">
        <x:v>Le livrable « Interception de Kolyat » possède une scène ou un scénario de contrôle ; ses règles proposées, ses conditions et ses retours visuels sont vérifiables séparément.</x:v>
      </x:c>
      <x:c r="O21" s="9" t="str"/>
      <x:c r="P21" s="9" t="str">
        <x:v>Interception de Kolyat</x:v>
      </x:c>
      <x:c r="Q21" s="9" t="str">
        <x:v>ME2-SRC-THANE</x:v>
      </x:c>
      <x:c r="R21" s="20" t="str">
        <x:v>https://masseffect.fandom.com/wiki/Thane%3A_Sins_of_the_Father</x:v>
      </x:c>
      <x:c r="S21" s="20" t="str">
        <x:v>Spécification à réaliser. Les champs adaptation, gameplay, visual, animation, audio et implementation décrivent le fan game ; ils ne donnent pas des caractéristiques officielles de l’œuvre.</x:v>
      </x:c>
    </x:row>
    <x:row r="22" ht="68" customHeight="1">
      <x:c r="A22" s="19" t="str">
        <x:v>ME2-CHO-HERETICS</x:v>
      </x:c>
      <x:c r="B22" s="7" t="str">
        <x:v>Détruire ou réécrire les hérétiques</x:v>
      </x:c>
      <x:c r="C22" s="15" t="str">
        <x:v>Défini</x:v>
      </x:c>
      <x:c r="D22" s="17" t="str">
        <x:v>Établi</x:v>
      </x:c>
      <x:c r="E22" s="17" t="str">
        <x:v>P1</x:v>
      </x:c>
      <x:c r="F22" s="7" t="str">
        <x:v>Legion propose deux issues au virus.</x:v>
      </x:c>
      <x:c r="G22" s="7" t="str">
        <x:v>Sauvegarder le choix avec son contexte ; aucun pourcentage moral présenté comme vérité universelle.</x:v>
      </x:c>
      <x:c r="H22" s="7" t="str">
        <x:v>Sauvegarder le choix avec son contexte ; aucun pourcentage moral présenté comme vérité universelle.</x:v>
      </x:c>
      <x:c r="I22" s="7" t="str">
        <x:v>Deux opérations de terminal distinctes.</x:v>
      </x:c>
      <x:c r="J22" s="7" t="str">
        <x:v>Transitions de caméra et d’interface interruptibles ; aucun délai d’animation ne doit consommer une décision encore ouverte.</x:v>
      </x:c>
      <x:c r="K22" s="7" t="str">
        <x:v>Créer des bruitages et ambiances originaux adaptés au livrable ; sous-titrer les indices utiles et proposer un réglage indépendant des effets. Aucune extraction audio demandée.</x:v>
      </x:c>
      <x:c r="L22" s="7" t="str">
        <x:v>Prévu : fiche de données me2/choices/heretics ; rattacher les ressources et états cités à cet identifiant. Aucun fichier de jeu créé par ce catalogue.</x:v>
      </x:c>
      <x:c r="M22" s="7" t="str"/>
      <x:c r="N22" s="7" t="str">
        <x:v>Le livrable « Détruire ou réécrire les hérétiques » possède une scène ou un scénario de contrôle ; ses règles proposées, ses conditions et ses retours visuels sont vérifiables séparément.</x:v>
      </x:c>
      <x:c r="O22" s="7" t="str"/>
      <x:c r="P22" s="7" t="str">
        <x:v>Détruire ou réécrire les hérétiques</x:v>
      </x:c>
      <x:c r="Q22" s="7" t="str">
        <x:v>ME2-SRC-LEGION</x:v>
      </x:c>
      <x:c r="R22" s="21" t="str">
        <x:v>https://masseffect.fandom.com/wiki/Legion%3A_A_House_Divided</x:v>
      </x:c>
      <x:c r="S22" s="21" t="str">
        <x:v>Spécification à réaliser. Les champs adaptation, gameplay, visual, animation, audio et implementation décrivent le fan game ; ils ne donnent pas des caractéristiques officielles de l’œuvre.</x:v>
      </x:c>
    </x:row>
    <x:row r="23" ht="68" customHeight="1">
      <x:c r="A23" s="18" t="str">
        <x:v>ME2-CHO-GRAYBOX</x:v>
      </x:c>
      <x:c r="B23" s="9" t="str">
        <x:v>Conserver ou détruire le graybox</x:v>
      </x:c>
      <x:c r="C23" s="15" t="str">
        <x:v>Défini</x:v>
      </x:c>
      <x:c r="D23" s="16" t="str">
        <x:v>Établi</x:v>
      </x:c>
      <x:c r="E23" s="16" t="str">
        <x:v>P1</x:v>
      </x:c>
      <x:c r="F23" s="9" t="str">
        <x:v>Les deux issues existent.</x:v>
      </x:c>
      <x:c r="G23" s="9" t="str">
        <x:v>Confirmer que le choix concerne le souvenir et les données ; aucun double butin de branche.</x:v>
      </x:c>
      <x:c r="H23" s="9" t="str">
        <x:v>Confirmer que le choix concerne le souvenir et les données ; aucun double butin de branche.</x:v>
      </x:c>
      <x:c r="I23" s="9" t="str">
        <x:v>Graybox et mémoires atténuées.</x:v>
      </x:c>
      <x:c r="J23" s="9" t="str">
        <x:v>Transitions de caméra et d’interface interruptibles ; aucun délai d’animation ne doit consommer une décision encore ouverte.</x:v>
      </x:c>
      <x:c r="K23" s="9" t="str">
        <x:v>Créer des bruitages et ambiances originaux adaptés au livrable ; sous-titrer les indices utiles et proposer un réglage indépendant des effets. Aucune extraction audio demandée.</x:v>
      </x:c>
      <x:c r="L23" s="9" t="str">
        <x:v>Prévu : fiche de données me2/choices/graybox ; rattacher les ressources et états cités à cet identifiant. Aucun fichier de jeu créé par ce catalogue.</x:v>
      </x:c>
      <x:c r="M23" s="9" t="str"/>
      <x:c r="N23" s="9" t="str">
        <x:v>Le livrable « Conserver ou détruire le graybox » possède une scène ou un scénario de contrôle ; ses règles proposées, ses conditions et ses retours visuels sont vérifiables séparément.</x:v>
      </x:c>
      <x:c r="O23" s="9" t="str"/>
      <x:c r="P23" s="9" t="str">
        <x:v>Conserver ou détruire le graybox</x:v>
      </x:c>
      <x:c r="Q23" s="9" t="str">
        <x:v>ME2-SRC-KASUMI</x:v>
      </x:c>
      <x:c r="R23" s="20" t="str">
        <x:v>https://masseffect.fandom.com/wiki/Kasumi%3A_Stealing_Memory</x:v>
      </x:c>
      <x:c r="S23" s="20" t="str">
        <x:v>Spécification à réaliser. Les champs adaptation, gameplay, visual, animation, audio et implementation décrivent le fan game ; ils ne donnent pas des caractéristiques officielles de l’œuvre.</x:v>
      </x:c>
    </x:row>
    <x:row r="24" ht="68" customHeight="1">
      <x:c r="A24" s="19" t="str">
        <x:v>ME2-CHO-REFINERY</x:v>
      </x:c>
      <x:c r="B24" s="7" t="str">
        <x:v>Secours ou poursuite de Vido</x:v>
      </x:c>
      <x:c r="C24" s="15" t="str">
        <x:v>Défini</x:v>
      </x:c>
      <x:c r="D24" s="17" t="str">
        <x:v>Établi</x:v>
      </x:c>
      <x:c r="E24" s="17" t="str">
        <x:v>P1</x:v>
      </x:c>
      <x:c r="F24" s="7" t="str">
        <x:v>L’arc de Zaeed bifurque.</x:v>
      </x:c>
      <x:c r="G24" s="7" t="str">
        <x:v>Deux routes physiques et avertissement de point de non-retour ; calcul de loyauté séparé du secours.</x:v>
      </x:c>
      <x:c r="H24" s="7" t="str">
        <x:v>Deux routes physiques et avertissement de point de non-retour ; calcul de loyauté séparé du secours.</x:v>
      </x:c>
      <x:c r="I24" s="7" t="str">
        <x:v>Portes de route et fumée industrielle.</x:v>
      </x:c>
      <x:c r="J24" s="7" t="str">
        <x:v>Transitions de caméra et d’interface interruptibles ; aucun délai d’animation ne doit consommer une décision encore ouverte.</x:v>
      </x:c>
      <x:c r="K24" s="7" t="str">
        <x:v>Créer des bruitages et ambiances originaux adaptés au livrable ; sous-titrer les indices utiles et proposer un réglage indépendant des effets. Aucune extraction audio demandée.</x:v>
      </x:c>
      <x:c r="L24" s="7" t="str">
        <x:v>Prévu : fiche de données me2/choices/refinery ; rattacher les ressources et états cités à cet identifiant. Aucun fichier de jeu créé par ce catalogue.</x:v>
      </x:c>
      <x:c r="M24" s="7" t="str"/>
      <x:c r="N24" s="7" t="str">
        <x:v>Le livrable « Secours ou poursuite de Vido » possède une scène ou un scénario de contrôle ; ses règles proposées, ses conditions et ses retours visuels sont vérifiables séparément.</x:v>
      </x:c>
      <x:c r="O24" s="7" t="str"/>
      <x:c r="P24" s="7" t="str">
        <x:v>Secours ou poursuite de Vido</x:v>
      </x:c>
      <x:c r="Q24" s="7" t="str">
        <x:v>ME2-SRC-ZAEED</x:v>
      </x:c>
      <x:c r="R24" s="21" t="str">
        <x:v>https://masseffect.fandom.com/wiki/Zaeed%3A_The_Price_of_Revenge</x:v>
      </x:c>
      <x:c r="S24" s="21" t="str">
        <x:v>Spécification à réaliser. Les champs adaptation, gameplay, visual, animation, audio et implementation décrivent le fan game ; ils ne donnent pas des caractéristiques officielles de l’œuvre.</x:v>
      </x:c>
    </x:row>
    <x:row r="25" ht="68" customHeight="1">
      <x:c r="A25" s="18" t="str">
        <x:v>ME2-CHO-DAVID</x:v>
      </x:c>
      <x:c r="B25" s="9" t="str">
        <x:v>Libérer ou laisser David</x:v>
      </x:c>
      <x:c r="C25" s="15" t="str">
        <x:v>Défini</x:v>
      </x:c>
      <x:c r="D25" s="16" t="str">
        <x:v>Établi</x:v>
      </x:c>
      <x:c r="E25" s="16" t="str">
        <x:v>P1</x:v>
      </x:c>
      <x:c r="F25" s="9" t="str">
        <x:v>Le joueur statue sur David et le projet.</x:v>
      </x:c>
      <x:c r="G25" s="9" t="str">
        <x:v>Dialogue à l’issue du combat ; documenter les conséquences sans traiter David comme un bonus d’objet.</x:v>
      </x:c>
      <x:c r="H25" s="9" t="str">
        <x:v>Dialogue à l’issue du combat ; documenter les conséquences sans traiter David comme un bonus d’objet.</x:v>
      </x:c>
      <x:c r="I25" s="9" t="str">
        <x:v>Caméra à hauteur de personne et commandes désactivées.</x:v>
      </x:c>
      <x:c r="J25" s="9" t="str">
        <x:v>Transitions de caméra et d’interface interruptibles ; aucun délai d’animation ne doit consommer une décision encore ouverte.</x:v>
      </x:c>
      <x:c r="K25" s="9" t="str">
        <x:v>Créer des bruitages et ambiances originaux adaptés au livrable ; sous-titrer les indices utiles et proposer un réglage indépendant des effets. Aucune extraction audio demandée.</x:v>
      </x:c>
      <x:c r="L25" s="9" t="str">
        <x:v>Prévu : fiche de données me2/choices/david ; rattacher les ressources et états cités à cet identifiant. Aucun fichier de jeu créé par ce catalogue.</x:v>
      </x:c>
      <x:c r="M25" s="9" t="str"/>
      <x:c r="N25" s="9" t="str">
        <x:v>Le livrable « Libérer ou laisser David » possède une scène ou un scénario de contrôle ; ses règles proposées, ses conditions et ses retours visuels sont vérifiables séparément.</x:v>
      </x:c>
      <x:c r="O25" s="9" t="str"/>
      <x:c r="P25" s="9" t="str">
        <x:v>Libérer ou laisser David</x:v>
      </x:c>
      <x:c r="Q25" s="9" t="str">
        <x:v>ME2-SRC-ATLAS</x:v>
      </x:c>
      <x:c r="R25" s="20" t="str">
        <x:v>https://masseffect.fandom.com/wiki/Atlas_Station</x:v>
      </x:c>
      <x:c r="S25" s="20" t="str">
        <x:v>Spécification à réaliser. Les champs adaptation, gameplay, visual, animation, audio et implementation décrivent le fan game ; ils ne donnent pas des caractéristiques officielles de l’œuvre.</x:v>
      </x:c>
    </x:row>
    <x:row r="26" ht="68" customHeight="1">
      <x:c r="A26" s="19" t="str">
        <x:v>ME2-CHO-KENSON</x:v>
      </x:c>
      <x:c r="B26" s="7" t="str">
        <x:v>Alerter les colons ou appeler le Normandy</x:v>
      </x:c>
      <x:c r="C26" s="15" t="str">
        <x:v>Défini</x:v>
      </x:c>
      <x:c r="D26" s="17" t="str">
        <x:v>Établi</x:v>
      </x:c>
      <x:c r="E26" s="17" t="str">
        <x:v>P1</x:v>
      </x:c>
      <x:c r="F26" s="7" t="str">
        <x:v>Arrival propose une intention de contact.</x:v>
      </x:c>
      <x:c r="G26" s="7" t="str">
        <x:v>Enregistrer l’intention choisie sans inventer un sauvetage du système ; la destruction n’est pas évitable par ce bouton.</x:v>
      </x:c>
      <x:c r="H26" s="7" t="str">
        <x:v>Enregistrer l’intention choisie sans inventer un sauvetage du système ; la destruction n’est pas évitable par ce bouton.</x:v>
      </x:c>
      <x:c r="I26" s="7" t="str">
        <x:v>Deux canaux de communication.</x:v>
      </x:c>
      <x:c r="J26" s="7" t="str">
        <x:v>Transitions de caméra et d’interface interruptibles ; aucun délai d’animation ne doit consommer une décision encore ouverte.</x:v>
      </x:c>
      <x:c r="K26" s="7" t="str">
        <x:v>Créer des bruitages et ambiances originaux adaptés au livrable ; sous-titrer les indices utiles et proposer un réglage indépendant des effets. Aucune extraction audio demandée.</x:v>
      </x:c>
      <x:c r="L26" s="7" t="str">
        <x:v>Prévu : fiche de données me2/choices/kenson ; rattacher les ressources et états cités à cet identifiant. Aucun fichier de jeu créé par ce catalogue.</x:v>
      </x:c>
      <x:c r="M26" s="7" t="str"/>
      <x:c r="N26" s="7" t="str">
        <x:v>Le livrable « Alerter les colons ou appeler le Normandy » possède une scène ou un scénario de contrôle ; ses règles proposées, ses conditions et ses retours visuels sont vérifiables séparément.</x:v>
      </x:c>
      <x:c r="O26" s="7" t="str"/>
      <x:c r="P26" s="7" t="str">
        <x:v>Alerter les colons ou appeler le Normandy</x:v>
      </x:c>
      <x:c r="Q26" s="7" t="str">
        <x:v>ME2-SRC-ARRIVAL</x:v>
      </x:c>
      <x:c r="R26" s="21" t="str">
        <x:v>https://masseffect.fandom.com/wiki/Arrival_%28assignment%29</x:v>
      </x:c>
      <x:c r="S26" s="21" t="str">
        <x:v>Spécification à réaliser. Les champs adaptation, gameplay, visual, animation, audio et implementation décrivent le fan game ; ils ne donnent pas des caractéristiques officielles de l’œuvre.</x:v>
      </x:c>
    </x:row>
    <x:row r="27" ht="68" customHeight="1">
      <x:c r="A27" s="18" t="str">
        <x:v>ME2-CHO-SPECIALIST</x:v>
      </x:c>
      <x:c r="B27" s="9" t="str">
        <x:v>Désigner le spécialiste technique</x:v>
      </x:c>
      <x:c r="C27" s="15" t="str">
        <x:v>Défini</x:v>
      </x:c>
      <x:c r="D27" s="16" t="str">
        <x:v>Établi</x:v>
      </x:c>
      <x:c r="E27" s="16" t="str">
        <x:v>P1</x:v>
      </x:c>
      <x:c r="F27" s="9" t="str">
        <x:v>Compétence et loyauté déterminent l’issue.</x:v>
      </x:c>
      <x:c r="G27" s="9" t="str">
        <x:v>Table explicite de candidats par profil ; afficher l’incertitude fictionnelle, garder la logique déterministe.</x:v>
      </x:c>
      <x:c r="H27" s="9" t="str">
        <x:v>Table explicite de candidats par profil ; afficher l’incertitude fictionnelle, garder la logique déterministe.</x:v>
      </x:c>
      <x:c r="I27" s="9" t="str">
        <x:v>Portraits et parcours de conduit.</x:v>
      </x:c>
      <x:c r="J27" s="9" t="str">
        <x:v>Transitions de caméra et d’interface interruptibles ; aucun délai d’animation ne doit consommer une décision encore ouverte.</x:v>
      </x:c>
      <x:c r="K27" s="9" t="str">
        <x:v>Créer des bruitages et ambiances originaux adaptés au livrable ; sous-titrer les indices utiles et proposer un réglage indépendant des effets. Aucune extraction audio demandée.</x:v>
      </x:c>
      <x:c r="L27" s="9" t="str">
        <x:v>Prévu : fiche de données me2/choices/specialist ; rattacher les ressources et états cités à cet identifiant. Aucun fichier de jeu créé par ce catalogue.</x:v>
      </x:c>
      <x:c r="M27" s="9" t="str"/>
      <x:c r="N27" s="9" t="str">
        <x:v>Le livrable « Désigner le spécialiste technique » possède une scène ou un scénario de contrôle ; ses règles proposées, ses conditions et ses retours visuels sont vérifiables séparément.</x:v>
      </x:c>
      <x:c r="O27" s="9" t="str"/>
      <x:c r="P27" s="9" t="str">
        <x:v>Désigner le spécialiste technique</x:v>
      </x:c>
      <x:c r="Q27" s="9" t="str">
        <x:v>ME2-SRC-INFIL</x:v>
      </x:c>
      <x:c r="R27" s="20" t="str">
        <x:v>https://masseffect.fandom.com/wiki/Collector_Base%3A_Infiltration</x:v>
      </x:c>
      <x:c r="S27" s="20" t="str">
        <x:v>Spécification à réaliser. Les champs adaptation, gameplay, visual, animation, audio et implementation décrivent le fan game ; ils ne donnent pas des caractéristiques officielles de l’œuvre.</x:v>
      </x:c>
    </x:row>
    <x:row r="28" ht="68" customHeight="1">
      <x:c r="A28" s="19" t="str">
        <x:v>ME2-CHO-FIRETEAM</x:v>
      </x:c>
      <x:c r="B28" s="7" t="str">
        <x:v>Désigner le chef de diversion</x:v>
      </x:c>
      <x:c r="C28" s="15" t="str">
        <x:v>Défini</x:v>
      </x:c>
      <x:c r="D28" s="17" t="str">
        <x:v>Établi</x:v>
      </x:c>
      <x:c r="E28" s="17" t="str">
        <x:v>P1</x:v>
      </x:c>
      <x:c r="F28" s="7" t="str">
        <x:v>Le chef compte dans l’infiltration.</x:v>
      </x:c>
      <x:c r="G28" s="7" t="str">
        <x:v>Évaluer leadership et loyauté indépendamment du duo joué ; journaliser l’affectation.</x:v>
      </x:c>
      <x:c r="H28" s="7" t="str">
        <x:v>Évaluer leadership et loyauté indépendamment du duo joué ; journaliser l’affectation.</x:v>
      </x:c>
      <x:c r="I28" s="7" t="str">
        <x:v>Deux colonnes d’escouades.</x:v>
      </x:c>
      <x:c r="J28" s="7" t="str">
        <x:v>Transitions de caméra et d’interface interruptibles ; aucun délai d’animation ne doit consommer une décision encore ouverte.</x:v>
      </x:c>
      <x:c r="K28" s="7" t="str">
        <x:v>Créer des bruitages et ambiances originaux adaptés au livrable ; sous-titrer les indices utiles et proposer un réglage indépendant des effets. Aucune extraction audio demandée.</x:v>
      </x:c>
      <x:c r="L28" s="7" t="str">
        <x:v>Prévu : fiche de données me2/choices/fireteam ; rattacher les ressources et états cités à cet identifiant. Aucun fichier de jeu créé par ce catalogue.</x:v>
      </x:c>
      <x:c r="M28" s="7" t="str"/>
      <x:c r="N28" s="7" t="str">
        <x:v>Le livrable « Désigner le chef de diversion » possède une scène ou un scénario de contrôle ; ses règles proposées, ses conditions et ses retours visuels sont vérifiables séparément.</x:v>
      </x:c>
      <x:c r="O28" s="7" t="str"/>
      <x:c r="P28" s="7" t="str">
        <x:v>Désigner le chef de diversion</x:v>
      </x:c>
      <x:c r="Q28" s="7" t="str">
        <x:v>ME2-SRC-INFIL</x:v>
      </x:c>
      <x:c r="R28" s="21" t="str">
        <x:v>https://masseffect.fandom.com/wiki/Collector_Base%3A_Infiltration</x:v>
      </x:c>
      <x:c r="S28" s="21" t="str">
        <x:v>Spécification à réaliser. Les champs adaptation, gameplay, visual, animation, audio et implementation décrivent le fan game ; ils ne donnent pas des caractéristiques officielles de l’œuvre.</x:v>
      </x:c>
    </x:row>
    <x:row r="29" ht="68" customHeight="1">
      <x:c r="A29" s="18" t="str">
        <x:v>ME2-CHO-BIOTIC</x:v>
      </x:c>
      <x:c r="B29" s="9" t="str">
        <x:v>Choisir le spécialiste biotique</x:v>
      </x:c>
      <x:c r="C29" s="15" t="str">
        <x:v>Défini</x:v>
      </x:c>
      <x:c r="D29" s="16" t="str">
        <x:v>Établi</x:v>
      </x:c>
      <x:c r="E29" s="16" t="str">
        <x:v>P1</x:v>
      </x:c>
      <x:c r="F29" s="9" t="str">
        <x:v>Un biotique maintient la protection.</x:v>
      </x:c>
      <x:c r="G29" s="9" t="str">
        <x:v>Montrer la capacité soutenue comme critère de rôle ; ne pas confondre tout porteur de biotique avec expert adapté.</x:v>
      </x:c>
      <x:c r="H29" s="9" t="str">
        <x:v>Montrer la capacité soutenue comme critère de rôle ; ne pas confondre tout porteur de biotique avec expert adapté.</x:v>
      </x:c>
      <x:c r="I29" s="9" t="str">
        <x:v>Dôme et portraits de candidats.</x:v>
      </x:c>
      <x:c r="J29" s="9" t="str">
        <x:v>Transitions de caméra et d’interface interruptibles ; aucun délai d’animation ne doit consommer une décision encore ouverte.</x:v>
      </x:c>
      <x:c r="K29" s="9" t="str">
        <x:v>Créer des bruitages et ambiances originaux adaptés au livrable ; sous-titrer les indices utiles et proposer un réglage indépendant des effets. Aucune extraction audio demandée.</x:v>
      </x:c>
      <x:c r="L29" s="9" t="str">
        <x:v>Prévu : fiche de données me2/choices/biotic ; rattacher les ressources et états cités à cet identifiant. Aucun fichier de jeu créé par ce catalogue.</x:v>
      </x:c>
      <x:c r="M29" s="9" t="str"/>
      <x:c r="N29" s="9" t="str">
        <x:v>Le livrable « Choisir le spécialiste biotique » possède une scène ou un scénario de contrôle ; ses règles proposées, ses conditions et ses retours visuels sont vérifiables séparément.</x:v>
      </x:c>
      <x:c r="O29" s="9" t="str"/>
      <x:c r="P29" s="9" t="str">
        <x:v>Choisir le spécialiste biotique</x:v>
      </x:c>
      <x:c r="Q29" s="9" t="str">
        <x:v>ME2-SRC-WALK</x:v>
      </x:c>
      <x:c r="R29" s="20" t="str">
        <x:v>https://masseffect.fandom.com/wiki/Collector_Base%3A_The_Long_Walk</x:v>
      </x:c>
      <x:c r="S29" s="20" t="str">
        <x:v>Spécification à réaliser. Les champs adaptation, gameplay, visual, animation, audio et implementation décrivent le fan game ; ils ne donnent pas des caractéristiques officielles de l’œuvre.</x:v>
      </x:c>
    </x:row>
    <x:row r="30" ht="68" customHeight="1">
      <x:c r="A30" s="19" t="str">
        <x:v>ME2-CHO-ESCORT</x:v>
      </x:c>
      <x:c r="B30" s="7" t="str">
        <x:v>Désigner l’escorte des survivants</x:v>
      </x:c>
      <x:c r="C30" s="15" t="str">
        <x:v>Défini</x:v>
      </x:c>
      <x:c r="D30" s="17" t="str">
        <x:v>Établi</x:v>
      </x:c>
      <x:c r="E30" s="17" t="str">
        <x:v>P1</x:v>
      </x:c>
      <x:c r="F30" s="7" t="str">
        <x:v>Une escorte peut accompagner les captifs.</x:v>
      </x:c>
      <x:c r="G30" s="7" t="str">
        <x:v>Retirer l’escorte des membres disponibles puis calculer son retour ; pas de duplication en défense arrière.</x:v>
      </x:c>
      <x:c r="H30" s="7" t="str">
        <x:v>Retirer l’escorte des membres disponibles puis calculer son retour ; pas de duplication en défense arrière.</x:v>
      </x:c>
      <x:c r="I30" s="7" t="str">
        <x:v>Route de retour vers Normandy.</x:v>
      </x:c>
      <x:c r="J30" s="7" t="str">
        <x:v>Transitions de caméra et d’interface interruptibles ; aucun délai d’animation ne doit consommer une décision encore ouverte.</x:v>
      </x:c>
      <x:c r="K30" s="7" t="str">
        <x:v>Créer des bruitages et ambiances originaux adaptés au livrable ; sous-titrer les indices utiles et proposer un réglage indépendant des effets. Aucune extraction audio demandée.</x:v>
      </x:c>
      <x:c r="L30" s="7" t="str">
        <x:v>Prévu : fiche de données me2/choices/escort ; rattacher les ressources et états cités à cet identifiant. Aucun fichier de jeu créé par ce catalogue.</x:v>
      </x:c>
      <x:c r="M30" s="7" t="str"/>
      <x:c r="N30" s="7" t="str">
        <x:v>Le livrable « Désigner l’escorte des survivants » possède une scène ou un scénario de contrôle ; ses règles proposées, ses conditions et ses retours visuels sont vérifiables séparément.</x:v>
      </x:c>
      <x:c r="O30" s="7" t="str"/>
      <x:c r="P30" s="7" t="str">
        <x:v>Désigner l’escorte des survivants</x:v>
      </x:c>
      <x:c r="Q30" s="7" t="str">
        <x:v>ME2-SRC-WALK</x:v>
      </x:c>
      <x:c r="R30" s="21" t="str">
        <x:v>https://masseffect.fandom.com/wiki/Collector_Base%3A_The_Long_Walk</x:v>
      </x:c>
      <x:c r="S30" s="21" t="str">
        <x:v>Spécification à réaliser. Les champs adaptation, gameplay, visual, animation, audio et implementation décrivent le fan game ; ils ne donnent pas des caractéristiques officielles de l’œuvre.</x:v>
      </x:c>
    </x:row>
    <x:row r="31" ht="68" customHeight="1">
      <x:c r="A31" s="18" t="str">
        <x:v>ME2-CHO-BASE</x:v>
      </x:c>
      <x:c r="B31" s="9" t="str">
        <x:v>Détruire ou conserver la base</x:v>
      </x:c>
      <x:c r="C31" s="15" t="str">
        <x:v>Défini</x:v>
      </x:c>
      <x:c r="D31" s="16" t="str">
        <x:v>Établi</x:v>
      </x:c>
      <x:c r="E31" s="16" t="str">
        <x:v>P1</x:v>
      </x:c>
      <x:c r="F31" s="9" t="str">
        <x:v>La base constitue un choix final.</x:v>
      </x:c>
      <x:c r="G31" s="9" t="str">
        <x:v>Choix séparé de la victoire sur le boss ; export narratif distinct du nombre de survivants.</x:v>
      </x:c>
      <x:c r="H31" s="9" t="str">
        <x:v>Choix séparé de la victoire sur le boss ; export narratif distinct du nombre de survivants.</x:v>
      </x:c>
      <x:c r="I31" s="9" t="str">
        <x:v>Réacteur et liaison avec Cerberus.</x:v>
      </x:c>
      <x:c r="J31" s="9" t="str">
        <x:v>Transitions de caméra et d’interface interruptibles ; aucun délai d’animation ne doit consommer une décision encore ouverte.</x:v>
      </x:c>
      <x:c r="K31" s="9" t="str">
        <x:v>Créer des bruitages et ambiances originaux adaptés au livrable ; sous-titrer les indices utiles et proposer un réglage indépendant des effets. Aucune extraction audio demandée.</x:v>
      </x:c>
      <x:c r="L31" s="9" t="str">
        <x:v>Prévu : fiche de données me2/choices/base ; rattacher les ressources et états cités à cet identifiant. Aucun fichier de jeu créé par ce catalogue.</x:v>
      </x:c>
      <x:c r="M31" s="9" t="str"/>
      <x:c r="N31" s="9" t="str">
        <x:v>Le livrable « Détruire ou conserver la base » possède une scène ou un scénario de contrôle ; ses règles proposées, ses conditions et ses retours visuels sont vérifiables séparément.</x:v>
      </x:c>
      <x:c r="O31" s="9" t="str"/>
      <x:c r="P31" s="9" t="str">
        <x:v>Détruire ou conserver la base</x:v>
      </x:c>
      <x:c r="Q31" s="9" t="str">
        <x:v>ME2-SRC-FINAL</x:v>
      </x:c>
      <x:c r="R31" s="20" t="str">
        <x:v>https://masseffect.fandom.com/wiki/Collector_Base%3A_Final_Battle</x:v>
      </x:c>
      <x:c r="S31" s="20" t="str">
        <x:v>Spécification à réaliser. Les champs adaptation, gameplay, visual, animation, audio et implementation décrivent le fan game ; ils ne donnent pas des caractéristiques officielles de l’œuvre.</x:v>
      </x:c>
    </x:row>
    <x:row r="32" ht="68" customHeight="1">
      <x:c r="A32" s="19" t="str">
        <x:v>ME2-CHO-DELAY</x:v>
      </x:c>
      <x:c r="B32" s="7" t="str">
        <x:v>Délai après enlèvement</x:v>
      </x:c>
      <x:c r="C32" s="15" t="str">
        <x:v>Défini</x:v>
      </x:c>
      <x:c r="D32" s="17" t="str">
        <x:v>Établi</x:v>
      </x:c>
      <x:c r="E32" s="17" t="str">
        <x:v>P1</x:v>
      </x:c>
      <x:c r="F32" s="7" t="str">
        <x:v>L’attente affecte les captifs.</x:v>
      </x:c>
      <x:c r="G32" s="7" t="str">
        <x:v>Compteur d’événements de mission ; le temps passé à lire ou régler l’inventaire ne compte pas.</x:v>
      </x:c>
      <x:c r="H32" s="7" t="str">
        <x:v>Compteur d’événements de mission ; le temps passé à lire ou régler l’inventaire ne compte pas.</x:v>
      </x:c>
      <x:c r="I32" s="7" t="str">
        <x:v>Avertissement de préparation et journal des départs.</x:v>
      </x:c>
      <x:c r="J32" s="7" t="str">
        <x:v>Transitions de caméra et d’interface interruptibles ; aucun délai d’animation ne doit consommer une décision encore ouverte.</x:v>
      </x:c>
      <x:c r="K32" s="7" t="str">
        <x:v>Créer des bruitages et ambiances originaux adaptés au livrable ; sous-titrer les indices utiles et proposer un réglage indépendant des effets. Aucune extraction audio demandée.</x:v>
      </x:c>
      <x:c r="L32" s="7" t="str">
        <x:v>Prévu : fiche de données me2/choices/delay ; rattacher les ressources et états cités à cet identifiant. Aucun fichier de jeu créé par ce catalogue.</x:v>
      </x:c>
      <x:c r="M32" s="7" t="str"/>
      <x:c r="N32" s="7" t="str">
        <x:v>Le livrable « Délai après enlèvement » possède une scène ou un scénario de contrôle ; ses règles proposées, ses conditions et ses retours visuels sont vérifiables séparément.</x:v>
      </x:c>
      <x:c r="O32" s="7" t="str"/>
      <x:c r="P32" s="7" t="str">
        <x:v>Délai après enlèvement</x:v>
      </x:c>
      <x:c r="Q32" s="7" t="str">
        <x:v>ME2-SRC-WALK, ME2-SRC-STOP</x:v>
      </x:c>
      <x:c r="R32" s="21" t="str">
        <x:v>https://masseffect.fandom.com/wiki/Collector_Base%3A_The_Long_Walk
https://masseffect.fandom.com/wiki/Stop_the_Collectors</x:v>
      </x:c>
      <x:c r="S32" s="21" t="str">
        <x:v>Spécification à réaliser. Les champs adaptation, gameplay, visual, animation, audio et implementation décrivent le fan game ; ils ne donnent pas des caractéristiques officielles de l’œuvre.</x:v>
      </x:c>
    </x:row>
  </x:sheetData>
  <x:conditionalFormatting sqref="D7:D32">
    <x:cfRule type="cellIs" dxfId="44" priority="1" operator="equal">
      <x:formula>"À vérifier"</x:formula>
    </x:cfRule>
    <x:cfRule type="cellIs" dxfId="45" priority="2" operator="equal">
      <x:formula>"Extrapolation"</x:formula>
    </x:cfRule>
  </x:conditionalFormatting>
  <x:conditionalFormatting sqref="C7:C32">
    <x:cfRule type="cellIs" dxfId="46" priority="3" operator="equal">
      <x:formula>"Validé"</x:formula>
    </x:cfRule>
  </x:conditionalFormatting>
  <x:conditionalFormatting sqref="E7:E32">
    <x:cfRule type="cellIs" dxfId="47" priority="4" operator="equal">
      <x:formula>"P0"</x:formula>
    </x:cfRule>
  </x:conditionalFormatting>
  <x:dataValidations count="3">
    <x:dataValidation type="list" sqref="C7:C32">
      <x:formula1>"Défini,Prototype,Intégré,Validé"</x:formula1>
    </x:dataValidation>
    <x:dataValidation type="list" sqref="D7:D32">
      <x:formula1>"Établi,À vérifier,Extrapolation,Coupé attesté,Concept abandonné,Allégation écartée"</x:formula1>
    </x:dataValidation>
    <x:dataValidation type="list" sqref="E7:E32">
      <x:formula1>"P0,P1,P2"</x:formula1>
    </x:dataValidation>
  </x:dataValidations>
  <x:pageMargins left="0.7" right="0.7" top="0.75" bottom="0.75" header="0.3" footer="0.3"/>
  <x:tableParts count="1">
    <x:tablePart xmlns:r="http://schemas.openxmlformats.org/officeDocument/2006/relationships" r:id="Rbe2bbb0151234642"/>
  </x:tableParts>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Dialogues</x:v>
      </x:c>
      <x:c r="B2" s="2"/>
      <x:c r="C2" s="2"/>
      <x:c r="D2" s="2"/>
      <x:c r="E2" s="2"/>
      <x:c r="F2" s="2"/>
      <x:c r="G2" s="2"/>
      <x:c r="H2" s="2"/>
      <x:c r="I2" s="2"/>
      <x:c r="J2" s="2"/>
      <x:c r="K2" s="2"/>
      <x:c r="L2" s="2"/>
      <x:c r="M2" s="2"/>
      <x:c r="N2" s="2"/>
      <x:c r="O2" s="2"/>
      <x:c r="P2" s="2"/>
      <x:c r="Q2" s="2"/>
      <x:c r="R2" s="2"/>
      <x:c r="S2" s="2"/>
    </x:row>
    <x:row r="3" ht="22" customHeight="1">
      <x:c r="A3" s="4" t="str">
        <x:v>Mass Effect 2 — Situations de dialogue et conditions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ME2-DIA-ILLUSIVE</x:v>
      </x:c>
      <x:c r="B7" s="9" t="str">
        <x:v>Briefings de l’Homme Trouble</x:v>
      </x:c>
      <x:c r="C7" s="15" t="str">
        <x:v>Défini</x:v>
      </x:c>
      <x:c r="D7" s="16" t="str">
        <x:v>Extrapolation</x:v>
      </x:c>
      <x:c r="E7" s="16" t="str">
        <x:v>P1</x:v>
      </x:c>
      <x:c r="F7" s="9" t="str">
        <x:v>Livrable original proposé : Briefings de l’Homme Trouble.</x:v>
      </x:c>
      <x:c r="G7" s="9" t="str">
        <x:v>Écrire des dialogues originaux de mission ; distinguer information confirmée, ordre reçu et réponse de Shepard.</x:v>
      </x:c>
      <x:c r="H7" s="9" t="str">
        <x:v>Écrire des dialogues originaux de mission ; distinguer information confirmée, ordre reçu et réponse de Shepard.</x:v>
      </x:c>
      <x:c r="I7" s="9" t="str">
        <x:v>Plan fixe du bureau et réponse du commandant.</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me2/dialogues/illusive ; rattacher les ressources et états cités à cet identifiant. Aucun fichier de jeu créé par ce catalogue.</x:v>
      </x:c>
      <x:c r="M7" s="9" t="str"/>
      <x:c r="N7" s="9" t="str">
        <x:v>Le livrable « Briefings de l’Homme Trouble » possède une scène ou un scénario de contrôle ; ses règles proposées, ses conditions et ses retours visuels sont vérifiables séparément.</x:v>
      </x:c>
      <x:c r="O7" s="9" t="str">
        <x:v>ME2-NPC-ILLUSIVE</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ME2-DIA-GARRUS</x:v>
      </x:c>
      <x:c r="B8" s="7" t="str">
        <x:v>Garrus : vengeance et confiance</x:v>
      </x:c>
      <x:c r="C8" s="15" t="str">
        <x:v>Défini</x:v>
      </x:c>
      <x:c r="D8" s="17" t="str">
        <x:v>Extrapolation</x:v>
      </x:c>
      <x:c r="E8" s="17" t="str">
        <x:v>P1</x:v>
      </x:c>
      <x:c r="F8" s="7" t="str">
        <x:v>Livrable original proposé : Garrus : vengeance et confiance.</x:v>
      </x:c>
      <x:c r="G8" s="7" t="str">
        <x:v>Dialogue original en plusieurs retours ; rappeler les actes de Sidonis sans répéter les mêmes questions à chaque visite.</x:v>
      </x:c>
      <x:c r="H8" s="7" t="str">
        <x:v>Dialogue original en plusieurs retours ; rappeler les actes de Sidonis sans répéter les mêmes questions à chaque visite.</x:v>
      </x:c>
      <x:c r="I8" s="7" t="str">
        <x:v>Visage marqué et silence entre deux sujets.</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me2/dialogues/garrus ; rattacher les ressources et états cités à cet identifiant. Aucun fichier de jeu créé par ce catalogue.</x:v>
      </x:c>
      <x:c r="M8" s="7" t="str"/>
      <x:c r="N8" s="7" t="str">
        <x:v>Le livrable « Garrus : vengeance et confiance » possède une scène ou un scénario de contrôle ; ses règles proposées, ses conditions et ses retours visuels sont vérifiables séparément.</x:v>
      </x:c>
      <x:c r="O8" s="7" t="str">
        <x:v>ME2-CHR-GARRUS, ME2-CHO-SIDONIS</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ME2-DIA-MORDIN</x:v>
      </x:c>
      <x:c r="B9" s="9" t="str">
        <x:v>Mordin : recherche et responsabilité</x:v>
      </x:c>
      <x:c r="C9" s="15" t="str">
        <x:v>Défini</x:v>
      </x:c>
      <x:c r="D9" s="16" t="str">
        <x:v>Extrapolation</x:v>
      </x:c>
      <x:c r="E9" s="16" t="str">
        <x:v>P1</x:v>
      </x:c>
      <x:c r="F9" s="9" t="str">
        <x:v>Livrable original proposé : Mordin : recherche et responsabilité.</x:v>
      </x:c>
      <x:c r="G9" s="9" t="str">
        <x:v>Séparer explication scientifique, souvenirs et jugement ; aucun bouton ne valide toute une position politique.</x:v>
      </x:c>
      <x:c r="H9" s="9" t="str">
        <x:v>Séparer explication scientifique, souvenirs et jugement ; aucun bouton ne valide toute une position politique.</x:v>
      </x:c>
      <x:c r="I9" s="9" t="str">
        <x:v>Poste médical et regard mobile.</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me2/dialogues/mordin ; rattacher les ressources et états cités à cet identifiant. Aucun fichier de jeu créé par ce catalogue.</x:v>
      </x:c>
      <x:c r="M9" s="9" t="str"/>
      <x:c r="N9" s="9" t="str">
        <x:v>Le livrable « Mordin : recherche et responsabilité » possède une scène ou un scénario de contrôle ; ses règles proposées, ses conditions et ses retours visuels sont vérifiables séparément.</x:v>
      </x:c>
      <x:c r="O9" s="9" t="str">
        <x:v>ME2-CHR-MORDIN, ME2-CHO-MAELON-DATA</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ME2-DIA-TALI</x:v>
      </x:c>
      <x:c r="B10" s="7" t="str">
        <x:v>Tali : famille et preuve</x:v>
      </x:c>
      <x:c r="C10" s="15" t="str">
        <x:v>Défini</x:v>
      </x:c>
      <x:c r="D10" s="17" t="str">
        <x:v>Extrapolation</x:v>
      </x:c>
      <x:c r="E10" s="17" t="str">
        <x:v>P1</x:v>
      </x:c>
      <x:c r="F10" s="7" t="str">
        <x:v>Livrable original proposé : Tali : famille et preuve.</x:v>
      </x:c>
      <x:c r="G10" s="7" t="str">
        <x:v>Conversations indexées avant/après audience ; montrer le conflit entre réputation familiale et défense personnelle.</x:v>
      </x:c>
      <x:c r="H10" s="7" t="str">
        <x:v>Conversations indexées avant/après audience ; montrer le conflit entre réputation familiale et défense personnelle.</x:v>
      </x:c>
      <x:c r="I10" s="7" t="str">
        <x:v>Visière et mains serrées.</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me2/dialogues/tali ; rattacher les ressources et états cités à cet identifiant. Aucun fichier de jeu créé par ce catalogue.</x:v>
      </x:c>
      <x:c r="M10" s="7" t="str"/>
      <x:c r="N10" s="7" t="str">
        <x:v>Le livrable « Tali : famille et preuve » possède une scène ou un scénario de contrôle ; ses règles proposées, ses conditions et ses retours visuels sont vérifiables séparément.</x:v>
      </x:c>
      <x:c r="O10" s="7" t="str">
        <x:v>ME2-CHR-TALI, ME2-CHO-TALI-PROOF</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ME2-DIA-JACK</x:v>
      </x:c>
      <x:c r="B11" s="9" t="str">
        <x:v>Jack : mémoire du centre</x:v>
      </x:c>
      <x:c r="C11" s="15" t="str">
        <x:v>Défini</x:v>
      </x:c>
      <x:c r="D11" s="16" t="str">
        <x:v>Extrapolation</x:v>
      </x:c>
      <x:c r="E11" s="16" t="str">
        <x:v>P1</x:v>
      </x:c>
      <x:c r="F11" s="9" t="str">
        <x:v>Livrable original proposé : Jack : mémoire du centre.</x:v>
      </x:c>
      <x:c r="G11" s="9" t="str">
        <x:v>Répliques originales courtes et possibilité de laisser un silence ; ne pas réduire le trauma à un bonus de loyauté.</x:v>
      </x:c>
      <x:c r="H11" s="9" t="str">
        <x:v>Répliques originales courtes et possibilité de laisser un silence ; ne pas réduire le trauma à un bonus de loyauté.</x:v>
      </x:c>
      <x:c r="I11" s="9" t="str">
        <x:v>Assise basse et distance de caméra respectueuse.</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me2/dialogues/jack ; rattacher les ressources et états cités à cet identifiant. Aucun fichier de jeu créé par ce catalogue.</x:v>
      </x:c>
      <x:c r="M11" s="9" t="str"/>
      <x:c r="N11" s="9" t="str">
        <x:v>Le livrable « Jack : mémoire du centre » possède une scène ou un scénario de contrôle ; ses règles proposées, ses conditions et ses retours visuels sont vérifiables séparément.</x:v>
      </x:c>
      <x:c r="O11" s="9" t="str">
        <x:v>ME2-CHR-JACK, ME2-MQ-LOY-JACK</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ME2-DIA-MIRANDA</x:v>
      </x:c>
      <x:c r="B12" s="7" t="str">
        <x:v>Miranda : projet familial</x:v>
      </x:c>
      <x:c r="C12" s="15" t="str">
        <x:v>Défini</x:v>
      </x:c>
      <x:c r="D12" s="17" t="str">
        <x:v>Extrapolation</x:v>
      </x:c>
      <x:c r="E12" s="17" t="str">
        <x:v>P1</x:v>
      </x:c>
      <x:c r="F12" s="7" t="str">
        <x:v>Livrable original proposé : Miranda : projet familial.</x:v>
      </x:c>
      <x:c r="G12" s="7" t="str">
        <x:v>Écrire des retours distincts sur Niket et Oriana ; ne pas les fusionner en un unique booléen de confiance.</x:v>
      </x:c>
      <x:c r="H12" s="7" t="str">
        <x:v>Écrire des retours distincts sur Niket et Oriana ; ne pas les fusionner en un unique booléen de confiance.</x:v>
      </x:c>
      <x:c r="I12" s="7" t="str">
        <x:v>Posture maîtrisée puis relâchement.</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me2/dialogues/miranda ; rattacher les ressources et états cités à cet identifiant. Aucun fichier de jeu créé par ce catalogue.</x:v>
      </x:c>
      <x:c r="M12" s="7" t="str"/>
      <x:c r="N12" s="7" t="str">
        <x:v>Le livrable « Miranda : projet familial » possède une scène ou un scénario de contrôle ; ses règles proposées, ses conditions et ses retours visuels sont vérifiables séparément.</x:v>
      </x:c>
      <x:c r="O12" s="7" t="str">
        <x:v>ME2-CHR-MIRANDA</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ME2-DIA-LEGION</x:v>
      </x:c>
      <x:c r="B13" s="9" t="str">
        <x:v>Legion : consensus et hérésie</x:v>
      </x:c>
      <x:c r="C13" s="15" t="str">
        <x:v>Défini</x:v>
      </x:c>
      <x:c r="D13" s="16" t="str">
        <x:v>Extrapolation</x:v>
      </x:c>
      <x:c r="E13" s="16" t="str">
        <x:v>P1</x:v>
      </x:c>
      <x:c r="F13" s="9" t="str">
        <x:v>Livrable original proposé : Legion : consensus et hérésie.</x:v>
      </x:c>
      <x:c r="G13" s="9" t="str">
        <x:v>Dialogue original explicitant une décision de réseau ; un lexique secondaire explique les termes sans allonger chaque réplique.</x:v>
      </x:c>
      <x:c r="H13" s="9" t="str">
        <x:v>Dialogue original explicitant une décision de réseau ; un lexique secondaire explique les termes sans allonger chaque réplique.</x:v>
      </x:c>
      <x:c r="I13" s="9" t="str">
        <x:v>Optique et panneaux orientables.</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me2/dialogues/legion ; rattacher les ressources et états cités à cet identifiant. Aucun fichier de jeu créé par ce catalogue.</x:v>
      </x:c>
      <x:c r="M13" s="9" t="str"/>
      <x:c r="N13" s="9" t="str">
        <x:v>Le livrable « Legion : consensus et hérésie » possède une scène ou un scénario de contrôle ; ses règles proposées, ses conditions et ses retours visuels sont vérifiables séparément.</x:v>
      </x:c>
      <x:c r="O13" s="9" t="str">
        <x:v>ME2-CHR-LEGION, ME2-CHO-HERETICS</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ME2-DIA-SAMARA</x:v>
      </x:c>
      <x:c r="B14" s="7" t="str">
        <x:v>Samara : code et filiation</x:v>
      </x:c>
      <x:c r="C14" s="15" t="str">
        <x:v>Défini</x:v>
      </x:c>
      <x:c r="D14" s="17" t="str">
        <x:v>Extrapolation</x:v>
      </x:c>
      <x:c r="E14" s="17" t="str">
        <x:v>P1</x:v>
      </x:c>
      <x:c r="F14" s="7" t="str">
        <x:v>Livrable original proposé : Samara : code et filiation.</x:v>
      </x:c>
      <x:c r="G14" s="7" t="str">
        <x:v>Réponses sobres avec branche exclusive si Morinth est présente ; aucune réplique de mère réutilisée sans contexte.</x:v>
      </x:c>
      <x:c r="H14" s="7" t="str">
        <x:v>Réponses sobres avec branche exclusive si Morinth est présente ; aucune réplique de mère réutilisée sans contexte.</x:v>
      </x:c>
      <x:c r="I14" s="7" t="str">
        <x:v>Posture assise calme, palette rouge/bleu.</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me2/dialogues/samara ; rattacher les ressources et états cités à cet identifiant. Aucun fichier de jeu créé par ce catalogue.</x:v>
      </x:c>
      <x:c r="M14" s="7" t="str"/>
      <x:c r="N14" s="7" t="str">
        <x:v>Le livrable « Samara : code et filiation » possède une scène ou un scénario de contrôle ; ses règles proposées, ses conditions et ses retours visuels sont vérifiables séparément.</x:v>
      </x:c>
      <x:c r="O14" s="7" t="str">
        <x:v>ME2-CHR-SAMARA, ME2-CHR-MORINTH</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ME2-DIA-THANE</x:v>
      </x:c>
      <x:c r="B15" s="9" t="str">
        <x:v>Thane : mortalité et Kolyat</x:v>
      </x:c>
      <x:c r="C15" s="15" t="str">
        <x:v>Défini</x:v>
      </x:c>
      <x:c r="D15" s="16" t="str">
        <x:v>Extrapolation</x:v>
      </x:c>
      <x:c r="E15" s="16" t="str">
        <x:v>P1</x:v>
      </x:c>
      <x:c r="F15" s="9" t="str">
        <x:v>Livrable original proposé : Thane : mortalité et Kolyat.</x:v>
      </x:c>
      <x:c r="G15" s="9" t="str">
        <x:v>Entretien original en épisodes ; conserver les conséquences de la filature et les liens familiaux séparés de romance.</x:v>
      </x:c>
      <x:c r="H15" s="9" t="str">
        <x:v>Entretien original en épisodes ; conserver les conséquences de la filature et les liens familiaux séparés de romance.</x:v>
      </x:c>
      <x:c r="I15" s="9" t="str">
        <x:v>Respiration et focalisation sur le regard.</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me2/dialogues/thane ; rattacher les ressources et états cités à cet identifiant. Aucun fichier de jeu créé par ce catalogue.</x:v>
      </x:c>
      <x:c r="M15" s="9" t="str"/>
      <x:c r="N15" s="9" t="str">
        <x:v>Le livrable « Thane : mortalité et Kolyat » possède une scène ou un scénario de contrôle ; ses règles proposées, ses conditions et ses retours visuels sont vérifiables séparément.</x:v>
      </x:c>
      <x:c r="O15" s="9" t="str">
        <x:v>ME2-CHR-THANE</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ME2-DIA-KASUMI</x:v>
      </x:c>
      <x:c r="B16" s="7" t="str">
        <x:v>Kasumi : souvenir et secret</x:v>
      </x:c>
      <x:c r="C16" s="15" t="str">
        <x:v>Défini</x:v>
      </x:c>
      <x:c r="D16" s="17" t="str">
        <x:v>Extrapolation</x:v>
      </x:c>
      <x:c r="E16" s="17" t="str">
        <x:v>P1</x:v>
      </x:c>
      <x:c r="F16" s="7" t="str">
        <x:v>Livrable original proposé : Kasumi : souvenir et secret.</x:v>
      </x:c>
      <x:c r="G16" s="7" t="str">
        <x:v>Commentaires de souvenirs conditionnés au graybox ; ne pas traiter destruction et conservation comme dialogue identique.</x:v>
      </x:c>
      <x:c r="H16" s="7" t="str">
        <x:v>Commentaires de souvenirs conditionnés au graybox ; ne pas traiter destruction et conservation comme dialogue identique.</x:v>
      </x:c>
      <x:c r="I16" s="7" t="str">
        <x:v>Ombre de capuche et projection discrète.</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me2/dialogues/kasumi ; rattacher les ressources et états cités à cet identifiant. Aucun fichier de jeu créé par ce catalogue.</x:v>
      </x:c>
      <x:c r="M16" s="7" t="str"/>
      <x:c r="N16" s="7" t="str">
        <x:v>Le livrable « Kasumi : souvenir et secret » possède une scène ou un scénario de contrôle ; ses règles proposées, ses conditions et ses retours visuels sont vérifiables séparément.</x:v>
      </x:c>
      <x:c r="O16" s="7" t="str">
        <x:v>ME2-CHR-KASUMI, ME2-CHO-GRAYBOX</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ME2-DIA-LIARA</x:v>
      </x:c>
      <x:c r="B17" s="9" t="str">
        <x:v>Liara : après le Courtier</x:v>
      </x:c>
      <x:c r="C17" s="15" t="str">
        <x:v>Défini</x:v>
      </x:c>
      <x:c r="D17" s="16" t="str">
        <x:v>Extrapolation</x:v>
      </x:c>
      <x:c r="E17" s="16" t="str">
        <x:v>P1</x:v>
      </x:c>
      <x:c r="F17" s="9" t="str">
        <x:v>Livrable original proposé : Liara : après le Courtier.</x:v>
      </x:c>
      <x:c r="G17" s="9" t="str">
        <x:v>Dialogue de rôle nouveau et relation importée ; retour au Normandy facultatif sans imposer romance.</x:v>
      </x:c>
      <x:c r="H17" s="9" t="str">
        <x:v>Dialogue de rôle nouveau et relation importée ; retour au Normandy facultatif sans imposer romance.</x:v>
      </x:c>
      <x:c r="I17" s="9" t="str">
        <x:v>Bureau d’informations et lumière chaude intime.</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me2/dialogues/liara ; rattacher les ressources et états cités à cet identifiant. Aucun fichier de jeu créé par ce catalogue.</x:v>
      </x:c>
      <x:c r="M17" s="9" t="str"/>
      <x:c r="N17" s="9" t="str">
        <x:v>Le livrable « Liara : après le Courtier » possède une scène ou un scénario de contrôle ; ses règles proposées, ses conditions et ses retours visuels sont vérifiables séparément.</x:v>
      </x:c>
      <x:c r="O17" s="9" t="str">
        <x:v>ME2-CHR-LIARA</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ME2-DIA-CREW</x:v>
      </x:c>
      <x:c r="B18" s="7" t="str">
        <x:v>Normandy : conversations de service</x:v>
      </x:c>
      <x:c r="C18" s="15" t="str">
        <x:v>Défini</x:v>
      </x:c>
      <x:c r="D18" s="17" t="str">
        <x:v>Extrapolation</x:v>
      </x:c>
      <x:c r="E18" s="17" t="str">
        <x:v>P1</x:v>
      </x:c>
      <x:c r="F18" s="7" t="str">
        <x:v>Livrable original proposé : Normandy : conversations de service.</x:v>
      </x:c>
      <x:c r="G18" s="7" t="str">
        <x:v>Écrire courts échanges originaux à deux voix dans ingénierie et mess ; priorité aux alertes de mission.</x:v>
      </x:c>
      <x:c r="H18" s="7" t="str">
        <x:v>Écrire courts échanges originaux à deux voix dans ingénierie et mess ; priorité aux alertes de mission.</x:v>
      </x:c>
      <x:c r="I18" s="7" t="str">
        <x:v>Petits gestes de travail, portraits non envahissants.</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me2/dialogues/crew ; rattacher les ressources et états cités à cet identifiant. Aucun fichier de jeu créé par ce catalogue.</x:v>
      </x:c>
      <x:c r="M18" s="7" t="str"/>
      <x:c r="N18" s="7" t="str">
        <x:v>Le livrable « Normandy : conversations de service » possède une scène ou un scénario de contrôle ; ses règles proposées, ses conditions et ses retours visuels sont vérifiables séparément.</x:v>
      </x:c>
      <x:c r="O18" s="7" t="str">
        <x:v>ME2-ZON-NORMANDY-ENGINE, ME2-ZON-NORMANDY-MESS</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sheetData>
  <x:conditionalFormatting sqref="D7:D18">
    <x:cfRule type="cellIs" dxfId="48" priority="1" operator="equal">
      <x:formula>"À vérifier"</x:formula>
    </x:cfRule>
    <x:cfRule type="cellIs" dxfId="49" priority="2" operator="equal">
      <x:formula>"Extrapolation"</x:formula>
    </x:cfRule>
  </x:conditionalFormatting>
  <x:conditionalFormatting sqref="C7:C18">
    <x:cfRule type="cellIs" dxfId="50" priority="3" operator="equal">
      <x:formula>"Validé"</x:formula>
    </x:cfRule>
  </x:conditionalFormatting>
  <x:conditionalFormatting sqref="E7:E18">
    <x:cfRule type="cellIs" dxfId="51" priority="4" operator="equal">
      <x:formula>"P0"</x:formula>
    </x:cfRule>
  </x:conditionalFormatting>
  <x:dataValidations count="3">
    <x:dataValidation type="list" sqref="C7:C18">
      <x:formula1>"Défini,Prototype,Intégré,Validé"</x:formula1>
    </x:dataValidation>
    <x:dataValidation type="list" sqref="D7:D18">
      <x:formula1>"Établi,À vérifier,Extrapolation,Coupé attesté,Concept abandonné,Allégation écartée"</x:formula1>
    </x:dataValidation>
    <x:dataValidation type="list" sqref="E7:E18">
      <x:formula1>"P0,P1,P2"</x:formula1>
    </x:dataValidation>
  </x:dataValidations>
  <x:pageMargins left="0.7" right="0.7" top="0.75" bottom="0.75" header="0.3" footer="0.3"/>
  <x:tableParts count="1">
    <x:tablePart xmlns:r="http://schemas.openxmlformats.org/officeDocument/2006/relationships" r:id="R815b362e83404bb4"/>
  </x:tableParts>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Cinématiques</x:v>
      </x:c>
      <x:c r="B2" s="2"/>
      <x:c r="C2" s="2"/>
      <x:c r="D2" s="2"/>
      <x:c r="E2" s="2"/>
      <x:c r="F2" s="2"/>
      <x:c r="G2" s="2"/>
      <x:c r="H2" s="2"/>
      <x:c r="I2" s="2"/>
      <x:c r="J2" s="2"/>
      <x:c r="K2" s="2"/>
      <x:c r="L2" s="2"/>
      <x:c r="M2" s="2"/>
      <x:c r="N2" s="2"/>
      <x:c r="O2" s="2"/>
      <x:c r="P2" s="2"/>
      <x:c r="Q2" s="2"/>
      <x:c r="R2" s="2"/>
      <x:c r="S2" s="2"/>
    </x:row>
    <x:row r="3" ht="22" customHeight="1">
      <x:c r="A3" s="4" t="str">
        <x:v>Mass Effect 2 — Séquences et mise en scène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ME2-CIN-LOSS</x:v>
      </x:c>
      <x:c r="B7" s="9" t="str">
        <x:v>Destruction du Normandy — storyboard</x:v>
      </x:c>
      <x:c r="C7" s="15" t="str">
        <x:v>Défini</x:v>
      </x:c>
      <x:c r="D7" s="16" t="str">
        <x:v>Extrapolation</x:v>
      </x:c>
      <x:c r="E7" s="16" t="str">
        <x:v>P1</x:v>
      </x:c>
      <x:c r="F7" s="9" t="str">
        <x:v>Livrable original proposé : Destruction du Normandy — storyboard.</x:v>
      </x:c>
      <x:c r="G7" s="9" t="str">
        <x:v>Établir les espaces avant leur rupture ; passage de contrôle à caméra puis retour sans modifier le choix du joueur.</x:v>
      </x:c>
      <x:c r="H7" s="9" t="str">
        <x:v>Établir les espaces avant leur rupture ; passage de contrôle à caméra puis retour sans modifier le choix du joueur.</x:v>
      </x:c>
      <x:c r="I7" s="9" t="str">
        <x:v>Grande silhouette du vaisseau et cabine ouverte.</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me2/cinematics/loss ; rattacher les ressources et états cités à cet identifiant. Aucun fichier de jeu créé par ce catalogue.</x:v>
      </x:c>
      <x:c r="M7" s="9" t="str"/>
      <x:c r="N7" s="9" t="str">
        <x:v>Le livrable « Destruction du Normandy — storyboard » possède une scène ou un scénario de contrôle ; ses règles proposées, ses conditions et ses retours visuels sont vérifiables séparément.</x:v>
      </x:c>
      <x:c r="O7" s="9" t="str">
        <x:v>ME2-MQ-SAVE-JOKER</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ME2-CIN-RETURN</x:v>
      </x:c>
      <x:c r="B8" s="7" t="str">
        <x:v>Réveil de Shepard — storyboard</x:v>
      </x:c>
      <x:c r="C8" s="15" t="str">
        <x:v>Défini</x:v>
      </x:c>
      <x:c r="D8" s="17" t="str">
        <x:v>Extrapolation</x:v>
      </x:c>
      <x:c r="E8" s="17" t="str">
        <x:v>P1</x:v>
      </x:c>
      <x:c r="F8" s="7" t="str">
        <x:v>Livrable original proposé : Réveil de Shepard — storyboard.</x:v>
      </x:c>
      <x:c r="G8" s="7" t="str">
        <x:v>Plans de reconstruction abstraits puis reprise en laboratoire ; ne pas exposer d’explication technique inventée comme canon.</x:v>
      </x:c>
      <x:c r="H8" s="7" t="str">
        <x:v>Plans de reconstruction abstraits puis reprise en laboratoire ; ne pas exposer d’explication technique inventée comme canon.</x:v>
      </x:c>
      <x:c r="I8" s="7" t="str">
        <x:v>Instruments, silhouette et yeux ouverts.</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me2/cinematics/return ; rattacher les ressources et états cités à cet identifiant. Aucun fichier de jeu créé par ce catalogue.</x:v>
      </x:c>
      <x:c r="M8" s="7" t="str"/>
      <x:c r="N8" s="7" t="str">
        <x:v>Le livrable « Réveil de Shepard — storyboard » possède une scène ou un scénario de contrôle ; ses règles proposées, ses conditions et ses retours visuels sont vérifiables séparément.</x:v>
      </x:c>
      <x:c r="O8" s="7" t="str">
        <x:v>ME2-MQ-AWAKENING</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ME2-CIN-GARRUS-REVEAL</x:v>
      </x:c>
      <x:c r="B9" s="9" t="str">
        <x:v>Révélation d’Archangel</x:v>
      </x:c>
      <x:c r="C9" s="15" t="str">
        <x:v>Défini</x:v>
      </x:c>
      <x:c r="D9" s="16" t="str">
        <x:v>Extrapolation</x:v>
      </x:c>
      <x:c r="E9" s="16" t="str">
        <x:v>P1</x:v>
      </x:c>
      <x:c r="F9" s="9" t="str">
        <x:v>Livrable original proposé : Révélation d’Archangel.</x:v>
      </x:c>
      <x:c r="G9" s="9" t="str">
        <x:v>Révéler la silhouette avant le visage ; le nom apparaît après reconnaissance, pas avant l’entrée de scène.</x:v>
      </x:c>
      <x:c r="H9" s="9" t="str">
        <x:v>Révéler la silhouette avant le visage ; le nom apparaît après reconnaissance, pas avant l’entrée de scène.</x:v>
      </x:c>
      <x:c r="I9" s="9" t="str">
        <x:v>Viseur, fusil posé et armure bleue.</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me2/cinematics/garrus-reveal ; rattacher les ressources et états cités à cet identifiant. Aucun fichier de jeu créé par ce catalogue.</x:v>
      </x:c>
      <x:c r="M9" s="9" t="str"/>
      <x:c r="N9" s="9" t="str">
        <x:v>Le livrable « Révélation d’Archangel » possède une scène ou un scénario de contrôle ; ses règles proposées, ses conditions et ses retours visuels sont vérifiables séparément.</x:v>
      </x:c>
      <x:c r="O9" s="9" t="str">
        <x:v>ME2-CHR-GARRUS</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ME2-CIN-HORIZON</x:v>
      </x:c>
      <x:c r="B10" s="7" t="str">
        <x:v>Rencontre du survivant de Virmire</x:v>
      </x:c>
      <x:c r="C10" s="15" t="str">
        <x:v>Défini</x:v>
      </x:c>
      <x:c r="D10" s="17" t="str">
        <x:v>Extrapolation</x:v>
      </x:c>
      <x:c r="E10" s="17" t="str">
        <x:v>P1</x:v>
      </x:c>
      <x:c r="F10" s="7" t="str">
        <x:v>Livrable original proposé : Rencontre du survivant de Virmire.</x:v>
      </x:c>
      <x:c r="G10" s="7" t="str">
        <x:v>Variante Ashley ou Kaidan selon import ; garder la distance émotionnelle et le départ quel que soit le romance flag.</x:v>
      </x:c>
      <x:c r="H10" s="7" t="str">
        <x:v>Variante Ashley ou Kaidan selon import ; garder la distance émotionnelle et le départ quel que soit le romance flag.</x:v>
      </x:c>
      <x:c r="I10" s="7" t="str">
        <x:v>Colonie silencieuse après attaque.</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me2/cinematics/horizon ; rattacher les ressources et états cités à cet identifiant. Aucun fichier de jeu créé par ce catalogue.</x:v>
      </x:c>
      <x:c r="M10" s="7" t="str"/>
      <x:c r="N10" s="7" t="str">
        <x:v>Le livrable « Rencontre du survivant de Virmire » possède une scène ou un scénario de contrôle ; ses règles proposées, ses conditions et ses retours visuels sont vérifiables séparément.</x:v>
      </x:c>
      <x:c r="O10" s="7" t="str">
        <x:v>ME2-MQ-HORIZON</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ME2-CIN-JOKER-ESCAPE</x:v>
      </x:c>
      <x:c r="B11" s="9" t="str">
        <x:v>Joker et EDI pendant l’attaque</x:v>
      </x:c>
      <x:c r="C11" s="15" t="str">
        <x:v>Défini</x:v>
      </x:c>
      <x:c r="D11" s="16" t="str">
        <x:v>Extrapolation</x:v>
      </x:c>
      <x:c r="E11" s="16" t="str">
        <x:v>P1</x:v>
      </x:c>
      <x:c r="F11" s="9" t="str">
        <x:v>Livrable original proposé : Joker et EDI pendant l’attaque.</x:v>
      </x:c>
      <x:c r="G11" s="9" t="str">
        <x:v>Caméra guide l’itinéraire sans faire courir le personnage de façon incompatible ; sous-titres complets des ordres.</x:v>
      </x:c>
      <x:c r="H11" s="9" t="str">
        <x:v>Caméra guide l’itinéraire sans faire courir le personnage de façon incompatible ; sous-titres complets des ordres.</x:v>
      </x:c>
      <x:c r="I11" s="9" t="str">
        <x:v>Coursives sombres et projections d’EDI.</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me2/cinematics/joker-escape ; rattacher les ressources et états cités à cet identifiant. Aucun fichier de jeu créé par ce catalogue.</x:v>
      </x:c>
      <x:c r="M11" s="9" t="str"/>
      <x:c r="N11" s="9" t="str">
        <x:v>Le livrable « Joker et EDI pendant l’attaque » possède une scène ou un scénario de contrôle ; ses règles proposées, ses conditions et ses retours visuels sont vérifiables séparément.</x:v>
      </x:c>
      <x:c r="O11" s="9" t="str">
        <x:v>ME2-MQ-ABDUCTION</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ME2-CIN-OMEGA4</x:v>
      </x:c>
      <x:c r="B12" s="7" t="str">
        <x:v>Approche de la base</x:v>
      </x:c>
      <x:c r="C12" s="15" t="str">
        <x:v>Défini</x:v>
      </x:c>
      <x:c r="D12" s="17" t="str">
        <x:v>Extrapolation</x:v>
      </x:c>
      <x:c r="E12" s="17" t="str">
        <x:v>P1</x:v>
      </x:c>
      <x:c r="F12" s="7" t="str">
        <x:v>Livrable original proposé : Approche de la base.</x:v>
      </x:c>
      <x:c r="G12" s="7" t="str">
        <x:v>Plans conditionnels selon améliorations ; chaque perte apparaît une fois avec identité correcte.</x:v>
      </x:c>
      <x:c r="H12" s="7" t="str">
        <x:v>Plans conditionnels selon améliorations ; chaque perte apparaît une fois avec identité correcte.</x:v>
      </x:c>
      <x:c r="I12" s="7" t="str">
        <x:v>Normandy entre épaves et Oculus.</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me2/cinematics/omega4 ; rattacher les ressources et états cités à cet identifiant. Aucun fichier de jeu créé par ce catalogue.</x:v>
      </x:c>
      <x:c r="M12" s="7" t="str"/>
      <x:c r="N12" s="7" t="str">
        <x:v>Le livrable « Approche de la base » possède une scène ou un scénario de contrôle ; ses règles proposées, ses conditions et ses retours visuels sont vérifiables séparément.</x:v>
      </x:c>
      <x:c r="O12" s="7" t="str">
        <x:v>ME2-MQ-OMEGA4</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ME2-CIN-BROKER</x:v>
      </x:c>
      <x:c r="B13" s="9" t="str">
        <x:v>Mort du Courtier et succession</x:v>
      </x:c>
      <x:c r="C13" s="15" t="str">
        <x:v>Défini</x:v>
      </x:c>
      <x:c r="D13" s="16" t="str">
        <x:v>Extrapolation</x:v>
      </x:c>
      <x:c r="E13" s="16" t="str">
        <x:v>P1</x:v>
      </x:c>
      <x:c r="F13" s="9" t="str">
        <x:v>Livrable original proposé : Mort du Courtier et succession.</x:v>
      </x:c>
      <x:c r="G13" s="9" t="str">
        <x:v>Chorégraphie de duo lisible ; poser le nouveau statut de Liara après la résolution, pas pendant le boss.</x:v>
      </x:c>
      <x:c r="H13" s="9" t="str">
        <x:v>Chorégraphie de duo lisible ; poser le nouveau statut de Liara après la résolution, pas pendant le boss.</x:v>
      </x:c>
      <x:c r="I13" s="9" t="str">
        <x:v>Yahg, écran de protection et lueur de décharge.</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me2/cinematics/broker ; rattacher les ressources et états cités à cet identifiant. Aucun fichier de jeu créé par ce catalogue.</x:v>
      </x:c>
      <x:c r="M13" s="9" t="str"/>
      <x:c r="N13" s="9" t="str">
        <x:v>Le livrable « Mort du Courtier et succession » possède une scène ou un scénario de contrôle ; ses règles proposées, ses conditions et ses retours visuels sont vérifiables séparément.</x:v>
      </x:c>
      <x:c r="O13" s="9" t="str">
        <x:v>ME2-MQ-SHADOW</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ME2-CIN-DAVID</x:v>
      </x:c>
      <x:c r="B14" s="7" t="str">
        <x:v>Révélation de David</x:v>
      </x:c>
      <x:c r="C14" s="15" t="str">
        <x:v>Défini</x:v>
      </x:c>
      <x:c r="D14" s="17" t="str">
        <x:v>Extrapolation</x:v>
      </x:c>
      <x:c r="E14" s="17" t="str">
        <x:v>P1</x:v>
      </x:c>
      <x:c r="F14" s="7" t="str">
        <x:v>Livrable original proposé : Révélation de David.</x:v>
      </x:c>
      <x:c r="G14" s="7" t="str">
        <x:v>Cadrer le dispositif puis la personne ; proposer réduction d’intensité visuelle tout en gardant l’information narrative.</x:v>
      </x:c>
      <x:c r="H14" s="7" t="str">
        <x:v>Cadrer le dispositif puis la personne ; proposer réduction d’intensité visuelle tout en gardant l’information narrative.</x:v>
      </x:c>
      <x:c r="I14" s="7" t="str">
        <x:v>Laboratoire vert, visage et câbles.</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me2/cinematics/david ; rattacher les ressources et états cités à cet identifiant. Aucun fichier de jeu créé par ce catalogue.</x:v>
      </x:c>
      <x:c r="M14" s="7" t="str"/>
      <x:c r="N14" s="7" t="str">
        <x:v>Le livrable « Révélation de David » possède une scène ou un scénario de contrôle ; ses règles proposées, ses conditions et ses retours visuels sont vérifiables séparément.</x:v>
      </x:c>
      <x:c r="O14" s="7" t="str">
        <x:v>ME2-MQ-OV-ATLAS</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ME2-CIN-RELAY</x:v>
      </x:c>
      <x:c r="B15" s="9" t="str">
        <x:v>Collision du relais Alpha</x:v>
      </x:c>
      <x:c r="C15" s="15" t="str">
        <x:v>Défini</x:v>
      </x:c>
      <x:c r="D15" s="16" t="str">
        <x:v>Extrapolation</x:v>
      </x:c>
      <x:c r="E15" s="16" t="str">
        <x:v>P1</x:v>
      </x:c>
      <x:c r="F15" s="9" t="str">
        <x:v>Livrable original proposé : Collision du relais Alpha.</x:v>
      </x:c>
      <x:c r="G15" s="9" t="str">
        <x:v>Établir trajectoire, évacuation et conséquence à distance ; ne pas fabriquer d’issue de sauvetage disponible.</x:v>
      </x:c>
      <x:c r="H15" s="9" t="str">
        <x:v>Établir trajectoire, évacuation et conséquence à distance ; ne pas fabriquer d’issue de sauvetage disponible.</x:v>
      </x:c>
      <x:c r="I15" s="9" t="str">
        <x:v>Astéroïde et flash spatial atténuable.</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me2/cinematics/relay ; rattacher les ressources et états cités à cet identifiant. Aucun fichier de jeu créé par ce catalogue.</x:v>
      </x:c>
      <x:c r="M15" s="9" t="str"/>
      <x:c r="N15" s="9" t="str">
        <x:v>Le livrable « Collision du relais Alpha » possède une scène ou un scénario de contrôle ; ses règles proposées, ses conditions et ses retours visuels sont vérifiables séparément.</x:v>
      </x:c>
      <x:c r="O15" s="9" t="str">
        <x:v>ME2-MQ-ARRIVAL</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ME2-CIN-EXTRACTION</x:v>
      </x:c>
      <x:c r="B16" s="7" t="str">
        <x:v>Extraction de la mission suicide</x:v>
      </x:c>
      <x:c r="C16" s="15" t="str">
        <x:v>Défini</x:v>
      </x:c>
      <x:c r="D16" s="17" t="str">
        <x:v>Extrapolation</x:v>
      </x:c>
      <x:c r="E16" s="17" t="str">
        <x:v>P1</x:v>
      </x:c>
      <x:c r="F16" s="7" t="str">
        <x:v>Livrable original proposé : Extraction de la mission suicide.</x:v>
      </x:c>
      <x:c r="G16" s="7" t="str">
        <x:v>Branches de survie et saut final ; contrôler le nombre de personnes visibles et les places du groupe.</x:v>
      </x:c>
      <x:c r="H16" s="7" t="str">
        <x:v>Branches de survie et saut final ; contrôler le nombre de personnes visibles et les places du groupe.</x:v>
      </x:c>
      <x:c r="I16" s="7" t="str">
        <x:v>Plateforme effondrée et soute du Normandy.</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me2/cinematics/extraction ; rattacher les ressources et états cités à cet identifiant. Aucun fichier de jeu créé par ce catalogue.</x:v>
      </x:c>
      <x:c r="M16" s="7" t="str"/>
      <x:c r="N16" s="7" t="str">
        <x:v>Le livrable « Extraction de la mission suicide » possède une scène ou un scénario de contrôle ; ses règles proposées, ses conditions et ses retours visuels sont vérifiables séparément.</x:v>
      </x:c>
      <x:c r="O16" s="7" t="str">
        <x:v>ME2-MQ-FINAL</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sheetData>
  <x:conditionalFormatting sqref="D7:D16">
    <x:cfRule type="cellIs" dxfId="52" priority="1" operator="equal">
      <x:formula>"À vérifier"</x:formula>
    </x:cfRule>
    <x:cfRule type="cellIs" dxfId="53" priority="2" operator="equal">
      <x:formula>"Extrapolation"</x:formula>
    </x:cfRule>
  </x:conditionalFormatting>
  <x:conditionalFormatting sqref="C7:C16">
    <x:cfRule type="cellIs" dxfId="54" priority="3" operator="equal">
      <x:formula>"Validé"</x:formula>
    </x:cfRule>
  </x:conditionalFormatting>
  <x:conditionalFormatting sqref="E7:E16">
    <x:cfRule type="cellIs" dxfId="55"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bf1ff53711b64c43"/>
  </x:tableParts>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Armes</x:v>
      </x:c>
      <x:c r="B2" s="2"/>
      <x:c r="C2" s="2"/>
      <x:c r="D2" s="2"/>
      <x:c r="E2" s="2"/>
      <x:c r="F2" s="2"/>
      <x:c r="G2" s="2"/>
      <x:c r="H2" s="2"/>
      <x:c r="I2" s="2"/>
      <x:c r="J2" s="2"/>
      <x:c r="K2" s="2"/>
      <x:c r="L2" s="2"/>
      <x:c r="M2" s="2"/>
      <x:c r="N2" s="2"/>
      <x:c r="O2" s="2"/>
      <x:c r="P2" s="2"/>
      <x:c r="Q2" s="2"/>
      <x:c r="R2" s="2"/>
      <x:c r="S2" s="2"/>
    </x:row>
    <x:row r="3" ht="22" customHeight="1">
      <x:c r="A3" s="4" t="str">
        <x:v>Mass Effect 2 — Familles, modèles et comportements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ME2-WPN-PREDATOR</x:v>
      </x:c>
      <x:c r="B7" s="9" t="str">
        <x:v>M-3 Predator</x:v>
      </x:c>
      <x:c r="C7" s="15" t="str">
        <x:v>Prototype</x:v>
      </x:c>
      <x:c r="D7" s="16" t="str">
        <x:v>Établi</x:v>
      </x:c>
      <x:c r="E7" s="16" t="str">
        <x:v>P1</x:v>
      </x:c>
      <x:c r="F7" s="9" t="str">
        <x:v>Pistolet de ME2.</x:v>
      </x:c>
      <x:c r="G7" s="9" t="str">
        <x:v>Arme d’appoint fiable, coût ATB faible ; recharger choisit une pause courte plutôt qu’une action offensive.</x:v>
      </x:c>
      <x:c r="H7" s="9" t="str">
        <x:v>Arme d’appoint fiable, coût ATB faible ; recharger choisit une pause courte plutôt qu’une action offensive.</x:v>
      </x:c>
      <x:c r="I7" s="9" t="str">
        <x:v>Pistolet compact noir/gris.</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Prototype Chroniques : src/universe-equipment.js, src/chronicles.js, src/combat.js. Identifiant runtime ME2-WPN-PREDATOR ; contexte d’œuvre/segment et sélection de scène obligatoires.</x:v>
      </x:c>
      <x:c r="M7" s="9" t="str"/>
      <x:c r="N7" s="9" t="str">
        <x:v>Le livrable « M-3 Predator » possède une scène ou un scénario de contrôle ; ses règles proposées, ses conditions et ses retours visuels sont vérifiables séparément.</x:v>
      </x:c>
      <x:c r="O7" s="9" t="str"/>
      <x:c r="P7" s="9" t="str">
        <x:v>M-3 Predator</x:v>
      </x:c>
      <x:c r="Q7" s="9" t="str">
        <x:v>ME2-SRC-WEAPONS</x:v>
      </x:c>
      <x:c r="R7" s="20" t="str">
        <x:v>https://masseffect.fandom.com/wiki/Weapons</x:v>
      </x:c>
      <x:c r="S7" s="20"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8" ht="68" customHeight="1">
      <x:c r="A8" s="19" t="str">
        <x:v>ME2-WPN-CARNIFEX</x:v>
      </x:c>
      <x:c r="B8" s="7" t="str">
        <x:v>M-6 Carnifex</x:v>
      </x:c>
      <x:c r="C8" s="15" t="str">
        <x:v>Prototype</x:v>
      </x:c>
      <x:c r="D8" s="17" t="str">
        <x:v>Établi</x:v>
      </x:c>
      <x:c r="E8" s="17" t="str">
        <x:v>P1</x:v>
      </x:c>
      <x:c r="F8" s="7" t="str">
        <x:v>Pistolet obtenu auprès de Mordin.</x:v>
      </x:c>
      <x:c r="G8" s="7" t="str">
        <x:v>Tir lourd ciblé, avantage proposé sur protection dure et réserve réduite.</x:v>
      </x:c>
      <x:c r="H8" s="7" t="str">
        <x:v>Tir lourd ciblé, avantage proposé sur protection dure et réserve réduite.</x:v>
      </x:c>
      <x:c r="I8" s="7" t="str">
        <x:v>Canon massif et poignée courte.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Prototype Chroniques : src/universe-equipment.js, src/chronicles.js, src/combat.js. Identifiant runtime ME2-WPN-CARNIFEX ; contexte d’œuvre/segment et sélection de scène obligatoires.</x:v>
      </x:c>
      <x:c r="M8" s="7" t="str"/>
      <x:c r="N8" s="7" t="str">
        <x:v>Le livrable « M-6 Carnifex » possède une scène ou un scénario de contrôle ; ses règles proposées, ses conditions et ses retours visuels sont vérifiables séparément.</x:v>
      </x:c>
      <x:c r="O8" s="7" t="str"/>
      <x:c r="P8" s="7" t="str">
        <x:v>M-6 Carnifex</x:v>
      </x:c>
      <x:c r="Q8" s="7" t="str">
        <x:v>ME2-SRC-PROF</x:v>
      </x:c>
      <x:c r="R8" s="21" t="str">
        <x:v>https://masseffect.fandom.com/wiki/Dossier%3A_The_Professor</x:v>
      </x:c>
      <x:c r="S8" s="21"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9" ht="68" customHeight="1">
      <x:c r="A9" s="18" t="str">
        <x:v>ME2-WPN-PHALANX</x:v>
      </x:c>
      <x:c r="B9" s="9" t="str">
        <x:v>M-5 Phalanx</x:v>
      </x:c>
      <x:c r="C9" s="15" t="str">
        <x:v>Défini</x:v>
      </x:c>
      <x:c r="D9" s="16" t="str">
        <x:v>Établi</x:v>
      </x:c>
      <x:c r="E9" s="16" t="str">
        <x:v>P1</x:v>
      </x:c>
      <x:c r="F9" s="9" t="str">
        <x:v>Pistolet de contenu additionnel ME2.</x:v>
      </x:c>
      <x:c r="G9" s="9" t="str">
        <x:v>Visée précise préparée : récompenser une cible marquée par un allié.</x:v>
      </x:c>
      <x:c r="H9" s="9" t="str">
        <x:v>Visée précise préparée : récompenser une cible marquée par un allié.</x:v>
      </x:c>
      <x:c r="I9" s="9" t="str">
        <x:v>Pistolet technique à point de visée distinct.</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me2/weapons/phalanx ; rattacher les ressources et états cités à cet identifiant. Aucun fichier de jeu créé par ce catalogue.</x:v>
      </x:c>
      <x:c r="M9" s="9" t="str"/>
      <x:c r="N9" s="9" t="str">
        <x:v>Le livrable « M-5 Phalanx » possède une scène ou un scénario de contrôle ; ses règles proposées, ses conditions et ses retours visuels sont vérifiables séparément.</x:v>
      </x:c>
      <x:c r="O9" s="9" t="str"/>
      <x:c r="P9" s="9" t="str">
        <x:v>M-5 Phalanx</x:v>
      </x:c>
      <x:c r="Q9" s="9" t="str">
        <x:v>ME2-SRC-EA-DLC</x:v>
      </x:c>
      <x:c r="R9" s="20" t="str">
        <x:v>https://help.ea.com/en//articles/orders-and-rewards/dlc-for-classic-games/</x:v>
      </x:c>
      <x:c r="S9" s="20" t="str">
        <x:v>Spécification à réaliser. Les champs adaptation, gameplay, visual, animation, audio et implementation décrivent le fan game ; ils ne donnent pas des caractéristiques officielles de l’œuvre.</x:v>
      </x:c>
    </x:row>
    <x:row r="10" ht="68" customHeight="1">
      <x:c r="A10" s="19" t="str">
        <x:v>ME2-WPN-SHURIKEN</x:v>
      </x:c>
      <x:c r="B10" s="7" t="str">
        <x:v>M-4 Shuriken</x:v>
      </x:c>
      <x:c r="C10" s="15" t="str">
        <x:v>Prototype</x:v>
      </x:c>
      <x:c r="D10" s="17" t="str">
        <x:v>Établi</x:v>
      </x:c>
      <x:c r="E10" s="17" t="str">
        <x:v>P1</x:v>
      </x:c>
      <x:c r="F10" s="7" t="str">
        <x:v>Pistolet mitrailleur de ME2.</x:v>
      </x:c>
      <x:c r="G10" s="7" t="str">
        <x:v>Rafale courte, bon maintien à portée moyenne ; efficacité réduite en tir précipité.</x:v>
      </x:c>
      <x:c r="H10" s="7" t="str">
        <x:v>Rafale courte, bon maintien à portée moyenne ; efficacité réduite en tir précipité.</x:v>
      </x:c>
      <x:c r="I10" s="7" t="str">
        <x:v>Châssis compact et canon court.</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Prototype Chroniques : src/universe-equipment.js, src/chronicles.js, src/combat.js. Identifiant runtime ME2-WPN-SHURIKEN ; contexte d’œuvre/segment et sélection de scène obligatoires.</x:v>
      </x:c>
      <x:c r="M10" s="7" t="str"/>
      <x:c r="N10" s="7" t="str">
        <x:v>Le livrable « M-4 Shuriken » possède une scène ou un scénario de contrôle ; ses règles proposées, ses conditions et ses retours visuels sont vérifiables séparément.</x:v>
      </x:c>
      <x:c r="O10" s="7" t="str"/>
      <x:c r="P10" s="7" t="str">
        <x:v>M-4 Shuriken</x:v>
      </x:c>
      <x:c r="Q10" s="7" t="str">
        <x:v>ME2-SRC-WEAPONS</x:v>
      </x:c>
      <x:c r="R10" s="21" t="str">
        <x:v>https://masseffect.fandom.com/wiki/Weapons</x:v>
      </x:c>
      <x:c r="S10" s="21"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11" ht="68" customHeight="1">
      <x:c r="A11" s="18" t="str">
        <x:v>ME2-WPN-TEMPEST</x:v>
      </x:c>
      <x:c r="B11" s="9" t="str">
        <x:v>M-9 Tempest</x:v>
      </x:c>
      <x:c r="C11" s="15" t="str">
        <x:v>Prototype</x:v>
      </x:c>
      <x:c r="D11" s="16" t="str">
        <x:v>Établi</x:v>
      </x:c>
      <x:c r="E11" s="16" t="str">
        <x:v>P1</x:v>
      </x:c>
      <x:c r="F11" s="9" t="str">
        <x:v>Arme récupérable sur Haestrom.</x:v>
      </x:c>
      <x:c r="G11" s="9" t="str">
        <x:v>Arrosage rapide qui consomme les clips ; suppression proposée contre cibles légères.</x:v>
      </x:c>
      <x:c r="H11" s="9" t="str">
        <x:v>Arrosage rapide qui consomme les clips ; suppression proposée contre cibles légères.</x:v>
      </x:c>
      <x:c r="I11" s="9" t="str">
        <x:v>Pistolet mitrailleur large et chargeur proéminent.</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Prototype Chroniques : src/universe-equipment.js, src/chronicles.js, src/combat.js. Identifiant runtime ME2-WPN-TEMPEST ; contexte d’œuvre/segment et sélection de scène obligatoires.</x:v>
      </x:c>
      <x:c r="M11" s="9" t="str"/>
      <x:c r="N11" s="9" t="str">
        <x:v>Le livrable « M-9 Tempest » possède une scène ou un scénario de contrôle ; ses règles proposées, ses conditions et ses retours visuels sont vérifiables séparément.</x:v>
      </x:c>
      <x:c r="O11" s="9" t="str"/>
      <x:c r="P11" s="9" t="str">
        <x:v>M-9 Tempest</x:v>
      </x:c>
      <x:c r="Q11" s="9" t="str">
        <x:v>ME2-SRC-TALI</x:v>
      </x:c>
      <x:c r="R11" s="20" t="str">
        <x:v>https://masseffect.fandom.com/wiki/Dossier%3A_Tali</x:v>
      </x:c>
      <x:c r="S11" s="20"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12" ht="68" customHeight="1">
      <x:c r="A12" s="19" t="str">
        <x:v>ME2-WPN-LOCUST</x:v>
      </x:c>
      <x:c r="B12" s="7" t="str">
        <x:v>M-12 Locust</x:v>
      </x:c>
      <x:c r="C12" s="15" t="str">
        <x:v>Défini</x:v>
      </x:c>
      <x:c r="D12" s="17" t="str">
        <x:v>Établi</x:v>
      </x:c>
      <x:c r="E12" s="17" t="str">
        <x:v>P1</x:v>
      </x:c>
      <x:c r="F12" s="7" t="str">
        <x:v>Arme de la mission Kasumi.</x:v>
      </x:c>
      <x:c r="G12" s="7" t="str">
        <x:v>Tir compact précis ; rôle de solution moyenne portée pour spécialistes de pouvoirs.</x:v>
      </x:c>
      <x:c r="H12" s="7" t="str">
        <x:v>Tir compact précis ; rôle de solution moyenne portée pour spécialistes de pouvoirs.</x:v>
      </x:c>
      <x:c r="I12" s="7" t="str">
        <x:v>Corps allongé noir et crosse courte.</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me2/weapons/locust ; rattacher les ressources et états cités à cet identifiant. Aucun fichier de jeu créé par ce catalogue.</x:v>
      </x:c>
      <x:c r="M12" s="7" t="str"/>
      <x:c r="N12" s="7" t="str">
        <x:v>Le livrable « M-12 Locust » possède une scène ou un scénario de contrôle ; ses règles proposées, ses conditions et ses retours visuels sont vérifiables séparément.</x:v>
      </x:c>
      <x:c r="O12" s="7" t="str"/>
      <x:c r="P12" s="7" t="str">
        <x:v>M-12 Locust</x:v>
      </x:c>
      <x:c r="Q12" s="7" t="str">
        <x:v>ME2-SRC-LOCUST, ME2-SRC-KASUMI</x:v>
      </x:c>
      <x:c r="R12" s="21" t="str">
        <x:v>https://masseffect.fandom.com/wiki/M-12_Locust
https://masseffect.fandom.com/wiki/Kasumi%3A_Stealing_Memory</x:v>
      </x:c>
      <x:c r="S12" s="21" t="str">
        <x:v>Spécification à réaliser. Les champs adaptation, gameplay, visual, animation, audio et implementation décrivent le fan game ; ils ne donnent pas des caractéristiques officielles de l’œuvre.</x:v>
      </x:c>
    </x:row>
    <x:row r="13" ht="68" customHeight="1">
      <x:c r="A13" s="18" t="str">
        <x:v>ME2-WPN-AVENGER</x:v>
      </x:c>
      <x:c r="B13" s="9" t="str">
        <x:v>M-8 Avenger</x:v>
      </x:c>
      <x:c r="C13" s="15" t="str">
        <x:v>Prototype</x:v>
      </x:c>
      <x:c r="D13" s="16" t="str">
        <x:v>Établi</x:v>
      </x:c>
      <x:c r="E13" s="16" t="str">
        <x:v>P1</x:v>
      </x:c>
      <x:c r="F13" s="9" t="str">
        <x:v>Fusil d’assaut de ME2.</x:v>
      </x:c>
      <x:c r="G13" s="9" t="str">
        <x:v>Référence d’équilibrage : rafale, tir mobile et rechargement moyens, sans bonus de niche.</x:v>
      </x:c>
      <x:c r="H13" s="9" t="str">
        <x:v>Référence d’équilibrage : rafale, tir mobile et rechargement moyens, sans bonus de niche.</x:v>
      </x:c>
      <x:c r="I13" s="9" t="str">
        <x:v>Fusil N7 reconnaissable à profil central.</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Prototype Chroniques : src/universe-equipment.js, src/chronicles.js, src/combat.js. Identifiant runtime ME2-WPN-AVENGER ; contexte d’œuvre/segment et sélection de scène obligatoires.</x:v>
      </x:c>
      <x:c r="M13" s="9" t="str"/>
      <x:c r="N13" s="9" t="str">
        <x:v>Le livrable « M-8 Avenger » possède une scène ou un scénario de contrôle ; ses règles proposées, ses conditions et ses retours visuels sont vérifiables séparément.</x:v>
      </x:c>
      <x:c r="O13" s="9" t="str"/>
      <x:c r="P13" s="9" t="str">
        <x:v>M-8 Avenger</x:v>
      </x:c>
      <x:c r="Q13" s="9" t="str">
        <x:v>ME2-SRC-WEAPONS</x:v>
      </x:c>
      <x:c r="R13" s="20" t="str">
        <x:v>https://masseffect.fandom.com/wiki/Weapons</x:v>
      </x:c>
      <x:c r="S13" s="20"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14" ht="68" customHeight="1">
      <x:c r="A14" s="19" t="str">
        <x:v>ME2-WPN-VINDICATOR</x:v>
      </x:c>
      <x:c r="B14" s="7" t="str">
        <x:v>M-15 Vindicator</x:v>
      </x:c>
      <x:c r="C14" s="15" t="str">
        <x:v>Prototype</x:v>
      </x:c>
      <x:c r="D14" s="17" t="str">
        <x:v>Établi</x:v>
      </x:c>
      <x:c r="E14" s="17" t="str">
        <x:v>P1</x:v>
      </x:c>
      <x:c r="F14" s="7" t="str">
        <x:v>Fusil à rafales.</x:v>
      </x:c>
      <x:c r="G14" s="7" t="str">
        <x:v>Rafale concentrée après préparation courte ; perdre la cible disperse le bénéfice.</x:v>
      </x:c>
      <x:c r="H14" s="7" t="str">
        <x:v>Rafale concentrée après préparation courte ; perdre la cible disperse le bénéfice.</x:v>
      </x:c>
      <x:c r="I14" s="7" t="str">
        <x:v>Canon fin et viseur supérieur.</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Prototype Chroniques : src/universe-equipment.js, src/chronicles.js, src/combat.js. Identifiant runtime ME2-WPN-VINDICATOR ; contexte d’œuvre/segment et sélection de scène obligatoires.</x:v>
      </x:c>
      <x:c r="M14" s="7" t="str"/>
      <x:c r="N14" s="7" t="str">
        <x:v>Le livrable « M-15 Vindicator » possède une scène ou un scénario de contrôle ; ses règles proposées, ses conditions et ses retours visuels sont vérifiables séparément.</x:v>
      </x:c>
      <x:c r="O14" s="7" t="str"/>
      <x:c r="P14" s="7" t="str">
        <x:v>M-15 Vindicator</x:v>
      </x:c>
      <x:c r="Q14" s="7" t="str">
        <x:v>ME2-SRC-VINDICATOR</x:v>
      </x:c>
      <x:c r="R14" s="21" t="str">
        <x:v>https://masseffect.fandom.com/wiki/M-15_Vindicator</x:v>
      </x:c>
      <x:c r="S14" s="21"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15" ht="68" customHeight="1">
      <x:c r="A15" s="18" t="str">
        <x:v>ME2-WPN-REVENANT</x:v>
      </x:c>
      <x:c r="B15" s="9" t="str">
        <x:v>M-76 Revenant</x:v>
      </x:c>
      <x:c r="C15" s="15" t="str">
        <x:v>Défini</x:v>
      </x:c>
      <x:c r="D15" s="16" t="str">
        <x:v>Établi</x:v>
      </x:c>
      <x:c r="E15" s="16" t="str">
        <x:v>P1</x:v>
      </x:c>
      <x:c r="F15" s="9" t="str">
        <x:v>Arme du groupe des fusils d’assaut.</x:v>
      </x:c>
      <x:c r="G15" s="9" t="str">
        <x:v>Suppression prolongée avec coût de mobilité ; la chauffe visuelle anticipe le changement de clip.</x:v>
      </x:c>
      <x:c r="H15" s="9" t="str">
        <x:v>Suppression prolongée avec coût de mobilité ; la chauffe visuelle anticipe le changement de clip.</x:v>
      </x:c>
      <x:c r="I15" s="9" t="str">
        <x:v>Fusil lourd et large caisson.</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me2/weapons/revenant ; rattacher les ressources et états cités à cet identifiant. Aucun fichier de jeu créé par ce catalogue.</x:v>
      </x:c>
      <x:c r="M15" s="9" t="str"/>
      <x:c r="N15" s="9" t="str">
        <x:v>Le livrable « M-76 Revenant » possède une scène ou un scénario de contrôle ; ses règles proposées, ses conditions et ses retours visuels sont vérifiables séparément.</x:v>
      </x:c>
      <x:c r="O15" s="9" t="str"/>
      <x:c r="P15" s="9" t="str">
        <x:v>M-76 Revenant</x:v>
      </x:c>
      <x:c r="Q15" s="9" t="str">
        <x:v>ME2-SRC-WEAPONS</x:v>
      </x:c>
      <x:c r="R15" s="20" t="str">
        <x:v>https://masseffect.fandom.com/wiki/Weapons</x:v>
      </x:c>
      <x:c r="S15" s="20" t="str">
        <x:v>Spécification à réaliser. Les champs adaptation, gameplay, visual, animation, audio et implementation décrivent le fan game ; ils ne donnent pas des caractéristiques officielles de l’œuvre.</x:v>
      </x:c>
    </x:row>
    <x:row r="16" ht="68" customHeight="1">
      <x:c r="A16" s="19" t="str">
        <x:v>ME2-WPN-MATTOCK</x:v>
      </x:c>
      <x:c r="B16" s="7" t="str">
        <x:v>M-96 Mattock</x:v>
      </x:c>
      <x:c r="C16" s="15" t="str">
        <x:v>Défini</x:v>
      </x:c>
      <x:c r="D16" s="17" t="str">
        <x:v>Établi</x:v>
      </x:c>
      <x:c r="E16" s="17" t="str">
        <x:v>P1</x:v>
      </x:c>
      <x:c r="F16" s="7" t="str">
        <x:v>Fusil de contenu additionnel.</x:v>
      </x:c>
      <x:c r="G16" s="7" t="str">
        <x:v>Tirs semi-automatiques à budget ATB ajustable ; récompense les fenêtres sur point faible.</x:v>
      </x:c>
      <x:c r="H16" s="7" t="str">
        <x:v>Tirs semi-automatiques à budget ATB ajustable ; récompense les fenêtres sur point faible.</x:v>
      </x:c>
      <x:c r="I16" s="7" t="str">
        <x:v>Long fût et silhouette de fusil de précision intermédiaire.</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me2/weapons/mattock ; rattacher les ressources et états cités à cet identifiant. Aucun fichier de jeu créé par ce catalogue.</x:v>
      </x:c>
      <x:c r="M16" s="7" t="str"/>
      <x:c r="N16" s="7" t="str">
        <x:v>Le livrable « M-96 Mattock » possède une scène ou un scénario de contrôle ; ses règles proposées, ses conditions et ses retours visuels sont vérifiables séparément.</x:v>
      </x:c>
      <x:c r="O16" s="7" t="str"/>
      <x:c r="P16" s="7" t="str">
        <x:v>M-96 Mattock</x:v>
      </x:c>
      <x:c r="Q16" s="7" t="str">
        <x:v>ME2-SRC-EA-DLC</x:v>
      </x:c>
      <x:c r="R16" s="21" t="str">
        <x:v>https://help.ea.com/en//articles/orders-and-rewards/dlc-for-classic-games/</x:v>
      </x:c>
      <x:c r="S16" s="21" t="str">
        <x:v>Spécification à réaliser. Les champs adaptation, gameplay, visual, animation, audio et implementation décrivent le fan game ; ils ne donnent pas des caractéristiques officielles de l’œuvre.</x:v>
      </x:c>
    </x:row>
    <x:row r="17" ht="68" customHeight="1">
      <x:c r="A17" s="18" t="str">
        <x:v>ME2-WPN-GETH-RIFLE</x:v>
      </x:c>
      <x:c r="B17" s="9" t="str">
        <x:v>Geth Pulse Rifle</x:v>
      </x:c>
      <x:c r="C17" s="15" t="str">
        <x:v>Défini</x:v>
      </x:c>
      <x:c r="D17" s="16" t="str">
        <x:v>Établi</x:v>
      </x:c>
      <x:c r="E17" s="16" t="str">
        <x:v>P1</x:v>
      </x:c>
      <x:c r="F17" s="9" t="str">
        <x:v>Fusil geth trouvable à Haestrom.</x:v>
      </x:c>
      <x:c r="G17" s="9" t="str">
        <x:v>Flux de projectiles lumineux, avantage proposé sur boucliers ; trajectoires lisibles en 2D.</x:v>
      </x:c>
      <x:c r="H17" s="9" t="str">
        <x:v>Flux de projectiles lumineux, avantage proposé sur boucliers ; trajectoires lisibles en 2D.</x:v>
      </x:c>
      <x:c r="I17" s="9" t="str">
        <x:v>Arme organomécanique et tubes bleutés.</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me2/weapons/geth-rifle ; rattacher les ressources et états cités à cet identifiant. Aucun fichier de jeu créé par ce catalogue.</x:v>
      </x:c>
      <x:c r="M17" s="9" t="str">
        <x:v>Condition d’obtention varie selon édition/difficulté à vérifier.</x:v>
      </x:c>
      <x:c r="N17" s="9" t="str">
        <x:v>Le livrable « Geth Pulse Rifle » possède une scène ou un scénario de contrôle ; ses règles proposées, ses conditions et ses retours visuels sont vérifiables séparément.</x:v>
      </x:c>
      <x:c r="O17" s="9" t="str"/>
      <x:c r="P17" s="9" t="str">
        <x:v>Geth Pulse Rifle</x:v>
      </x:c>
      <x:c r="Q17" s="9" t="str">
        <x:v>ME2-SRC-TALI</x:v>
      </x:c>
      <x:c r="R17" s="20" t="str">
        <x:v>https://masseffect.fandom.com/wiki/Dossier%3A_Tali</x:v>
      </x:c>
      <x:c r="S17" s="20" t="str">
        <x:v>Spécification à réaliser. Les champs adaptation, gameplay, visual, animation, audio et implementation décrivent le fan game ; ils ne donnent pas des caractéristiques officielles de l’œuvre.</x:v>
      </x:c>
    </x:row>
    <x:row r="18" ht="68" customHeight="1">
      <x:c r="A18" s="19" t="str">
        <x:v>ME2-WPN-COLLECTOR-RIFLE</x:v>
      </x:c>
      <x:c r="B18" s="7" t="str">
        <x:v>Collector Assault Rifle</x:v>
      </x:c>
      <x:c r="C18" s="15" t="str">
        <x:v>Défini</x:v>
      </x:c>
      <x:c r="D18" s="17" t="str">
        <x:v>Établi</x:v>
      </x:c>
      <x:c r="E18" s="17" t="str">
        <x:v>P1</x:v>
      </x:c>
      <x:c r="F18" s="7" t="str">
        <x:v>Fusil associé aux Collecteurs.</x:v>
      </x:c>
      <x:c r="G18" s="7" t="str">
        <x:v>Rafale organique stable ; conserver une identité sonore propre sans réutiliser celle des armes humaines.</x:v>
      </x:c>
      <x:c r="H18" s="7" t="str">
        <x:v>Rafale organique stable ; conserver une identité sonore propre sans réutiliser celle des armes humaines.</x:v>
      </x:c>
      <x:c r="I18" s="7" t="str">
        <x:v>Chitine et géométrie courbe.</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me2/weapons/collector-rifle ; rattacher les ressources et états cités à cet identifiant. Aucun fichier de jeu créé par ce catalogue.</x:v>
      </x:c>
      <x:c r="M18" s="7" t="str"/>
      <x:c r="N18" s="7" t="str">
        <x:v>Le livrable « Collector Assault Rifle » possède une scène ou un scénario de contrôle ; ses règles proposées, ses conditions et ses retours visuels sont vérifiables séparément.</x:v>
      </x:c>
      <x:c r="O18" s="7" t="str"/>
      <x:c r="P18" s="7" t="str">
        <x:v>Collector Assault Rifle</x:v>
      </x:c>
      <x:c r="Q18" s="7" t="str">
        <x:v>ME2-SRC-WEAPONS</x:v>
      </x:c>
      <x:c r="R18" s="21" t="str">
        <x:v>https://masseffect.fandom.com/wiki/Weapons</x:v>
      </x:c>
      <x:c r="S18" s="21" t="str">
        <x:v>Spécification à réaliser. Les champs adaptation, gameplay, visual, animation, audio et implementation décrivent le fan game ; ils ne donnent pas des caractéristiques officielles de l’œuvre.</x:v>
      </x:c>
    </x:row>
    <x:row r="19" ht="68" customHeight="1">
      <x:c r="A19" s="18" t="str">
        <x:v>ME2-WPN-KATANA</x:v>
      </x:c>
      <x:c r="B19" s="9" t="str">
        <x:v>M-23 Katana</x:v>
      </x:c>
      <x:c r="C19" s="15" t="str">
        <x:v>Prototype</x:v>
      </x:c>
      <x:c r="D19" s="16" t="str">
        <x:v>Établi</x:v>
      </x:c>
      <x:c r="E19" s="16" t="str">
        <x:v>P1</x:v>
      </x:c>
      <x:c r="F19" s="9" t="str">
        <x:v>Fusil à pompe de ME2.</x:v>
      </x:c>
      <x:c r="G19" s="9" t="str">
        <x:v>Cône court, recul net et arrêt proposé des ennemis légers.</x:v>
      </x:c>
      <x:c r="H19" s="9" t="str">
        <x:v>Cône court, recul net et arrêt proposé des ennemis légers.</x:v>
      </x:c>
      <x:c r="I19" s="9" t="str">
        <x:v>Pompe compacte et canon large.</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Prototype Chroniques : src/universe-equipment.js, src/chronicles.js, src/combat.js. Identifiant runtime ME2-WPN-KATANA ; contexte d’œuvre/segment et sélection de scène obligatoires.</x:v>
      </x:c>
      <x:c r="M19" s="9" t="str"/>
      <x:c r="N19" s="9" t="str">
        <x:v>Le livrable « M-23 Katana » possède une scène ou un scénario de contrôle ; ses règles proposées, ses conditions et ses retours visuels sont vérifiables séparément.</x:v>
      </x:c>
      <x:c r="O19" s="9" t="str"/>
      <x:c r="P19" s="9" t="str">
        <x:v>M-23 Katana</x:v>
      </x:c>
      <x:c r="Q19" s="9" t="str">
        <x:v>ME2-SRC-WEAPONS</x:v>
      </x:c>
      <x:c r="R19" s="20" t="str">
        <x:v>https://masseffect.fandom.com/wiki/Weapons</x:v>
      </x:c>
      <x:c r="S19" s="20"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20" ht="68" customHeight="1">
      <x:c r="A20" s="19" t="str">
        <x:v>ME2-WPN-SCIMITAR</x:v>
      </x:c>
      <x:c r="B20" s="7" t="str">
        <x:v>M-27 Scimitar</x:v>
      </x:c>
      <x:c r="C20" s="15" t="str">
        <x:v>Prototype</x:v>
      </x:c>
      <x:c r="D20" s="17" t="str">
        <x:v>Établi</x:v>
      </x:c>
      <x:c r="E20" s="17" t="str">
        <x:v>P1</x:v>
      </x:c>
      <x:c r="F20" s="7" t="str">
        <x:v>Fusil à pompe de ME2.</x:v>
      </x:c>
      <x:c r="G20" s="7" t="str">
        <x:v>Deux tirs rapprochés contre une longue récupération ; ne pas égaler le Claymore en impact.</x:v>
      </x:c>
      <x:c r="H20" s="7" t="str">
        <x:v>Deux tirs rapprochés contre une longue récupération ; ne pas égaler le Claymore en impact.</x:v>
      </x:c>
      <x:c r="I20" s="7" t="str">
        <x:v>Silhouette plus longue et mécanisme de pompe.</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Prototype Chroniques : src/universe-equipment.js, src/chronicles.js, src/combat.js. Identifiant runtime ME2-WPN-SCIMITAR ; contexte d’œuvre/segment et sélection de scène obligatoires.</x:v>
      </x:c>
      <x:c r="M20" s="7" t="str"/>
      <x:c r="N20" s="7" t="str">
        <x:v>Le livrable « M-27 Scimitar » possède une scène ou un scénario de contrôle ; ses règles proposées, ses conditions et ses retours visuels sont vérifiables séparément.</x:v>
      </x:c>
      <x:c r="O20" s="7" t="str"/>
      <x:c r="P20" s="7" t="str">
        <x:v>M-27 Scimitar</x:v>
      </x:c>
      <x:c r="Q20" s="7" t="str">
        <x:v>ME2-SRC-WEAPONS</x:v>
      </x:c>
      <x:c r="R20" s="21" t="str">
        <x:v>https://masseffect.fandom.com/wiki/Weapons</x:v>
      </x:c>
      <x:c r="S20" s="21"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21" ht="68" customHeight="1">
      <x:c r="A21" s="18" t="str">
        <x:v>ME2-WPN-CLAYMORE</x:v>
      </x:c>
      <x:c r="B21" s="9" t="str">
        <x:v>M-300 Claymore</x:v>
      </x:c>
      <x:c r="C21" s="15" t="str">
        <x:v>Défini</x:v>
      </x:c>
      <x:c r="D21" s="16" t="str">
        <x:v>Établi</x:v>
      </x:c>
      <x:c r="E21" s="16" t="str">
        <x:v>P1</x:v>
      </x:c>
      <x:c r="F21" s="9" t="str">
        <x:v>Arme krogan du jeu.</x:v>
      </x:c>
      <x:c r="G21" s="9" t="str">
        <x:v>Une décharge très engagée suivie d’une recharge vulnérable ; prévoir protection alliée.</x:v>
      </x:c>
      <x:c r="H21" s="9" t="str">
        <x:v>Une décharge très engagée suivie d’une recharge vulnérable ; prévoir protection alliée.</x:v>
      </x:c>
      <x:c r="I21" s="9" t="str">
        <x:v>Canon très large et corps massif.</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me2/weapons/claymore ; rattacher les ressources et états cités à cet identifiant. Aucun fichier de jeu créé par ce catalogue.</x:v>
      </x:c>
      <x:c r="M21" s="9" t="str">
        <x:v>Accès Shepard/Grunt conditionné par règles de classe et recherche.</x:v>
      </x:c>
      <x:c r="N21" s="9" t="str">
        <x:v>Le livrable « M-300 Claymore » possède une scène ou un scénario de contrôle ; ses règles proposées, ses conditions et ses retours visuels sont vérifiables séparément.</x:v>
      </x:c>
      <x:c r="O21" s="9" t="str"/>
      <x:c r="P21" s="9" t="str">
        <x:v>M-300 Claymore</x:v>
      </x:c>
      <x:c r="Q21" s="9" t="str">
        <x:v>ME2-SRC-SQUAD</x:v>
      </x:c>
      <x:c r="R21" s="20" t="str">
        <x:v>https://masseffect.fandom.com/wiki/Squad_Members_Guide_%28Mass_Effect_2%29</x:v>
      </x:c>
      <x:c r="S21" s="20" t="str">
        <x:v>Spécification à réaliser. Les champs adaptation, gameplay, visual, animation, audio et implementation décrivent le fan game ; ils ne donnent pas des caractéristiques officielles de l’œuvre.</x:v>
      </x:c>
    </x:row>
    <x:row r="22" ht="68" customHeight="1">
      <x:c r="A22" s="19" t="str">
        <x:v>ME2-WPN-EVISCERATOR</x:v>
      </x:c>
      <x:c r="B22" s="7" t="str">
        <x:v>M-22 Eviscerator</x:v>
      </x:c>
      <x:c r="C22" s="15" t="str">
        <x:v>Défini</x:v>
      </x:c>
      <x:c r="D22" s="17" t="str">
        <x:v>Établi</x:v>
      </x:c>
      <x:c r="E22" s="17" t="str">
        <x:v>P1</x:v>
      </x:c>
      <x:c r="F22" s="7" t="str">
        <x:v>Fusil de contenu additionnel.</x:v>
      </x:c>
      <x:c r="G22" s="7" t="str">
        <x:v>Fusil de flanc à portée utile intermédiaire ; avantage si cible sortie d’abri.</x:v>
      </x:c>
      <x:c r="H22" s="7" t="str">
        <x:v>Fusil de flanc à portée utile intermédiaire ; avantage si cible sortie d’abri.</x:v>
      </x:c>
      <x:c r="I22" s="7" t="str">
        <x:v>Canon court, mécanisme lourd.</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me2/weapons/eviscerator ; rattacher les ressources et états cités à cet identifiant. Aucun fichier de jeu créé par ce catalogue.</x:v>
      </x:c>
      <x:c r="M22" s="7" t="str"/>
      <x:c r="N22" s="7" t="str">
        <x:v>Le livrable « M-22 Eviscerator » possède une scène ou un scénario de contrôle ; ses règles proposées, ses conditions et ses retours visuels sont vérifiables séparément.</x:v>
      </x:c>
      <x:c r="O22" s="7" t="str"/>
      <x:c r="P22" s="7" t="str">
        <x:v>M-22 Eviscerator</x:v>
      </x:c>
      <x:c r="Q22" s="7" t="str">
        <x:v>ME2-SRC-EA-DLC</x:v>
      </x:c>
      <x:c r="R22" s="21" t="str">
        <x:v>https://help.ea.com/en//articles/orders-and-rewards/dlc-for-classic-games/</x:v>
      </x:c>
      <x:c r="S22" s="21" t="str">
        <x:v>Spécification à réaliser. Les champs adaptation, gameplay, visual, animation, audio et implementation décrivent le fan game ; ils ne donnent pas des caractéristiques officielles de l’œuvre.</x:v>
      </x:c>
    </x:row>
    <x:row r="23" ht="68" customHeight="1">
      <x:c r="A23" s="18" t="str">
        <x:v>ME2-WPN-GETH-SHOTGUN</x:v>
      </x:c>
      <x:c r="B23" s="9" t="str">
        <x:v>Geth Plasma Shotgun</x:v>
      </x:c>
      <x:c r="C23" s="15" t="str">
        <x:v>Défini</x:v>
      </x:c>
      <x:c r="D23" s="16" t="str">
        <x:v>Établi</x:v>
      </x:c>
      <x:c r="E23" s="16" t="str">
        <x:v>P1</x:v>
      </x:c>
      <x:c r="F23" s="9" t="str">
        <x:v>Fusil plasma geth.</x:v>
      </x:c>
      <x:c r="G23" s="9" t="str">
        <x:v>Choisir tir immédiat ou charge affichée ; une interruption perd seulement la charge engagée proposée.</x:v>
      </x:c>
      <x:c r="H23" s="9" t="str">
        <x:v>Choisir tir immédiat ou charge affichée ; une interruption perd seulement la charge engagée proposée.</x:v>
      </x:c>
      <x:c r="I23" s="9" t="str">
        <x:v>Trois ouvertures lumineuses et matériau geth.</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me2/weapons/geth-shotgun ; rattacher les ressources et états cités à cet identifiant. Aucun fichier de jeu créé par ce catalogue.</x:v>
      </x:c>
      <x:c r="M23" s="9" t="str"/>
      <x:c r="N23" s="9" t="str">
        <x:v>Le livrable « Geth Plasma Shotgun » possède une scène ou un scénario de contrôle ; ses règles proposées, ses conditions et ses retours visuels sont vérifiables séparément.</x:v>
      </x:c>
      <x:c r="O23" s="9" t="str"/>
      <x:c r="P23" s="9" t="str">
        <x:v>Geth Plasma Shotgun</x:v>
      </x:c>
      <x:c r="Q23" s="9" t="str">
        <x:v>ME2-SRC-GETH-SG</x:v>
      </x:c>
      <x:c r="R23" s="20" t="str">
        <x:v>https://masseffect.fandom.com/wiki/Geth_Plasma_Shotgun</x:v>
      </x:c>
      <x:c r="S23" s="20" t="str">
        <x:v>Spécification à réaliser. Les champs adaptation, gameplay, visual, animation, audio et implementation décrivent le fan game ; ils ne donnent pas des caractéristiques officielles de l’œuvre.</x:v>
      </x:c>
    </x:row>
    <x:row r="24" ht="68" customHeight="1">
      <x:c r="A24" s="19" t="str">
        <x:v>ME2-WPN-MANTIS</x:v>
      </x:c>
      <x:c r="B24" s="7" t="str">
        <x:v>M-92 Mantis</x:v>
      </x:c>
      <x:c r="C24" s="15" t="str">
        <x:v>Prototype</x:v>
      </x:c>
      <x:c r="D24" s="17" t="str">
        <x:v>Établi</x:v>
      </x:c>
      <x:c r="E24" s="17" t="str">
        <x:v>P1</x:v>
      </x:c>
      <x:c r="F24" s="7" t="str">
        <x:v>Fusil de précision de ME2.</x:v>
      </x:c>
      <x:c r="G24" s="7" t="str">
        <x:v>Tir unique, cycle long ; ligne de vue à conserver jusqu’à résolution.</x:v>
      </x:c>
      <x:c r="H24" s="7" t="str">
        <x:v>Tir unique, cycle long ; ligne de vue à conserver jusqu’à résolution.</x:v>
      </x:c>
      <x:c r="I24" s="7" t="str">
        <x:v>Long canon et grande lunette.</x:v>
      </x:c>
      <x:c r="J24" s="7" t="str">
        <x:v>Préparer état de repos, anticipation, activation et retour au repos ; aligner les événements visuels sur la résolution de l’action ATB.</x:v>
      </x:c>
      <x:c r="K24" s="7" t="str">
        <x:v>Créer des bruitages et ambiances originaux adaptés au livrable ; sous-titrer les indices utiles et proposer un réglage indépendant des effets. Aucune extraction audio demandée.</x:v>
      </x:c>
      <x:c r="L24" s="7" t="str">
        <x:v>Prototype Chroniques : src/universe-equipment.js, src/chronicles.js, src/combat.js. Identifiant runtime ME2-WPN-MANTIS ; contexte d’œuvre/segment et sélection de scène obligatoires.</x:v>
      </x:c>
      <x:c r="M24" s="7" t="str"/>
      <x:c r="N24" s="7" t="str">
        <x:v>Le livrable « M-92 Mantis » possède une scène ou un scénario de contrôle ; ses règles proposées, ses conditions et ses retours visuels sont vérifiables séparément.</x:v>
      </x:c>
      <x:c r="O24" s="7" t="str"/>
      <x:c r="P24" s="7" t="str">
        <x:v>M-92 Mantis</x:v>
      </x:c>
      <x:c r="Q24" s="7" t="str">
        <x:v>ME2-SRC-WEAPONS</x:v>
      </x:c>
      <x:c r="R24" s="21" t="str">
        <x:v>https://masseffect.fandom.com/wiki/Weapons</x:v>
      </x:c>
      <x:c r="S24" s="21"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25" ht="68" customHeight="1">
      <x:c r="A25" s="18" t="str">
        <x:v>ME2-WPN-VIPER</x:v>
      </x:c>
      <x:c r="B25" s="9" t="str">
        <x:v>M-97 Viper</x:v>
      </x:c>
      <x:c r="C25" s="15" t="str">
        <x:v>Prototype</x:v>
      </x:c>
      <x:c r="D25" s="16" t="str">
        <x:v>Établi</x:v>
      </x:c>
      <x:c r="E25" s="16" t="str">
        <x:v>P1</x:v>
      </x:c>
      <x:c r="F25" s="9" t="str">
        <x:v>Fusil de précision de ME2.</x:v>
      </x:c>
      <x:c r="G25" s="9" t="str">
        <x:v>Précision soutenue par plusieurs tirs, impact unitaire inférieur proposé.</x:v>
      </x:c>
      <x:c r="H25" s="9" t="str">
        <x:v>Précision soutenue par plusieurs tirs, impact unitaire inférieur proposé.</x:v>
      </x:c>
      <x:c r="I25" s="9" t="str">
        <x:v>Fusil long au chargeur distinct.</x:v>
      </x:c>
      <x:c r="J25" s="9" t="str">
        <x:v>Préparer état de repos, anticipation, activation et retour au repos ; aligner les événements visuels sur la résolution de l’action ATB.</x:v>
      </x:c>
      <x:c r="K25" s="9" t="str">
        <x:v>Créer des bruitages et ambiances originaux adaptés au livrable ; sous-titrer les indices utiles et proposer un réglage indépendant des effets. Aucune extraction audio demandée.</x:v>
      </x:c>
      <x:c r="L25" s="9" t="str">
        <x:v>Prototype Chroniques : src/universe-equipment.js, src/chronicles.js, src/combat.js. Identifiant runtime ME2-WPN-VIPER ; contexte d’œuvre/segment et sélection de scène obligatoires.</x:v>
      </x:c>
      <x:c r="M25" s="9" t="str"/>
      <x:c r="N25" s="9" t="str">
        <x:v>Le livrable « M-97 Viper » possède une scène ou un scénario de contrôle ; ses règles proposées, ses conditions et ses retours visuels sont vérifiables séparément.</x:v>
      </x:c>
      <x:c r="O25" s="9" t="str"/>
      <x:c r="P25" s="9" t="str">
        <x:v>M-97 Viper</x:v>
      </x:c>
      <x:c r="Q25" s="9" t="str">
        <x:v>ME2-SRC-WEAPONS</x:v>
      </x:c>
      <x:c r="R25" s="20" t="str">
        <x:v>https://masseffect.fandom.com/wiki/Weapons</x:v>
      </x:c>
      <x:c r="S25" s="20"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26" ht="68" customHeight="1">
      <x:c r="A26" s="19" t="str">
        <x:v>ME2-WPN-WIDOW</x:v>
      </x:c>
      <x:c r="B26" s="7" t="str">
        <x:v>M-98 Widow</x:v>
      </x:c>
      <x:c r="C26" s="15" t="str">
        <x:v>Défini</x:v>
      </x:c>
      <x:c r="D26" s="17" t="str">
        <x:v>Établi</x:v>
      </x:c>
      <x:c r="E26" s="17" t="str">
        <x:v>P1</x:v>
      </x:c>
      <x:c r="F26" s="7" t="str">
        <x:v>Fusil de précision lourd.</x:v>
      </x:c>
      <x:c r="G26" s="7" t="str">
        <x:v>Très longue préparation contre armure ; avertir du coût de déplacement et de recharge.</x:v>
      </x:c>
      <x:c r="H26" s="7" t="str">
        <x:v>Très longue préparation contre armure ; avertir du coût de déplacement et de recharge.</x:v>
      </x:c>
      <x:c r="I26" s="7" t="str">
        <x:v>Canon imposant et masse visible dans les bras.</x:v>
      </x:c>
      <x:c r="J26" s="7" t="str">
        <x:v>Préparer état de repos, anticipation, activation et retour au repos ; aligner les événements visuels sur la résolution de l’action ATB.</x:v>
      </x:c>
      <x:c r="K26" s="7" t="str">
        <x:v>Créer des bruitages et ambiances originaux adaptés au livrable ; sous-titrer les indices utiles et proposer un réglage indépendant des effets. Aucune extraction audio demandée.</x:v>
      </x:c>
      <x:c r="L26" s="7" t="str">
        <x:v>Prévu : fiche de données me2/weapons/widow ; rattacher les ressources et états cités à cet identifiant. Aucun fichier de jeu créé par ce catalogue.</x:v>
      </x:c>
      <x:c r="M26" s="7" t="str">
        <x:v>Accès soumis à choix/recherche appropriés.</x:v>
      </x:c>
      <x:c r="N26" s="7" t="str">
        <x:v>Le livrable « M-98 Widow » possède une scène ou un scénario de contrôle ; ses règles proposées, ses conditions et ses retours visuels sont vérifiables séparément.</x:v>
      </x:c>
      <x:c r="O26" s="7" t="str"/>
      <x:c r="P26" s="7" t="str">
        <x:v>M-98 Widow</x:v>
      </x:c>
      <x:c r="Q26" s="7" t="str">
        <x:v>ME2-SRC-SQUAD</x:v>
      </x:c>
      <x:c r="R26" s="21" t="str">
        <x:v>https://masseffect.fandom.com/wiki/Squad_Members_Guide_%28Mass_Effect_2%29</x:v>
      </x:c>
      <x:c r="S26" s="21" t="str">
        <x:v>Spécification à réaliser. Les champs adaptation, gameplay, visual, animation, audio et implementation décrivent le fan game ; ils ne donnent pas des caractéristiques officielles de l’œuvre.</x:v>
      </x:c>
    </x:row>
    <x:row r="27" ht="68" customHeight="1">
      <x:c r="A27" s="18" t="str">
        <x:v>ME2-WPN-INCISOR</x:v>
      </x:c>
      <x:c r="B27" s="9" t="str">
        <x:v>M-29 Incisor</x:v>
      </x:c>
      <x:c r="C27" s="15" t="str">
        <x:v>Défini</x:v>
      </x:c>
      <x:c r="D27" s="16" t="str">
        <x:v>Établi</x:v>
      </x:c>
      <x:c r="E27" s="16" t="str">
        <x:v>P1</x:v>
      </x:c>
      <x:c r="F27" s="9" t="str">
        <x:v>Fusil de précision additionnel.</x:v>
      </x:c>
      <x:c r="G27" s="9" t="str">
        <x:v>Rafale de précision : trois impacts proposés distribués si la cible change d’abri.</x:v>
      </x:c>
      <x:c r="H27" s="9" t="str">
        <x:v>Rafale de précision : trois impacts proposés distribués si la cible change d’abri.</x:v>
      </x:c>
      <x:c r="I27" s="9" t="str">
        <x:v>Arme longue à double volume.</x:v>
      </x:c>
      <x:c r="J27" s="9" t="str">
        <x:v>Préparer état de repos, anticipation, activation et retour au repos ; aligner les événements visuels sur la résolution de l’action ATB.</x:v>
      </x:c>
      <x:c r="K27" s="9" t="str">
        <x:v>Créer des bruitages et ambiances originaux adaptés au livrable ; sous-titrer les indices utiles et proposer un réglage indépendant des effets. Aucune extraction audio demandée.</x:v>
      </x:c>
      <x:c r="L27" s="9" t="str">
        <x:v>Prévu : fiche de données me2/weapons/incisor ; rattacher les ressources et états cités à cet identifiant. Aucun fichier de jeu créé par ce catalogue.</x:v>
      </x:c>
      <x:c r="M27" s="9" t="str"/>
      <x:c r="N27" s="9" t="str">
        <x:v>Le livrable « M-29 Incisor » possède une scène ou un scénario de contrôle ; ses règles proposées, ses conditions et ses retours visuels sont vérifiables séparément.</x:v>
      </x:c>
      <x:c r="O27" s="9" t="str"/>
      <x:c r="P27" s="9" t="str">
        <x:v>M-29 Incisor</x:v>
      </x:c>
      <x:c r="Q27" s="9" t="str">
        <x:v>ME2-SRC-EA-DLC</x:v>
      </x:c>
      <x:c r="R27" s="20" t="str">
        <x:v>https://help.ea.com/en//articles/orders-and-rewards/dlc-for-classic-games/</x:v>
      </x:c>
      <x:c r="S27" s="20" t="str">
        <x:v>Spécification à réaliser. Les champs adaptation, gameplay, visual, animation, audio et implementation décrivent le fan game ; ils ne donnent pas des caractéristiques officielles de l’œuvre.</x:v>
      </x:c>
    </x:row>
    <x:row r="28" ht="68" customHeight="1">
      <x:c r="A28" s="19" t="str">
        <x:v>ME2-WPN-GRENADE</x:v>
      </x:c>
      <x:c r="B28" s="7" t="str">
        <x:v>M-100 Grenade Launcher</x:v>
      </x:c>
      <x:c r="C28" s="15" t="str">
        <x:v>Défini</x:v>
      </x:c>
      <x:c r="D28" s="17" t="str">
        <x:v>Établi</x:v>
      </x:c>
      <x:c r="E28" s="17" t="str">
        <x:v>P1</x:v>
      </x:c>
      <x:c r="F28" s="7" t="str">
        <x:v>Arme lourde de ME2.</x:v>
      </x:c>
      <x:c r="G28" s="7" t="str">
        <x:v>Arc d’explosion prévisualisé, cellules séparées ; collision de décor vérifiée avant confirmation.</x:v>
      </x:c>
      <x:c r="H28" s="7" t="str">
        <x:v>Arc d’explosion prévisualisé, cellules séparées ; collision de décor vérifiée avant confirmation.</x:v>
      </x:c>
      <x:c r="I28" s="7" t="str">
        <x:v>Tube court et magasin de grenades.</x:v>
      </x:c>
      <x:c r="J28" s="7" t="str">
        <x:v>Préparer état de repos, anticipation, activation et retour au repos ; aligner les événements visuels sur la résolution de l’action ATB.</x:v>
      </x:c>
      <x:c r="K28" s="7" t="str">
        <x:v>Créer des bruitages et ambiances originaux adaptés au livrable ; sous-titrer les indices utiles et proposer un réglage indépendant des effets. Aucune extraction audio demandée.</x:v>
      </x:c>
      <x:c r="L28" s="7" t="str">
        <x:v>Prévu : fiche de données me2/weapons/grenade ; rattacher les ressources et états cités à cet identifiant. Aucun fichier de jeu créé par ce catalogue.</x:v>
      </x:c>
      <x:c r="M28" s="7" t="str"/>
      <x:c r="N28" s="7" t="str">
        <x:v>Le livrable « M-100 Grenade Launcher » possède une scène ou un scénario de contrôle ; ses règles proposées, ses conditions et ses retours visuels sont vérifiables séparément.</x:v>
      </x:c>
      <x:c r="O28" s="7" t="str"/>
      <x:c r="P28" s="7" t="str">
        <x:v>M-100 Grenade Launcher</x:v>
      </x:c>
      <x:c r="Q28" s="7" t="str">
        <x:v>ME2-SRC-HEAVY</x:v>
      </x:c>
      <x:c r="R28" s="21" t="str">
        <x:v>https://masseffect.fandom.com/wiki/Heavy_Weapons</x:v>
      </x:c>
      <x:c r="S28" s="21" t="str">
        <x:v>Spécification à réaliser. Les champs adaptation, gameplay, visual, animation, audio et implementation décrivent le fan game ; ils ne donnent pas des caractéristiques officielles de l’œuvre.</x:v>
      </x:c>
    </x:row>
    <x:row r="29" ht="68" customHeight="1">
      <x:c r="A29" s="18" t="str">
        <x:v>ME2-WPN-MISSILE</x:v>
      </x:c>
      <x:c r="B29" s="9" t="str">
        <x:v>ML-77 Missile Launcher</x:v>
      </x:c>
      <x:c r="C29" s="15" t="str">
        <x:v>Défini</x:v>
      </x:c>
      <x:c r="D29" s="16" t="str">
        <x:v>Établi</x:v>
      </x:c>
      <x:c r="E29" s="16" t="str">
        <x:v>P1</x:v>
      </x:c>
      <x:c r="F29" s="9" t="str">
        <x:v>Arme lourde de recherche.</x:v>
      </x:c>
      <x:c r="G29" s="9" t="str">
        <x:v>Verrou de cible plus long que grenade ; cible perdue entraîne une annulation lisible.</x:v>
      </x:c>
      <x:c r="H29" s="9" t="str">
        <x:v>Verrou de cible plus long que grenade ; cible perdue entraîne une annulation lisible.</x:v>
      </x:c>
      <x:c r="I29" s="9" t="str">
        <x:v>Lanceur à optique et tête explosive.</x:v>
      </x:c>
      <x:c r="J29" s="9" t="str">
        <x:v>Préparer état de repos, anticipation, activation et retour au repos ; aligner les événements visuels sur la résolution de l’action ATB.</x:v>
      </x:c>
      <x:c r="K29" s="9" t="str">
        <x:v>Créer des bruitages et ambiances originaux adaptés au livrable ; sous-titrer les indices utiles et proposer un réglage indépendant des effets. Aucune extraction audio demandée.</x:v>
      </x:c>
      <x:c r="L29" s="9" t="str">
        <x:v>Prévu : fiche de données me2/weapons/missile ; rattacher les ressources et états cités à cet identifiant. Aucun fichier de jeu créé par ce catalogue.</x:v>
      </x:c>
      <x:c r="M29" s="9" t="str"/>
      <x:c r="N29" s="9" t="str">
        <x:v>Le livrable « ML-77 Missile Launcher » possède une scène ou un scénario de contrôle ; ses règles proposées, ses conditions et ses retours visuels sont vérifiables séparément.</x:v>
      </x:c>
      <x:c r="O29" s="9" t="str"/>
      <x:c r="P29" s="9" t="str">
        <x:v>ML-77 Missile Launcher</x:v>
      </x:c>
      <x:c r="Q29" s="9" t="str">
        <x:v>ME2-SRC-HEAVY</x:v>
      </x:c>
      <x:c r="R29" s="20" t="str">
        <x:v>https://masseffect.fandom.com/wiki/Heavy_Weapons</x:v>
      </x:c>
      <x:c r="S29" s="20" t="str">
        <x:v>Spécification à réaliser. Les champs adaptation, gameplay, visual, animation, audio et implementation décrivent le fan game ; ils ne donnent pas des caractéristiques officielles de l’œuvre.</x:v>
      </x:c>
    </x:row>
    <x:row r="30" ht="68" customHeight="1">
      <x:c r="A30" s="19" t="str">
        <x:v>ME2-WPN-AVALANCHE</x:v>
      </x:c>
      <x:c r="B30" s="7" t="str">
        <x:v>M-622 Avalanche</x:v>
      </x:c>
      <x:c r="C30" s="15" t="str">
        <x:v>Défini</x:v>
      </x:c>
      <x:c r="D30" s="17" t="str">
        <x:v>Établi</x:v>
      </x:c>
      <x:c r="E30" s="17" t="str">
        <x:v>P1</x:v>
      </x:c>
      <x:c r="F30" s="7" t="str">
        <x:v>Arme lourde cryogénique.</x:v>
      </x:c>
      <x:c r="G30" s="7" t="str">
        <x:v>Zone de gel puis fragilisation ; les bosses résistent à l’immobilisation complète mais restent affectés par une fenêtre proposée.</x:v>
      </x:c>
      <x:c r="H30" s="7" t="str">
        <x:v>Zone de gel puis fragilisation ; les bosses résistent à l’immobilisation complète mais restent affectés par une fenêtre proposée.</x:v>
      </x:c>
      <x:c r="I30" s="7" t="str">
        <x:v>Grand réservoir et jet blanc-bleu.</x:v>
      </x:c>
      <x:c r="J30" s="7" t="str">
        <x:v>Préparer état de repos, anticipation, activation et retour au repos ; aligner les événements visuels sur la résolution de l’action ATB.</x:v>
      </x:c>
      <x:c r="K30" s="7" t="str">
        <x:v>Créer des bruitages et ambiances originaux adaptés au livrable ; sous-titrer les indices utiles et proposer un réglage indépendant des effets. Aucune extraction audio demandée.</x:v>
      </x:c>
      <x:c r="L30" s="7" t="str">
        <x:v>Prévu : fiche de données me2/weapons/avalanche ; rattacher les ressources et états cités à cet identifiant. Aucun fichier de jeu créé par ce catalogue.</x:v>
      </x:c>
      <x:c r="M30" s="7" t="str"/>
      <x:c r="N30" s="7" t="str">
        <x:v>Le livrable « M-622 Avalanche » possède une scène ou un scénario de contrôle ; ses règles proposées, ses conditions et ses retours visuels sont vérifiables séparément.</x:v>
      </x:c>
      <x:c r="O30" s="7" t="str"/>
      <x:c r="P30" s="7" t="str">
        <x:v>M-622 Avalanche</x:v>
      </x:c>
      <x:c r="Q30" s="7" t="str">
        <x:v>ME2-SRC-HEAVY</x:v>
      </x:c>
      <x:c r="R30" s="21" t="str">
        <x:v>https://masseffect.fandom.com/wiki/Heavy_Weapons</x:v>
      </x:c>
      <x:c r="S30" s="21" t="str">
        <x:v>Spécification à réaliser. Les champs adaptation, gameplay, visual, animation, audio et implementation décrivent le fan game ; ils ne donnent pas des caractéristiques officielles de l’œuvre.</x:v>
      </x:c>
    </x:row>
    <x:row r="31" ht="68" customHeight="1">
      <x:c r="A31" s="18" t="str">
        <x:v>ME2-WPN-CAIN</x:v>
      </x:c>
      <x:c r="B31" s="9" t="str">
        <x:v>M-920 Cain</x:v>
      </x:c>
      <x:c r="C31" s="15" t="str">
        <x:v>Défini</x:v>
      </x:c>
      <x:c r="D31" s="16" t="str">
        <x:v>Établi</x:v>
      </x:c>
      <x:c r="E31" s="16" t="str">
        <x:v>P1</x:v>
      </x:c>
      <x:c r="F31" s="9" t="str">
        <x:v>Arme lourde à charge.</x:v>
      </x:c>
      <x:c r="G31" s="9" t="str">
        <x:v>Charge très longue annoncée à tous ; réserve de cellules et espace de tir contrôlés avant lancement.</x:v>
      </x:c>
      <x:c r="H31" s="9" t="str">
        <x:v>Charge très longue annoncée à tous ; réserve de cellules et espace de tir contrôlés avant lancement.</x:v>
      </x:c>
      <x:c r="I31" s="9" t="str">
        <x:v>Arme énorme, halo de charge et flash réduit optionnel.</x:v>
      </x:c>
      <x:c r="J31" s="9" t="str">
        <x:v>Préparer état de repos, anticipation, activation et retour au repos ; aligner les événements visuels sur la résolution de l’action ATB.</x:v>
      </x:c>
      <x:c r="K31" s="9" t="str">
        <x:v>Créer des bruitages et ambiances originaux adaptés au livrable ; sous-titrer les indices utiles et proposer un réglage indépendant des effets. Aucune extraction audio demandée.</x:v>
      </x:c>
      <x:c r="L31" s="9" t="str">
        <x:v>Prévu : fiche de données me2/weapons/cain ; rattacher les ressources et états cités à cet identifiant. Aucun fichier de jeu créé par ce catalogue.</x:v>
      </x:c>
      <x:c r="M31" s="9" t="str"/>
      <x:c r="N31" s="9" t="str">
        <x:v>Le livrable « M-920 Cain » possède une scène ou un scénario de contrôle ; ses règles proposées, ses conditions et ses retours visuels sont vérifiables séparément.</x:v>
      </x:c>
      <x:c r="O31" s="9" t="str"/>
      <x:c r="P31" s="9" t="str">
        <x:v>M-920 Cain</x:v>
      </x:c>
      <x:c r="Q31" s="9" t="str">
        <x:v>ME2-SRC-CAIN</x:v>
      </x:c>
      <x:c r="R31" s="20" t="str">
        <x:v>https://masseffect.fandom.com/wiki/M-920_Cain</x:v>
      </x:c>
      <x:c r="S31" s="20" t="str">
        <x:v>Spécification à réaliser. Les champs adaptation, gameplay, visual, animation, audio et implementation décrivent le fan game ; ils ne donnent pas des caractéristiques officielles de l’œuvre.</x:v>
      </x:c>
    </x:row>
    <x:row r="32" ht="68" customHeight="1">
      <x:c r="A32" s="19" t="str">
        <x:v>ME2-WPN-PARTICLE</x:v>
      </x:c>
      <x:c r="B32" s="7" t="str">
        <x:v>Collector Particle Beam</x:v>
      </x:c>
      <x:c r="C32" s="15" t="str">
        <x:v>Défini</x:v>
      </x:c>
      <x:c r="D32" s="17" t="str">
        <x:v>Établi</x:v>
      </x:c>
      <x:c r="E32" s="17" t="str">
        <x:v>P1</x:v>
      </x:c>
      <x:c r="F32" s="7" t="str">
        <x:v>Arme lourde de faisceau.</x:v>
      </x:c>
      <x:c r="G32" s="7" t="str">
        <x:v>Canal continu sur une cible, coût de cellules au fil du canal ; interrompre sans vider la réserve.</x:v>
      </x:c>
      <x:c r="H32" s="7" t="str">
        <x:v>Canal continu sur une cible, coût de cellules au fil du canal ; interrompre sans vider la réserve.</x:v>
      </x:c>
      <x:c r="I32" s="7" t="str">
        <x:v>Arme organique et rayon ambré.</x:v>
      </x:c>
      <x:c r="J32" s="7" t="str">
        <x:v>Préparer état de repos, anticipation, activation et retour au repos ; aligner les événements visuels sur la résolution de l’action ATB.</x:v>
      </x:c>
      <x:c r="K32" s="7" t="str">
        <x:v>Créer des bruitages et ambiances originaux adaptés au livrable ; sous-titrer les indices utiles et proposer un réglage indépendant des effets. Aucune extraction audio demandée.</x:v>
      </x:c>
      <x:c r="L32" s="7" t="str">
        <x:v>Prévu : fiche de données me2/weapons/particle ; rattacher les ressources et états cités à cet identifiant. Aucun fichier de jeu créé par ce catalogue.</x:v>
      </x:c>
      <x:c r="M32" s="7" t="str"/>
      <x:c r="N32" s="7" t="str">
        <x:v>Le livrable « Collector Particle Beam » possède une scène ou un scénario de contrôle ; ses règles proposées, ses conditions et ses retours visuels sont vérifiables séparément.</x:v>
      </x:c>
      <x:c r="O32" s="7" t="str"/>
      <x:c r="P32" s="7" t="str">
        <x:v>Collector Particle Beam</x:v>
      </x:c>
      <x:c r="Q32" s="7" t="str">
        <x:v>ME2-SRC-HEAVY</x:v>
      </x:c>
      <x:c r="R32" s="21" t="str">
        <x:v>https://masseffect.fandom.com/wiki/Heavy_Weapons</x:v>
      </x:c>
      <x:c r="S32" s="21" t="str">
        <x:v>Spécification à réaliser. Les champs adaptation, gameplay, visual, animation, audio et implementation décrivent le fan game ; ils ne donnent pas des caractéristiques officielles de l’œuvre.</x:v>
      </x:c>
    </x:row>
    <x:row r="33" ht="68" customHeight="1">
      <x:c r="A33" s="18" t="str">
        <x:v>ME2-WPN-FIRESTORM</x:v>
      </x:c>
      <x:c r="B33" s="9" t="str">
        <x:v>M-451 Firestorm</x:v>
      </x:c>
      <x:c r="C33" s="15" t="str">
        <x:v>Défini</x:v>
      </x:c>
      <x:c r="D33" s="16" t="str">
        <x:v>Établi</x:v>
      </x:c>
      <x:c r="E33" s="16" t="str">
        <x:v>P1</x:v>
      </x:c>
      <x:c r="F33" s="9" t="str">
        <x:v>Arme lourde incendiaire.</x:v>
      </x:c>
      <x:c r="G33" s="9" t="str">
        <x:v>Jet rapproché en cône, risque de position ; aucune destruction involontaire des civils de la branche de secours.</x:v>
      </x:c>
      <x:c r="H33" s="9" t="str">
        <x:v>Jet rapproché en cône, risque de position ; aucune destruction involontaire des civils de la branche de secours.</x:v>
      </x:c>
      <x:c r="I33" s="9" t="str">
        <x:v>Réservoir et buse industriels.</x:v>
      </x:c>
      <x:c r="J33" s="9" t="str">
        <x:v>Préparer état de repos, anticipation, activation et retour au repos ; aligner les événements visuels sur la résolution de l’action ATB.</x:v>
      </x:c>
      <x:c r="K33" s="9" t="str">
        <x:v>Créer des bruitages et ambiances originaux adaptés au livrable ; sous-titrer les indices utiles et proposer un réglage indépendant des effets. Aucune extraction audio demandée.</x:v>
      </x:c>
      <x:c r="L33" s="9" t="str">
        <x:v>Prévu : fiche de données me2/weapons/firestorm ; rattacher les ressources et états cités à cet identifiant. Aucun fichier de jeu créé par ce catalogue.</x:v>
      </x:c>
      <x:c r="M33" s="9" t="str">
        <x:v>Mission de Zaeed / disponibilité à confirmer par édition.</x:v>
      </x:c>
      <x:c r="N33" s="9" t="str">
        <x:v>Le livrable « M-451 Firestorm » possède une scène ou un scénario de contrôle ; ses règles proposées, ses conditions et ses retours visuels sont vérifiables séparément.</x:v>
      </x:c>
      <x:c r="O33" s="9" t="str"/>
      <x:c r="P33" s="9" t="str">
        <x:v>M-451 Firestorm</x:v>
      </x:c>
      <x:c r="Q33" s="9" t="str">
        <x:v>ME2-SRC-HEAVY</x:v>
      </x:c>
      <x:c r="R33" s="20" t="str">
        <x:v>https://masseffect.fandom.com/wiki/Heavy_Weapons</x:v>
      </x:c>
      <x:c r="S33" s="20" t="str">
        <x:v>Spécification à réaliser. Les champs adaptation, gameplay, visual, animation, audio et implementation décrivent le fan game ; ils ne donnent pas des caractéristiques officielles de l’œuvre.</x:v>
      </x:c>
    </x:row>
    <x:row r="34" ht="68" customHeight="1">
      <x:c r="A34" s="19" t="str">
        <x:v>ME2-WPN-BLACKSTORM</x:v>
      </x:c>
      <x:c r="B34" s="7" t="str">
        <x:v>M-490 Blackstorm</x:v>
      </x:c>
      <x:c r="C34" s="15" t="str">
        <x:v>Défini</x:v>
      </x:c>
      <x:c r="D34" s="17" t="str">
        <x:v>Établi</x:v>
      </x:c>
      <x:c r="E34" s="17" t="str">
        <x:v>P1</x:v>
      </x:c>
      <x:c r="F34" s="7" t="str">
        <x:v>Arme lourde additionnelle.</x:v>
      </x:c>
      <x:c r="G34" s="7" t="str">
        <x:v>Projectile lent créant une attraction puis une implosion ; anneau de portée visible avant tir.</x:v>
      </x:c>
      <x:c r="H34" s="7" t="str">
        <x:v>Projectile lent créant une attraction puis une implosion ; anneau de portée visible avant tir.</x:v>
      </x:c>
      <x:c r="I34" s="7" t="str">
        <x:v>Générateur sombre et noyau lumineux.</x:v>
      </x:c>
      <x:c r="J34" s="7" t="str">
        <x:v>Préparer état de repos, anticipation, activation et retour au repos ; aligner les événements visuels sur la résolution de l’action ATB.</x:v>
      </x:c>
      <x:c r="K34" s="7" t="str">
        <x:v>Créer des bruitages et ambiances originaux adaptés au livrable ; sous-titrer les indices utiles et proposer un réglage indépendant des effets. Aucune extraction audio demandée.</x:v>
      </x:c>
      <x:c r="L34" s="7" t="str">
        <x:v>Prévu : fiche de données me2/weapons/blackstorm ; rattacher les ressources et états cités à cet identifiant. Aucun fichier de jeu créé par ce catalogue.</x:v>
      </x:c>
      <x:c r="M34" s="7" t="str"/>
      <x:c r="N34" s="7" t="str">
        <x:v>Le livrable « M-490 Blackstorm » possède une scène ou un scénario de contrôle ; ses règles proposées, ses conditions et ses retours visuels sont vérifiables séparément.</x:v>
      </x:c>
      <x:c r="O34" s="7" t="str"/>
      <x:c r="P34" s="7" t="str">
        <x:v>M-490 Blackstorm</x:v>
      </x:c>
      <x:c r="Q34" s="7" t="str">
        <x:v>ME2-SRC-HEAVY</x:v>
      </x:c>
      <x:c r="R34" s="21" t="str">
        <x:v>https://masseffect.fandom.com/wiki/Heavy_Weapons</x:v>
      </x:c>
      <x:c r="S34" s="21" t="str">
        <x:v>Spécification à réaliser. Les champs adaptation, gameplay, visual, animation, audio et implementation décrivent le fan game ; ils ne donnent pas des caractéristiques officielles de l’œuvre.</x:v>
      </x:c>
    </x:row>
    <x:row r="35" ht="68" customHeight="1">
      <x:c r="A35" s="18" t="str">
        <x:v>ME2-WPN-ARC</x:v>
      </x:c>
      <x:c r="B35" s="9" t="str">
        <x:v>Arc Projector</x:v>
      </x:c>
      <x:c r="C35" s="15" t="str">
        <x:v>Défini</x:v>
      </x:c>
      <x:c r="D35" s="16" t="str">
        <x:v>Établi</x:v>
      </x:c>
      <x:c r="E35" s="16" t="str">
        <x:v>P1</x:v>
      </x:c>
      <x:c r="F35" s="9" t="str">
        <x:v>Arme lourde Cerberus.</x:v>
      </x:c>
      <x:c r="G35" s="9" t="str">
        <x:v>Chaîne électrique affichée à la sélection ; limiter les rebonds par portée et conducteur visible.</x:v>
      </x:c>
      <x:c r="H35" s="9" t="str">
        <x:v>Chaîne électrique affichée à la sélection ; limiter les rebonds par portée et conducteur visible.</x:v>
      </x:c>
      <x:c r="I35" s="9" t="str">
        <x:v>Conducteurs exposés et arcs blancs.</x:v>
      </x:c>
      <x:c r="J35" s="9" t="str">
        <x:v>Préparer état de repos, anticipation, activation et retour au repos ; aligner les événements visuels sur la résolution de l’action ATB.</x:v>
      </x:c>
      <x:c r="K35" s="9" t="str">
        <x:v>Créer des bruitages et ambiances originaux adaptés au livrable ; sous-titrer les indices utiles et proposer un réglage indépendant des effets. Aucune extraction audio demandée.</x:v>
      </x:c>
      <x:c r="L35" s="9" t="str">
        <x:v>Prévu : fiche de données me2/weapons/arc ; rattacher les ressources et états cités à cet identifiant. Aucun fichier de jeu créé par ce catalogue.</x:v>
      </x:c>
      <x:c r="M35" s="9" t="str"/>
      <x:c r="N35" s="9" t="str">
        <x:v>Le livrable « Arc Projector » possède une scène ou un scénario de contrôle ; ses règles proposées, ses conditions et ses retours visuels sont vérifiables séparément.</x:v>
      </x:c>
      <x:c r="O35" s="9" t="str"/>
      <x:c r="P35" s="9" t="str">
        <x:v>Arc Projector</x:v>
      </x:c>
      <x:c r="Q35" s="9" t="str">
        <x:v>ME2-SRC-HEAVY, ME2-SRC-EA-DLC</x:v>
      </x:c>
      <x:c r="R35" s="20" t="str">
        <x:v>https://masseffect.fandom.com/wiki/Heavy_Weapons
https://help.ea.com/en//articles/orders-and-rewards/dlc-for-classic-games/</x:v>
      </x:c>
      <x:c r="S35" s="20" t="str">
        <x:v>Spécification à réaliser. Les champs adaptation, gameplay, visual, animation, audio et implementation décrivent le fan game ; ils ne donnent pas des caractéristiques officielles de l’œuvre.</x:v>
      </x:c>
    </x:row>
  </x:sheetData>
  <x:conditionalFormatting sqref="D7:D35">
    <x:cfRule type="cellIs" dxfId="56" priority="1" operator="equal">
      <x:formula>"À vérifier"</x:formula>
    </x:cfRule>
    <x:cfRule type="cellIs" dxfId="57" priority="2" operator="equal">
      <x:formula>"Extrapolation"</x:formula>
    </x:cfRule>
  </x:conditionalFormatting>
  <x:conditionalFormatting sqref="C7:C35">
    <x:cfRule type="cellIs" dxfId="58" priority="3" operator="equal">
      <x:formula>"Validé"</x:formula>
    </x:cfRule>
  </x:conditionalFormatting>
  <x:conditionalFormatting sqref="E7:E35">
    <x:cfRule type="cellIs" dxfId="59" priority="4" operator="equal">
      <x:formula>"P0"</x:formula>
    </x:cfRule>
  </x:conditionalFormatting>
  <x:dataValidations count="3">
    <x:dataValidation type="list" sqref="C7:C35">
      <x:formula1>"Défini,Prototype,Intégré,Validé"</x:formula1>
    </x:dataValidation>
    <x:dataValidation type="list" sqref="D7:D35">
      <x:formula1>"Établi,À vérifier,Extrapolation,Coupé attesté,Concept abandonné,Allégation écartée"</x:formula1>
    </x:dataValidation>
    <x:dataValidation type="list" sqref="E7:E35">
      <x:formula1>"P0,P1,P2"</x:formula1>
    </x:dataValidation>
  </x:dataValidations>
  <x:pageMargins left="0.7" right="0.7" top="0.75" bottom="0.75" header="0.3" footer="0.3"/>
  <x:tableParts count="1">
    <x:tablePart xmlns:r="http://schemas.openxmlformats.org/officeDocument/2006/relationships" r:id="Rfa430da8563747da"/>
  </x:tableParts>
</x:worksheet>
</file>

<file path=xl/worksheets/sheet1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1"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Armures et équipement</x:v>
      </x:c>
      <x:c r="B2" s="2"/>
      <x:c r="C2" s="2"/>
      <x:c r="D2" s="2"/>
      <x:c r="E2" s="2"/>
      <x:c r="F2" s="2"/>
      <x:c r="G2" s="2"/>
      <x:c r="H2" s="2"/>
      <x:c r="I2" s="2"/>
      <x:c r="J2" s="2"/>
      <x:c r="K2" s="2"/>
      <x:c r="L2" s="2"/>
      <x:c r="M2" s="2"/>
      <x:c r="N2" s="2"/>
      <x:c r="O2" s="2"/>
      <x:c r="P2" s="2"/>
      <x:c r="Q2" s="2"/>
      <x:c r="R2" s="2"/>
      <x:c r="S2" s="2"/>
    </x:row>
    <x:row r="3" ht="22" customHeight="1">
      <x:c r="A3" s="4" t="str">
        <x:v>Mass Effect 2 — Protections, modules et consommables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ME2-EQP-N7</x:v>
      </x:c>
      <x:c r="B7" s="9" t="str">
        <x:v>Armure N7 personnalisable</x:v>
      </x:c>
      <x:c r="C7" s="15" t="str">
        <x:v>Prototype</x:v>
      </x:c>
      <x:c r="D7" s="16" t="str">
        <x:v>Établi</x:v>
      </x:c>
      <x:c r="E7" s="16" t="str">
        <x:v>P1</x:v>
      </x:c>
      <x:c r="F7" s="9" t="str">
        <x:v>Armure de base de Shepard.</x:v>
      </x:c>
      <x:c r="G7" s="9" t="str">
        <x:v>Pièces de casque, torse, épaules, bras et jambes ; les statistiques proposées s’agrègent dans un aperçu avant achat.</x:v>
      </x:c>
      <x:c r="H7" s="9" t="str">
        <x:v>Pièces de casque, torse, épaules, bras et jambes ; les statistiques proposées s’agrègent dans un aperçu avant achat.</x:v>
      </x:c>
      <x:c r="I7" s="9" t="str">
        <x:v>Noir, bande N7 et palette modifiable.</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Prototype Chroniques : src/universe-equipment.js, src/chronicles.js, src/combat.js. Identifiant runtime ME2-EQP-N7 ; contexte d’œuvre/segment et sélection de scène obligatoires.</x:v>
      </x:c>
      <x:c r="M7" s="9" t="str"/>
      <x:c r="N7" s="9" t="str">
        <x:v>Le livrable « Armure N7 personnalisable » possède une scène ou un scénario de contrôle ; ses règles proposées, ses conditions et ses retours visuels sont vérifiables séparément.</x:v>
      </x:c>
      <x:c r="O7" s="9" t="str"/>
      <x:c r="P7" s="9" t="str">
        <x:v>Armure N7 personnalisable</x:v>
      </x:c>
      <x:c r="Q7" s="9" t="str">
        <x:v>ME2-SRC-N7, ME2-SRC-ARMOR</x:v>
      </x:c>
      <x:c r="R7" s="20" t="str">
        <x:v>https://masseffect.fandom.com/wiki/N7_Armor
https://masseffect.fandom.com/wiki/Armor_Customization</x:v>
      </x:c>
      <x:c r="S7" s="20"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8" ht="68" customHeight="1">
      <x:c r="A8" s="19" t="str">
        <x:v>ME2-EQP-KESTREL</x:v>
      </x:c>
      <x:c r="B8" s="7" t="str">
        <x:v>Ensemble Kestrel</x:v>
      </x:c>
      <x:c r="C8" s="15" t="str">
        <x:v>Défini</x:v>
      </x:c>
      <x:c r="D8" s="17" t="str">
        <x:v>Établi</x:v>
      </x:c>
      <x:c r="E8" s="17" t="str">
        <x:v>P1</x:v>
      </x:c>
      <x:c r="F8" s="7" t="str">
        <x:v>Ensemble personnalisable de ME2.</x:v>
      </x:c>
      <x:c r="G8" s="7" t="str">
        <x:v>Profil polyvalent par pièces ; éviter un bonus caché de set inventé comme caractéristique du jeu.</x:v>
      </x:c>
      <x:c r="H8" s="7" t="str">
        <x:v>Profil polyvalent par pièces ; éviter un bonus caché de set inventé comme caractéristique du jeu.</x:v>
      </x:c>
      <x:c r="I8" s="7" t="str">
        <x:v>Plaques technologiques anguleuses et casque opaque.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me2/equipment/kestrel ; rattacher les ressources et états cités à cet identifiant. Aucun fichier de jeu créé par ce catalogue.</x:v>
      </x:c>
      <x:c r="M8" s="7" t="str"/>
      <x:c r="N8" s="7" t="str">
        <x:v>Le livrable « Ensemble Kestrel » possède une scène ou un scénario de contrôle ; ses règles proposées, ses conditions et ses retours visuels sont vérifiables séparément.</x:v>
      </x:c>
      <x:c r="O8" s="7" t="str"/>
      <x:c r="P8" s="7" t="str">
        <x:v>Ensemble Kestrel</x:v>
      </x:c>
      <x:c r="Q8" s="7" t="str">
        <x:v>ME2-SRC-KESTREL</x:v>
      </x:c>
      <x:c r="R8" s="21" t="str">
        <x:v>https://masseffect.fandom.com/wiki/Kestrel_Armor</x:v>
      </x:c>
      <x:c r="S8" s="21" t="str">
        <x:v>Spécification à réaliser. Les champs adaptation, gameplay, visual, animation, audio et implementation décrivent le fan game ; ils ne donnent pas des caractéristiques officielles de l’œuvre.</x:v>
      </x:c>
    </x:row>
    <x:row r="9" ht="68" customHeight="1">
      <x:c r="A9" s="18" t="str">
        <x:v>ME2-EQP-CERBERUS</x:v>
      </x:c>
      <x:c r="B9" s="9" t="str">
        <x:v>Armure d’assaut Cerberus</x:v>
      </x:c>
      <x:c r="C9" s="15" t="str">
        <x:v>Défini</x:v>
      </x:c>
      <x:c r="D9" s="16" t="str">
        <x:v>Établi</x:v>
      </x:c>
      <x:c r="E9" s="16" t="str">
        <x:v>P1</x:v>
      </x:c>
      <x:c r="F9" s="9" t="str">
        <x:v>Ensemble additionnel.</x:v>
      </x:c>
      <x:c r="G9" s="9" t="str">
        <x:v>Proposition de rôle d’assaillant ; verrouiller ensemble complet et personnalisable comme types d’objet différents.</x:v>
      </x:c>
      <x:c r="H9" s="9" t="str">
        <x:v>Proposition de rôle d’assaillant ; verrouiller ensemble complet et personnalisable comme types d’objet différents.</x:v>
      </x:c>
      <x:c r="I9" s="9" t="str">
        <x:v>Blanc, noir et jaune Cerberus.</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me2/equipment/cerberus ; rattacher les ressources et états cités à cet identifiant. Aucun fichier de jeu créé par ce catalogue.</x:v>
      </x:c>
      <x:c r="M9" s="9" t="str"/>
      <x:c r="N9" s="9" t="str">
        <x:v>Le livrable « Armure d’assaut Cerberus » possède une scène ou un scénario de contrôle ; ses règles proposées, ses conditions et ses retours visuels sont vérifiables séparément.</x:v>
      </x:c>
      <x:c r="O9" s="9" t="str"/>
      <x:c r="P9" s="9" t="str">
        <x:v>Armure d’assaut Cerberus</x:v>
      </x:c>
      <x:c r="Q9" s="9" t="str">
        <x:v>ME2-SRC-EA-DLC</x:v>
      </x:c>
      <x:c r="R9" s="20" t="str">
        <x:v>https://help.ea.com/en//articles/orders-and-rewards/dlc-for-classic-games/</x:v>
      </x:c>
      <x:c r="S9" s="20" t="str">
        <x:v>Spécification à réaliser. Les champs adaptation, gameplay, visual, animation, audio et implementation décrivent le fan game ; ils ne donnent pas des caractéristiques officielles de l’œuvre.</x:v>
      </x:c>
    </x:row>
    <x:row r="10" ht="68" customHeight="1">
      <x:c r="A10" s="19" t="str">
        <x:v>ME2-EQP-COLLECTOR</x:v>
      </x:c>
      <x:c r="B10" s="7" t="str">
        <x:v>Armure des Collecteurs</x:v>
      </x:c>
      <x:c r="C10" s="15" t="str">
        <x:v>Défini</x:v>
      </x:c>
      <x:c r="D10" s="17" t="str">
        <x:v>Établi</x:v>
      </x:c>
      <x:c r="E10" s="17" t="str">
        <x:v>P1</x:v>
      </x:c>
      <x:c r="F10" s="7" t="str">
        <x:v>Ensemble additionnel.</x:v>
      </x:c>
      <x:c r="G10" s="7" t="str">
        <x:v>Proposition de protection inhabituelle ; conserver la silhouette sans attribuer une biologie précise à Shepard.</x:v>
      </x:c>
      <x:c r="H10" s="7" t="str">
        <x:v>Proposition de protection inhabituelle ; conserver la silhouette sans attribuer une biologie précise à Shepard.</x:v>
      </x:c>
      <x:c r="I10" s="7" t="str">
        <x:v>Chitine sombre, surfaces organiques.</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me2/equipment/collector ; rattacher les ressources et états cités à cet identifiant. Aucun fichier de jeu créé par ce catalogue.</x:v>
      </x:c>
      <x:c r="M10" s="7" t="str"/>
      <x:c r="N10" s="7" t="str">
        <x:v>Le livrable « Armure des Collecteurs » possède une scène ou un scénario de contrôle ; ses règles proposées, ses conditions et ses retours visuels sont vérifiables séparément.</x:v>
      </x:c>
      <x:c r="O10" s="7" t="str"/>
      <x:c r="P10" s="7" t="str">
        <x:v>Armure des Collecteurs</x:v>
      </x:c>
      <x:c r="Q10" s="7" t="str">
        <x:v>ME2-SRC-EA-LE</x:v>
      </x:c>
      <x:c r="R10" s="21" t="str">
        <x:v>https://www.ea.com/fr/games/mass-effect/mass-effect-legendary-edition</x:v>
      </x:c>
      <x:c r="S10" s="21" t="str">
        <x:v>Spécification à réaliser. Les champs adaptation, gameplay, visual, animation, audio et implementation décrivent le fan game ; ils ne donnent pas des caractéristiques officielles de l’œuvre.</x:v>
      </x:c>
    </x:row>
    <x:row r="11" ht="68" customHeight="1">
      <x:c r="A11" s="18" t="str">
        <x:v>ME2-EQP-TERMINUS</x:v>
      </x:c>
      <x:c r="B11" s="9" t="str">
        <x:v>Armure Terminus</x:v>
      </x:c>
      <x:c r="C11" s="15" t="str">
        <x:v>Défini</x:v>
      </x:c>
      <x:c r="D11" s="16" t="str">
        <x:v>Établi</x:v>
      </x:c>
      <x:c r="E11" s="16" t="str">
        <x:v>P1</x:v>
      </x:c>
      <x:c r="F11" s="9" t="str">
        <x:v>Ensemble additionnel.</x:v>
      </x:c>
      <x:c r="G11" s="9" t="str">
        <x:v>Profil de front proposé, malus de vitesse annoncé si ajouté par le fan game.</x:v>
      </x:c>
      <x:c r="H11" s="9" t="str">
        <x:v>Profil de front proposé, malus de vitesse annoncé si ajouté par le fan game.</x:v>
      </x:c>
      <x:c r="I11" s="9" t="str">
        <x:v>Plaques noires lourdes et visière rouge.</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me2/equipment/terminus ; rattacher les ressources et états cités à cet identifiant. Aucun fichier de jeu créé par ce catalogue.</x:v>
      </x:c>
      <x:c r="M11" s="9" t="str"/>
      <x:c r="N11" s="9" t="str">
        <x:v>Le livrable « Armure Terminus » possède une scène ou un scénario de contrôle ; ses règles proposées, ses conditions et ses retours visuels sont vérifiables séparément.</x:v>
      </x:c>
      <x:c r="O11" s="9" t="str"/>
      <x:c r="P11" s="9" t="str">
        <x:v>Armure Terminus</x:v>
      </x:c>
      <x:c r="Q11" s="9" t="str">
        <x:v>ME2-SRC-EA-LE</x:v>
      </x:c>
      <x:c r="R11" s="20" t="str">
        <x:v>https://www.ea.com/fr/games/mass-effect/mass-effect-legendary-edition</x:v>
      </x:c>
      <x:c r="S11" s="20" t="str">
        <x:v>Spécification à réaliser. Les champs adaptation, gameplay, visual, animation, audio et implementation décrivent le fan game ; ils ne donnent pas des caractéristiques officielles de l’œuvre.</x:v>
      </x:c>
    </x:row>
    <x:row r="12" ht="68" customHeight="1">
      <x:c r="A12" s="19" t="str">
        <x:v>ME2-EQP-BLOOD-DRAGON</x:v>
      </x:c>
      <x:c r="B12" s="7" t="str">
        <x:v>Armure Blood Dragon</x:v>
      </x:c>
      <x:c r="C12" s="15" t="str">
        <x:v>Défini</x:v>
      </x:c>
      <x:c r="D12" s="17" t="str">
        <x:v>Établi</x:v>
      </x:c>
      <x:c r="E12" s="17" t="str">
        <x:v>P1</x:v>
      </x:c>
      <x:c r="F12" s="7" t="str">
        <x:v>Ensemble promotionnel.</x:v>
      </x:c>
      <x:c r="G12" s="7" t="str">
        <x:v>Variante cosmétique identifiable, ajustement de pouvoir facultatif clairement séparé.</x:v>
      </x:c>
      <x:c r="H12" s="7" t="str">
        <x:v>Variante cosmétique identifiable, ajustement de pouvoir facultatif clairement séparé.</x:v>
      </x:c>
      <x:c r="I12" s="7" t="str">
        <x:v>Rouge et noir, motif dragon stylisé.</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me2/equipment/blood-dragon ; rattacher les ressources et états cités à cet identifiant. Aucun fichier de jeu créé par ce catalogue.</x:v>
      </x:c>
      <x:c r="M12" s="7" t="str"/>
      <x:c r="N12" s="7" t="str">
        <x:v>Le livrable « Armure Blood Dragon » possède une scène ou un scénario de contrôle ; ses règles proposées, ses conditions et ses retours visuels sont vérifiables séparément.</x:v>
      </x:c>
      <x:c r="O12" s="7" t="str"/>
      <x:c r="P12" s="7" t="str">
        <x:v>Armure Blood Dragon</x:v>
      </x:c>
      <x:c r="Q12" s="7" t="str">
        <x:v>ME2-SRC-EA-LE</x:v>
      </x:c>
      <x:c r="R12" s="21" t="str">
        <x:v>https://www.ea.com/fr/games/mass-effect/mass-effect-legendary-edition</x:v>
      </x:c>
      <x:c r="S12" s="21" t="str">
        <x:v>Spécification à réaliser. Les champs adaptation, gameplay, visual, animation, audio et implementation décrivent le fan game ; ils ne donnent pas des caractéristiques officielles de l’œuvre.</x:v>
      </x:c>
    </x:row>
    <x:row r="13" ht="68" customHeight="1">
      <x:c r="A13" s="18" t="str">
        <x:v>ME2-EQP-INFERNO</x:v>
      </x:c>
      <x:c r="B13" s="9" t="str">
        <x:v>Armure Inferno</x:v>
      </x:c>
      <x:c r="C13" s="15" t="str">
        <x:v>Défini</x:v>
      </x:c>
      <x:c r="D13" s="16" t="str">
        <x:v>Établi</x:v>
      </x:c>
      <x:c r="E13" s="16" t="str">
        <x:v>P1</x:v>
      </x:c>
      <x:c r="F13" s="9" t="str">
        <x:v>Ensemble additionnel.</x:v>
      </x:c>
      <x:c r="G13" s="9" t="str">
        <x:v>Proposition de recharge technique contre moindre réserve défensive ; aperçu explicite des échanges.</x:v>
      </x:c>
      <x:c r="H13" s="9" t="str">
        <x:v>Proposition de recharge technique contre moindre réserve défensive ; aperçu explicite des échanges.</x:v>
      </x:c>
      <x:c r="I13" s="9" t="str">
        <x:v>Orange vif et segments de protection fermés.</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me2/equipment/inferno ; rattacher les ressources et états cités à cet identifiant. Aucun fichier de jeu créé par ce catalogue.</x:v>
      </x:c>
      <x:c r="M13" s="9" t="str"/>
      <x:c r="N13" s="9" t="str">
        <x:v>Le livrable « Armure Inferno » possède une scène ou un scénario de contrôle ; ses règles proposées, ses conditions et ses retours visuels sont vérifiables séparément.</x:v>
      </x:c>
      <x:c r="O13" s="9" t="str"/>
      <x:c r="P13" s="9" t="str">
        <x:v>Armure Inferno</x:v>
      </x:c>
      <x:c r="Q13" s="9" t="str">
        <x:v>ME2-SRC-EA-LE</x:v>
      </x:c>
      <x:c r="R13" s="20" t="str">
        <x:v>https://www.ea.com/fr/games/mass-effect/mass-effect-legendary-edition</x:v>
      </x:c>
      <x:c r="S13" s="20" t="str">
        <x:v>Spécification à réaliser. Les champs adaptation, gameplay, visual, animation, audio et implementation décrivent le fan game ; ils ne donnent pas des caractéristiques officielles de l’œuvre.</x:v>
      </x:c>
    </x:row>
    <x:row r="14" ht="68" customHeight="1">
      <x:c r="A14" s="19" t="str">
        <x:v>ME2-EQP-RECON</x:v>
      </x:c>
      <x:c r="B14" s="7" t="str">
        <x:v>Recon Hood</x:v>
      </x:c>
      <x:c r="C14" s="15" t="str">
        <x:v>Défini</x:v>
      </x:c>
      <x:c r="D14" s="17" t="str">
        <x:v>Établi</x:v>
      </x:c>
      <x:c r="E14" s="17" t="str">
        <x:v>P1</x:v>
      </x:c>
      <x:c r="F14" s="7" t="str">
        <x:v>Coiffe présente au départ en Legendary.</x:v>
      </x:c>
      <x:c r="G14" s="7" t="str">
        <x:v>Coiffe légère ; bonus de reconnaissance proposé sans changer les dialogues canoniques.</x:v>
      </x:c>
      <x:c r="H14" s="7" t="str">
        <x:v>Coiffe légère ; bonus de reconnaissance proposé sans changer les dialogues canoniques.</x:v>
      </x:c>
      <x:c r="I14" s="7" t="str">
        <x:v>Capuche textile noire et visière.</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me2/equipment/recon ; rattacher les ressources et états cités à cet identifiant. Aucun fichier de jeu créé par ce catalogue.</x:v>
      </x:c>
      <x:c r="M14" s="7" t="str"/>
      <x:c r="N14" s="7" t="str">
        <x:v>Le livrable « Recon Hood » possède une scène ou un scénario de contrôle ; ses règles proposées, ses conditions et ses retours visuels sont vérifiables séparément.</x:v>
      </x:c>
      <x:c r="O14" s="7" t="str"/>
      <x:c r="P14" s="7" t="str">
        <x:v>Recon Hood</x:v>
      </x:c>
      <x:c r="Q14" s="7" t="str">
        <x:v>ME2-SRC-EA-CAL</x:v>
      </x:c>
      <x:c r="R14" s="21" t="str">
        <x:v>https://www.ea.com/ea-play/news/gameplay-calibrations</x:v>
      </x:c>
      <x:c r="S14" s="21" t="str">
        <x:v>Spécification à réaliser. Les champs adaptation, gameplay, visual, animation, audio et implementation décrivent le fan game ; ils ne donnent pas des caractéristiques officielles de l’œuvre.</x:v>
      </x:c>
    </x:row>
    <x:row r="15" ht="68" customHeight="1">
      <x:c r="A15" s="18" t="str">
        <x:v>ME2-EQP-SENTRY</x:v>
      </x:c>
      <x:c r="B15" s="9" t="str">
        <x:v>Sentry Interface</x:v>
      </x:c>
      <x:c r="C15" s="15" t="str">
        <x:v>Défini</x:v>
      </x:c>
      <x:c r="D15" s="16" t="str">
        <x:v>Établi</x:v>
      </x:c>
      <x:c r="E15" s="16" t="str">
        <x:v>P1</x:v>
      </x:c>
      <x:c r="F15" s="9" t="str">
        <x:v>Visière de personnalisation.</x:v>
      </x:c>
      <x:c r="G15" s="9" t="str">
        <x:v>Profil défensif de casque ; feedback de bouclier séparé du visage en sprite.</x:v>
      </x:c>
      <x:c r="H15" s="9" t="str">
        <x:v>Profil défensif de casque ; feedback de bouclier séparé du visage en sprite.</x:v>
      </x:c>
      <x:c r="I15" s="9" t="str">
        <x:v>Interface de visière compacte.</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me2/equipment/sentry ; rattacher les ressources et états cités à cet identifiant. Aucun fichier de jeu créé par ce catalogue.</x:v>
      </x:c>
      <x:c r="M15" s="9" t="str"/>
      <x:c r="N15" s="9" t="str">
        <x:v>Le livrable « Sentry Interface » possède une scène ou un scénario de contrôle ; ses règles proposées, ses conditions et ses retours visuels sont vérifiables séparément.</x:v>
      </x:c>
      <x:c r="O15" s="9" t="str"/>
      <x:c r="P15" s="9" t="str">
        <x:v>Sentry Interface</x:v>
      </x:c>
      <x:c r="Q15" s="9" t="str">
        <x:v>ME2-SRC-ARMOR</x:v>
      </x:c>
      <x:c r="R15" s="20" t="str">
        <x:v>https://masseffect.fandom.com/wiki/Armor_Customization</x:v>
      </x:c>
      <x:c r="S15" s="20" t="str">
        <x:v>Spécification à réaliser. Les champs adaptation, gameplay, visual, animation, audio et implementation décrivent le fan game ; ils ne donnent pas des caractéristiques officielles de l’œuvre.</x:v>
      </x:c>
    </x:row>
    <x:row r="16" ht="68" customHeight="1">
      <x:c r="A16" s="19" t="str">
        <x:v>ME2-EQP-ARCHON</x:v>
      </x:c>
      <x:c r="B16" s="7" t="str">
        <x:v>Archon Visor</x:v>
      </x:c>
      <x:c r="C16" s="15" t="str">
        <x:v>Défini</x:v>
      </x:c>
      <x:c r="D16" s="17" t="str">
        <x:v>Établi</x:v>
      </x:c>
      <x:c r="E16" s="17" t="str">
        <x:v>P1</x:v>
      </x:c>
      <x:c r="F16" s="7" t="str">
        <x:v>Visière de personnalisation.</x:v>
      </x:c>
      <x:c r="G16" s="7" t="str">
        <x:v>Choix de soutien aux pouvoirs ; affichage de récupération clair dans l’atelier.</x:v>
      </x:c>
      <x:c r="H16" s="7" t="str">
        <x:v>Choix de soutien aux pouvoirs ; affichage de récupération clair dans l’atelier.</x:v>
      </x:c>
      <x:c r="I16" s="7" t="str">
        <x:v>Visière technologique fine.</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me2/equipment/archon ; rattacher les ressources et états cités à cet identifiant. Aucun fichier de jeu créé par ce catalogue.</x:v>
      </x:c>
      <x:c r="M16" s="7" t="str"/>
      <x:c r="N16" s="7" t="str">
        <x:v>Le livrable « Archon Visor » possède une scène ou un scénario de contrôle ; ses règles proposées, ses conditions et ses retours visuels sont vérifiables séparément.</x:v>
      </x:c>
      <x:c r="O16" s="7" t="str"/>
      <x:c r="P16" s="7" t="str">
        <x:v>Archon Visor</x:v>
      </x:c>
      <x:c r="Q16" s="7" t="str">
        <x:v>ME2-SRC-ARMOR</x:v>
      </x:c>
      <x:c r="R16" s="21" t="str">
        <x:v>https://masseffect.fandom.com/wiki/Armor_Customization</x:v>
      </x:c>
      <x:c r="S16" s="21" t="str">
        <x:v>Spécification à réaliser. Les champs adaptation, gameplay, visual, animation, audio et implementation décrivent le fan game ; ils ne donnent pas des caractéristiques officielles de l’œuvre.</x:v>
      </x:c>
    </x:row>
    <x:row r="17" ht="68" customHeight="1">
      <x:c r="A17" s="18" t="str">
        <x:v>ME2-EQP-CAPACITOR</x:v>
      </x:c>
      <x:c r="B17" s="9" t="str">
        <x:v>Capacitor Helmet</x:v>
      </x:c>
      <x:c r="C17" s="15" t="str">
        <x:v>Défini</x:v>
      </x:c>
      <x:c r="D17" s="16" t="str">
        <x:v>Établi</x:v>
      </x:c>
      <x:c r="E17" s="16" t="str">
        <x:v>P1</x:v>
      </x:c>
      <x:c r="F17" s="9" t="str">
        <x:v>Casque de personnalisation.</x:v>
      </x:c>
      <x:c r="G17" s="9" t="str">
        <x:v>Proposition d’accélération de régénération ; aucune modification du délai pendant une scène.</x:v>
      </x:c>
      <x:c r="H17" s="9" t="str">
        <x:v>Proposition d’accélération de régénération ; aucune modification du délai pendant une scène.</x:v>
      </x:c>
      <x:c r="I17" s="9" t="str">
        <x:v>Casque à panneaux de condensateurs.</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me2/equipment/capacitor ; rattacher les ressources et états cités à cet identifiant. Aucun fichier de jeu créé par ce catalogue.</x:v>
      </x:c>
      <x:c r="M17" s="9" t="str"/>
      <x:c r="N17" s="9" t="str">
        <x:v>Le livrable « Capacitor Helmet » possède une scène ou un scénario de contrôle ; ses règles proposées, ses conditions et ses retours visuels sont vérifiables séparément.</x:v>
      </x:c>
      <x:c r="O17" s="9" t="str"/>
      <x:c r="P17" s="9" t="str">
        <x:v>Capacitor Helmet</x:v>
      </x:c>
      <x:c r="Q17" s="9" t="str">
        <x:v>ME2-SRC-ARMOR</x:v>
      </x:c>
      <x:c r="R17" s="20" t="str">
        <x:v>https://masseffect.fandom.com/wiki/Armor_Customization</x:v>
      </x:c>
      <x:c r="S17" s="20" t="str">
        <x:v>Spécification à réaliser. Les champs adaptation, gameplay, visual, animation, audio et implementation décrivent le fan game ; ils ne donnent pas des caractéristiques officielles de l’œuvre.</x:v>
      </x:c>
    </x:row>
    <x:row r="18" ht="68" customHeight="1">
      <x:c r="A18" s="19" t="str">
        <x:v>ME2-EQP-LIFE-SUPPORT</x:v>
      </x:c>
      <x:c r="B18" s="7" t="str">
        <x:v>Life Support Webbing</x:v>
      </x:c>
      <x:c r="C18" s="15" t="str">
        <x:v>Défini</x:v>
      </x:c>
      <x:c r="D18" s="17" t="str">
        <x:v>Établi</x:v>
      </x:c>
      <x:c r="E18" s="17" t="str">
        <x:v>P1</x:v>
      </x:c>
      <x:c r="F18" s="7" t="str">
        <x:v>Pièce d’armure disponible.</x:v>
      </x:c>
      <x:c r="G18" s="7" t="str">
        <x:v>Augmentation de marge de survie proposée ; expliquer la différence santé et protection.</x:v>
      </x:c>
      <x:c r="H18" s="7" t="str">
        <x:v>Augmentation de marge de survie proposée ; expliquer la différence santé et protection.</x:v>
      </x:c>
      <x:c r="I18" s="7" t="str">
        <x:v>Renforts et supports autour des jambes.</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me2/equipment/life-support ; rattacher les ressources et états cités à cet identifiant. Aucun fichier de jeu créé par ce catalogue.</x:v>
      </x:c>
      <x:c r="M18" s="7" t="str"/>
      <x:c r="N18" s="7" t="str">
        <x:v>Le livrable « Life Support Webbing » possède une scène ou un scénario de contrôle ; ses règles proposées, ses conditions et ses retours visuels sont vérifiables séparément.</x:v>
      </x:c>
      <x:c r="O18" s="7" t="str"/>
      <x:c r="P18" s="7" t="str">
        <x:v>Life Support Webbing</x:v>
      </x:c>
      <x:c r="Q18" s="7" t="str">
        <x:v>ME2-SRC-ARMOR</x:v>
      </x:c>
      <x:c r="R18" s="21" t="str">
        <x:v>https://masseffect.fandom.com/wiki/Armor_Customization</x:v>
      </x:c>
      <x:c r="S18" s="21" t="str">
        <x:v>Spécification à réaliser. Les champs adaptation, gameplay, visual, animation, audio et implementation décrivent le fan game ; ils ne donnent pas des caractéristiques officielles de l’œuvre.</x:v>
      </x:c>
    </x:row>
    <x:row r="19" ht="68" customHeight="1">
      <x:c r="A19" s="18" t="str">
        <x:v>ME2-EQP-ORDNANCE</x:v>
      </x:c>
      <x:c r="B19" s="9" t="str">
        <x:v>Ordnance Packs</x:v>
      </x:c>
      <x:c r="C19" s="15" t="str">
        <x:v>Défini</x:v>
      </x:c>
      <x:c r="D19" s="16" t="str">
        <x:v>Établi</x:v>
      </x:c>
      <x:c r="E19" s="16" t="str">
        <x:v>P1</x:v>
      </x:c>
      <x:c r="F19" s="9" t="str">
        <x:v>Pièce liée aux réserves lourdes.</x:v>
      </x:c>
      <x:c r="G19" s="9" t="str">
        <x:v>Réserve de cellules proposée distincte des clips ; avertissement lorsque l’armure change hors combat.</x:v>
      </x:c>
      <x:c r="H19" s="9" t="str">
        <x:v>Réserve de cellules proposée distincte des clips ; avertissement lorsque l’armure change hors combat.</x:v>
      </x:c>
      <x:c r="I19" s="9" t="str">
        <x:v>Poches techniques et boîtiers latéraux.</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me2/equipment/ordnance ; rattacher les ressources et états cités à cet identifiant. Aucun fichier de jeu créé par ce catalogue.</x:v>
      </x:c>
      <x:c r="M19" s="9" t="str"/>
      <x:c r="N19" s="9" t="str">
        <x:v>Le livrable « Ordnance Packs » possède une scène ou un scénario de contrôle ; ses règles proposées, ses conditions et ses retours visuels sont vérifiables séparément.</x:v>
      </x:c>
      <x:c r="O19" s="9" t="str"/>
      <x:c r="P19" s="9" t="str">
        <x:v>Ordnance Packs</x:v>
      </x:c>
      <x:c r="Q19" s="9" t="str">
        <x:v>ME2-SRC-ARMOR</x:v>
      </x:c>
      <x:c r="R19" s="20" t="str">
        <x:v>https://masseffect.fandom.com/wiki/Armor_Customization</x:v>
      </x:c>
      <x:c r="S19" s="20" t="str">
        <x:v>Spécification à réaliser. Les champs adaptation, gameplay, visual, animation, audio et implementation décrivent le fan game ; ils ne donnent pas des caractéristiques officielles de l’œuvre.</x:v>
      </x:c>
    </x:row>
    <x:row r="20" ht="68" customHeight="1">
      <x:c r="A20" s="19" t="str">
        <x:v>ME2-EQP-MEDIGEL</x:v>
      </x:c>
      <x:c r="B20" s="7" t="str">
        <x:v>Medi-gel / Unity</x:v>
      </x:c>
      <x:c r="C20" s="15" t="str">
        <x:v>Défini</x:v>
      </x:c>
      <x:c r="D20" s="17" t="str">
        <x:v>Établi</x:v>
      </x:c>
      <x:c r="E20" s="17" t="str">
        <x:v>P1</x:v>
      </x:c>
      <x:c r="F20" s="7" t="str">
        <x:v>Le medi-gel permet de relever les équipiers.</x:v>
      </x:c>
      <x:c r="G20" s="7" t="str">
        <x:v>Action de secours consommant une ressource ; cible et coût avant confirmation ; pas de consommation sur cible déjà relevée.</x:v>
      </x:c>
      <x:c r="H20" s="7" t="str">
        <x:v>Action de secours consommant une ressource ; cible et coût avant confirmation ; pas de consommation sur cible déjà relevée.</x:v>
      </x:c>
      <x:c r="I20" s="7" t="str">
        <x:v>Dose bleue et icône médicale.</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me2/equipment/medigel ; rattacher les ressources et états cités à cet identifiant. Aucun fichier de jeu créé par ce catalogue.</x:v>
      </x:c>
      <x:c r="M20" s="7" t="str"/>
      <x:c r="N20" s="7" t="str">
        <x:v>Le livrable « Medi-gel / Unity » possède une scène ou un scénario de contrôle ; ses règles proposées, ses conditions et ses retours visuels sont vérifiables séparément.</x:v>
      </x:c>
      <x:c r="O20" s="7" t="str"/>
      <x:c r="P20" s="7" t="str">
        <x:v>Medi-gel / Unity</x:v>
      </x:c>
      <x:c r="Q20" s="7" t="str">
        <x:v>ME2-SRC-COMBAT</x:v>
      </x:c>
      <x:c r="R20" s="21" t="str">
        <x:v>https://masseffect.fandom.com/wiki/Combat_%28Mass_Effect_2%29</x:v>
      </x:c>
      <x:c r="S20" s="21" t="str">
        <x:v>Spécification à réaliser. Les champs adaptation, gameplay, visual, animation, audio et implementation décrivent le fan game ; ils ne donnent pas des caractéristiques officielles de l’œuvre.</x:v>
      </x:c>
    </x:row>
    <x:row r="21" ht="68" customHeight="1">
      <x:c r="A21" s="18" t="str">
        <x:v>ME2-EQP-THERMAL</x:v>
      </x:c>
      <x:c r="B21" s="9" t="str">
        <x:v>Clips thermiques</x:v>
      </x:c>
      <x:c r="C21" s="15" t="str">
        <x:v>Défini</x:v>
      </x:c>
      <x:c r="D21" s="16" t="str">
        <x:v>Établi</x:v>
      </x:c>
      <x:c r="E21" s="16" t="str">
        <x:v>P1</x:v>
      </x:c>
      <x:c r="F21" s="9" t="str">
        <x:v>Les armes conventionnelles emploient des clips.</x:v>
      </x:c>
      <x:c r="G21" s="9" t="str">
        <x:v>Compteurs d’arme et réserve séparés ; recharge anticipée ne gaspille pas arbitrairement la réserve proposée.</x:v>
      </x:c>
      <x:c r="H21" s="9" t="str">
        <x:v>Compteurs d’arme et réserve séparés ; recharge anticipée ne gaspille pas arbitrairement la réserve proposée.</x:v>
      </x:c>
      <x:c r="I21" s="9" t="str">
        <x:v>Bloc thermique expulsé avec halo chaud.</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me2/equipment/thermal ; rattacher les ressources et états cités à cet identifiant. Aucun fichier de jeu créé par ce catalogue.</x:v>
      </x:c>
      <x:c r="M21" s="9" t="str"/>
      <x:c r="N21" s="9" t="str">
        <x:v>Le livrable « Clips thermiques » possède une scène ou un scénario de contrôle ; ses règles proposées, ses conditions et ses retours visuels sont vérifiables séparément.</x:v>
      </x:c>
      <x:c r="O21" s="9" t="str"/>
      <x:c r="P21" s="9" t="str">
        <x:v>Clips thermiques</x:v>
      </x:c>
      <x:c r="Q21" s="9" t="str">
        <x:v>ME2-SRC-WEAPONS, ME2-SRC-MANUAL-FR</x:v>
      </x:c>
      <x:c r="R21" s="20" t="str">
        <x:v>https://masseffect.fandom.com/wiki/Weapons
https://eaassets-a.akamaihd.net/eahelp/manuals/mass-effect-2-manuals_PC_fr.pdf</x:v>
      </x:c>
      <x:c r="S21" s="20" t="str">
        <x:v>Spécification à réaliser. Les champs adaptation, gameplay, visual, animation, audio et implementation décrivent le fan game ; ils ne donnent pas des caractéristiques officielles de l’œuvre. Manuel PC français consulté directement : principe des dissipateurs amovibles confirmé ; recharge ATB dans src/combat.js. Cette fiche complète (objet/présentation/acquisition) reste à réaliser.</x:v>
      </x:c>
    </x:row>
    <x:row r="22" ht="68" customHeight="1">
      <x:c r="A22" s="19" t="str">
        <x:v>ME2-EQP-CELLS</x:v>
      </x:c>
      <x:c r="B22" s="7" t="str">
        <x:v>Cellules d’armes lourdes</x:v>
      </x:c>
      <x:c r="C22" s="15" t="str">
        <x:v>Défini</x:v>
      </x:c>
      <x:c r="D22" s="17" t="str">
        <x:v>Établi</x:v>
      </x:c>
      <x:c r="E22" s="17" t="str">
        <x:v>P1</x:v>
      </x:c>
      <x:c r="F22" s="7" t="str">
        <x:v>Les armes lourdes utilisent des cellules.</x:v>
      </x:c>
      <x:c r="G22" s="7" t="str">
        <x:v>Réserve partagée explicitement entre armes lourdes ; aucune cellule négative lors d’un changement d’équipement.</x:v>
      </x:c>
      <x:c r="H22" s="7" t="str">
        <x:v>Réserve partagée explicitement entre armes lourdes ; aucune cellule négative lors d’un changement d’équipement.</x:v>
      </x:c>
      <x:c r="I22" s="7" t="str">
        <x:v>Conteneur énergétique identifiable.</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me2/equipment/cells ; rattacher les ressources et états cités à cet identifiant. Aucun fichier de jeu créé par ce catalogue.</x:v>
      </x:c>
      <x:c r="M22" s="7" t="str"/>
      <x:c r="N22" s="7" t="str">
        <x:v>Le livrable « Cellules d’armes lourdes » possède une scène ou un scénario de contrôle ; ses règles proposées, ses conditions et ses retours visuels sont vérifiables séparément.</x:v>
      </x:c>
      <x:c r="O22" s="7" t="str"/>
      <x:c r="P22" s="7" t="str">
        <x:v>Cellules d’armes lourdes</x:v>
      </x:c>
      <x:c r="Q22" s="7" t="str">
        <x:v>ME2-SRC-HEAVY</x:v>
      </x:c>
      <x:c r="R22" s="21" t="str">
        <x:v>https://masseffect.fandom.com/wiki/Heavy_Weapons</x:v>
      </x:c>
      <x:c r="S22" s="21" t="str">
        <x:v>Spécification à réaliser. Les champs adaptation, gameplay, visual, animation, audio et implementation décrivent le fan game ; ils ne donnent pas des caractéristiques officielles de l’œuvre.</x:v>
      </x:c>
    </x:row>
    <x:row r="23" ht="68" customHeight="1">
      <x:c r="A23" s="18" t="str">
        <x:v>ME2-EQP-NORMANDY-ARMOR</x:v>
      </x:c>
      <x:c r="B23" s="9" t="str">
        <x:v>Amélioration du blindage du Normandy</x:v>
      </x:c>
      <x:c r="C23" s="15" t="str">
        <x:v>Défini</x:v>
      </x:c>
      <x:c r="D23" s="16" t="str">
        <x:v>Établi</x:v>
      </x:c>
      <x:c r="E23" s="16" t="str">
        <x:v>P1</x:v>
      </x:c>
      <x:c r="F23" s="9" t="str">
        <x:v>Des améliorations protègent le vaisseau final.</x:v>
      </x:c>
      <x:c r="G23" s="9" t="str">
        <x:v>Recherche préventive et rappel avant départ ; résultat narratif appliqué par événement, pas par combat aléatoire.</x:v>
      </x:c>
      <x:c r="H23" s="9" t="str">
        <x:v>Recherche préventive et rappel avant départ ; résultat narratif appliqué par événement, pas par combat aléatoire.</x:v>
      </x:c>
      <x:c r="I23" s="9" t="str">
        <x:v>Schéma de coque renforcée.</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me2/equipment/normandy-armor ; rattacher les ressources et états cités à cet identifiant. Aucun fichier de jeu créé par ce catalogue.</x:v>
      </x:c>
      <x:c r="M23" s="9" t="str">
        <x:v>Vérifier table exacte des pertes avant implémentation.</x:v>
      </x:c>
      <x:c r="N23" s="9" t="str">
        <x:v>Le livrable « Amélioration du blindage du Normandy » possède une scène ou un scénario de contrôle ; ses règles proposées, ses conditions et ses retours visuels sont vérifiables séparément.</x:v>
      </x:c>
      <x:c r="O23" s="9" t="str"/>
      <x:c r="P23" s="9" t="str">
        <x:v>Amélioration du blindage du Normandy</x:v>
      </x:c>
      <x:c r="Q23" s="9" t="str">
        <x:v>ME2-SRC-UPGRADE, ME2-SRC-GUIDE</x:v>
      </x:c>
      <x:c r="R23" s="20" t="str">
        <x:v>https://masseffect.fandom.com/wiki/Upgrade_Guide
https://masseffect.fandom.com/wiki/Mass_Effect_2_Guide</x:v>
      </x:c>
      <x:c r="S23" s="20" t="str">
        <x:v>Spécification à réaliser. Les champs adaptation, gameplay, visual, animation, audio et implementation décrivent le fan game ; ils ne donnent pas des caractéristiques officielles de l’œuvre.</x:v>
      </x:c>
    </x:row>
    <x:row r="24" ht="68" customHeight="1">
      <x:c r="A24" s="19" t="str">
        <x:v>ME2-EQP-NORMANDY-SHIELD</x:v>
      </x:c>
      <x:c r="B24" s="7" t="str">
        <x:v>Amélioration des boucliers du Normandy</x:v>
      </x:c>
      <x:c r="C24" s="15" t="str">
        <x:v>Défini</x:v>
      </x:c>
      <x:c r="D24" s="17" t="str">
        <x:v>Établi</x:v>
      </x:c>
      <x:c r="E24" s="17" t="str">
        <x:v>P1</x:v>
      </x:c>
      <x:c r="F24" s="7" t="str">
        <x:v>Le vaisseau dispose d’une amélioration de bouclier.</x:v>
      </x:c>
      <x:c r="G24" s="7" t="str">
        <x:v>Recherche via contact d’équipier ; lien explicite entre dossier de Tali et capacité accessible.</x:v>
      </x:c>
      <x:c r="H24" s="7" t="str">
        <x:v>Recherche via contact d’équipier ; lien explicite entre dossier de Tali et capacité accessible.</x:v>
      </x:c>
      <x:c r="I24" s="7" t="str">
        <x:v>Schéma de barrières sur coque.</x:v>
      </x:c>
      <x:c r="J24" s="7" t="str">
        <x:v>Préparer état de repos, anticipation, activation et retour au repos ; aligner les événements visuels sur la résolution de l’action ATB.</x:v>
      </x:c>
      <x:c r="K24" s="7" t="str">
        <x:v>Créer des bruitages et ambiances originaux adaptés au livrable ; sous-titrer les indices utiles et proposer un réglage indépendant des effets. Aucune extraction audio demandée.</x:v>
      </x:c>
      <x:c r="L24" s="7" t="str">
        <x:v>Prévu : fiche de données me2/equipment/normandy-shield ; rattacher les ressources et états cités à cet identifiant. Aucun fichier de jeu créé par ce catalogue.</x:v>
      </x:c>
      <x:c r="M24" s="7" t="str">
        <x:v>Tali requise pour l’accès approprié.</x:v>
      </x:c>
      <x:c r="N24" s="7" t="str">
        <x:v>Le livrable « Amélioration des boucliers du Normandy » possède une scène ou un scénario de contrôle ; ses règles proposées, ses conditions et ses retours visuels sont vérifiables séparément.</x:v>
      </x:c>
      <x:c r="O24" s="7" t="str"/>
      <x:c r="P24" s="7" t="str">
        <x:v>Amélioration des boucliers du Normandy</x:v>
      </x:c>
      <x:c r="Q24" s="7" t="str">
        <x:v>ME2-SRC-TALI, ME2-SRC-UPGRADE</x:v>
      </x:c>
      <x:c r="R24" s="21" t="str">
        <x:v>https://masseffect.fandom.com/wiki/Dossier%3A_Tali
https://masseffect.fandom.com/wiki/Upgrade_Guide</x:v>
      </x:c>
      <x:c r="S24" s="21" t="str">
        <x:v>Spécification à réaliser. Les champs adaptation, gameplay, visual, animation, audio et implementation décrivent le fan game ; ils ne donnent pas des caractéristiques officielles de l’œuvre.</x:v>
      </x:c>
    </x:row>
    <x:row r="25" ht="68" customHeight="1">
      <x:c r="A25" s="18" t="str">
        <x:v>ME2-EQP-NORMANDY-GUN</x:v>
      </x:c>
      <x:c r="B25" s="9" t="str">
        <x:v>Amélioration de l’armement du Normandy</x:v>
      </x:c>
      <x:c r="C25" s="15" t="str">
        <x:v>Défini</x:v>
      </x:c>
      <x:c r="D25" s="16" t="str">
        <x:v>Établi</x:v>
      </x:c>
      <x:c r="E25" s="16" t="str">
        <x:v>P1</x:v>
      </x:c>
      <x:c r="F25" s="9" t="str">
        <x:v>L’armement intervient dans l’approche finale.</x:v>
      </x:c>
      <x:c r="G25" s="9" t="str">
        <x:v>Investissement de recherche ; choix visible avant Omega-4 et résolution déterministe.</x:v>
      </x:c>
      <x:c r="H25" s="9" t="str">
        <x:v>Investissement de recherche ; choix visible avant Omega-4 et résolution déterministe.</x:v>
      </x:c>
      <x:c r="I25" s="9" t="str">
        <x:v>Schéma de batterie de vaisseau.</x:v>
      </x:c>
      <x:c r="J25" s="9" t="str">
        <x:v>Préparer état de repos, anticipation, activation et retour au repos ; aligner les événements visuels sur la résolution de l’action ATB.</x:v>
      </x:c>
      <x:c r="K25" s="9" t="str">
        <x:v>Créer des bruitages et ambiances originaux adaptés au livrable ; sous-titrer les indices utiles et proposer un réglage indépendant des effets. Aucune extraction audio demandée.</x:v>
      </x:c>
      <x:c r="L25" s="9" t="str">
        <x:v>Prévu : fiche de données me2/equipment/normandy-gun ; rattacher les ressources et états cités à cet identifiant. Aucun fichier de jeu créé par ce catalogue.</x:v>
      </x:c>
      <x:c r="M25" s="9" t="str">
        <x:v>Table de conséquences à revérifier en jeu.</x:v>
      </x:c>
      <x:c r="N25" s="9" t="str">
        <x:v>Le livrable « Amélioration de l’armement du Normandy » possède une scène ou un scénario de contrôle ; ses règles proposées, ses conditions et ses retours visuels sont vérifiables séparément.</x:v>
      </x:c>
      <x:c r="O25" s="9" t="str"/>
      <x:c r="P25" s="9" t="str">
        <x:v>Amélioration de l’armement du Normandy</x:v>
      </x:c>
      <x:c r="Q25" s="9" t="str">
        <x:v>ME2-SRC-UPGRADE, ME2-SRC-GUIDE</x:v>
      </x:c>
      <x:c r="R25" s="20" t="str">
        <x:v>https://masseffect.fandom.com/wiki/Upgrade_Guide
https://masseffect.fandom.com/wiki/Mass_Effect_2_Guide</x:v>
      </x:c>
      <x:c r="S25" s="20" t="str">
        <x:v>Spécification à réaliser. Les champs adaptation, gameplay, visual, animation, audio et implementation décrivent le fan game ; ils ne donnent pas des caractéristiques officielles de l’œuvre.</x:v>
      </x:c>
    </x:row>
    <x:row r="26" ht="68" customHeight="1">
      <x:c r="A26" s="19" t="str">
        <x:v>ME2-EQP-HAMMERHEAD</x:v>
      </x:c>
      <x:c r="B26" s="7" t="str">
        <x:v>M-44 Hammerhead</x:v>
      </x:c>
      <x:c r="C26" s="15" t="str">
        <x:v>Défini</x:v>
      </x:c>
      <x:c r="D26" s="17" t="str">
        <x:v>Établi</x:v>
      </x:c>
      <x:c r="E26" s="17" t="str">
        <x:v>P1</x:v>
      </x:c>
      <x:c r="F26" s="7" t="str">
        <x:v>Véhicule du pack Firewalker.</x:v>
      </x:c>
      <x:c r="G26" s="7" t="str">
        <x:v>Module de déplacement séparé du groupe ATB ; translation, saut et récolte avec aides de trajectoire.</x:v>
      </x:c>
      <x:c r="H26" s="7" t="str">
        <x:v>Module de déplacement séparé du groupe ATB ; translation, saut et récolte avec aides de trajectoire.</x:v>
      </x:c>
      <x:c r="I26" s="7" t="str">
        <x:v>Véhicule bas à sustentation et moteurs latéraux.</x:v>
      </x:c>
      <x:c r="J26" s="7" t="str">
        <x:v>Préparer état de repos, anticipation, activation et retour au repos ; aligner les événements visuels sur la résolution de l’action ATB.</x:v>
      </x:c>
      <x:c r="K26" s="7" t="str">
        <x:v>Créer des bruitages et ambiances originaux adaptés au livrable ; sous-titrer les indices utiles et proposer un réglage indépendant des effets. Aucune extraction audio demandée.</x:v>
      </x:c>
      <x:c r="L26" s="7" t="str">
        <x:v>Prévu : fiche de données me2/equipment/hammerhead ; rattacher les ressources et états cités à cet identifiant. Aucun fichier de jeu créé par ce catalogue.</x:v>
      </x:c>
      <x:c r="M26" s="7" t="str">
        <x:v>Firewalker et sections d’Overlord.</x:v>
      </x:c>
      <x:c r="N26" s="7" t="str">
        <x:v>Le livrable « M-44 Hammerhead » possède une scène ou un scénario de contrôle ; ses règles proposées, ses conditions et ses retours visuels sont vérifiables séparément.</x:v>
      </x:c>
      <x:c r="O26" s="7" t="str"/>
      <x:c r="P26" s="7" t="str">
        <x:v>M-44 Hammerhead</x:v>
      </x:c>
      <x:c r="Q26" s="7" t="str">
        <x:v>ME2-SRC-FIRE, ME2-SRC-OVERLORD</x:v>
      </x:c>
      <x:c r="R26" s="21" t="str">
        <x:v>https://masseffect.fandom.com/wiki/Firewalker_Pack
https://masseffect.fandom.com/wiki/Overlord</x:v>
      </x:c>
      <x:c r="S26" s="21" t="str">
        <x:v>Spécification à réaliser. Les champs adaptation, gameplay, visual, animation, audio et implementation décrivent le fan game ; ils ne donnent pas des caractéristiques officielles de l’œuvre.</x:v>
      </x:c>
    </x:row>
  </x:sheetData>
  <x:conditionalFormatting sqref="D7:D26">
    <x:cfRule type="cellIs" dxfId="60" priority="1" operator="equal">
      <x:formula>"À vérifier"</x:formula>
    </x:cfRule>
    <x:cfRule type="cellIs" dxfId="61" priority="2" operator="equal">
      <x:formula>"Extrapolation"</x:formula>
    </x:cfRule>
  </x:conditionalFormatting>
  <x:conditionalFormatting sqref="C7:C26">
    <x:cfRule type="cellIs" dxfId="62" priority="3" operator="equal">
      <x:formula>"Validé"</x:formula>
    </x:cfRule>
  </x:conditionalFormatting>
  <x:conditionalFormatting sqref="E7:E26">
    <x:cfRule type="cellIs" dxfId="63" priority="4" operator="equal">
      <x:formula>"P0"</x:formula>
    </x:cfRule>
  </x:conditionalFormatting>
  <x:dataValidations count="3">
    <x:dataValidation type="list" sqref="C7:C26">
      <x:formula1>"Défini,Prototype,Intégré,Validé"</x:formula1>
    </x:dataValidation>
    <x:dataValidation type="list" sqref="D7:D26">
      <x:formula1>"Établi,À vérifier,Extrapolation,Coupé attesté,Concept abandonné,Allégation écartée"</x:formula1>
    </x:dataValidation>
    <x:dataValidation type="list" sqref="E7:E26">
      <x:formula1>"P0,P1,P2"</x:formula1>
    </x:dataValidation>
  </x:dataValidations>
  <x:pageMargins left="0.7" right="0.7" top="0.75" bottom="0.75" header="0.3" footer="0.3"/>
  <x:tableParts count="1">
    <x:tablePart xmlns:r="http://schemas.openxmlformats.org/officeDocument/2006/relationships" r:id="R60e3a0d19d6c4afa"/>
  </x:tableParts>
</x:worksheet>
</file>

<file path=xl/worksheets/sheet1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Pouvoirs</x:v>
      </x:c>
      <x:c r="B2" s="2"/>
      <x:c r="C2" s="2"/>
      <x:c r="D2" s="2"/>
      <x:c r="E2" s="2"/>
      <x:c r="F2" s="2"/>
      <x:c r="G2" s="2"/>
      <x:c r="H2" s="2"/>
      <x:c r="I2" s="2"/>
      <x:c r="J2" s="2"/>
      <x:c r="K2" s="2"/>
      <x:c r="L2" s="2"/>
      <x:c r="M2" s="2"/>
      <x:c r="N2" s="2"/>
      <x:c r="O2" s="2"/>
      <x:c r="P2" s="2"/>
      <x:c r="Q2" s="2"/>
      <x:c r="R2" s="2"/>
      <x:c r="S2" s="2"/>
    </x:row>
    <x:row r="3" ht="22" customHeight="1">
      <x:c r="A3" s="4" t="str">
        <x:v>Mass Effect 2 — Capacités canoniques et traduction ATB</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ME2-POW-PULL</x:v>
      </x:c>
      <x:c r="B7" s="9" t="str">
        <x:v>Pull</x:v>
      </x:c>
      <x:c r="C7" s="15" t="str">
        <x:v>Défini</x:v>
      </x:c>
      <x:c r="D7" s="16" t="str">
        <x:v>Établi</x:v>
      </x:c>
      <x:c r="E7" s="16" t="str">
        <x:v>P1</x:v>
      </x:c>
      <x:c r="F7" s="9" t="str">
        <x:v>Pouvoir de ME2.</x:v>
      </x:c>
      <x:c r="G7" s="9" t="str">
        <x:v>Conversion ATB proposée : Soulever une cible dépouillée de protection ; une icône de résistance explique l’échec sur armure.</x:v>
      </x:c>
      <x:c r="H7" s="9" t="str">
        <x:v>Soulever une cible dépouillée de protection ; une icône de résistance explique l’échec sur armure.</x:v>
      </x:c>
      <x:c r="I7" s="9" t="str">
        <x:v>Fil biotique ascendant et cible suspendue.</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me2/powers/pull ; rattacher les ressources et états cités à cet identifiant. Aucun fichier de jeu créé par ce catalogue.</x:v>
      </x:c>
      <x:c r="M7" s="9" t="str"/>
      <x:c r="N7" s="9" t="str">
        <x:v>La cible, la protection pertinente, le coût proposé, l’état appliqué et sa fin sont visibles ; une cible non admissible ne consomme pas la commande.</x:v>
      </x:c>
      <x:c r="O7" s="9" t="str"/>
      <x:c r="P7" s="9" t="str">
        <x:v>Table des pouvoirs ME2</x:v>
      </x:c>
      <x:c r="Q7" s="9" t="str">
        <x:v>ME2-SRC-POWERS</x:v>
      </x:c>
      <x:c r="R7" s="20" t="str">
        <x:v>https://masseffect.fandom.com/wiki/Powers</x:v>
      </x:c>
      <x:c r="S7" s="20" t="str">
        <x:v>Spécification à réaliser. Les champs adaptation, gameplay, visual, animation, audio et implementation décrivent le fan game ; ils ne donnent pas des caractéristiques officielles de l’œuvre.</x:v>
      </x:c>
    </x:row>
    <x:row r="8" ht="68" customHeight="1">
      <x:c r="A8" s="19" t="str">
        <x:v>ME2-POW-THROW</x:v>
      </x:c>
      <x:c r="B8" s="7" t="str">
        <x:v>Throw</x:v>
      </x:c>
      <x:c r="C8" s="15" t="str">
        <x:v>Défini</x:v>
      </x:c>
      <x:c r="D8" s="17" t="str">
        <x:v>Établi</x:v>
      </x:c>
      <x:c r="E8" s="17" t="str">
        <x:v>P1</x:v>
      </x:c>
      <x:c r="F8" s="7" t="str">
        <x:v>Pouvoir de ME2.</x:v>
      </x:c>
      <x:c r="G8" s="7" t="str">
        <x:v>Conversion ATB proposée : Pousser une cible selon l’axe prévisualisé ; un mur arrête le recul sans téléportation.</x:v>
      </x:c>
      <x:c r="H8" s="7" t="str">
        <x:v>Pousser une cible selon l’axe prévisualisé ; un mur arrête le recul sans téléportation.</x:v>
      </x:c>
      <x:c r="I8" s="7" t="str">
        <x:v>Impulsion bleue et trajectoire au sol.</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me2/powers/throw ; rattacher les ressources et états cités à cet identifiant. Aucun fichier de jeu créé par ce catalogue.</x:v>
      </x:c>
      <x:c r="M8" s="7" t="str"/>
      <x:c r="N8" s="7" t="str">
        <x:v>La cible, la protection pertinente, le coût proposé, l’état appliqué et sa fin sont visibles ; une cible non admissible ne consomme pas la commande.</x:v>
      </x:c>
      <x:c r="O8" s="7" t="str"/>
      <x:c r="P8" s="7" t="str">
        <x:v>Table des pouvoirs ME2</x:v>
      </x:c>
      <x:c r="Q8" s="7" t="str">
        <x:v>ME2-SRC-POWERS</x:v>
      </x:c>
      <x:c r="R8" s="21" t="str">
        <x:v>https://masseffect.fandom.com/wiki/Powers</x:v>
      </x:c>
      <x:c r="S8" s="21" t="str">
        <x:v>Spécification à réaliser. Les champs adaptation, gameplay, visual, animation, audio et implementation décrivent le fan game ; ils ne donnent pas des caractéristiques officielles de l’œuvre.</x:v>
      </x:c>
    </x:row>
    <x:row r="9" ht="68" customHeight="1">
      <x:c r="A9" s="18" t="str">
        <x:v>ME2-POW-WARP</x:v>
      </x:c>
      <x:c r="B9" s="9" t="str">
        <x:v>Warp</x:v>
      </x:c>
      <x:c r="C9" s="15" t="str">
        <x:v>Défini</x:v>
      </x:c>
      <x:c r="D9" s="16" t="str">
        <x:v>Établi</x:v>
      </x:c>
      <x:c r="E9" s="16" t="str">
        <x:v>P1</x:v>
      </x:c>
      <x:c r="F9" s="9" t="str">
        <x:v>Pouvoir de ME2.</x:v>
      </x:c>
      <x:c r="G9" s="9" t="str">
        <x:v>Conversion ATB proposée : Dégrader une défense puis exploiter une suspension ; séparer dégâts et détonation proposée.</x:v>
      </x:c>
      <x:c r="H9" s="9" t="str">
        <x:v>Dégrader une défense puis exploiter une suspension ; séparer dégâts et détonation proposée.</x:v>
      </x:c>
      <x:c r="I9" s="9" t="str">
        <x:v>Tourbillon violet serré.</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me2/powers/warp ; rattacher les ressources et états cités à cet identifiant. Aucun fichier de jeu créé par ce catalogue.</x:v>
      </x:c>
      <x:c r="M9" s="9" t="str"/>
      <x:c r="N9" s="9" t="str">
        <x:v>La cible, la protection pertinente, le coût proposé, l’état appliqué et sa fin sont visibles ; une cible non admissible ne consomme pas la commande.</x:v>
      </x:c>
      <x:c r="O9" s="9" t="str"/>
      <x:c r="P9" s="9" t="str">
        <x:v>Table des pouvoirs ME2</x:v>
      </x:c>
      <x:c r="Q9" s="9" t="str">
        <x:v>ME2-SRC-POWERS</x:v>
      </x:c>
      <x:c r="R9" s="20" t="str">
        <x:v>https://masseffect.fandom.com/wiki/Powers</x:v>
      </x:c>
      <x:c r="S9" s="20" t="str">
        <x:v>Spécification à réaliser. Les champs adaptation, gameplay, visual, animation, audio et implementation décrivent le fan game ; ils ne donnent pas des caractéristiques officielles de l’œuvre.</x:v>
      </x:c>
    </x:row>
    <x:row r="10" ht="68" customHeight="1">
      <x:c r="A10" s="19" t="str">
        <x:v>ME2-POW-SINGULARITY</x:v>
      </x:c>
      <x:c r="B10" s="7" t="str">
        <x:v>Singularity</x:v>
      </x:c>
      <x:c r="C10" s="15" t="str">
        <x:v>Défini</x:v>
      </x:c>
      <x:c r="D10" s="17" t="str">
        <x:v>Établi</x:v>
      </x:c>
      <x:c r="E10" s="17" t="str">
        <x:v>P1</x:v>
      </x:c>
      <x:c r="F10" s="7" t="str">
        <x:v>Pouvoir de ME2.</x:v>
      </x:c>
      <x:c r="G10" s="7" t="str">
        <x:v>Conversion ATB proposée : Créer une zone persistante de contrôle ; petite silhouette de centre évitant de masquer les cibles.</x:v>
      </x:c>
      <x:c r="H10" s="7" t="str">
        <x:v>Créer une zone persistante de contrôle ; petite silhouette de centre évitant de masquer les cibles.</x:v>
      </x:c>
      <x:c r="I10" s="7" t="str">
        <x:v>Noyau sombre et anneaux bleus.</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me2/powers/singularity ; rattacher les ressources et états cités à cet identifiant. Aucun fichier de jeu créé par ce catalogue.</x:v>
      </x:c>
      <x:c r="M10" s="7" t="str"/>
      <x:c r="N10" s="7" t="str">
        <x:v>La cible, la protection pertinente, le coût proposé, l’état appliqué et sa fin sont visibles ; une cible non admissible ne consomme pas la commande.</x:v>
      </x:c>
      <x:c r="O10" s="7" t="str"/>
      <x:c r="P10" s="7" t="str">
        <x:v>Table des pouvoirs ME2</x:v>
      </x:c>
      <x:c r="Q10" s="7" t="str">
        <x:v>ME2-SRC-POWERS</x:v>
      </x:c>
      <x:c r="R10" s="21" t="str">
        <x:v>https://masseffect.fandom.com/wiki/Powers</x:v>
      </x:c>
      <x:c r="S10" s="21" t="str">
        <x:v>Spécification à réaliser. Les champs adaptation, gameplay, visual, animation, audio et implementation décrivent le fan game ; ils ne donnent pas des caractéristiques officielles de l’œuvre.</x:v>
      </x:c>
    </x:row>
    <x:row r="11" ht="68" customHeight="1">
      <x:c r="A11" s="18" t="str">
        <x:v>ME2-POW-SHOCKWAVE</x:v>
      </x:c>
      <x:c r="B11" s="9" t="str">
        <x:v>Shockwave</x:v>
      </x:c>
      <x:c r="C11" s="15" t="str">
        <x:v>Défini</x:v>
      </x:c>
      <x:c r="D11" s="16" t="str">
        <x:v>Établi</x:v>
      </x:c>
      <x:c r="E11" s="16" t="str">
        <x:v>P1</x:v>
      </x:c>
      <x:c r="F11" s="9" t="str">
        <x:v>Pouvoir de ME2.</x:v>
      </x:c>
      <x:c r="G11" s="9" t="str">
        <x:v>Conversion ATB proposée : Dessiner une ligne d’impulsions par bandes ; couvert bas franchi, mur plein bloquant.</x:v>
      </x:c>
      <x:c r="H11" s="9" t="str">
        <x:v>Dessiner une ligne d’impulsions par bandes ; couvert bas franchi, mur plein bloquant.</x:v>
      </x:c>
      <x:c r="I11" s="9" t="str">
        <x:v>Vagues successives au sol.</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me2/powers/shockwave ; rattacher les ressources et états cités à cet identifiant. Aucun fichier de jeu créé par ce catalogue.</x:v>
      </x:c>
      <x:c r="M11" s="9" t="str"/>
      <x:c r="N11" s="9" t="str">
        <x:v>La cible, la protection pertinente, le coût proposé, l’état appliqué et sa fin sont visibles ; une cible non admissible ne consomme pas la commande.</x:v>
      </x:c>
      <x:c r="O11" s="9" t="str"/>
      <x:c r="P11" s="9" t="str">
        <x:v>Table des pouvoirs ME2</x:v>
      </x:c>
      <x:c r="Q11" s="9" t="str">
        <x:v>ME2-SRC-POWERS</x:v>
      </x:c>
      <x:c r="R11" s="20" t="str">
        <x:v>https://masseffect.fandom.com/wiki/Powers</x:v>
      </x:c>
      <x:c r="S11" s="20" t="str">
        <x:v>Spécification à réaliser. Les champs adaptation, gameplay, visual, animation, audio et implementation décrivent le fan game ; ils ne donnent pas des caractéristiques officielles de l’œuvre.</x:v>
      </x:c>
    </x:row>
    <x:row r="12" ht="68" customHeight="1">
      <x:c r="A12" s="19" t="str">
        <x:v>ME2-POW-SLAM</x:v>
      </x:c>
      <x:c r="B12" s="7" t="str">
        <x:v>Slam</x:v>
      </x:c>
      <x:c r="C12" s="15" t="str">
        <x:v>Défini</x:v>
      </x:c>
      <x:c r="D12" s="17" t="str">
        <x:v>Établi</x:v>
      </x:c>
      <x:c r="E12" s="17" t="str">
        <x:v>P1</x:v>
      </x:c>
      <x:c r="F12" s="7" t="str">
        <x:v>Pouvoir de ME2.</x:v>
      </x:c>
      <x:c r="G12" s="7" t="str">
        <x:v>Conversion ATB proposée : Levée brève puis chute ; indiquer le point d’impact, immunité de boss partielle proposée.</x:v>
      </x:c>
      <x:c r="H12" s="7" t="str">
        <x:v>Levée brève puis chute ; indiquer le point d’impact, immunité de boss partielle proposée.</x:v>
      </x:c>
      <x:c r="I12" s="7" t="str">
        <x:v>Colonne biotique et choc vertical.</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me2/powers/slam ; rattacher les ressources et états cités à cet identifiant. Aucun fichier de jeu créé par ce catalogue.</x:v>
      </x:c>
      <x:c r="M12" s="7" t="str"/>
      <x:c r="N12" s="7" t="str">
        <x:v>La cible, la protection pertinente, le coût proposé, l’état appliqué et sa fin sont visibles ; une cible non admissible ne consomme pas la commande.</x:v>
      </x:c>
      <x:c r="O12" s="7" t="str"/>
      <x:c r="P12" s="7" t="str">
        <x:v>Table des pouvoirs ME2</x:v>
      </x:c>
      <x:c r="Q12" s="7" t="str">
        <x:v>ME2-SRC-POWERS</x:v>
      </x:c>
      <x:c r="R12" s="21" t="str">
        <x:v>https://masseffect.fandom.com/wiki/Powers</x:v>
      </x:c>
      <x:c r="S12" s="21" t="str">
        <x:v>Spécification à réaliser. Les champs adaptation, gameplay, visual, animation, audio et implementation décrivent le fan game ; ils ne donnent pas des caractéristiques officielles de l’œuvre.</x:v>
      </x:c>
    </x:row>
    <x:row r="13" ht="68" customHeight="1">
      <x:c r="A13" s="18" t="str">
        <x:v>ME2-POW-REAVE</x:v>
      </x:c>
      <x:c r="B13" s="9" t="str">
        <x:v>Reave</x:v>
      </x:c>
      <x:c r="C13" s="15" t="str">
        <x:v>Défini</x:v>
      </x:c>
      <x:c r="D13" s="16" t="str">
        <x:v>Établi</x:v>
      </x:c>
      <x:c r="E13" s="16" t="str">
        <x:v>P1</x:v>
      </x:c>
      <x:c r="F13" s="9" t="str">
        <x:v>Pouvoir de ME2.</x:v>
      </x:c>
      <x:c r="G13" s="9" t="str">
        <x:v>Conversion ATB proposée : Affaiblir une cible organique et accorder une protection temporaire proposée à l’utilisateur ; statut visible.</x:v>
      </x:c>
      <x:c r="H13" s="9" t="str">
        <x:v>Affaiblir une cible organique et accorder une protection temporaire proposée à l’utilisateur ; statut visible.</x:v>
      </x:c>
      <x:c r="I13" s="9" t="str">
        <x:v>Aura biotique rouge-violette.</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me2/powers/reave ; rattacher les ressources et états cités à cet identifiant. Aucun fichier de jeu créé par ce catalogue.</x:v>
      </x:c>
      <x:c r="M13" s="9" t="str"/>
      <x:c r="N13" s="9" t="str">
        <x:v>La cible, la protection pertinente, le coût proposé, l’état appliqué et sa fin sont visibles ; une cible non admissible ne consomme pas la commande.</x:v>
      </x:c>
      <x:c r="O13" s="9" t="str"/>
      <x:c r="P13" s="9" t="str">
        <x:v>Table des pouvoirs ME2</x:v>
      </x:c>
      <x:c r="Q13" s="9" t="str">
        <x:v>ME2-SRC-POWERS</x:v>
      </x:c>
      <x:c r="R13" s="20" t="str">
        <x:v>https://masseffect.fandom.com/wiki/Powers</x:v>
      </x:c>
      <x:c r="S13" s="20" t="str">
        <x:v>Spécification à réaliser. Les champs adaptation, gameplay, visual, animation, audio et implementation décrivent le fan game ; ils ne donnent pas des caractéristiques officielles de l’œuvre.</x:v>
      </x:c>
    </x:row>
    <x:row r="14" ht="68" customHeight="1">
      <x:c r="A14" s="19" t="str">
        <x:v>ME2-POW-DOMINATE</x:v>
      </x:c>
      <x:c r="B14" s="7" t="str">
        <x:v>Dominate</x:v>
      </x:c>
      <x:c r="C14" s="15" t="str">
        <x:v>Défini</x:v>
      </x:c>
      <x:c r="D14" s="17" t="str">
        <x:v>Établi</x:v>
      </x:c>
      <x:c r="E14" s="17" t="str">
        <x:v>P1</x:v>
      </x:c>
      <x:c r="F14" s="7" t="str">
        <x:v>Pouvoir de ME2.</x:v>
      </x:c>
      <x:c r="G14" s="7" t="str">
        <x:v>Conversion ATB proposée : Contrôle temporaire d’organique vulnérable ; empêcher le ciblage amical pendant sa conversion.</x:v>
      </x:c>
      <x:c r="H14" s="7" t="str">
        <x:v>Contrôle temporaire d’organique vulnérable ; empêcher le ciblage amical pendant sa conversion.</x:v>
      </x:c>
      <x:c r="I14" s="7" t="str">
        <x:v>Lien violet et icône de durée.</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me2/powers/dominate ; rattacher les ressources et états cités à cet identifiant. Aucun fichier de jeu créé par ce catalogue.</x:v>
      </x:c>
      <x:c r="M14" s="7" t="str"/>
      <x:c r="N14" s="7" t="str">
        <x:v>La cible, la protection pertinente, le coût proposé, l’état appliqué et sa fin sont visibles ; une cible non admissible ne consomme pas la commande.</x:v>
      </x:c>
      <x:c r="O14" s="7" t="str"/>
      <x:c r="P14" s="7" t="str">
        <x:v>Table des pouvoirs ME2</x:v>
      </x:c>
      <x:c r="Q14" s="7" t="str">
        <x:v>ME2-SRC-POWERS</x:v>
      </x:c>
      <x:c r="R14" s="21" t="str">
        <x:v>https://masseffect.fandom.com/wiki/Powers</x:v>
      </x:c>
      <x:c r="S14" s="21" t="str">
        <x:v>Spécification à réaliser. Les champs adaptation, gameplay, visual, animation, audio et implementation décrivent le fan game ; ils ne donnent pas des caractéristiques officielles de l’œuvre.</x:v>
      </x:c>
    </x:row>
    <x:row r="15" ht="68" customHeight="1">
      <x:c r="A15" s="18" t="str">
        <x:v>ME2-POW-BARRIER</x:v>
      </x:c>
      <x:c r="B15" s="9" t="str">
        <x:v>Barrier</x:v>
      </x:c>
      <x:c r="C15" s="15" t="str">
        <x:v>Défini</x:v>
      </x:c>
      <x:c r="D15" s="16" t="str">
        <x:v>Établi</x:v>
      </x:c>
      <x:c r="E15" s="16" t="str">
        <x:v>P1</x:v>
      </x:c>
      <x:c r="F15" s="9" t="str">
        <x:v>Pouvoir de ME2.</x:v>
      </x:c>
      <x:c r="G15" s="9" t="str">
        <x:v>Conversion ATB proposée : Ajouter une réserve biotique séparée ; son activation ne réinitialise pas tous les temps de récupération.</x:v>
      </x:c>
      <x:c r="H15" s="9" t="str">
        <x:v>Ajouter une réserve biotique séparée ; son activation ne réinitialise pas tous les temps de récupération.</x:v>
      </x:c>
      <x:c r="I15" s="9" t="str">
        <x:v>Dôme bref et bord de portrait violet.</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me2/powers/barrier ; rattacher les ressources et états cités à cet identifiant. Aucun fichier de jeu créé par ce catalogue.</x:v>
      </x:c>
      <x:c r="M15" s="9" t="str"/>
      <x:c r="N15" s="9" t="str">
        <x:v>La cible, la protection pertinente, le coût proposé, l’état appliqué et sa fin sont visibles ; une cible non admissible ne consomme pas la commande.</x:v>
      </x:c>
      <x:c r="O15" s="9" t="str"/>
      <x:c r="P15" s="9" t="str">
        <x:v>Table des pouvoirs ME2</x:v>
      </x:c>
      <x:c r="Q15" s="9" t="str">
        <x:v>ME2-SRC-POWERS</x:v>
      </x:c>
      <x:c r="R15" s="20" t="str">
        <x:v>https://masseffect.fandom.com/wiki/Powers</x:v>
      </x:c>
      <x:c r="S15" s="20" t="str">
        <x:v>Spécification à réaliser. Les champs adaptation, gameplay, visual, animation, audio et implementation décrivent le fan game ; ils ne donnent pas des caractéristiques officielles de l’œuvre.</x:v>
      </x:c>
    </x:row>
    <x:row r="16" ht="68" customHeight="1">
      <x:c r="A16" s="19" t="str">
        <x:v>ME2-POW-CHARGE</x:v>
      </x:c>
      <x:c r="B16" s="7" t="str">
        <x:v>Biotic Charge</x:v>
      </x:c>
      <x:c r="C16" s="15" t="str">
        <x:v>Défini</x:v>
      </x:c>
      <x:c r="D16" s="17" t="str">
        <x:v>Établi</x:v>
      </x:c>
      <x:c r="E16" s="17" t="str">
        <x:v>P1</x:v>
      </x:c>
      <x:c r="F16" s="7" t="str">
        <x:v>Pouvoir de ME2.</x:v>
      </x:c>
      <x:c r="G16" s="7" t="str">
        <x:v>Conversion ATB proposée : Déplacement offensif vers une cible valide ; vérifier chemin d’atterrissage et espace du sprite avant paiement.</x:v>
      </x:c>
      <x:c r="H16" s="7" t="str">
        <x:v>Déplacement offensif vers une cible valide ; vérifier chemin d’atterrissage et espace du sprite avant paiement.</x:v>
      </x:c>
      <x:c r="I16" s="7" t="str">
        <x:v>Trainée bleue et choc de contact.</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me2/powers/charge ; rattacher les ressources et états cités à cet identifiant. Aucun fichier de jeu créé par ce catalogue.</x:v>
      </x:c>
      <x:c r="M16" s="7" t="str"/>
      <x:c r="N16" s="7" t="str">
        <x:v>La cible, la protection pertinente, le coût proposé, l’état appliqué et sa fin sont visibles ; une cible non admissible ne consomme pas la commande.</x:v>
      </x:c>
      <x:c r="O16" s="7" t="str"/>
      <x:c r="P16" s="7" t="str">
        <x:v>Table des pouvoirs ME2</x:v>
      </x:c>
      <x:c r="Q16" s="7" t="str">
        <x:v>ME2-SRC-POWERS</x:v>
      </x:c>
      <x:c r="R16" s="21" t="str">
        <x:v>https://masseffect.fandom.com/wiki/Powers</x:v>
      </x:c>
      <x:c r="S16" s="21" t="str">
        <x:v>Spécification à réaliser. Les champs adaptation, gameplay, visual, animation, audio et implementation décrivent le fan game ; ils ne donnent pas des caractéristiques officielles de l’œuvre.</x:v>
      </x:c>
    </x:row>
    <x:row r="17" ht="68" customHeight="1">
      <x:c r="A17" s="18" t="str">
        <x:v>ME2-POW-OVERLOAD</x:v>
      </x:c>
      <x:c r="B17" s="9" t="str">
        <x:v>Overload</x:v>
      </x:c>
      <x:c r="C17" s="15" t="str">
        <x:v>Défini</x:v>
      </x:c>
      <x:c r="D17" s="16" t="str">
        <x:v>Établi</x:v>
      </x:c>
      <x:c r="E17" s="16" t="str">
        <x:v>P1</x:v>
      </x:c>
      <x:c r="F17" s="9" t="str">
        <x:v>Pouvoir de ME2.</x:v>
      </x:c>
      <x:c r="G17" s="9" t="str">
        <x:v>Conversion ATB proposée : Retirer une protection électrique et interrompre une machine ; ne pas assimiler barrière biotique et bouclier.</x:v>
      </x:c>
      <x:c r="H17" s="9" t="str">
        <x:v>Retirer une protection électrique et interrompre une machine ; ne pas assimiler barrière biotique et bouclier.</x:v>
      </x:c>
      <x:c r="I17" s="9" t="str">
        <x:v>Arc sur circuit et flash de cible.</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me2/powers/overload ; rattacher les ressources et états cités à cet identifiant. Aucun fichier de jeu créé par ce catalogue.</x:v>
      </x:c>
      <x:c r="M17" s="9" t="str"/>
      <x:c r="N17" s="9" t="str">
        <x:v>La cible, la protection pertinente, le coût proposé, l’état appliqué et sa fin sont visibles ; une cible non admissible ne consomme pas la commande.</x:v>
      </x:c>
      <x:c r="O17" s="9" t="str"/>
      <x:c r="P17" s="9" t="str">
        <x:v>Table des pouvoirs ME2</x:v>
      </x:c>
      <x:c r="Q17" s="9" t="str">
        <x:v>ME2-SRC-POWERS</x:v>
      </x:c>
      <x:c r="R17" s="20" t="str">
        <x:v>https://masseffect.fandom.com/wiki/Powers</x:v>
      </x:c>
      <x:c r="S17" s="20" t="str">
        <x:v>Spécification à réaliser. Les champs adaptation, gameplay, visual, animation, audio et implementation décrivent le fan game ; ils ne donnent pas des caractéristiques officielles de l’œuvre.</x:v>
      </x:c>
    </x:row>
    <x:row r="18" ht="68" customHeight="1">
      <x:c r="A18" s="19" t="str">
        <x:v>ME2-POW-INCINERATE</x:v>
      </x:c>
      <x:c r="B18" s="7" t="str">
        <x:v>Incinerate</x:v>
      </x:c>
      <x:c r="C18" s="15" t="str">
        <x:v>Défini</x:v>
      </x:c>
      <x:c r="D18" s="17" t="str">
        <x:v>Établi</x:v>
      </x:c>
      <x:c r="E18" s="17" t="str">
        <x:v>P1</x:v>
      </x:c>
      <x:c r="F18" s="7" t="str">
        <x:v>Pouvoir de ME2.</x:v>
      </x:c>
      <x:c r="G18" s="7" t="str">
        <x:v>Conversion ATB proposée : Appliquer combustion contre armure ; effet de panique limité aux cibles compatibles.</x:v>
      </x:c>
      <x:c r="H18" s="7" t="str">
        <x:v>Appliquer combustion contre armure ; effet de panique limité aux cibles compatibles.</x:v>
      </x:c>
      <x:c r="I18" s="7" t="str">
        <x:v>Projectile orange et lueur résiduelle.</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me2/powers/incinerate ; rattacher les ressources et états cités à cet identifiant. Aucun fichier de jeu créé par ce catalogue.</x:v>
      </x:c>
      <x:c r="M18" s="7" t="str"/>
      <x:c r="N18" s="7" t="str">
        <x:v>La cible, la protection pertinente, le coût proposé, l’état appliqué et sa fin sont visibles ; une cible non admissible ne consomme pas la commande.</x:v>
      </x:c>
      <x:c r="O18" s="7" t="str"/>
      <x:c r="P18" s="7" t="str">
        <x:v>Table des pouvoirs ME2</x:v>
      </x:c>
      <x:c r="Q18" s="7" t="str">
        <x:v>ME2-SRC-POWERS</x:v>
      </x:c>
      <x:c r="R18" s="21" t="str">
        <x:v>https://masseffect.fandom.com/wiki/Powers</x:v>
      </x:c>
      <x:c r="S18" s="21" t="str">
        <x:v>Spécification à réaliser. Les champs adaptation, gameplay, visual, animation, audio et implementation décrivent le fan game ; ils ne donnent pas des caractéristiques officielles de l’œuvre.</x:v>
      </x:c>
    </x:row>
    <x:row r="19" ht="68" customHeight="1">
      <x:c r="A19" s="18" t="str">
        <x:v>ME2-POW-CRYO</x:v>
      </x:c>
      <x:c r="B19" s="9" t="str">
        <x:v>Cryo Blast</x:v>
      </x:c>
      <x:c r="C19" s="15" t="str">
        <x:v>Défini</x:v>
      </x:c>
      <x:c r="D19" s="16" t="str">
        <x:v>Établi</x:v>
      </x:c>
      <x:c r="E19" s="16" t="str">
        <x:v>P1</x:v>
      </x:c>
      <x:c r="F19" s="9" t="str">
        <x:v>Pouvoir de ME2.</x:v>
      </x:c>
      <x:c r="G19" s="9" t="str">
        <x:v>Conversion ATB proposée : Refroidir puis geler une cible vulnérable ; boss ralenti sans pose brisée.</x:v>
      </x:c>
      <x:c r="H19" s="9" t="str">
        <x:v>Refroidir puis geler une cible vulnérable ; boss ralenti sans pose brisée.</x:v>
      </x:c>
      <x:c r="I19" s="9" t="str">
        <x:v>Brume blanche et givre à contour épais.</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me2/powers/cryo ; rattacher les ressources et états cités à cet identifiant. Aucun fichier de jeu créé par ce catalogue.</x:v>
      </x:c>
      <x:c r="M19" s="9" t="str"/>
      <x:c r="N19" s="9" t="str">
        <x:v>La cible, la protection pertinente, le coût proposé, l’état appliqué et sa fin sont visibles ; une cible non admissible ne consomme pas la commande.</x:v>
      </x:c>
      <x:c r="O19" s="9" t="str"/>
      <x:c r="P19" s="9" t="str">
        <x:v>Table des pouvoirs ME2</x:v>
      </x:c>
      <x:c r="Q19" s="9" t="str">
        <x:v>ME2-SRC-POWERS</x:v>
      </x:c>
      <x:c r="R19" s="20" t="str">
        <x:v>https://masseffect.fandom.com/wiki/Powers</x:v>
      </x:c>
      <x:c r="S19" s="20" t="str">
        <x:v>Spécification à réaliser. Les champs adaptation, gameplay, visual, animation, audio et implementation décrivent le fan game ; ils ne donnent pas des caractéristiques officielles de l’œuvre.</x:v>
      </x:c>
    </x:row>
    <x:row r="20" ht="68" customHeight="1">
      <x:c r="A20" s="19" t="str">
        <x:v>ME2-POW-HACK</x:v>
      </x:c>
      <x:c r="B20" s="7" t="str">
        <x:v>AI Hacking</x:v>
      </x:c>
      <x:c r="C20" s="15" t="str">
        <x:v>Défini</x:v>
      </x:c>
      <x:c r="D20" s="17" t="str">
        <x:v>Établi</x:v>
      </x:c>
      <x:c r="E20" s="17" t="str">
        <x:v>P1</x:v>
      </x:c>
      <x:c r="F20" s="7" t="str">
        <x:v>Pouvoir de ME2.</x:v>
      </x:c>
      <x:c r="G20" s="7" t="str">
        <x:v>Conversion ATB proposée : Convertir temporairement une machine dépouillée de protection ; afficher faction provisoire sans ambiguïté.</x:v>
      </x:c>
      <x:c r="H20" s="7" t="str">
        <x:v>Convertir temporairement une machine dépouillée de protection ; afficher faction provisoire sans ambiguïté.</x:v>
      </x:c>
      <x:c r="I20" s="7" t="str">
        <x:v>Omni-outil orange et icône réseau.</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me2/powers/hack ; rattacher les ressources et états cités à cet identifiant. Aucun fichier de jeu créé par ce catalogue.</x:v>
      </x:c>
      <x:c r="M20" s="7" t="str"/>
      <x:c r="N20" s="7" t="str">
        <x:v>La cible, la protection pertinente, le coût proposé, l’état appliqué et sa fin sont visibles ; une cible non admissible ne consomme pas la commande.</x:v>
      </x:c>
      <x:c r="O20" s="7" t="str"/>
      <x:c r="P20" s="7" t="str">
        <x:v>Table des pouvoirs ME2</x:v>
      </x:c>
      <x:c r="Q20" s="7" t="str">
        <x:v>ME2-SRC-POWERS</x:v>
      </x:c>
      <x:c r="R20" s="21" t="str">
        <x:v>https://masseffect.fandom.com/wiki/Powers</x:v>
      </x:c>
      <x:c r="S20" s="21" t="str">
        <x:v>Spécification à réaliser. Les champs adaptation, gameplay, visual, animation, audio et implementation décrivent le fan game ; ils ne donnent pas des caractéristiques officielles de l’œuvre.</x:v>
      </x:c>
    </x:row>
    <x:row r="21" ht="68" customHeight="1">
      <x:c r="A21" s="18" t="str">
        <x:v>ME2-POW-DRONE</x:v>
      </x:c>
      <x:c r="B21" s="9" t="str">
        <x:v>Combat Drone</x:v>
      </x:c>
      <x:c r="C21" s="15" t="str">
        <x:v>Défini</x:v>
      </x:c>
      <x:c r="D21" s="16" t="str">
        <x:v>Établi</x:v>
      </x:c>
      <x:c r="E21" s="16" t="str">
        <x:v>P1</x:v>
      </x:c>
      <x:c r="F21" s="9" t="str">
        <x:v>Pouvoir de ME2.</x:v>
      </x:c>
      <x:c r="G21" s="9" t="str">
        <x:v>Conversion ATB proposée : Placer une diversion sur un emplacement libre ; le drone agit après un signal d’apparition.</x:v>
      </x:c>
      <x:c r="H21" s="9" t="str">
        <x:v>Placer une diversion sur un emplacement libre ; le drone agit après un signal d’apparition.</x:v>
      </x:c>
      <x:c r="I21" s="9" t="str">
        <x:v>Petite sphère holographique et ombre.</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me2/powers/drone ; rattacher les ressources et états cités à cet identifiant. Aucun fichier de jeu créé par ce catalogue.</x:v>
      </x:c>
      <x:c r="M21" s="9" t="str"/>
      <x:c r="N21" s="9" t="str">
        <x:v>La cible, la protection pertinente, le coût proposé, l’état appliqué et sa fin sont visibles ; une cible non admissible ne consomme pas la commande.</x:v>
      </x:c>
      <x:c r="O21" s="9" t="str"/>
      <x:c r="P21" s="9" t="str">
        <x:v>Table des pouvoirs ME2</x:v>
      </x:c>
      <x:c r="Q21" s="9" t="str">
        <x:v>ME2-SRC-POWERS</x:v>
      </x:c>
      <x:c r="R21" s="20" t="str">
        <x:v>https://masseffect.fandom.com/wiki/Powers</x:v>
      </x:c>
      <x:c r="S21" s="20" t="str">
        <x:v>Spécification à réaliser. Les champs adaptation, gameplay, visual, animation, audio et implementation décrivent le fan game ; ils ne donnent pas des caractéristiques officielles de l’œuvre.</x:v>
      </x:c>
    </x:row>
    <x:row r="22" ht="68" customHeight="1">
      <x:c r="A22" s="19" t="str">
        <x:v>ME2-POW-ENERGY-DRAIN</x:v>
      </x:c>
      <x:c r="B22" s="7" t="str">
        <x:v>Energy Drain</x:v>
      </x:c>
      <x:c r="C22" s="15" t="str">
        <x:v>Défini</x:v>
      </x:c>
      <x:c r="D22" s="17" t="str">
        <x:v>Établi</x:v>
      </x:c>
      <x:c r="E22" s="17" t="str">
        <x:v>P1</x:v>
      </x:c>
      <x:c r="F22" s="7" t="str">
        <x:v>Pouvoir de ME2.</x:v>
      </x:c>
      <x:c r="G22" s="7" t="str">
        <x:v>Conversion ATB proposée : Voler une part de bouclier disponible ; aucun gain sur cible incompatible selon la règle proposée.</x:v>
      </x:c>
      <x:c r="H22" s="7" t="str">
        <x:v>Voler une part de bouclier disponible ; aucun gain sur cible incompatible selon la règle proposée.</x:v>
      </x:c>
      <x:c r="I22" s="7" t="str">
        <x:v>Arc dirigé de la cible vers l’allié.</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me2/powers/energy-drain ; rattacher les ressources et états cités à cet identifiant. Aucun fichier de jeu créé par ce catalogue.</x:v>
      </x:c>
      <x:c r="M22" s="7" t="str"/>
      <x:c r="N22" s="7" t="str">
        <x:v>La cible, la protection pertinente, le coût proposé, l’état appliqué et sa fin sont visibles ; une cible non admissible ne consomme pas la commande.</x:v>
      </x:c>
      <x:c r="O22" s="7" t="str"/>
      <x:c r="P22" s="7" t="str">
        <x:v>Table des pouvoirs ME2</x:v>
      </x:c>
      <x:c r="Q22" s="7" t="str">
        <x:v>ME2-SRC-POWERS</x:v>
      </x:c>
      <x:c r="R22" s="21" t="str">
        <x:v>https://masseffect.fandom.com/wiki/Powers</x:v>
      </x:c>
      <x:c r="S22" s="21" t="str">
        <x:v>Spécification à réaliser. Les champs adaptation, gameplay, visual, animation, audio et implementation décrivent le fan game ; ils ne donnent pas des caractéristiques officielles de l’œuvre.</x:v>
      </x:c>
    </x:row>
    <x:row r="23" ht="68" customHeight="1">
      <x:c r="A23" s="18" t="str">
        <x:v>ME2-POW-NEURAL</x:v>
      </x:c>
      <x:c r="B23" s="9" t="str">
        <x:v>Neural Shock</x:v>
      </x:c>
      <x:c r="C23" s="15" t="str">
        <x:v>Défini</x:v>
      </x:c>
      <x:c r="D23" s="16" t="str">
        <x:v>Établi</x:v>
      </x:c>
      <x:c r="E23" s="16" t="str">
        <x:v>P1</x:v>
      </x:c>
      <x:c r="F23" s="9" t="str">
        <x:v>Pouvoir de ME2.</x:v>
      </x:c>
      <x:c r="G23" s="9" t="str">
        <x:v>Conversion ATB proposée : Désorienter un organique vulnérable ; résistance des synthétiques annoncée avant confirmation.</x:v>
      </x:c>
      <x:c r="H23" s="9" t="str">
        <x:v>Désorienter un organique vulnérable ; résistance des synthétiques annoncée avant confirmation.</x:v>
      </x:c>
      <x:c r="I23" s="9" t="str">
        <x:v>Trait orange et pose d’étourdissement.</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me2/powers/neural ; rattacher les ressources et états cités à cet identifiant. Aucun fichier de jeu créé par ce catalogue.</x:v>
      </x:c>
      <x:c r="M23" s="9" t="str"/>
      <x:c r="N23" s="9" t="str">
        <x:v>La cible, la protection pertinente, le coût proposé, l’état appliqué et sa fin sont visibles ; une cible non admissible ne consomme pas la commande.</x:v>
      </x:c>
      <x:c r="O23" s="9" t="str"/>
      <x:c r="P23" s="9" t="str">
        <x:v>Table des pouvoirs ME2</x:v>
      </x:c>
      <x:c r="Q23" s="9" t="str">
        <x:v>ME2-SRC-POWERS</x:v>
      </x:c>
      <x:c r="R23" s="20" t="str">
        <x:v>https://masseffect.fandom.com/wiki/Powers</x:v>
      </x:c>
      <x:c r="S23" s="20" t="str">
        <x:v>Spécification à réaliser. Les champs adaptation, gameplay, visual, animation, audio et implementation décrivent le fan game ; ils ne donnent pas des caractéristiques officielles de l’œuvre.</x:v>
      </x:c>
    </x:row>
    <x:row r="24" ht="68" customHeight="1">
      <x:c r="A24" s="19" t="str">
        <x:v>ME2-POW-TACTICAL</x:v>
      </x:c>
      <x:c r="B24" s="7" t="str">
        <x:v>Tactical Cloak</x:v>
      </x:c>
      <x:c r="C24" s="15" t="str">
        <x:v>Défini</x:v>
      </x:c>
      <x:c r="D24" s="17" t="str">
        <x:v>Établi</x:v>
      </x:c>
      <x:c r="E24" s="17" t="str">
        <x:v>P1</x:v>
      </x:c>
      <x:c r="F24" s="7" t="str">
        <x:v>Pouvoir de ME2.</x:v>
      </x:c>
      <x:c r="G24" s="7" t="str">
        <x:v>Conversion ATB proposée : Réduire la sélection ennemie, puis sortir au tir ; une attaque déjà résolue ne disparaît pas rétroactivement.</x:v>
      </x:c>
      <x:c r="H24" s="7" t="str">
        <x:v>Réduire la sélection ennemie, puis sortir au tir ; une attaque déjà résolue ne disparaît pas rétroactivement.</x:v>
      </x:c>
      <x:c r="I24" s="7" t="str">
        <x:v>Réfraction et bord lumineux accessible.</x:v>
      </x:c>
      <x:c r="J24" s="7" t="str">
        <x:v>Préparer état de repos, anticipation, activation et retour au repos ; aligner les événements visuels sur la résolution de l’action ATB.</x:v>
      </x:c>
      <x:c r="K24" s="7" t="str">
        <x:v>Créer des bruitages et ambiances originaux adaptés au livrable ; sous-titrer les indices utiles et proposer un réglage indépendant des effets. Aucune extraction audio demandée.</x:v>
      </x:c>
      <x:c r="L24" s="7" t="str">
        <x:v>Prévu : fiche de données me2/powers/tactical ; rattacher les ressources et états cités à cet identifiant. Aucun fichier de jeu créé par ce catalogue.</x:v>
      </x:c>
      <x:c r="M24" s="7" t="str"/>
      <x:c r="N24" s="7" t="str">
        <x:v>La cible, la protection pertinente, le coût proposé, l’état appliqué et sa fin sont visibles ; une cible non admissible ne consomme pas la commande.</x:v>
      </x:c>
      <x:c r="O24" s="7" t="str"/>
      <x:c r="P24" s="7" t="str">
        <x:v>Table des pouvoirs ME2</x:v>
      </x:c>
      <x:c r="Q24" s="7" t="str">
        <x:v>ME2-SRC-POWERS</x:v>
      </x:c>
      <x:c r="R24" s="21" t="str">
        <x:v>https://masseffect.fandom.com/wiki/Powers</x:v>
      </x:c>
      <x:c r="S24" s="21" t="str">
        <x:v>Spécification à réaliser. Les champs adaptation, gameplay, visual, animation, audio et implementation décrivent le fan game ; ils ne donnent pas des caractéristiques officielles de l’œuvre.</x:v>
      </x:c>
    </x:row>
    <x:row r="25" ht="68" customHeight="1">
      <x:c r="A25" s="18" t="str">
        <x:v>ME2-POW-TECH-ARMOR</x:v>
      </x:c>
      <x:c r="B25" s="9" t="str">
        <x:v>Tech Armor</x:v>
      </x:c>
      <x:c r="C25" s="15" t="str">
        <x:v>Défini</x:v>
      </x:c>
      <x:c r="D25" s="16" t="str">
        <x:v>Établi</x:v>
      </x:c>
      <x:c r="E25" s="16" t="str">
        <x:v>P1</x:v>
      </x:c>
      <x:c r="F25" s="9" t="str">
        <x:v>Pouvoir de ME2.</x:v>
      </x:c>
      <x:c r="G25" s="9" t="str">
        <x:v>Conversion ATB proposée : Protection technique avec rupture de proximité ; rendre visible le compromis de récupération.</x:v>
      </x:c>
      <x:c r="H25" s="9" t="str">
        <x:v>Protection technique avec rupture de proximité ; rendre visible le compromis de récupération.</x:v>
      </x:c>
      <x:c r="I25" s="9" t="str">
        <x:v>Plaques holographiques segmentées.</x:v>
      </x:c>
      <x:c r="J25" s="9" t="str">
        <x:v>Préparer état de repos, anticipation, activation et retour au repos ; aligner les événements visuels sur la résolution de l’action ATB.</x:v>
      </x:c>
      <x:c r="K25" s="9" t="str">
        <x:v>Créer des bruitages et ambiances originaux adaptés au livrable ; sous-titrer les indices utiles et proposer un réglage indépendant des effets. Aucune extraction audio demandée.</x:v>
      </x:c>
      <x:c r="L25" s="9" t="str">
        <x:v>Prévu : fiche de données me2/powers/tech-armor ; rattacher les ressources et états cités à cet identifiant. Aucun fichier de jeu créé par ce catalogue.</x:v>
      </x:c>
      <x:c r="M25" s="9" t="str"/>
      <x:c r="N25" s="9" t="str">
        <x:v>La cible, la protection pertinente, le coût proposé, l’état appliqué et sa fin sont visibles ; une cible non admissible ne consomme pas la commande.</x:v>
      </x:c>
      <x:c r="O25" s="9" t="str"/>
      <x:c r="P25" s="9" t="str">
        <x:v>Table des pouvoirs ME2</x:v>
      </x:c>
      <x:c r="Q25" s="9" t="str">
        <x:v>ME2-SRC-POWERS</x:v>
      </x:c>
      <x:c r="R25" s="20" t="str">
        <x:v>https://masseffect.fandom.com/wiki/Powers</x:v>
      </x:c>
      <x:c r="S25" s="20" t="str">
        <x:v>Spécification à réaliser. Les champs adaptation, gameplay, visual, animation, audio et implementation décrivent le fan game ; ils ne donnent pas des caractéristiques officielles de l’œuvre.</x:v>
      </x:c>
    </x:row>
    <x:row r="26" ht="68" customHeight="1">
      <x:c r="A26" s="19" t="str">
        <x:v>ME2-POW-GETH-SHIELD</x:v>
      </x:c>
      <x:c r="B26" s="7" t="str">
        <x:v>Geth Shield Boost</x:v>
      </x:c>
      <x:c r="C26" s="15" t="str">
        <x:v>Défini</x:v>
      </x:c>
      <x:c r="D26" s="17" t="str">
        <x:v>Établi</x:v>
      </x:c>
      <x:c r="E26" s="17" t="str">
        <x:v>P1</x:v>
      </x:c>
      <x:c r="F26" s="7" t="str">
        <x:v>Pouvoir de ME2.</x:v>
      </x:c>
      <x:c r="G26" s="7" t="str">
        <x:v>Conversion ATB proposée : Renforcer le bouclier de Legion ; empêcher accumulation illimitée par réactivation répétée.</x:v>
      </x:c>
      <x:c r="H26" s="7" t="str">
        <x:v>Renforcer le bouclier de Legion ; empêcher accumulation illimitée par réactivation répétée.</x:v>
      </x:c>
      <x:c r="I26" s="7" t="str">
        <x:v>Grille bleue à motifs geth.</x:v>
      </x:c>
      <x:c r="J26" s="7" t="str">
        <x:v>Préparer état de repos, anticipation, activation et retour au repos ; aligner les événements visuels sur la résolution de l’action ATB.</x:v>
      </x:c>
      <x:c r="K26" s="7" t="str">
        <x:v>Créer des bruitages et ambiances originaux adaptés au livrable ; sous-titrer les indices utiles et proposer un réglage indépendant des effets. Aucune extraction audio demandée.</x:v>
      </x:c>
      <x:c r="L26" s="7" t="str">
        <x:v>Prévu : fiche de données me2/powers/geth-shield ; rattacher les ressources et états cités à cet identifiant. Aucun fichier de jeu créé par ce catalogue.</x:v>
      </x:c>
      <x:c r="M26" s="7" t="str"/>
      <x:c r="N26" s="7" t="str">
        <x:v>La cible, la protection pertinente, le coût proposé, l’état appliqué et sa fin sont visibles ; une cible non admissible ne consomme pas la commande.</x:v>
      </x:c>
      <x:c r="O26" s="7" t="str"/>
      <x:c r="P26" s="7" t="str">
        <x:v>Table des pouvoirs ME2</x:v>
      </x:c>
      <x:c r="Q26" s="7" t="str">
        <x:v>ME2-SRC-POWERS</x:v>
      </x:c>
      <x:c r="R26" s="21" t="str">
        <x:v>https://masseffect.fandom.com/wiki/Powers</x:v>
      </x:c>
      <x:c r="S26" s="21" t="str">
        <x:v>Spécification à réaliser. Les champs adaptation, gameplay, visual, animation, audio et implementation décrivent le fan game ; ils ne donnent pas des caractéristiques officielles de l’œuvre.</x:v>
      </x:c>
    </x:row>
    <x:row r="27" ht="68" customHeight="1">
      <x:c r="A27" s="18" t="str">
        <x:v>ME2-POW-FORTIFICATION</x:v>
      </x:c>
      <x:c r="B27" s="9" t="str">
        <x:v>Fortification</x:v>
      </x:c>
      <x:c r="C27" s="15" t="str">
        <x:v>Défini</x:v>
      </x:c>
      <x:c r="D27" s="16" t="str">
        <x:v>Établi</x:v>
      </x:c>
      <x:c r="E27" s="16" t="str">
        <x:v>P1</x:v>
      </x:c>
      <x:c r="F27" s="9" t="str">
        <x:v>Pouvoir de ME2.</x:v>
      </x:c>
      <x:c r="G27" s="9" t="str">
        <x:v>Conversion ATB proposée : Défense de front qui engage le personnage ; retirer le buff après dépense de contre-charge proposée.</x:v>
      </x:c>
      <x:c r="H27" s="9" t="str">
        <x:v>Défense de front qui engage le personnage ; retirer le buff après dépense de contre-charge proposée.</x:v>
      </x:c>
      <x:c r="I27" s="9" t="str">
        <x:v>Halo dense et posture plantée.</x:v>
      </x:c>
      <x:c r="J27" s="9" t="str">
        <x:v>Préparer état de repos, anticipation, activation et retour au repos ; aligner les événements visuels sur la résolution de l’action ATB.</x:v>
      </x:c>
      <x:c r="K27" s="9" t="str">
        <x:v>Créer des bruitages et ambiances originaux adaptés au livrable ; sous-titrer les indices utiles et proposer un réglage indépendant des effets. Aucune extraction audio demandée.</x:v>
      </x:c>
      <x:c r="L27" s="9" t="str">
        <x:v>Prévu : fiche de données me2/powers/fortification ; rattacher les ressources et états cités à cet identifiant. Aucun fichier de jeu créé par ce catalogue.</x:v>
      </x:c>
      <x:c r="M27" s="9" t="str"/>
      <x:c r="N27" s="9" t="str">
        <x:v>La cible, la protection pertinente, le coût proposé, l’état appliqué et sa fin sont visibles ; une cible non admissible ne consomme pas la commande.</x:v>
      </x:c>
      <x:c r="O27" s="9" t="str"/>
      <x:c r="P27" s="9" t="str">
        <x:v>Table des pouvoirs ME2</x:v>
      </x:c>
      <x:c r="Q27" s="9" t="str">
        <x:v>ME2-SRC-POWERS</x:v>
      </x:c>
      <x:c r="R27" s="20" t="str">
        <x:v>https://masseffect.fandom.com/wiki/Powers</x:v>
      </x:c>
      <x:c r="S27" s="20" t="str">
        <x:v>Spécification à réaliser. Les champs adaptation, gameplay, visual, animation, audio et implementation décrivent le fan game ; ils ne donnent pas des caractéristiques officielles de l’œuvre.</x:v>
      </x:c>
    </x:row>
    <x:row r="28" ht="68" customHeight="1">
      <x:c r="A28" s="19" t="str">
        <x:v>ME2-POW-CONCUSSIVE</x:v>
      </x:c>
      <x:c r="B28" s="7" t="str">
        <x:v>Concussive Shot</x:v>
      </x:c>
      <x:c r="C28" s="15" t="str">
        <x:v>Défini</x:v>
      </x:c>
      <x:c r="D28" s="17" t="str">
        <x:v>Établi</x:v>
      </x:c>
      <x:c r="E28" s="17" t="str">
        <x:v>P1</x:v>
      </x:c>
      <x:c r="F28" s="7" t="str">
        <x:v>Pouvoir de ME2.</x:v>
      </x:c>
      <x:c r="G28" s="7" t="str">
        <x:v>Conversion ATB proposée : Tir de déséquilibre ; la résistance réduit le recul sans supprimer la lecture de l’impact.</x:v>
      </x:c>
      <x:c r="H28" s="7" t="str">
        <x:v>Tir de déséquilibre ; la résistance réduit le recul sans supprimer la lecture de l’impact.</x:v>
      </x:c>
      <x:c r="I28" s="7" t="str">
        <x:v>Projectile blanc et recul bref.</x:v>
      </x:c>
      <x:c r="J28" s="7" t="str">
        <x:v>Préparer état de repos, anticipation, activation et retour au repos ; aligner les événements visuels sur la résolution de l’action ATB.</x:v>
      </x:c>
      <x:c r="K28" s="7" t="str">
        <x:v>Créer des bruitages et ambiances originaux adaptés au livrable ; sous-titrer les indices utiles et proposer un réglage indépendant des effets. Aucune extraction audio demandée.</x:v>
      </x:c>
      <x:c r="L28" s="7" t="str">
        <x:v>Prévu : fiche de données me2/powers/concussive ; rattacher les ressources et états cités à cet identifiant. Aucun fichier de jeu créé par ce catalogue.</x:v>
      </x:c>
      <x:c r="M28" s="7" t="str"/>
      <x:c r="N28" s="7" t="str">
        <x:v>La cible, la protection pertinente, le coût proposé, l’état appliqué et sa fin sont visibles ; une cible non admissible ne consomme pas la commande.</x:v>
      </x:c>
      <x:c r="O28" s="7" t="str"/>
      <x:c r="P28" s="7" t="str">
        <x:v>Table des pouvoirs ME2</x:v>
      </x:c>
      <x:c r="Q28" s="7" t="str">
        <x:v>ME2-SRC-POWERS</x:v>
      </x:c>
      <x:c r="R28" s="21" t="str">
        <x:v>https://masseffect.fandom.com/wiki/Powers</x:v>
      </x:c>
      <x:c r="S28" s="21" t="str">
        <x:v>Spécification à réaliser. Les champs adaptation, gameplay, visual, animation, audio et implementation décrivent le fan game ; ils ne donnent pas des caractéristiques officielles de l’œuvre.</x:v>
      </x:c>
    </x:row>
    <x:row r="29" ht="68" customHeight="1">
      <x:c r="A29" s="18" t="str">
        <x:v>ME2-POW-ADRENALINE</x:v>
      </x:c>
      <x:c r="B29" s="9" t="str">
        <x:v>Adrenaline Rush</x:v>
      </x:c>
      <x:c r="C29" s="15" t="str">
        <x:v>Défini</x:v>
      </x:c>
      <x:c r="D29" s="16" t="str">
        <x:v>Établi</x:v>
      </x:c>
      <x:c r="E29" s="16" t="str">
        <x:v>P1</x:v>
      </x:c>
      <x:c r="F29" s="9" t="str">
        <x:v>Pouvoir de ME2.</x:v>
      </x:c>
      <x:c r="G29" s="9" t="str">
        <x:v>Conversion ATB proposée : Accélérer la prochaine action armée de Shepard ; l’ATB global des autres ne change pas sans règle explicite.</x:v>
      </x:c>
      <x:c r="H29" s="9" t="str">
        <x:v>Accélérer la prochaine action armée de Shepard ; l’ATB global des autres ne change pas sans règle explicite.</x:v>
      </x:c>
      <x:c r="I29" s="9" t="str">
        <x:v>Traînée de visée et assourdissement modulable.</x:v>
      </x:c>
      <x:c r="J29" s="9" t="str">
        <x:v>Préparer état de repos, anticipation, activation et retour au repos ; aligner les événements visuels sur la résolution de l’action ATB.</x:v>
      </x:c>
      <x:c r="K29" s="9" t="str">
        <x:v>Créer des bruitages et ambiances originaux adaptés au livrable ; sous-titrer les indices utiles et proposer un réglage indépendant des effets. Aucune extraction audio demandée.</x:v>
      </x:c>
      <x:c r="L29" s="9" t="str">
        <x:v>Prévu : fiche de données me2/powers/adrenaline ; rattacher les ressources et états cités à cet identifiant. Aucun fichier de jeu créé par ce catalogue.</x:v>
      </x:c>
      <x:c r="M29" s="9" t="str"/>
      <x:c r="N29" s="9" t="str">
        <x:v>La cible, la protection pertinente, le coût proposé, l’état appliqué et sa fin sont visibles ; une cible non admissible ne consomme pas la commande.</x:v>
      </x:c>
      <x:c r="O29" s="9" t="str"/>
      <x:c r="P29" s="9" t="str">
        <x:v>Table des pouvoirs ME2</x:v>
      </x:c>
      <x:c r="Q29" s="9" t="str">
        <x:v>ME2-SRC-POWERS</x:v>
      </x:c>
      <x:c r="R29" s="20" t="str">
        <x:v>https://masseffect.fandom.com/wiki/Powers</x:v>
      </x:c>
      <x:c r="S29" s="20" t="str">
        <x:v>Spécification à réaliser. Les champs adaptation, gameplay, visual, animation, audio et implementation décrivent le fan game ; ils ne donnent pas des caractéristiques officielles de l’œuvre.</x:v>
      </x:c>
    </x:row>
    <x:row r="30" ht="68" customHeight="1">
      <x:c r="A30" s="19" t="str">
        <x:v>ME2-POW-SHADOW-STRIKE</x:v>
      </x:c>
      <x:c r="B30" s="7" t="str">
        <x:v>Shadow Strike</x:v>
      </x:c>
      <x:c r="C30" s="15" t="str">
        <x:v>Défini</x:v>
      </x:c>
      <x:c r="D30" s="17" t="str">
        <x:v>Établi</x:v>
      </x:c>
      <x:c r="E30" s="17" t="str">
        <x:v>P1</x:v>
      </x:c>
      <x:c r="F30" s="7" t="str">
        <x:v>Pouvoir de ME2.</x:v>
      </x:c>
      <x:c r="G30" s="7" t="str">
        <x:v>Conversion ATB proposée : Kasumi approche une cible marquée puis revient ; chemin et cible de repli réservés avant action.</x:v>
      </x:c>
      <x:c r="H30" s="7" t="str">
        <x:v>Kasumi approche une cible marquée puis revient ; chemin et cible de repli réservés avant action.</x:v>
      </x:c>
      <x:c r="I30" s="7" t="str">
        <x:v>Disparition, silhouette brève et frappe de dos.</x:v>
      </x:c>
      <x:c r="J30" s="7" t="str">
        <x:v>Préparer état de repos, anticipation, activation et retour au repos ; aligner les événements visuels sur la résolution de l’action ATB.</x:v>
      </x:c>
      <x:c r="K30" s="7" t="str">
        <x:v>Créer des bruitages et ambiances originaux adaptés au livrable ; sous-titrer les indices utiles et proposer un réglage indépendant des effets. Aucune extraction audio demandée.</x:v>
      </x:c>
      <x:c r="L30" s="7" t="str">
        <x:v>Prévu : fiche de données me2/powers/shadow-strike ; rattacher les ressources et états cités à cet identifiant. Aucun fichier de jeu créé par ce catalogue.</x:v>
      </x:c>
      <x:c r="M30" s="7" t="str"/>
      <x:c r="N30" s="7" t="str">
        <x:v>La cible, la protection pertinente, le coût proposé, l’état appliqué et sa fin sont visibles ; une cible non admissible ne consomme pas la commande.</x:v>
      </x:c>
      <x:c r="O30" s="7" t="str"/>
      <x:c r="P30" s="7" t="str">
        <x:v>Table des pouvoirs ME2</x:v>
      </x:c>
      <x:c r="Q30" s="7" t="str">
        <x:v>ME2-SRC-POWERS</x:v>
      </x:c>
      <x:c r="R30" s="21" t="str">
        <x:v>https://masseffect.fandom.com/wiki/Powers</x:v>
      </x:c>
      <x:c r="S30" s="21" t="str">
        <x:v>Spécification à réaliser. Les champs adaptation, gameplay, visual, animation, audio et implementation décrivent le fan game ; ils ne donnent pas des caractéristiques officielles de l’œuvre.</x:v>
      </x:c>
    </x:row>
    <x:row r="31" ht="68" customHeight="1">
      <x:c r="A31" s="18" t="str">
        <x:v>ME2-POW-FLASHBANG</x:v>
      </x:c>
      <x:c r="B31" s="9" t="str">
        <x:v>Flashbang Grenade</x:v>
      </x:c>
      <x:c r="C31" s="15" t="str">
        <x:v>Défini</x:v>
      </x:c>
      <x:c r="D31" s="16" t="str">
        <x:v>Établi</x:v>
      </x:c>
      <x:c r="E31" s="16" t="str">
        <x:v>P1</x:v>
      </x:c>
      <x:c r="F31" s="9" t="str">
        <x:v>Pouvoir de ME2.</x:v>
      </x:c>
      <x:c r="G31" s="9" t="str">
        <x:v>Conversion ATB proposée : Créer une zone de désorientation ; prévoir icône équivalente et réduction du flash.</x:v>
      </x:c>
      <x:c r="H31" s="9" t="str">
        <x:v>Créer une zone de désorientation ; prévoir icône équivalente et réduction du flash.</x:v>
      </x:c>
      <x:c r="I31" s="9" t="str">
        <x:v>Arc de grenade et étoile atténuable.</x:v>
      </x:c>
      <x:c r="J31" s="9" t="str">
        <x:v>Préparer état de repos, anticipation, activation et retour au repos ; aligner les événements visuels sur la résolution de l’action ATB.</x:v>
      </x:c>
      <x:c r="K31" s="9" t="str">
        <x:v>Créer des bruitages et ambiances originaux adaptés au livrable ; sous-titrer les indices utiles et proposer un réglage indépendant des effets. Aucune extraction audio demandée.</x:v>
      </x:c>
      <x:c r="L31" s="9" t="str">
        <x:v>Prévu : fiche de données me2/powers/flashbang ; rattacher les ressources et états cités à cet identifiant. Aucun fichier de jeu créé par ce catalogue.</x:v>
      </x:c>
      <x:c r="M31" s="9" t="str"/>
      <x:c r="N31" s="9" t="str">
        <x:v>La cible, la protection pertinente, le coût proposé, l’état appliqué et sa fin sont visibles ; une cible non admissible ne consomme pas la commande.</x:v>
      </x:c>
      <x:c r="O31" s="9" t="str"/>
      <x:c r="P31" s="9" t="str">
        <x:v>Table des pouvoirs ME2</x:v>
      </x:c>
      <x:c r="Q31" s="9" t="str">
        <x:v>ME2-SRC-POWERS</x:v>
      </x:c>
      <x:c r="R31" s="20" t="str">
        <x:v>https://masseffect.fandom.com/wiki/Powers</x:v>
      </x:c>
      <x:c r="S31" s="20" t="str">
        <x:v>Spécification à réaliser. Les champs adaptation, gameplay, visual, animation, audio et implementation décrivent le fan game ; ils ne donnent pas des caractéristiques officielles de l’œuvre.</x:v>
      </x:c>
    </x:row>
    <x:row r="32" ht="68" customHeight="1">
      <x:c r="A32" s="19" t="str">
        <x:v>ME2-POW-INFERNO</x:v>
      </x:c>
      <x:c r="B32" s="7" t="str">
        <x:v>Inferno Grenade</x:v>
      </x:c>
      <x:c r="C32" s="15" t="str">
        <x:v>Défini</x:v>
      </x:c>
      <x:c r="D32" s="17" t="str">
        <x:v>Établi</x:v>
      </x:c>
      <x:c r="E32" s="17" t="str">
        <x:v>P1</x:v>
      </x:c>
      <x:c r="F32" s="7" t="str">
        <x:v>Pouvoir de ME2.</x:v>
      </x:c>
      <x:c r="G32" s="7" t="str">
        <x:v>Conversion ATB proposée : Éclats incendiaires de Zaeed ; zone de danger annoncée et dégagement allié.</x:v>
      </x:c>
      <x:c r="H32" s="7" t="str">
        <x:v>Éclats incendiaires de Zaeed ; zone de danger annoncée et dégagement allié.</x:v>
      </x:c>
      <x:c r="I32" s="7" t="str">
        <x:v>Éclats orange en éventail.</x:v>
      </x:c>
      <x:c r="J32" s="7" t="str">
        <x:v>Préparer état de repos, anticipation, activation et retour au repos ; aligner les événements visuels sur la résolution de l’action ATB.</x:v>
      </x:c>
      <x:c r="K32" s="7" t="str">
        <x:v>Créer des bruitages et ambiances originaux adaptés au livrable ; sous-titrer les indices utiles et proposer un réglage indépendant des effets. Aucune extraction audio demandée.</x:v>
      </x:c>
      <x:c r="L32" s="7" t="str">
        <x:v>Prévu : fiche de données me2/powers/inferno ; rattacher les ressources et états cités à cet identifiant. Aucun fichier de jeu créé par ce catalogue.</x:v>
      </x:c>
      <x:c r="M32" s="7" t="str"/>
      <x:c r="N32" s="7" t="str">
        <x:v>La cible, la protection pertinente, le coût proposé, l’état appliqué et sa fin sont visibles ; une cible non admissible ne consomme pas la commande.</x:v>
      </x:c>
      <x:c r="O32" s="7" t="str"/>
      <x:c r="P32" s="7" t="str">
        <x:v>Table des pouvoirs ME2</x:v>
      </x:c>
      <x:c r="Q32" s="7" t="str">
        <x:v>ME2-SRC-POWERS</x:v>
      </x:c>
      <x:c r="R32" s="21" t="str">
        <x:v>https://masseffect.fandom.com/wiki/Powers</x:v>
      </x:c>
      <x:c r="S32" s="21" t="str">
        <x:v>Spécification à réaliser. Les champs adaptation, gameplay, visual, animation, audio et implementation décrivent le fan game ; ils ne donnent pas des caractéristiques officielles de l’œuvre.</x:v>
      </x:c>
    </x:row>
    <x:row r="33" ht="68" customHeight="1">
      <x:c r="A33" s="18" t="str">
        <x:v>ME2-POW-AMMO-INCENDIARY</x:v>
      </x:c>
      <x:c r="B33" s="9" t="str">
        <x:v>Incendiary Ammo</x:v>
      </x:c>
      <x:c r="C33" s="15" t="str">
        <x:v>Défini</x:v>
      </x:c>
      <x:c r="D33" s="16" t="str">
        <x:v>Établi</x:v>
      </x:c>
      <x:c r="E33" s="16" t="str">
        <x:v>P1</x:v>
      </x:c>
      <x:c r="F33" s="9" t="str">
        <x:v>Pouvoir de ME2.</x:v>
      </x:c>
      <x:c r="G33" s="9" t="str">
        <x:v>Conversion ATB proposée : Mode de munitions de feu ; un seul mode actif par arme et aperçu du remplacement.</x:v>
      </x:c>
      <x:c r="H33" s="9" t="str">
        <x:v>Mode de munitions de feu ; un seul mode actif par arme et aperçu du remplacement.</x:v>
      </x:c>
      <x:c r="I33" s="9" t="str">
        <x:v>Marque orange au chargeur.</x:v>
      </x:c>
      <x:c r="J33" s="9" t="str">
        <x:v>Préparer état de repos, anticipation, activation et retour au repos ; aligner les événements visuels sur la résolution de l’action ATB.</x:v>
      </x:c>
      <x:c r="K33" s="9" t="str">
        <x:v>Créer des bruitages et ambiances originaux adaptés au livrable ; sous-titrer les indices utiles et proposer un réglage indépendant des effets. Aucune extraction audio demandée.</x:v>
      </x:c>
      <x:c r="L33" s="9" t="str">
        <x:v>Prévu : fiche de données me2/powers/ammo-incendiary ; rattacher les ressources et états cités à cet identifiant. Aucun fichier de jeu créé par ce catalogue.</x:v>
      </x:c>
      <x:c r="M33" s="9" t="str"/>
      <x:c r="N33" s="9" t="str">
        <x:v>La cible, la protection pertinente, le coût proposé, l’état appliqué et sa fin sont visibles ; une cible non admissible ne consomme pas la commande.</x:v>
      </x:c>
      <x:c r="O33" s="9" t="str"/>
      <x:c r="P33" s="9" t="str">
        <x:v>Table des pouvoirs ME2</x:v>
      </x:c>
      <x:c r="Q33" s="9" t="str">
        <x:v>ME2-SRC-POWERS</x:v>
      </x:c>
      <x:c r="R33" s="20" t="str">
        <x:v>https://masseffect.fandom.com/wiki/Powers</x:v>
      </x:c>
      <x:c r="S33" s="20" t="str">
        <x:v>Spécification à réaliser. Les champs adaptation, gameplay, visual, animation, audio et implementation décrivent le fan game ; ils ne donnent pas des caractéristiques officielles de l’œuvre.</x:v>
      </x:c>
    </x:row>
    <x:row r="34" ht="68" customHeight="1">
      <x:c r="A34" s="19" t="str">
        <x:v>ME2-POW-AMMO-DISRUPTOR</x:v>
      </x:c>
      <x:c r="B34" s="7" t="str">
        <x:v>Disruptor Ammo</x:v>
      </x:c>
      <x:c r="C34" s="15" t="str">
        <x:v>Défini</x:v>
      </x:c>
      <x:c r="D34" s="17" t="str">
        <x:v>Établi</x:v>
      </x:c>
      <x:c r="E34" s="17" t="str">
        <x:v>P1</x:v>
      </x:c>
      <x:c r="F34" s="7" t="str">
        <x:v>Pouvoir de ME2.</x:v>
      </x:c>
      <x:c r="G34" s="7" t="str">
        <x:v>Conversion ATB proposée : Mode anti-bouclier ; effets et munitions comptés séparément.</x:v>
      </x:c>
      <x:c r="H34" s="7" t="str">
        <x:v>Mode anti-bouclier ; effets et munitions comptés séparément.</x:v>
      </x:c>
      <x:c r="I34" s="7" t="str">
        <x:v>Éclats électriques bleus.</x:v>
      </x:c>
      <x:c r="J34" s="7" t="str">
        <x:v>Préparer état de repos, anticipation, activation et retour au repos ; aligner les événements visuels sur la résolution de l’action ATB.</x:v>
      </x:c>
      <x:c r="K34" s="7" t="str">
        <x:v>Créer des bruitages et ambiances originaux adaptés au livrable ; sous-titrer les indices utiles et proposer un réglage indépendant des effets. Aucune extraction audio demandée.</x:v>
      </x:c>
      <x:c r="L34" s="7" t="str">
        <x:v>Prévu : fiche de données me2/powers/ammo-disruptor ; rattacher les ressources et états cités à cet identifiant. Aucun fichier de jeu créé par ce catalogue.</x:v>
      </x:c>
      <x:c r="M34" s="7" t="str"/>
      <x:c r="N34" s="7" t="str">
        <x:v>La cible, la protection pertinente, le coût proposé, l’état appliqué et sa fin sont visibles ; une cible non admissible ne consomme pas la commande.</x:v>
      </x:c>
      <x:c r="O34" s="7" t="str"/>
      <x:c r="P34" s="7" t="str">
        <x:v>Table des pouvoirs ME2</x:v>
      </x:c>
      <x:c r="Q34" s="7" t="str">
        <x:v>ME2-SRC-POWERS</x:v>
      </x:c>
      <x:c r="R34" s="21" t="str">
        <x:v>https://masseffect.fandom.com/wiki/Powers</x:v>
      </x:c>
      <x:c r="S34" s="21" t="str">
        <x:v>Spécification à réaliser. Les champs adaptation, gameplay, visual, animation, audio et implementation décrivent le fan game ; ils ne donnent pas des caractéristiques officielles de l’œuvre.</x:v>
      </x:c>
    </x:row>
    <x:row r="35" ht="68" customHeight="1">
      <x:c r="A35" s="18" t="str">
        <x:v>ME2-POW-AMMO-CRYO</x:v>
      </x:c>
      <x:c r="B35" s="9" t="str">
        <x:v>Cryo Ammo</x:v>
      </x:c>
      <x:c r="C35" s="15" t="str">
        <x:v>Défini</x:v>
      </x:c>
      <x:c r="D35" s="16" t="str">
        <x:v>Établi</x:v>
      </x:c>
      <x:c r="E35" s="16" t="str">
        <x:v>P1</x:v>
      </x:c>
      <x:c r="F35" s="9" t="str">
        <x:v>Pouvoir de ME2.</x:v>
      </x:c>
      <x:c r="G35" s="9" t="str">
        <x:v>Conversion ATB proposée : Mode de refroidissement progressif ; gel déclenché par seuil proposé affiché.</x:v>
      </x:c>
      <x:c r="H35" s="9" t="str">
        <x:v>Mode de refroidissement progressif ; gel déclenché par seuil proposé affiché.</x:v>
      </x:c>
      <x:c r="I35" s="9" t="str">
        <x:v>Liseré blanc au projectile.</x:v>
      </x:c>
      <x:c r="J35" s="9" t="str">
        <x:v>Préparer état de repos, anticipation, activation et retour au repos ; aligner les événements visuels sur la résolution de l’action ATB.</x:v>
      </x:c>
      <x:c r="K35" s="9" t="str">
        <x:v>Créer des bruitages et ambiances originaux adaptés au livrable ; sous-titrer les indices utiles et proposer un réglage indépendant des effets. Aucune extraction audio demandée.</x:v>
      </x:c>
      <x:c r="L35" s="9" t="str">
        <x:v>Prévu : fiche de données me2/powers/ammo-cryo ; rattacher les ressources et états cités à cet identifiant. Aucun fichier de jeu créé par ce catalogue.</x:v>
      </x:c>
      <x:c r="M35" s="9" t="str"/>
      <x:c r="N35" s="9" t="str">
        <x:v>La cible, la protection pertinente, le coût proposé, l’état appliqué et sa fin sont visibles ; une cible non admissible ne consomme pas la commande.</x:v>
      </x:c>
      <x:c r="O35" s="9" t="str"/>
      <x:c r="P35" s="9" t="str">
        <x:v>Table des pouvoirs ME2</x:v>
      </x:c>
      <x:c r="Q35" s="9" t="str">
        <x:v>ME2-SRC-POWERS</x:v>
      </x:c>
      <x:c r="R35" s="20" t="str">
        <x:v>https://masseffect.fandom.com/wiki/Powers</x:v>
      </x:c>
      <x:c r="S35" s="20" t="str">
        <x:v>Spécification à réaliser. Les champs adaptation, gameplay, visual, animation, audio et implementation décrivent le fan game ; ils ne donnent pas des caractéristiques officielles de l’œuvre.</x:v>
      </x:c>
    </x:row>
    <x:row r="36" ht="68" customHeight="1">
      <x:c r="A36" s="19" t="str">
        <x:v>ME2-POW-AMMO-AP</x:v>
      </x:c>
      <x:c r="B36" s="7" t="str">
        <x:v>Armor-Piercing Ammo</x:v>
      </x:c>
      <x:c r="C36" s="15" t="str">
        <x:v>Défini</x:v>
      </x:c>
      <x:c r="D36" s="17" t="str">
        <x:v>Établi</x:v>
      </x:c>
      <x:c r="E36" s="17" t="str">
        <x:v>P1</x:v>
      </x:c>
      <x:c r="F36" s="7" t="str">
        <x:v>Pouvoir de ME2.</x:v>
      </x:c>
      <x:c r="G36" s="7" t="str">
        <x:v>Conversion ATB proposée : Mode contre armure ; ne pas promettre pénétration de chaque décor sans règle du fan game.</x:v>
      </x:c>
      <x:c r="H36" s="7" t="str">
        <x:v>Mode contre armure ; ne pas promettre pénétration de chaque décor sans règle du fan game.</x:v>
      </x:c>
      <x:c r="I36" s="7" t="str">
        <x:v>Icône de plaque perforée.</x:v>
      </x:c>
      <x:c r="J36" s="7" t="str">
        <x:v>Préparer état de repos, anticipation, activation et retour au repos ; aligner les événements visuels sur la résolution de l’action ATB.</x:v>
      </x:c>
      <x:c r="K36" s="7" t="str">
        <x:v>Créer des bruitages et ambiances originaux adaptés au livrable ; sous-titrer les indices utiles et proposer un réglage indépendant des effets. Aucune extraction audio demandée.</x:v>
      </x:c>
      <x:c r="L36" s="7" t="str">
        <x:v>Prévu : fiche de données me2/powers/ammo-ap ; rattacher les ressources et états cités à cet identifiant. Aucun fichier de jeu créé par ce catalogue.</x:v>
      </x:c>
      <x:c r="M36" s="7" t="str"/>
      <x:c r="N36" s="7" t="str">
        <x:v>La cible, la protection pertinente, le coût proposé, l’état appliqué et sa fin sont visibles ; une cible non admissible ne consomme pas la commande.</x:v>
      </x:c>
      <x:c r="O36" s="7" t="str"/>
      <x:c r="P36" s="7" t="str">
        <x:v>Table des pouvoirs ME2</x:v>
      </x:c>
      <x:c r="Q36" s="7" t="str">
        <x:v>ME2-SRC-POWERS</x:v>
      </x:c>
      <x:c r="R36" s="21" t="str">
        <x:v>https://masseffect.fandom.com/wiki/Powers</x:v>
      </x:c>
      <x:c r="S36" s="21" t="str">
        <x:v>Spécification à réaliser. Les champs adaptation, gameplay, visual, animation, audio et implementation décrivent le fan game ; ils ne donnent pas des caractéristiques officielles de l’œuvre.</x:v>
      </x:c>
    </x:row>
    <x:row r="37" ht="68" customHeight="1">
      <x:c r="A37" s="18" t="str">
        <x:v>ME2-POW-AMMO-WARP</x:v>
      </x:c>
      <x:c r="B37" s="9" t="str">
        <x:v>Warp Ammo</x:v>
      </x:c>
      <x:c r="C37" s="15" t="str">
        <x:v>Défini</x:v>
      </x:c>
      <x:c r="D37" s="16" t="str">
        <x:v>Établi</x:v>
      </x:c>
      <x:c r="E37" s="16" t="str">
        <x:v>P1</x:v>
      </x:c>
      <x:c r="F37" s="9" t="str">
        <x:v>Pouvoir de ME2.</x:v>
      </x:c>
      <x:c r="G37" s="9" t="str">
        <x:v>Conversion ATB proposée : Mode associé aux défenses biotiques ; bonus sur cible suspendue si retenu au réglage.</x:v>
      </x:c>
      <x:c r="H37" s="9" t="str">
        <x:v>Mode associé aux défenses biotiques ; bonus sur cible suspendue si retenu au réglage.</x:v>
      </x:c>
      <x:c r="I37" s="9" t="str">
        <x:v>Impact violet.</x:v>
      </x:c>
      <x:c r="J37" s="9" t="str">
        <x:v>Préparer état de repos, anticipation, activation et retour au repos ; aligner les événements visuels sur la résolution de l’action ATB.</x:v>
      </x:c>
      <x:c r="K37" s="9" t="str">
        <x:v>Créer des bruitages et ambiances originaux adaptés au livrable ; sous-titrer les indices utiles et proposer un réglage indépendant des effets. Aucune extraction audio demandée.</x:v>
      </x:c>
      <x:c r="L37" s="9" t="str">
        <x:v>Prévu : fiche de données me2/powers/ammo-warp ; rattacher les ressources et états cités à cet identifiant. Aucun fichier de jeu créé par ce catalogue.</x:v>
      </x:c>
      <x:c r="M37" s="9" t="str"/>
      <x:c r="N37" s="9" t="str">
        <x:v>La cible, la protection pertinente, le coût proposé, l’état appliqué et sa fin sont visibles ; une cible non admissible ne consomme pas la commande.</x:v>
      </x:c>
      <x:c r="O37" s="9" t="str"/>
      <x:c r="P37" s="9" t="str">
        <x:v>Table des pouvoirs ME2</x:v>
      </x:c>
      <x:c r="Q37" s="9" t="str">
        <x:v>ME2-SRC-POWERS</x:v>
      </x:c>
      <x:c r="R37" s="20" t="str">
        <x:v>https://masseffect.fandom.com/wiki/Powers</x:v>
      </x:c>
      <x:c r="S37" s="20" t="str">
        <x:v>Spécification à réaliser. Les champs adaptation, gameplay, visual, animation, audio et implementation décrivent le fan game ; ils ne donnent pas des caractéristiques officielles de l’œuvre.</x:v>
      </x:c>
    </x:row>
    <x:row r="38" ht="68" customHeight="1">
      <x:c r="A38" s="19" t="str">
        <x:v>ME2-POW-AMMO-SHREDDER</x:v>
      </x:c>
      <x:c r="B38" s="7" t="str">
        <x:v>Shredder Ammo</x:v>
      </x:c>
      <x:c r="C38" s="15" t="str">
        <x:v>Défini</x:v>
      </x:c>
      <x:c r="D38" s="17" t="str">
        <x:v>Établi</x:v>
      </x:c>
      <x:c r="E38" s="17" t="str">
        <x:v>P1</x:v>
      </x:c>
      <x:c r="F38" s="7" t="str">
        <x:v>Pouvoir de ME2.</x:v>
      </x:c>
      <x:c r="G38" s="7" t="str">
        <x:v>Conversion ATB proposée : Mode contre santé organique ; avertissement sur cible encore protégée.</x:v>
      </x:c>
      <x:c r="H38" s="7" t="str">
        <x:v>Mode contre santé organique ; avertissement sur cible encore protégée.</x:v>
      </x:c>
      <x:c r="I38" s="7" t="str">
        <x:v>Icône d’impact rouge sans gore.</x:v>
      </x:c>
      <x:c r="J38" s="7" t="str">
        <x:v>Préparer état de repos, anticipation, activation et retour au repos ; aligner les événements visuels sur la résolution de l’action ATB.</x:v>
      </x:c>
      <x:c r="K38" s="7" t="str">
        <x:v>Créer des bruitages et ambiances originaux adaptés au livrable ; sous-titrer les indices utiles et proposer un réglage indépendant des effets. Aucune extraction audio demandée.</x:v>
      </x:c>
      <x:c r="L38" s="7" t="str">
        <x:v>Prévu : fiche de données me2/powers/ammo-shredder ; rattacher les ressources et états cités à cet identifiant. Aucun fichier de jeu créé par ce catalogue.</x:v>
      </x:c>
      <x:c r="M38" s="7" t="str"/>
      <x:c r="N38" s="7" t="str">
        <x:v>La cible, la protection pertinente, le coût proposé, l’état appliqué et sa fin sont visibles ; une cible non admissible ne consomme pas la commande.</x:v>
      </x:c>
      <x:c r="O38" s="7" t="str"/>
      <x:c r="P38" s="7" t="str">
        <x:v>Table des pouvoirs ME2</x:v>
      </x:c>
      <x:c r="Q38" s="7" t="str">
        <x:v>ME2-SRC-POWERS</x:v>
      </x:c>
      <x:c r="R38" s="21" t="str">
        <x:v>https://masseffect.fandom.com/wiki/Powers</x:v>
      </x:c>
      <x:c r="S38" s="21" t="str">
        <x:v>Spécification à réaliser. Les champs adaptation, gameplay, visual, animation, audio et implementation décrivent le fan game ; ils ne donnent pas des caractéristiques officielles de l’œuvre.</x:v>
      </x:c>
    </x:row>
    <x:row r="39" ht="68" customHeight="1">
      <x:c r="A39" s="18" t="str">
        <x:v>ME2-POW-STASIS</x:v>
      </x:c>
      <x:c r="B39" s="9" t="str">
        <x:v>Stasis</x:v>
      </x:c>
      <x:c r="C39" s="15" t="str">
        <x:v>Défini</x:v>
      </x:c>
      <x:c r="D39" s="16" t="str">
        <x:v>Établi</x:v>
      </x:c>
      <x:c r="E39" s="16" t="str">
        <x:v>P1</x:v>
      </x:c>
      <x:c r="F39" s="9" t="str">
        <x:v>Pouvoir de ME2.</x:v>
      </x:c>
      <x:c r="G39" s="9" t="str">
        <x:v>Conversion ATB proposée : Immobiliser une cible pendant une durée bornée ; mesurer précisément entrée et sortie de la fenêtre.</x:v>
      </x:c>
      <x:c r="H39" s="9" t="str">
        <x:v>Immobiliser une cible pendant une durée bornée ; mesurer précisément entrée et sortie de la fenêtre.</x:v>
      </x:c>
      <x:c r="I39" s="9" t="str">
        <x:v>Silhouette figée dans un cadre bleu.</x:v>
      </x:c>
      <x:c r="J39" s="9" t="str">
        <x:v>Préparer état de repos, anticipation, activation et retour au repos ; aligner les événements visuels sur la résolution de l’action ATB.</x:v>
      </x:c>
      <x:c r="K39" s="9" t="str">
        <x:v>Créer des bruitages et ambiances originaux adaptés au livrable ; sous-titrer les indices utiles et proposer un réglage indépendant des effets. Aucune extraction audio demandée.</x:v>
      </x:c>
      <x:c r="L39" s="9" t="str">
        <x:v>Prévu : fiche de données me2/powers/stasis ; rattacher les ressources et états cités à cet identifiant. Aucun fichier de jeu créé par ce catalogue.</x:v>
      </x:c>
      <x:c r="M39" s="9" t="str"/>
      <x:c r="N39" s="9" t="str">
        <x:v>La cible, la protection pertinente, le coût proposé, l’état appliqué et sa fin sont visibles ; une cible non admissible ne consomme pas la commande.</x:v>
      </x:c>
      <x:c r="O39" s="9" t="str"/>
      <x:c r="P39" s="9" t="str">
        <x:v>Table des pouvoirs ME2</x:v>
      </x:c>
      <x:c r="Q39" s="9" t="str">
        <x:v>ME2-SRC-POWERS</x:v>
      </x:c>
      <x:c r="R39" s="20" t="str">
        <x:v>https://masseffect.fandom.com/wiki/Powers</x:v>
      </x:c>
      <x:c r="S39" s="20" t="str">
        <x:v>Spécification à réaliser. Les champs adaptation, gameplay, visual, animation, audio et implementation décrivent le fan game ; ils ne donnent pas des caractéristiques officielles de l’œuvre.</x:v>
      </x:c>
    </x:row>
    <x:row r="40" ht="68" customHeight="1">
      <x:c r="A40" s="19" t="str">
        <x:v>ME2-POW-UNITY</x:v>
      </x:c>
      <x:c r="B40" s="7" t="str">
        <x:v>Unity</x:v>
      </x:c>
      <x:c r="C40" s="15" t="str">
        <x:v>Défini</x:v>
      </x:c>
      <x:c r="D40" s="17" t="str">
        <x:v>Établi</x:v>
      </x:c>
      <x:c r="E40" s="17" t="str">
        <x:v>P1</x:v>
      </x:c>
      <x:c r="F40" s="7" t="str">
        <x:v>Pouvoir de ME2.</x:v>
      </x:c>
      <x:c r="G40" s="7" t="str">
        <x:v>Conversion ATB proposée : Relever des alliés avec medi-gel ; sélectionner les cibles valides avant de consommer.</x:v>
      </x:c>
      <x:c r="H40" s="7" t="str">
        <x:v>Relever des alliés avec medi-gel ; sélectionner les cibles valides avant de consommer.</x:v>
      </x:c>
      <x:c r="I40" s="7" t="str">
        <x:v>Pulse médical et portrait qui se relève.</x:v>
      </x:c>
      <x:c r="J40" s="7" t="str">
        <x:v>Préparer état de repos, anticipation, activation et retour au repos ; aligner les événements visuels sur la résolution de l’action ATB.</x:v>
      </x:c>
      <x:c r="K40" s="7" t="str">
        <x:v>Créer des bruitages et ambiances originaux adaptés au livrable ; sous-titrer les indices utiles et proposer un réglage indépendant des effets. Aucune extraction audio demandée.</x:v>
      </x:c>
      <x:c r="L40" s="7" t="str">
        <x:v>Prévu : fiche de données me2/powers/unity ; rattacher les ressources et états cités à cet identifiant. Aucun fichier de jeu créé par ce catalogue.</x:v>
      </x:c>
      <x:c r="M40" s="7" t="str"/>
      <x:c r="N40" s="7" t="str">
        <x:v>La cible, la protection pertinente, le coût proposé, l’état appliqué et sa fin sont visibles ; une cible non admissible ne consomme pas la commande.</x:v>
      </x:c>
      <x:c r="O40" s="7" t="str"/>
      <x:c r="P40" s="7" t="str">
        <x:v>Table des pouvoirs ME2</x:v>
      </x:c>
      <x:c r="Q40" s="7" t="str">
        <x:v>ME2-SRC-COMBAT</x:v>
      </x:c>
      <x:c r="R40" s="21" t="str">
        <x:v>https://masseffect.fandom.com/wiki/Combat_%28Mass_Effect_2%29</x:v>
      </x:c>
      <x:c r="S40" s="21" t="str">
        <x:v>Spécification à réaliser. Les champs adaptation, gameplay, visual, animation, audio et implementation décrivent le fan game ; ils ne donnent pas des caractéristiques officielles de l’œuvre.</x:v>
      </x:c>
    </x:row>
  </x:sheetData>
  <x:conditionalFormatting sqref="D7:D40">
    <x:cfRule type="cellIs" dxfId="64" priority="1" operator="equal">
      <x:formula>"À vérifier"</x:formula>
    </x:cfRule>
    <x:cfRule type="cellIs" dxfId="65" priority="2" operator="equal">
      <x:formula>"Extrapolation"</x:formula>
    </x:cfRule>
  </x:conditionalFormatting>
  <x:conditionalFormatting sqref="C7:C40">
    <x:cfRule type="cellIs" dxfId="66" priority="3" operator="equal">
      <x:formula>"Validé"</x:formula>
    </x:cfRule>
  </x:conditionalFormatting>
  <x:conditionalFormatting sqref="E7:E40">
    <x:cfRule type="cellIs" dxfId="67" priority="4" operator="equal">
      <x:formula>"P0"</x:formula>
    </x:cfRule>
  </x:conditionalFormatting>
  <x:dataValidations count="3">
    <x:dataValidation type="list" sqref="C7:C40">
      <x:formula1>"Défini,Prototype,Intégré,Validé"</x:formula1>
    </x:dataValidation>
    <x:dataValidation type="list" sqref="D7:D40">
      <x:formula1>"Établi,À vérifier,Extrapolation,Coupé attesté,Concept abandonné,Allégation écartée"</x:formula1>
    </x:dataValidation>
    <x:dataValidation type="list" sqref="E7:E40">
      <x:formula1>"P0,P1,P2"</x:formula1>
    </x:dataValidation>
  </x:dataValidations>
  <x:pageMargins left="0.7" right="0.7" top="0.75" bottom="0.75" header="0.3" footer="0.3"/>
  <x:tableParts count="1">
    <x:tablePart xmlns:r="http://schemas.openxmlformats.org/officeDocument/2006/relationships" r:id="R48e510c2ac6b4291"/>
  </x:tableParts>
</x:worksheet>
</file>

<file path=xl/worksheets/sheet1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alliés</x:v>
      </x:c>
      <x:c r="B2" s="2"/>
      <x:c r="C2" s="2"/>
      <x:c r="D2" s="2"/>
      <x:c r="E2" s="2"/>
      <x:c r="F2" s="2"/>
      <x:c r="G2" s="2"/>
      <x:c r="H2" s="2"/>
      <x:c r="I2" s="2"/>
      <x:c r="J2" s="2"/>
      <x:c r="K2" s="2"/>
      <x:c r="L2" s="2"/>
      <x:c r="M2" s="2"/>
      <x:c r="N2" s="2"/>
      <x:c r="O2" s="2"/>
      <x:c r="P2" s="2"/>
      <x:c r="Q2" s="2"/>
      <x:c r="R2" s="2"/>
      <x:c r="S2" s="2"/>
    </x:row>
    <x:row r="3" ht="22" customHeight="1">
      <x:c r="A3" s="4" t="str">
        <x:v>Mass Effect 2 — Actions et contraintes par équipier</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ME2-AMV-MIRANDA-OPEN</x:v>
      </x:c>
      <x:c r="B7" s="9" t="str">
        <x:v>Miranda — ouvrir une fenêtre hybride</x:v>
      </x:c>
      <x:c r="C7" s="15" t="str">
        <x:v>Défini</x:v>
      </x:c>
      <x:c r="D7" s="16" t="str">
        <x:v>Extrapolation</x:v>
      </x:c>
      <x:c r="E7" s="16" t="str">
        <x:v>P1</x:v>
      </x:c>
      <x:c r="F7" s="9" t="str">
        <x:v>Livrable original proposé : Miranda — ouvrir une fenêtre hybride.</x:v>
      </x:c>
      <x:c r="G7" s="9" t="str">
        <x:v>Surcharge un bouclier puis réserve l’ordre suivant pour Distorsion lorsque l’allié applique un contrôle ; choix de conserver la jauge si la protection n’a pas cédé.</x:v>
      </x:c>
      <x:c r="H7" s="9" t="str">
        <x:v>Surcharge un bouclier puis réserve l’ordre suivant pour Distorsion lorsque l’allié applique un contrôle ; choix de conserver la jauge si la protection n’a pas cédé.</x:v>
      </x:c>
      <x:c r="I7" s="9" t="str">
        <x:v>Arc orange suivi d’halo violet, deux icônes distinctes.</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me2/ally_moves/miranda-open ; rattacher les ressources et états cités à cet identifiant. Aucun fichier de jeu créé par ce catalogue.</x:v>
      </x:c>
      <x:c r="M7" s="9" t="str"/>
      <x:c r="N7" s="9" t="str">
        <x:v>Le livrable « Miranda — ouvrir une fenêtre hybride » possède une scène ou un scénario de contrôle ; ses règles proposées, ses conditions et ses retours visuels sont vérifiables séparément.</x:v>
      </x:c>
      <x:c r="O7" s="9" t="str">
        <x:v>ME2-CHR-MIRANDA, ME2-POW-OVERLOAD, ME2-POW-WARP</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ME2-AMV-JACOB-GUARD</x:v>
      </x:c>
      <x:c r="B8" s="7" t="str">
        <x:v>Jacob — ligne de secours</x:v>
      </x:c>
      <x:c r="C8" s="15" t="str">
        <x:v>Défini</x:v>
      </x:c>
      <x:c r="D8" s="17" t="str">
        <x:v>Extrapolation</x:v>
      </x:c>
      <x:c r="E8" s="17" t="str">
        <x:v>P1</x:v>
      </x:c>
      <x:c r="F8" s="7" t="str">
        <x:v>Livrable original proposé : Jacob — ligne de secours.</x:v>
      </x:c>
      <x:c r="G8" s="7" t="str">
        <x:v>Interpose une garde courte devant un allié puis projette l’assaillant exposé ; l’interposition ne téléporte pas Jacob à travers les murs.</x:v>
      </x:c>
      <x:c r="H8" s="7" t="str">
        <x:v>Interpose une garde courte devant un allié puis projette l’assaillant exposé ; l’interposition ne téléporte pas Jacob à travers les murs.</x:v>
      </x:c>
      <x:c r="I8" s="7" t="str">
        <x:v>Pas latéral et bras biotique orienté vers la menace.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me2/ally_moves/jacob-guard ; rattacher les ressources et états cités à cet identifiant. Aucun fichier de jeu créé par ce catalogue.</x:v>
      </x:c>
      <x:c r="M8" s="7" t="str"/>
      <x:c r="N8" s="7" t="str">
        <x:v>Le livrable « Jacob — ligne de secours » possède une scène ou un scénario de contrôle ; ses règles proposées, ses conditions et ses retours visuels sont vérifiables séparément.</x:v>
      </x:c>
      <x:c r="O8" s="7" t="str">
        <x:v>ME2-CHR-JACOB, ME2-POW-PULL</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ME2-AMV-MORDIN-TRIAGE</x:v>
      </x:c>
      <x:c r="B9" s="9" t="str">
        <x:v>Mordin — diagnostic et brûlure</x:v>
      </x:c>
      <x:c r="C9" s="15" t="str">
        <x:v>Défini</x:v>
      </x:c>
      <x:c r="D9" s="16" t="str">
        <x:v>Extrapolation</x:v>
      </x:c>
      <x:c r="E9" s="16" t="str">
        <x:v>P1</x:v>
      </x:c>
      <x:c r="F9" s="9" t="str">
        <x:v>Livrable original proposé : Mordin — diagnostic et brûlure.</x:v>
      </x:c>
      <x:c r="G9" s="9" t="str">
        <x:v>Marque le type de protection puis lance Incinération contre l’armure ; la recommandation n’exécute jamais une action sans confirmation.</x:v>
      </x:c>
      <x:c r="H9" s="9" t="str">
        <x:v>Marque le type de protection puis lance Incinération contre l’armure ; la recommandation n’exécute jamais une action sans confirmation.</x:v>
      </x:c>
      <x:c r="I9" s="9" t="str">
        <x:v>Omni-outil, pictogramme de plaque et projectile orange.</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me2/ally_moves/mordin-triage ; rattacher les ressources et états cités à cet identifiant. Aucun fichier de jeu créé par ce catalogue.</x:v>
      </x:c>
      <x:c r="M9" s="9" t="str"/>
      <x:c r="N9" s="9" t="str">
        <x:v>Le livrable « Mordin — diagnostic et brûlure » possède une scène ou un scénario de contrôle ; ses règles proposées, ses conditions et ses retours visuels sont vérifiables séparément.</x:v>
      </x:c>
      <x:c r="O9" s="9" t="str">
        <x:v>ME2-CHR-MORDIN, ME2-POW-INCINERATE</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ME2-AMV-GARRUS-CROSS</x:v>
      </x:c>
      <x:c r="B10" s="7" t="str">
        <x:v>Garrus — tir de croisement</x:v>
      </x:c>
      <x:c r="C10" s="15" t="str">
        <x:v>Défini</x:v>
      </x:c>
      <x:c r="D10" s="17" t="str">
        <x:v>Extrapolation</x:v>
      </x:c>
      <x:c r="E10" s="17" t="str">
        <x:v>P1</x:v>
      </x:c>
      <x:c r="F10" s="7" t="str">
        <x:v>Livrable original proposé : Garrus — tir de croisement.</x:v>
      </x:c>
      <x:c r="G10" s="7" t="str">
        <x:v>Verrouille une ligne ; un équipier déloge la cible, déclenchant le tir préparé si la ligne reste libre.</x:v>
      </x:c>
      <x:c r="H10" s="7" t="str">
        <x:v>Verrouille une ligne ; un équipier déloge la cible, déclenchant le tir préparé si la ligne reste libre.</x:v>
      </x:c>
      <x:c r="I10" s="7" t="str">
        <x:v>Viseur bleu et trait discontinu à travers le couloir.</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me2/ally_moves/garrus-cross ; rattacher les ressources et états cités à cet identifiant. Aucun fichier de jeu créé par ce catalogue.</x:v>
      </x:c>
      <x:c r="M10" s="7" t="str"/>
      <x:c r="N10" s="7" t="str">
        <x:v>Le livrable « Garrus — tir de croisement » possède une scène ou un scénario de contrôle ; ses règles proposées, ses conditions et ses retours visuels sont vérifiables séparément.</x:v>
      </x:c>
      <x:c r="O10" s="7" t="str">
        <x:v>ME2-CHR-GARRUS</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ME2-AMV-GRUNT-BREACH</x:v>
      </x:c>
      <x:c r="B11" s="9" t="str">
        <x:v>Grunt — percée protégée</x:v>
      </x:c>
      <x:c r="C11" s="15" t="str">
        <x:v>Défini</x:v>
      </x:c>
      <x:c r="D11" s="16" t="str">
        <x:v>Extrapolation</x:v>
      </x:c>
      <x:c r="E11" s="16" t="str">
        <x:v>P1</x:v>
      </x:c>
      <x:c r="F11" s="9" t="str">
        <x:v>Livrable original proposé : Grunt — percée protégée.</x:v>
      </x:c>
      <x:c r="G11" s="9" t="str">
        <x:v>Fortification puis avancée d’une bande ; repousse un ennemi léger et crée un couvert corporel temporaire sans immunité totale.</x:v>
      </x:c>
      <x:c r="H11" s="9" t="str">
        <x:v>Fortification puis avancée d’une bande ; repousse un ennemi léger et crée un couvert corporel temporaire sans immunité totale.</x:v>
      </x:c>
      <x:c r="I11" s="9" t="str">
        <x:v>Charge basse, carapace en avant et onde brève.</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me2/ally_moves/grunt-breach ; rattacher les ressources et états cités à cet identifiant. Aucun fichier de jeu créé par ce catalogue.</x:v>
      </x:c>
      <x:c r="M11" s="9" t="str"/>
      <x:c r="N11" s="9" t="str">
        <x:v>Le livrable « Grunt — percée protégée » possède une scène ou un scénario de contrôle ; ses règles proposées, ses conditions et ses retours visuels sont vérifiables séparément.</x:v>
      </x:c>
      <x:c r="O11" s="9" t="str">
        <x:v>ME2-CHR-GRUNT, ME2-POW-FORTIFICATION</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ME2-AMV-JACK-LIFT</x:v>
      </x:c>
      <x:c r="B12" s="7" t="str">
        <x:v>Jack — rampe biotique</x:v>
      </x:c>
      <x:c r="C12" s="15" t="str">
        <x:v>Défini</x:v>
      </x:c>
      <x:c r="D12" s="17" t="str">
        <x:v>Extrapolation</x:v>
      </x:c>
      <x:c r="E12" s="17" t="str">
        <x:v>P1</x:v>
      </x:c>
      <x:c r="F12" s="7" t="str">
        <x:v>Livrable original proposé : Jack — rampe biotique.</x:v>
      </x:c>
      <x:c r="G12" s="7" t="str">
        <x:v>Lance Pull sur le premier ennemi puis une onde au sol ; limiter le combo à la fenêtre affichée et ne pas soulever les boss.</x:v>
      </x:c>
      <x:c r="H12" s="7" t="str">
        <x:v>Lance Pull sur le premier ennemi puis une onde au sol ; limiter le combo à la fenêtre affichée et ne pas soulever les boss.</x:v>
      </x:c>
      <x:c r="I12" s="7" t="str">
        <x:v>Bras écartés, ligne bleue et cible suspendue.</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me2/ally_moves/jack-lift ; rattacher les ressources et états cités à cet identifiant. Aucun fichier de jeu créé par ce catalogue.</x:v>
      </x:c>
      <x:c r="M12" s="7" t="str"/>
      <x:c r="N12" s="7" t="str">
        <x:v>Le livrable « Jack — rampe biotique » possède une scène ou un scénario de contrôle ; ses règles proposées, ses conditions et ses retours visuels sont vérifiables séparément.</x:v>
      </x:c>
      <x:c r="O12" s="7" t="str">
        <x:v>ME2-CHR-JACK, ME2-POW-PULL, ME2-POW-SHOCKWAVE</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ME2-AMV-TALI-BAIT</x:v>
      </x:c>
      <x:c r="B13" s="9" t="str">
        <x:v>Tali — diversion piratée</x:v>
      </x:c>
      <x:c r="C13" s="15" t="str">
        <x:v>Défini</x:v>
      </x:c>
      <x:c r="D13" s="16" t="str">
        <x:v>Extrapolation</x:v>
      </x:c>
      <x:c r="E13" s="16" t="str">
        <x:v>P1</x:v>
      </x:c>
      <x:c r="F13" s="9" t="str">
        <x:v>Livrable original proposé : Tali — diversion piratée.</x:v>
      </x:c>
      <x:c r="G13" s="9" t="str">
        <x:v>Place le drone sur le côté d’un robot ; lorsque celui-ci se tourne, Tali tente le piratage après suppression de son bouclier.</x:v>
      </x:c>
      <x:c r="H13" s="9" t="str">
        <x:v>Place le drone sur le côté d’un robot ; lorsque celui-ci se tourne, Tali tente le piratage après suppression de son bouclier.</x:v>
      </x:c>
      <x:c r="I13" s="9" t="str">
        <x:v>Drone violet, arc de verrou et icône de faction temporaire.</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me2/ally_moves/tali-bait ; rattacher les ressources et états cités à cet identifiant. Aucun fichier de jeu créé par ce catalogue.</x:v>
      </x:c>
      <x:c r="M13" s="9" t="str"/>
      <x:c r="N13" s="9" t="str">
        <x:v>Le livrable « Tali — diversion piratée » possède une scène ou un scénario de contrôle ; ses règles proposées, ses conditions et ses retours visuels sont vérifiables séparément.</x:v>
      </x:c>
      <x:c r="O13" s="9" t="str">
        <x:v>ME2-CHR-TALI, ME2-POW-DRONE, ME2-POW-HACK</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ME2-AMV-THANE-SUSPEND</x:v>
      </x:c>
      <x:c r="B14" s="7" t="str">
        <x:v>Thane — cible suspendue</x:v>
      </x:c>
      <x:c r="C14" s="15" t="str">
        <x:v>Défini</x:v>
      </x:c>
      <x:c r="D14" s="17" t="str">
        <x:v>Extrapolation</x:v>
      </x:c>
      <x:c r="E14" s="17" t="str">
        <x:v>P1</x:v>
      </x:c>
      <x:c r="F14" s="7" t="str">
        <x:v>Livrable original proposé : Thane — cible suspendue.</x:v>
      </x:c>
      <x:c r="G14" s="7" t="str">
        <x:v>Prépare un tir de précision pendant une suspension alliée ; le tir reste annulable avant impact pour éviter une cible disparue.</x:v>
      </x:c>
      <x:c r="H14" s="7" t="str">
        <x:v>Prépare un tir de précision pendant une suspension alliée ; le tir reste annulable avant impact pour éviter une cible disparue.</x:v>
      </x:c>
      <x:c r="I14" s="7" t="str">
        <x:v>Posture basse, respiration et lunette stabilisée.</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me2/ally_moves/thane-suspend ; rattacher les ressources et états cités à cet identifiant. Aucun fichier de jeu créé par ce catalogue.</x:v>
      </x:c>
      <x:c r="M14" s="7" t="str"/>
      <x:c r="N14" s="7" t="str">
        <x:v>Le livrable « Thane — cible suspendue » possède une scène ou un scénario de contrôle ; ses règles proposées, ses conditions et ses retours visuels sont vérifiables séparément.</x:v>
      </x:c>
      <x:c r="O14" s="7" t="str">
        <x:v>ME2-CHR-THANE</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ME2-AMV-SAMARA-CORRIDOR</x:v>
      </x:c>
      <x:c r="B15" s="9" t="str">
        <x:v>Samara — corridor de recul</x:v>
      </x:c>
      <x:c r="C15" s="15" t="str">
        <x:v>Défini</x:v>
      </x:c>
      <x:c r="D15" s="16" t="str">
        <x:v>Extrapolation</x:v>
      </x:c>
      <x:c r="E15" s="16" t="str">
        <x:v>P1</x:v>
      </x:c>
      <x:c r="F15" s="9" t="str">
        <x:v>Livrable original proposé : Samara — corridor de recul.</x:v>
      </x:c>
      <x:c r="G15" s="9" t="str">
        <x:v>Projette les menaces vers une bande libre ; Reave verrouille le plus résistant pendant le repli du groupe.</x:v>
      </x:c>
      <x:c r="H15" s="9" t="str">
        <x:v>Projette les menaces vers une bande libre ; Reave verrouille le plus résistant pendant le repli du groupe.</x:v>
      </x:c>
      <x:c r="I15" s="9" t="str">
        <x:v>Arc de bras calme et ligne de recul au sol.</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me2/ally_moves/samara-corridor ; rattacher les ressources et états cités à cet identifiant. Aucun fichier de jeu créé par ce catalogue.</x:v>
      </x:c>
      <x:c r="M15" s="9" t="str"/>
      <x:c r="N15" s="9" t="str">
        <x:v>Le livrable « Samara — corridor de recul » possède une scène ou un scénario de contrôle ; ses règles proposées, ses conditions et ses retours visuels sont vérifiables séparément.</x:v>
      </x:c>
      <x:c r="O15" s="9" t="str">
        <x:v>ME2-CHR-SAMARA, ME2-POW-THROW, ME2-POW-REAVE</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ME2-AMV-MORINTH-TURN</x:v>
      </x:c>
      <x:c r="B16" s="7" t="str">
        <x:v>Morinth — détour d’attention</x:v>
      </x:c>
      <x:c r="C16" s="15" t="str">
        <x:v>Défini</x:v>
      </x:c>
      <x:c r="D16" s="17" t="str">
        <x:v>Extrapolation</x:v>
      </x:c>
      <x:c r="E16" s="17" t="str">
        <x:v>P1</x:v>
      </x:c>
      <x:c r="F16" s="7" t="str">
        <x:v>Livrable original proposé : Morinth — détour d’attention.</x:v>
      </x:c>
      <x:c r="G16" s="7" t="str">
        <x:v>Convertit une cible organique isolée et révèle au joueur sa durée de loyauté provisoire ; le groupe évite de la prendre automatiquement pour cible.</x:v>
      </x:c>
      <x:c r="H16" s="7" t="str">
        <x:v>Convertit une cible organique isolée et révèle au joueur sa durée de loyauté provisoire ; le groupe évite de la prendre automatiquement pour cible.</x:v>
      </x:c>
      <x:c r="I16" s="7" t="str">
        <x:v>Lien violet et portrait de cible barré d’un minuteur.</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me2/ally_moves/morinth-turn ; rattacher les ressources et états cités à cet identifiant. Aucun fichier de jeu créé par ce catalogue.</x:v>
      </x:c>
      <x:c r="M16" s="7" t="str"/>
      <x:c r="N16" s="7" t="str">
        <x:v>Le livrable « Morinth — détour d’attention » possède une scène ou un scénario de contrôle ; ses règles proposées, ses conditions et ses retours visuels sont vérifiables séparément.</x:v>
      </x:c>
      <x:c r="O16" s="7" t="str">
        <x:v>ME2-CHR-MORINTH, ME2-POW-DOMINATE</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ME2-AMV-LEGION-NET</x:v>
      </x:c>
      <x:c r="B17" s="9" t="str">
        <x:v>Legion — contrôle de réseau</x:v>
      </x:c>
      <x:c r="C17" s="15" t="str">
        <x:v>Défini</x:v>
      </x:c>
      <x:c r="D17" s="16" t="str">
        <x:v>Extrapolation</x:v>
      </x:c>
      <x:c r="E17" s="16" t="str">
        <x:v>P1</x:v>
      </x:c>
      <x:c r="F17" s="9" t="str">
        <x:v>Livrable original proposé : Legion — contrôle de réseau.</x:v>
      </x:c>
      <x:c r="G17" s="9" t="str">
        <x:v>Un drone force une rotation, puis le tir de Legion frappe la cible marquée ; ne pas utiliser l’identité geth pour ouvrir arbitrairement tout terminal.</x:v>
      </x:c>
      <x:c r="H17" s="9" t="str">
        <x:v>Un drone force une rotation, puis le tir de Legion frappe la cible marquée ; ne pas utiliser l’identité geth pour ouvrir arbitrairement tout terminal.</x:v>
      </x:c>
      <x:c r="I17" s="9" t="str">
        <x:v>Optique éclairée, drone et ligne de tir droite.</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me2/ally_moves/legion-net ; rattacher les ressources et états cités à cet identifiant. Aucun fichier de jeu créé par ce catalogue.</x:v>
      </x:c>
      <x:c r="M17" s="9" t="str"/>
      <x:c r="N17" s="9" t="str">
        <x:v>Le livrable « Legion — contrôle de réseau » possède une scène ou un scénario de contrôle ; ses règles proposées, ses conditions et ses retours visuels sont vérifiables séparément.</x:v>
      </x:c>
      <x:c r="O17" s="9" t="str">
        <x:v>ME2-CHR-LEGION, ME2-POW-DRONE</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ME2-AMV-KASUMI-EXIT</x:v>
      </x:c>
      <x:c r="B18" s="7" t="str">
        <x:v>Kasumi — entrée et repli</x:v>
      </x:c>
      <x:c r="C18" s="15" t="str">
        <x:v>Défini</x:v>
      </x:c>
      <x:c r="D18" s="17" t="str">
        <x:v>Extrapolation</x:v>
      </x:c>
      <x:c r="E18" s="17" t="str">
        <x:v>P1</x:v>
      </x:c>
      <x:c r="F18" s="7" t="str">
        <x:v>Livrable original proposé : Kasumi — entrée et repli.</x:v>
      </x:c>
      <x:c r="G18" s="7" t="str">
        <x:v>Réserve une case de retour avant Shadow Strike ; si elle est occupée à la fin, choisir l’abri adjacent sûr sans téléporter hors arène.</x:v>
      </x:c>
      <x:c r="H18" s="7" t="str">
        <x:v>Réserve une case de retour avant Shadow Strike ; si elle est occupée à la fin, choisir l’abri adjacent sûr sans téléporter hors arène.</x:v>
      </x:c>
      <x:c r="I18" s="7" t="str">
        <x:v>Après-image sombre et marqueur de retour.</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me2/ally_moves/kasumi-exit ; rattacher les ressources et états cités à cet identifiant. Aucun fichier de jeu créé par ce catalogue.</x:v>
      </x:c>
      <x:c r="M18" s="7" t="str"/>
      <x:c r="N18" s="7" t="str">
        <x:v>Le livrable « Kasumi — entrée et repli » possède une scène ou un scénario de contrôle ; ses règles proposées, ses conditions et ses retours visuels sont vérifiables séparément.</x:v>
      </x:c>
      <x:c r="O18" s="7" t="str">
        <x:v>ME2-CHR-KASUMI, ME2-POW-SHADOW-STRIKE</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ME2-AMV-ZAEED-LANE</x:v>
      </x:c>
      <x:c r="B19" s="9" t="str">
        <x:v>Zaeed — couper une route</x:v>
      </x:c>
      <x:c r="C19" s="15" t="str">
        <x:v>Défini</x:v>
      </x:c>
      <x:c r="D19" s="16" t="str">
        <x:v>Extrapolation</x:v>
      </x:c>
      <x:c r="E19" s="16" t="str">
        <x:v>P1</x:v>
      </x:c>
      <x:c r="F19" s="9" t="str">
        <x:v>Livrable original proposé : Zaeed — couper une route.</x:v>
      </x:c>
      <x:c r="G19" s="9" t="str">
        <x:v>Grenade incendiaire derrière un abri puis tir de couverture sur l’issue ; un compteur montre l’entretien de suppression.</x:v>
      </x:c>
      <x:c r="H19" s="9" t="str">
        <x:v>Grenade incendiaire derrière un abri puis tir de couverture sur l’issue ; un compteur montre l’entretien de suppression.</x:v>
      </x:c>
      <x:c r="I19" s="9" t="str">
        <x:v>Éventail orange et arme calée sur l’épaule.</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me2/ally_moves/zaeed-lane ; rattacher les ressources et états cités à cet identifiant. Aucun fichier de jeu créé par ce catalogue.</x:v>
      </x:c>
      <x:c r="M19" s="9" t="str"/>
      <x:c r="N19" s="9" t="str">
        <x:v>Le livrable « Zaeed — couper une route » possède une scène ou un scénario de contrôle ; ses règles proposées, ses conditions et ses retours visuels sont vérifiables séparément.</x:v>
      </x:c>
      <x:c r="O19" s="9" t="str">
        <x:v>ME2-CHR-ZAEED, ME2-POW-INFERNO</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ME2-AMV-LIARA-DUO</x:v>
      </x:c>
      <x:c r="B20" s="7" t="str">
        <x:v>Liara — ouverture du bouclier yahg</x:v>
      </x:c>
      <x:c r="C20" s="15" t="str">
        <x:v>Défini</x:v>
      </x:c>
      <x:c r="D20" s="17" t="str">
        <x:v>Extrapolation</x:v>
      </x:c>
      <x:c r="E20" s="17" t="str">
        <x:v>P1</x:v>
      </x:c>
      <x:c r="F20" s="7" t="str">
        <x:v>Livrable original proposé : Liara — ouverture du bouclier yahg.</x:v>
      </x:c>
      <x:c r="G20" s="7" t="str">
        <x:v>Après une fenêtre de mêlée, Liara intervient sur le bouclier ; un ordre de duo consomme les deux disponibilités prévues et ne peut se doubler.</x:v>
      </x:c>
      <x:c r="H20" s="7" t="str">
        <x:v>Après une fenêtre de mêlée, Liara intervient sur le bouclier ; un ordre de duo consomme les deux disponibilités prévues et ne peut se doubler.</x:v>
      </x:c>
      <x:c r="I20" s="7" t="str">
        <x:v>Deux trajectoires de protagonistes encadrent le boss.</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me2/ally_moves/liara-duo ; rattacher les ressources et états cités à cet identifiant. Aucun fichier de jeu créé par ce catalogue.</x:v>
      </x:c>
      <x:c r="M20" s="7" t="str">
        <x:v>Extension Shadow Broker.</x:v>
      </x:c>
      <x:c r="N20" s="7" t="str">
        <x:v>Le livrable « Liara — ouverture du bouclier yahg » possède une scène ou un scénario de contrôle ; ses règles proposées, ses conditions et ses retours visuels sont vérifiables séparément.</x:v>
      </x:c>
      <x:c r="O20" s="7" t="str">
        <x:v>ME2-CHR-LIARA, ME2-ENM-BROKER</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68" customHeight="1">
      <x:c r="A21" s="18" t="str">
        <x:v>ME2-AMV-SHEPARD-RALLY</x:v>
      </x:c>
      <x:c r="B21" s="9" t="str">
        <x:v>Shepard — regroupement</x:v>
      </x:c>
      <x:c r="C21" s="15" t="str">
        <x:v>Défini</x:v>
      </x:c>
      <x:c r="D21" s="16" t="str">
        <x:v>Extrapolation</x:v>
      </x:c>
      <x:c r="E21" s="16" t="str">
        <x:v>P1</x:v>
      </x:c>
      <x:c r="F21" s="9" t="str">
        <x:v>Livrable original proposé : Shepard — regroupement.</x:v>
      </x:c>
      <x:c r="G21" s="9" t="str">
        <x:v>Ordre collectif déplace les deux équipiers vers des positions sûres ; n’efface pas les projectiles déjà en vol.</x:v>
      </x:c>
      <x:c r="H21" s="9" t="str">
        <x:v>Ordre collectif déplace les deux équipiers vers des positions sûres ; n’efface pas les projectiles déjà en vol.</x:v>
      </x:c>
      <x:c r="I21" s="9" t="str">
        <x:v>Icône de point de rassemblement et flèches individuelles.</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me2/ally_moves/shepard-rally ; rattacher les ressources et états cités à cet identifiant. Aucun fichier de jeu créé par ce catalogue.</x:v>
      </x:c>
      <x:c r="M21" s="9" t="str"/>
      <x:c r="N21" s="9" t="str">
        <x:v>Le livrable « Shepard — regroupement » possède une scène ou un scénario de contrôle ; ses règles proposées, ses conditions et ses retours visuels sont vérifiables séparément.</x:v>
      </x:c>
      <x:c r="O21" s="9" t="str">
        <x:v>ME2-CHR-SHEPARD</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row r="22" ht="68" customHeight="1">
      <x:c r="A22" s="19" t="str">
        <x:v>ME2-AMV-KENSON-PANEL</x:v>
      </x:c>
      <x:c r="B22" s="7" t="str">
        <x:v>Kenson — travail de console</x:v>
      </x:c>
      <x:c r="C22" s="15" t="str">
        <x:v>Défini</x:v>
      </x:c>
      <x:c r="D22" s="17" t="str">
        <x:v>Extrapolation</x:v>
      </x:c>
      <x:c r="E22" s="17" t="str">
        <x:v>P1</x:v>
      </x:c>
      <x:c r="F22" s="7" t="str">
        <x:v>Livrable original proposé : Kenson — travail de console.</x:v>
      </x:c>
      <x:c r="G22" s="7" t="str">
        <x:v>Pendant sa séquence alliée, un événement de console progresse si l’espace proche est protégé ; une interruption ralentit sans perdre tous les progrès.</x:v>
      </x:c>
      <x:c r="H22" s="7" t="str">
        <x:v>Pendant sa séquence alliée, un événement de console progresse si l’espace proche est protégé ; une interruption ralentit sans perdre tous les progrès.</x:v>
      </x:c>
      <x:c r="I22" s="7" t="str">
        <x:v>Posture de saisie et écran à barres de progression.</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me2/ally_moves/kenson-panel ; rattacher les ressources et états cités à cet identifiant. Aucun fichier de jeu créé par ce catalogue.</x:v>
      </x:c>
      <x:c r="M22" s="7" t="str">
        <x:v>Arrival uniquement.</x:v>
      </x:c>
      <x:c r="N22" s="7" t="str">
        <x:v>Le livrable « Kenson — travail de console » possède une scène ou un scénario de contrôle ; ses règles proposées, ses conditions et ses retours visuels sont vérifiables séparément.</x:v>
      </x:c>
      <x:c r="O22" s="7" t="str">
        <x:v>ME2-CHR-KENSON</x:v>
      </x:c>
      <x:c r="P22" s="7" t="str">
        <x:v>Adaptation originale — spécification de production</x:v>
      </x:c>
      <x:c r="Q22" s="7" t="str"/>
      <x:c r="R22" s="21" t="str"/>
      <x:c r="S22" s="21" t="str">
        <x:v>Spécification à réaliser. Les champs adaptation, gameplay, visual, animation, audio et implementation décrivent le fan game ; ils ne donnent pas des caractéristiques officielles de l’œuvre.</x:v>
      </x:c>
    </x:row>
  </x:sheetData>
  <x:conditionalFormatting sqref="D7:D22">
    <x:cfRule type="cellIs" dxfId="68" priority="1" operator="equal">
      <x:formula>"À vérifier"</x:formula>
    </x:cfRule>
    <x:cfRule type="cellIs" dxfId="69" priority="2" operator="equal">
      <x:formula>"Extrapolation"</x:formula>
    </x:cfRule>
  </x:conditionalFormatting>
  <x:conditionalFormatting sqref="C7:C22">
    <x:cfRule type="cellIs" dxfId="70" priority="3" operator="equal">
      <x:formula>"Validé"</x:formula>
    </x:cfRule>
  </x:conditionalFormatting>
  <x:conditionalFormatting sqref="E7:E22">
    <x:cfRule type="cellIs" dxfId="71" priority="4" operator="equal">
      <x:formula>"P0"</x:formula>
    </x:cfRule>
  </x:conditionalFormatting>
  <x:dataValidations count="3">
    <x:dataValidation type="list" sqref="C7:C22">
      <x:formula1>"Défini,Prototype,Intégré,Validé"</x:formula1>
    </x:dataValidation>
    <x:dataValidation type="list" sqref="D7:D22">
      <x:formula1>"Établi,À vérifier,Extrapolation,Coupé attesté,Concept abandonné,Allégation écartée"</x:formula1>
    </x:dataValidation>
    <x:dataValidation type="list" sqref="E7:E22">
      <x:formula1>"P0,P1,P2"</x:formula1>
    </x:dataValidation>
  </x:dataValidations>
  <x:pageMargins left="0.7" right="0.7" top="0.75" bottom="0.75" header="0.3" footer="0.3"/>
  <x:tableParts count="1">
    <x:tablePart xmlns:r="http://schemas.openxmlformats.org/officeDocument/2006/relationships" r:id="R067e74e63ec74c24"/>
  </x:tableParts>
</x:worksheet>
</file>

<file path=xl/worksheets/sheet2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ennemis</x:v>
      </x:c>
      <x:c r="B2" s="2"/>
      <x:c r="C2" s="2"/>
      <x:c r="D2" s="2"/>
      <x:c r="E2" s="2"/>
      <x:c r="F2" s="2"/>
      <x:c r="G2" s="2"/>
      <x:c r="H2" s="2"/>
      <x:c r="I2" s="2"/>
      <x:c r="J2" s="2"/>
      <x:c r="K2" s="2"/>
      <x:c r="L2" s="2"/>
      <x:c r="M2" s="2"/>
      <x:c r="N2" s="2"/>
      <x:c r="O2" s="2"/>
      <x:c r="P2" s="2"/>
      <x:c r="Q2" s="2"/>
      <x:c r="R2" s="2"/>
      <x:c r="S2" s="2"/>
    </x:row>
    <x:row r="3" ht="22" customHeight="1">
      <x:c r="A3" s="4" t="str">
        <x:v>Mass Effect 2 — Télégraphes, actions et réponses tactiques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ME2-EMV-BS-TROOPER</x:v>
      </x:c>
      <x:c r="B7" s="9" t="str">
        <x:v>Blue Suns Trooper — Rafale croisée</x:v>
      </x:c>
      <x:c r="C7" s="15" t="str">
        <x:v>Défini</x:v>
      </x:c>
      <x:c r="D7" s="16" t="str">
        <x:v>Extrapolation</x:v>
      </x:c>
      <x:c r="E7" s="16" t="str">
        <x:v>P1</x:v>
      </x:c>
      <x:c r="F7" s="9" t="str">
        <x:v>Livrable original proposé : Blue Suns Trooper — Rafale croisée.</x:v>
      </x:c>
      <x:c r="G7" s="9" t="str">
        <x:v>Vise la dernière position connue ; un déplacement latéral ou un écran biotique rompt le tir.</x:v>
      </x:c>
      <x:c r="H7" s="9" t="str">
        <x:v>Vise la dernière position connue ; un déplacement latéral ou un écran biotique rompt le tir.</x:v>
      </x:c>
      <x:c r="I7" s="9" t="str">
        <x:v>Armure bleue, fusil et visière rectiligne. Ajouter un télégraphe de préparation indépendant du décor.</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me2/enemy_moves/bs-trooper ; rattacher les ressources et états cités à cet identifiant. Aucun fichier de jeu créé par ce catalogue.</x:v>
      </x:c>
      <x:c r="M7" s="9" t="str"/>
      <x:c r="N7" s="9" t="str">
        <x:v>En duel puis en groupe, « Rafale croisée » laisse une réponse observable ; l’impact ne précède jamais son télégraphe et l’interruption n’exécute pas les dégâts annulés.</x:v>
      </x:c>
      <x:c r="O7" s="9" t="str">
        <x:v>ME2-ENM-BS-TROOPER</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ME2-EMV-BS-HEAVY</x:v>
      </x:c>
      <x:c r="B8" s="7" t="str">
        <x:v>Blue Suns Heavy — Roquette annoncée</x:v>
      </x:c>
      <x:c r="C8" s="15" t="str">
        <x:v>Défini</x:v>
      </x:c>
      <x:c r="D8" s="17" t="str">
        <x:v>Extrapolation</x:v>
      </x:c>
      <x:c r="E8" s="17" t="str">
        <x:v>P1</x:v>
      </x:c>
      <x:c r="F8" s="7" t="str">
        <x:v>Livrable original proposé : Blue Suns Heavy — Roquette annoncée.</x:v>
      </x:c>
      <x:c r="G8" s="7" t="str">
        <x:v>Pose un marqueur au sol avant départ ; quitter le couvert ciblé ou interrompre le tireur.</x:v>
      </x:c>
      <x:c r="H8" s="7" t="str">
        <x:v>Pose un marqueur au sol avant départ ; quitter le couvert ciblé ou interrompre le tireur.</x:v>
      </x:c>
      <x:c r="I8" s="7" t="str">
        <x:v>Tube de roquette haut sur l’épaule. Ajouter un télégraphe de préparation indépendant du décor.</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me2/enemy_moves/bs-heavy ; rattacher les ressources et états cités à cet identifiant. Aucun fichier de jeu créé par ce catalogue.</x:v>
      </x:c>
      <x:c r="M8" s="7" t="str"/>
      <x:c r="N8" s="7" t="str">
        <x:v>En duel puis en groupe, « Roquette annoncée » laisse une réponse observable ; l’impact ne précède jamais son télégraphe et l’interruption n’exécute pas les dégâts annulés.</x:v>
      </x:c>
      <x:c r="O8" s="7" t="str">
        <x:v>ME2-ENM-BS-HEAVY</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ME2-EMV-BS-CENTURION</x:v>
      </x:c>
      <x:c r="B9" s="9" t="str">
        <x:v>Blue Suns Centurion — Ordre de concentration</x:v>
      </x:c>
      <x:c r="C9" s="15" t="str">
        <x:v>Défini</x:v>
      </x:c>
      <x:c r="D9" s="16" t="str">
        <x:v>Extrapolation</x:v>
      </x:c>
      <x:c r="E9" s="16" t="str">
        <x:v>P1</x:v>
      </x:c>
      <x:c r="F9" s="9" t="str">
        <x:v>Livrable original proposé : Blue Suns Centurion — Ordre de concentration.</x:v>
      </x:c>
      <x:c r="G9" s="9" t="str">
        <x:v>Désigne un allié à harceler ; casser sa ligne de vue annule le bonus d’équipe proposé.</x:v>
      </x:c>
      <x:c r="H9" s="9" t="str">
        <x:v>Désigne un allié à harceler ; casser sa ligne de vue annule le bonus d’équipe proposé.</x:v>
      </x:c>
      <x:c r="I9" s="9" t="str">
        <x:v>Armure bleue renforcée et signe d’officier. Ajouter un télégraphe de préparation indépendant du décor.</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me2/enemy_moves/bs-centurion ; rattacher les ressources et états cités à cet identifiant. Aucun fichier de jeu créé par ce catalogue.</x:v>
      </x:c>
      <x:c r="M9" s="9" t="str"/>
      <x:c r="N9" s="9" t="str">
        <x:v>En duel puis en groupe, « Ordre de concentration » laisse une réponse observable ; l’impact ne précède jamais son télégraphe et l’interruption n’exécute pas les dégâts annulés.</x:v>
      </x:c>
      <x:c r="O9" s="9" t="str">
        <x:v>ME2-ENM-BS-CENTURION</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ME2-EMV-BS-LEGION</x:v>
      </x:c>
      <x:c r="B10" s="7" t="str">
        <x:v>Blue Suns Legionnaire — Avancée sous bouclier</x:v>
      </x:c>
      <x:c r="C10" s="15" t="str">
        <x:v>Défini</x:v>
      </x:c>
      <x:c r="D10" s="17" t="str">
        <x:v>Extrapolation</x:v>
      </x:c>
      <x:c r="E10" s="17" t="str">
        <x:v>P1</x:v>
      </x:c>
      <x:c r="F10" s="7" t="str">
        <x:v>Livrable original proposé : Blue Suns Legionnaire — Avancée sous bouclier.</x:v>
      </x:c>
      <x:c r="G10" s="7" t="str">
        <x:v>Progresse d’un abri à l’autre ; Surcharge ouvre une fenêtre de recul.</x:v>
      </x:c>
      <x:c r="H10" s="7" t="str">
        <x:v>Progresse d’un abri à l’autre ; Surcharge ouvre une fenêtre de recul.</x:v>
      </x:c>
      <x:c r="I10" s="7" t="str">
        <x:v>Silhouette blindée et forte protection frontale. Ajouter un télégraphe de préparation indépendant du décor.</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me2/enemy_moves/bs-legion ; rattacher les ressources et états cités à cet identifiant. Aucun fichier de jeu créé par ce catalogue.</x:v>
      </x:c>
      <x:c r="M10" s="7" t="str"/>
      <x:c r="N10" s="7" t="str">
        <x:v>En duel puis en groupe, « Avancée sous bouclier » laisse une réponse observable ; l’impact ne précède jamais son télégraphe et l’interruption n’exécute pas les dégâts annulés.</x:v>
      </x:c>
      <x:c r="O10" s="7" t="str">
        <x:v>ME2-ENM-BS-LEGION</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ME2-EMV-EC-TROOPER</x:v>
      </x:c>
      <x:c r="B11" s="9" t="str">
        <x:v>Eclipse Trooper — Tir de maintien</x:v>
      </x:c>
      <x:c r="C11" s="15" t="str">
        <x:v>Défini</x:v>
      </x:c>
      <x:c r="D11" s="16" t="str">
        <x:v>Extrapolation</x:v>
      </x:c>
      <x:c r="E11" s="16" t="str">
        <x:v>P1</x:v>
      </x:c>
      <x:c r="F11" s="9" t="str">
        <x:v>Livrable original proposé : Eclipse Trooper — Tir de maintien.</x:v>
      </x:c>
      <x:c r="G11" s="9" t="str">
        <x:v>Couvre un corridor ; le détour latéral force un changement de position coûteux.</x:v>
      </x:c>
      <x:c r="H11" s="9" t="str">
        <x:v>Couvre un corridor ; le détour latéral force un changement de position coûteux.</x:v>
      </x:c>
      <x:c r="I11" s="9" t="str">
        <x:v>Armure jaune et noire, arme légère. Ajouter un télégraphe de préparation indépendant du décor.</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me2/enemy_moves/ec-trooper ; rattacher les ressources et états cités à cet identifiant. Aucun fichier de jeu créé par ce catalogue.</x:v>
      </x:c>
      <x:c r="M11" s="9" t="str"/>
      <x:c r="N11" s="9" t="str">
        <x:v>En duel puis en groupe, « Tir de maintien » laisse une réponse observable ; l’impact ne précède jamais son télégraphe et l’interruption n’exécute pas les dégâts annulés.</x:v>
      </x:c>
      <x:c r="O11" s="9" t="str">
        <x:v>ME2-ENM-EC-TROOPER</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ME2-EMV-EC-HEAVY</x:v>
      </x:c>
      <x:c r="B12" s="7" t="str">
        <x:v>Eclipse Heavy — Salve de zone</x:v>
      </x:c>
      <x:c r="C12" s="15" t="str">
        <x:v>Défini</x:v>
      </x:c>
      <x:c r="D12" s="17" t="str">
        <x:v>Extrapolation</x:v>
      </x:c>
      <x:c r="E12" s="17" t="str">
        <x:v>P1</x:v>
      </x:c>
      <x:c r="F12" s="7" t="str">
        <x:v>Livrable original proposé : Eclipse Heavy — Salve de zone.</x:v>
      </x:c>
      <x:c r="G12" s="7" t="str">
        <x:v>Prépare une explosion derrière l’abri ; le joueur peut tirer sur le projectile ou sortir de la zone.</x:v>
      </x:c>
      <x:c r="H12" s="7" t="str">
        <x:v>Prépare une explosion derrière l’abri ; le joueur peut tirer sur le projectile ou sortir de la zone.</x:v>
      </x:c>
      <x:c r="I12" s="7" t="str">
        <x:v>Lanceur et bandes jaunes larges. Ajouter un télégraphe de préparation indépendant du décor.</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me2/enemy_moves/ec-heavy ; rattacher les ressources et états cités à cet identifiant. Aucun fichier de jeu créé par ce catalogue.</x:v>
      </x:c>
      <x:c r="M12" s="7" t="str"/>
      <x:c r="N12" s="7" t="str">
        <x:v>En duel puis en groupe, « Salve de zone » laisse une réponse observable ; l’impact ne précède jamais son télégraphe et l’interruption n’exécute pas les dégâts annulés.</x:v>
      </x:c>
      <x:c r="O12" s="7" t="str">
        <x:v>ME2-ENM-EC-HEAVY</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ME2-EMV-EC-ENGINEER</x:v>
      </x:c>
      <x:c r="B13" s="9" t="str">
        <x:v>Eclipse Engineer — Déploiement de drone</x:v>
      </x:c>
      <x:c r="C13" s="15" t="str">
        <x:v>Défini</x:v>
      </x:c>
      <x:c r="D13" s="16" t="str">
        <x:v>Extrapolation</x:v>
      </x:c>
      <x:c r="E13" s="16" t="str">
        <x:v>P1</x:v>
      </x:c>
      <x:c r="F13" s="9" t="str">
        <x:v>Livrable original proposé : Eclipse Engineer — Déploiement de drone.</x:v>
      </x:c>
      <x:c r="G13" s="9" t="str">
        <x:v>Un point de construction apparaît ; interrompre la pose ou pirater le drone déjà actif.</x:v>
      </x:c>
      <x:c r="H13" s="9" t="str">
        <x:v>Un point de construction apparaît ; interrompre la pose ou pirater le drone déjà actif.</x:v>
      </x:c>
      <x:c r="I13" s="9" t="str">
        <x:v>Omni-outil et équipement jaune technique. Ajouter un télégraphe de préparation indépendant du décor.</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me2/enemy_moves/ec-engineer ; rattacher les ressources et états cités à cet identifiant. Aucun fichier de jeu créé par ce catalogue.</x:v>
      </x:c>
      <x:c r="M13" s="9" t="str"/>
      <x:c r="N13" s="9" t="str">
        <x:v>En duel puis en groupe, « Déploiement de drone » laisse une réponse observable ; l’impact ne précède jamais son télégraphe et l’interruption n’exécute pas les dégâts annulés.</x:v>
      </x:c>
      <x:c r="O13" s="9" t="str">
        <x:v>ME2-ENM-EC-ENGINEER</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ME2-EMV-EC-VANGUARD</x:v>
      </x:c>
      <x:c r="B14" s="7" t="str">
        <x:v>Eclipse Vanguard — Poussée de proximité</x:v>
      </x:c>
      <x:c r="C14" s="15" t="str">
        <x:v>Défini</x:v>
      </x:c>
      <x:c r="D14" s="17" t="str">
        <x:v>Extrapolation</x:v>
      </x:c>
      <x:c r="E14" s="17" t="str">
        <x:v>P1</x:v>
      </x:c>
      <x:c r="F14" s="7" t="str">
        <x:v>Livrable original proposé : Eclipse Vanguard — Poussée de proximité.</x:v>
      </x:c>
      <x:c r="G14" s="7" t="str">
        <x:v>Chargement des mains puis projection en cône ; se placer derrière ou casser sa barrière.</x:v>
      </x:c>
      <x:c r="H14" s="7" t="str">
        <x:v>Chargement des mains puis projection en cône ; se placer derrière ou casser sa barrière.</x:v>
      </x:c>
      <x:c r="I14" s="7" t="str">
        <x:v>Halo biotique et posture penchée. Ajouter un télégraphe de préparation indépendant du décor.</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me2/enemy_moves/ec-vanguard ; rattacher les ressources et états cités à cet identifiant. Aucun fichier de jeu créé par ce catalogue.</x:v>
      </x:c>
      <x:c r="M14" s="7" t="str"/>
      <x:c r="N14" s="7" t="str">
        <x:v>En duel puis en groupe, « Poussée de proximité » laisse une réponse observable ; l’impact ne précède jamais son télégraphe et l’interruption n’exécute pas les dégâts annulés.</x:v>
      </x:c>
      <x:c r="O14" s="7" t="str">
        <x:v>ME2-ENM-EC-VANGUARD</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ME2-EMV-EC-COMMANDO</x:v>
      </x:c>
      <x:c r="B15" s="9" t="str">
        <x:v>Eclipse Commando — Barrière offensive</x:v>
      </x:c>
      <x:c r="C15" s="15" t="str">
        <x:v>Défini</x:v>
      </x:c>
      <x:c r="D15" s="16" t="str">
        <x:v>Extrapolation</x:v>
      </x:c>
      <x:c r="E15" s="16" t="str">
        <x:v>P1</x:v>
      </x:c>
      <x:c r="F15" s="9" t="str">
        <x:v>Livrable original proposé : Eclipse Commando — Barrière offensive.</x:v>
      </x:c>
      <x:c r="G15" s="9" t="str">
        <x:v>Alterne protection et décharge ; le pouvoir anti-barrière permet un contre pendant la récupération.</x:v>
      </x:c>
      <x:c r="H15" s="9" t="str">
        <x:v>Alterne protection et décharge ; le pouvoir anti-barrière permet un contre pendant la récupération.</x:v>
      </x:c>
      <x:c r="I15" s="9" t="str">
        <x:v>Asari en armure jaune, bulle bleu-violet. Ajouter un télégraphe de préparation indépendant du décor.</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me2/enemy_moves/ec-commando ; rattacher les ressources et états cités à cet identifiant. Aucun fichier de jeu créé par ce catalogue.</x:v>
      </x:c>
      <x:c r="M15" s="9" t="str"/>
      <x:c r="N15" s="9" t="str">
        <x:v>En duel puis en groupe, « Barrière offensive » laisse une réponse observable ; l’impact ne précède jamais son télégraphe et l’interruption n’exécute pas les dégâts annulés.</x:v>
      </x:c>
      <x:c r="O15" s="9" t="str">
        <x:v>ME2-ENM-EC-COMMANDO</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ME2-EMV-BP-TROOPER</x:v>
      </x:c>
      <x:c r="B16" s="7" t="str">
        <x:v>Blood Pack Trooper — Ruée désordonnée</x:v>
      </x:c>
      <x:c r="C16" s="15" t="str">
        <x:v>Défini</x:v>
      </x:c>
      <x:c r="D16" s="17" t="str">
        <x:v>Extrapolation</x:v>
      </x:c>
      <x:c r="E16" s="17" t="str">
        <x:v>P1</x:v>
      </x:c>
      <x:c r="F16" s="7" t="str">
        <x:v>Livrable original proposé : Blood Pack Trooper — Ruée désordonnée.</x:v>
      </x:c>
      <x:c r="G16" s="7" t="str">
        <x:v>Attaque par courtes courses ; contrôler les premières lignes empêche l’encerclement.</x:v>
      </x:c>
      <x:c r="H16" s="7" t="str">
        <x:v>Attaque par courtes courses ; contrôler les premières lignes empêche l’encerclement.</x:v>
      </x:c>
      <x:c r="I16" s="7" t="str">
        <x:v>Vorcha rougeâtre et plaques mal ajustées. Ajouter un télégraphe de préparation indépendant du décor.</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me2/enemy_moves/bp-trooper ; rattacher les ressources et états cités à cet identifiant. Aucun fichier de jeu créé par ce catalogue.</x:v>
      </x:c>
      <x:c r="M16" s="7" t="str"/>
      <x:c r="N16" s="7" t="str">
        <x:v>En duel puis en groupe, « Ruée désordonnée » laisse une réponse observable ; l’impact ne précède jamais son télégraphe et l’interruption n’exécute pas les dégâts annulés.</x:v>
      </x:c>
      <x:c r="O16" s="7" t="str">
        <x:v>ME2-ENM-BP-TROOPER</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ME2-EMV-BP-WARRIOR</x:v>
      </x:c>
      <x:c r="B17" s="9" t="str">
        <x:v>Blood Pack Warrior — Charge lourde</x:v>
      </x:c>
      <x:c r="C17" s="15" t="str">
        <x:v>Défini</x:v>
      </x:c>
      <x:c r="D17" s="16" t="str">
        <x:v>Extrapolation</x:v>
      </x:c>
      <x:c r="E17" s="16" t="str">
        <x:v>P1</x:v>
      </x:c>
      <x:c r="F17" s="9" t="str">
        <x:v>Livrable original proposé : Blood Pack Warrior — Charge lourde.</x:v>
      </x:c>
      <x:c r="G17" s="9" t="str">
        <x:v>Pied planté et tête baissée annoncent l’assaut ; esquive latérale puis attaque du dos.</x:v>
      </x:c>
      <x:c r="H17" s="9" t="str">
        <x:v>Pied planté et tête baissée annoncent l’assaut ; esquive latérale puis attaque du dos.</x:v>
      </x:c>
      <x:c r="I17" s="9" t="str">
        <x:v>Grande silhouette krogan rouge sombre. Ajouter un télégraphe de préparation indépendant du décor.</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me2/enemy_moves/bp-warrior ; rattacher les ressources et états cités à cet identifiant. Aucun fichier de jeu créé par ce catalogue.</x:v>
      </x:c>
      <x:c r="M17" s="9" t="str"/>
      <x:c r="N17" s="9" t="str">
        <x:v>En duel puis en groupe, « Charge lourde » laisse une réponse observable ; l’impact ne précède jamais son télégraphe et l’interruption n’exécute pas les dégâts annulés.</x:v>
      </x:c>
      <x:c r="O17" s="9" t="str">
        <x:v>ME2-ENM-BP-WARRIOR</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ME2-EMV-BP-PYRO</x:v>
      </x:c>
      <x:c r="B18" s="7" t="str">
        <x:v>Blood Pack Pyro — Balayage de flammes</x:v>
      </x:c>
      <x:c r="C18" s="15" t="str">
        <x:v>Défini</x:v>
      </x:c>
      <x:c r="D18" s="17" t="str">
        <x:v>Extrapolation</x:v>
      </x:c>
      <x:c r="E18" s="17" t="str">
        <x:v>P1</x:v>
      </x:c>
      <x:c r="F18" s="7" t="str">
        <x:v>Livrable original proposé : Blood Pack Pyro — Balayage de flammes.</x:v>
      </x:c>
      <x:c r="G18" s="7" t="str">
        <x:v>Trace un arc continu de portée courte ; sortir du cône et viser le réservoir après anticipation.</x:v>
      </x:c>
      <x:c r="H18" s="7" t="str">
        <x:v>Trace un arc continu de portée courte ; sortir du cône et viser le réservoir après anticipation.</x:v>
      </x:c>
      <x:c r="I18" s="7" t="str">
        <x:v>Réservoir dorsal et brûleur. Ajouter un télégraphe de préparation indépendant du décor.</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me2/enemy_moves/bp-pyro ; rattacher les ressources et états cités à cet identifiant. Aucun fichier de jeu créé par ce catalogue.</x:v>
      </x:c>
      <x:c r="M18" s="7" t="str"/>
      <x:c r="N18" s="7" t="str">
        <x:v>En duel puis en groupe, « Balayage de flammes » laisse une réponse observable ; l’impact ne précède jamais son télégraphe et l’interruption n’exécute pas les dégâts annulés.</x:v>
      </x:c>
      <x:c r="O18" s="7" t="str">
        <x:v>ME2-ENM-BP-PYRO</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ME2-EMV-BP-BOOM</x:v>
      </x:c>
      <x:c r="B19" s="9" t="str">
        <x:v>Blood Pack Boom-Squad — Tir explosif</x:v>
      </x:c>
      <x:c r="C19" s="15" t="str">
        <x:v>Défini</x:v>
      </x:c>
      <x:c r="D19" s="16" t="str">
        <x:v>Extrapolation</x:v>
      </x:c>
      <x:c r="E19" s="16" t="str">
        <x:v>P1</x:v>
      </x:c>
      <x:c r="F19" s="9" t="str">
        <x:v>Livrable original proposé : Blood Pack Boom-Squad — Tir explosif.</x:v>
      </x:c>
      <x:c r="G19" s="9" t="str">
        <x:v>Prend appui avant d’arroser une bande de terrain ; couverts épais ou déplacement interrompent l’exposition.</x:v>
      </x:c>
      <x:c r="H19" s="9" t="str">
        <x:v>Prend appui avant d’arroser une bande de terrain ; couverts épais ou déplacement interrompent l’exposition.</x:v>
      </x:c>
      <x:c r="I19" s="9" t="str">
        <x:v>Lanceur volumineux et appui large. Ajouter un télégraphe de préparation indépendant du décor.</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me2/enemy_moves/bp-boom ; rattacher les ressources et états cités à cet identifiant. Aucun fichier de jeu créé par ce catalogue.</x:v>
      </x:c>
      <x:c r="M19" s="9" t="str"/>
      <x:c r="N19" s="9" t="str">
        <x:v>En duel puis en groupe, « Tir explosif » laisse une réponse observable ; l’impact ne précède jamais son télégraphe et l’interruption n’exécute pas les dégâts annulés.</x:v>
      </x:c>
      <x:c r="O19" s="9" t="str">
        <x:v>ME2-ENM-BP-BOOM</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ME2-EMV-LOKI</x:v>
      </x:c>
      <x:c r="B20" s="7" t="str">
        <x:v>LOKI Mech — Acquisition lente</x:v>
      </x:c>
      <x:c r="C20" s="15" t="str">
        <x:v>Défini</x:v>
      </x:c>
      <x:c r="D20" s="17" t="str">
        <x:v>Extrapolation</x:v>
      </x:c>
      <x:c r="E20" s="17" t="str">
        <x:v>P1</x:v>
      </x:c>
      <x:c r="F20" s="7" t="str">
        <x:v>Livrable original proposé : LOKI Mech — Acquisition lente.</x:v>
      </x:c>
      <x:c r="G20" s="7" t="str">
        <x:v>Laser bref puis tir ; le gel ou piratage interrompt l’acquisition.</x:v>
      </x:c>
      <x:c r="H20" s="7" t="str">
        <x:v>Laser bref puis tir ; le gel ou piratage interrompt l’acquisition.</x:v>
      </x:c>
      <x:c r="I20" s="7" t="str">
        <x:v>Humanoïde blanc, articulations fines et optique rouge. Ajouter un télégraphe de préparation indépendant du décor.</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me2/enemy_moves/loki ; rattacher les ressources et états cités à cet identifiant. Aucun fichier de jeu créé par ce catalogue.</x:v>
      </x:c>
      <x:c r="M20" s="7" t="str"/>
      <x:c r="N20" s="7" t="str">
        <x:v>En duel puis en groupe, « Acquisition lente » laisse une réponse observable ; l’impact ne précède jamais son télégraphe et l’interruption n’exécute pas les dégâts annulés.</x:v>
      </x:c>
      <x:c r="O20" s="7" t="str">
        <x:v>ME2-ENM-LOKI</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68" customHeight="1">
      <x:c r="A21" s="18" t="str">
        <x:v>ME2-EMV-FENRIS</x:v>
      </x:c>
      <x:c r="B21" s="9" t="str">
        <x:v>FENRIS Mech — Bond de morsure</x:v>
      </x:c>
      <x:c r="C21" s="15" t="str">
        <x:v>Défini</x:v>
      </x:c>
      <x:c r="D21" s="16" t="str">
        <x:v>Extrapolation</x:v>
      </x:c>
      <x:c r="E21" s="16" t="str">
        <x:v>P1</x:v>
      </x:c>
      <x:c r="F21" s="9" t="str">
        <x:v>Livrable original proposé : FENRIS Mech — Bond de morsure.</x:v>
      </x:c>
      <x:c r="G21" s="9" t="str">
        <x:v>Pattes arrière comprimées puis bond ; repousser ou esquiver, éviter de camper le même abri.</x:v>
      </x:c>
      <x:c r="H21" s="9" t="str">
        <x:v>Pattes arrière comprimées puis bond ; repousser ou esquiver, éviter de camper le même abri.</x:v>
      </x:c>
      <x:c r="I21" s="9" t="str">
        <x:v>Châssis canin métallique. Ajouter un télégraphe de préparation indépendant du décor.</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me2/enemy_moves/fenris ; rattacher les ressources et états cités à cet identifiant. Aucun fichier de jeu créé par ce catalogue.</x:v>
      </x:c>
      <x:c r="M21" s="9" t="str"/>
      <x:c r="N21" s="9" t="str">
        <x:v>En duel puis en groupe, « Bond de morsure » laisse une réponse observable ; l’impact ne précède jamais son télégraphe et l’interruption n’exécute pas les dégâts annulés.</x:v>
      </x:c>
      <x:c r="O21" s="9" t="str">
        <x:v>ME2-ENM-FENRIS</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row r="22" ht="68" customHeight="1">
      <x:c r="A22" s="19" t="str">
        <x:v>ME2-EMV-YMIR</x:v>
      </x:c>
      <x:c r="B22" s="7" t="str">
        <x:v>YMIR Mech — Saturation alternée</x:v>
      </x:c>
      <x:c r="C22" s="15" t="str">
        <x:v>Défini</x:v>
      </x:c>
      <x:c r="D22" s="17" t="str">
        <x:v>Extrapolation</x:v>
      </x:c>
      <x:c r="E22" s="17" t="str">
        <x:v>P1</x:v>
      </x:c>
      <x:c r="F22" s="7" t="str">
        <x:v>Livrable original proposé : YMIR Mech — Saturation alternée.</x:v>
      </x:c>
      <x:c r="G22" s="7" t="str">
        <x:v>Alterner mitrailleuse et roquette ; l’optique passe au rouge avant la salve de zone.</x:v>
      </x:c>
      <x:c r="H22" s="7" t="str">
        <x:v>Alterner mitrailleuse et roquette ; l’optique passe au rouge avant la salve de zone.</x:v>
      </x:c>
      <x:c r="I22" s="7" t="str">
        <x:v>Buste massif, bras d’armes et pas lourds. Ajouter un télégraphe de préparation indépendant du décor.</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me2/enemy_moves/ymir ; rattacher les ressources et états cités à cet identifiant. Aucun fichier de jeu créé par ce catalogue.</x:v>
      </x:c>
      <x:c r="M22" s="7" t="str"/>
      <x:c r="N22" s="7" t="str">
        <x:v>En duel puis en groupe, « Saturation alternée » laisse une réponse observable ; l’impact ne précède jamais son télégraphe et l’interruption n’exécute pas les dégâts annulés.</x:v>
      </x:c>
      <x:c r="O22" s="7" t="str">
        <x:v>ME2-ENM-YMIR</x:v>
      </x:c>
      <x:c r="P22" s="7" t="str">
        <x:v>Adaptation originale — spécification de production</x:v>
      </x:c>
      <x:c r="Q22" s="7" t="str"/>
      <x:c r="R22" s="21" t="str"/>
      <x:c r="S22" s="21" t="str">
        <x:v>Spécification à réaliser. Les champs adaptation, gameplay, visual, animation, audio et implementation décrivent le fan game ; ils ne donnent pas des caractéristiques officielles de l’œuvre.</x:v>
      </x:c>
    </x:row>
    <x:row r="23" ht="68" customHeight="1">
      <x:c r="A23" s="18" t="str">
        <x:v>ME2-EMV-GETH-TROOPER</x:v>
      </x:c>
      <x:c r="B23" s="9" t="str">
        <x:v>Geth Trooper — Rafale calculée</x:v>
      </x:c>
      <x:c r="C23" s="15" t="str">
        <x:v>Défini</x:v>
      </x:c>
      <x:c r="D23" s="16" t="str">
        <x:v>Extrapolation</x:v>
      </x:c>
      <x:c r="E23" s="16" t="str">
        <x:v>P1</x:v>
      </x:c>
      <x:c r="F23" s="9" t="str">
        <x:v>Livrable original proposé : Geth Trooper — Rafale calculée.</x:v>
      </x:c>
      <x:c r="G23" s="9" t="str">
        <x:v>Tir à intervalle régulier ; surcharge puis déplacement empêchent l’alignement de plusieurs unités.</x:v>
      </x:c>
      <x:c r="H23" s="9" t="str">
        <x:v>Tir à intervalle régulier ; surcharge puis déplacement empêchent l’alignement de plusieurs unités.</x:v>
      </x:c>
      <x:c r="I23" s="9" t="str">
        <x:v>Optique unique et châssis synthétique fin. Ajouter un télégraphe de préparation indépendant du décor.</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me2/enemy_moves/geth-trooper ; rattacher les ressources et états cités à cet identifiant. Aucun fichier de jeu créé par ce catalogue.</x:v>
      </x:c>
      <x:c r="M23" s="9" t="str"/>
      <x:c r="N23" s="9" t="str">
        <x:v>En duel puis en groupe, « Rafale calculée » laisse une réponse observable ; l’impact ne précède jamais son télégraphe et l’interruption n’exécute pas les dégâts annulés.</x:v>
      </x:c>
      <x:c r="O23" s="9" t="str">
        <x:v>ME2-ENM-GETH-TROOPER</x:v>
      </x:c>
      <x:c r="P23" s="9" t="str">
        <x:v>Adaptation originale — spécification de production</x:v>
      </x:c>
      <x:c r="Q23" s="9" t="str"/>
      <x:c r="R23" s="20" t="str"/>
      <x:c r="S23" s="20" t="str">
        <x:v>Spécification à réaliser. Les champs adaptation, gameplay, visual, animation, audio et implementation décrivent le fan game ; ils ne donnent pas des caractéristiques officielles de l’œuvre.</x:v>
      </x:c>
    </x:row>
    <x:row r="24" ht="68" customHeight="1">
      <x:c r="A24" s="19" t="str">
        <x:v>ME2-EMV-GETH-ROCKET</x:v>
      </x:c>
      <x:c r="B24" s="7" t="str">
        <x:v>Geth Rocket Trooper — Verrou de cible</x:v>
      </x:c>
      <x:c r="C24" s="15" t="str">
        <x:v>Défini</x:v>
      </x:c>
      <x:c r="D24" s="17" t="str">
        <x:v>Extrapolation</x:v>
      </x:c>
      <x:c r="E24" s="17" t="str">
        <x:v>P1</x:v>
      </x:c>
      <x:c r="F24" s="7" t="str">
        <x:v>Livrable original proposé : Geth Rocket Trooper — Verrou de cible.</x:v>
      </x:c>
      <x:c r="G24" s="7" t="str">
        <x:v>Un trait annonce l’axe ; rompre le verrou ou contourner par l’abri opposé.</x:v>
      </x:c>
      <x:c r="H24" s="7" t="str">
        <x:v>Un trait annonce l’axe ; rompre le verrou ou contourner par l’abri opposé.</x:v>
      </x:c>
      <x:c r="I24" s="7" t="str">
        <x:v>Tube d’arme et lumière d’optique nette. Ajouter un télégraphe de préparation indépendant du décor.</x:v>
      </x:c>
      <x:c r="J24" s="7" t="str">
        <x:v>Préparer état de repos, anticipation, activation et retour au repos ; aligner les événements visuels sur la résolution de l’action ATB.</x:v>
      </x:c>
      <x:c r="K24" s="7" t="str">
        <x:v>Créer des bruitages et ambiances originaux adaptés au livrable ; sous-titrer les indices utiles et proposer un réglage indépendant des effets. Aucune extraction audio demandée.</x:v>
      </x:c>
      <x:c r="L24" s="7" t="str">
        <x:v>Prévu : fiche de données me2/enemy_moves/geth-rocket ; rattacher les ressources et états cités à cet identifiant. Aucun fichier de jeu créé par ce catalogue.</x:v>
      </x:c>
      <x:c r="M24" s="7" t="str"/>
      <x:c r="N24" s="7" t="str">
        <x:v>En duel puis en groupe, « Verrou de cible » laisse une réponse observable ; l’impact ne précède jamais son télégraphe et l’interruption n’exécute pas les dégâts annulés.</x:v>
      </x:c>
      <x:c r="O24" s="7" t="str">
        <x:v>ME2-ENM-GETH-ROCKET</x:v>
      </x:c>
      <x:c r="P24" s="7" t="str">
        <x:v>Adaptation originale — spécification de production</x:v>
      </x:c>
      <x:c r="Q24" s="7" t="str"/>
      <x:c r="R24" s="21" t="str"/>
      <x:c r="S24" s="21" t="str">
        <x:v>Spécification à réaliser. Les champs adaptation, gameplay, visual, animation, audio et implementation décrivent le fan game ; ils ne donnent pas des caractéristiques officielles de l’œuvre.</x:v>
      </x:c>
    </x:row>
    <x:row r="25" ht="68" customHeight="1">
      <x:c r="A25" s="18" t="str">
        <x:v>ME2-EMV-GETH-HUNTER</x:v>
      </x:c>
      <x:c r="B25" s="9" t="str">
        <x:v>Geth Hunter — Approche masquée</x:v>
      </x:c>
      <x:c r="C25" s="15" t="str">
        <x:v>Défini</x:v>
      </x:c>
      <x:c r="D25" s="16" t="str">
        <x:v>Extrapolation</x:v>
      </x:c>
      <x:c r="E25" s="16" t="str">
        <x:v>P1</x:v>
      </x:c>
      <x:c r="F25" s="9" t="str">
        <x:v>Livrable original proposé : Geth Hunter — Approche masquée.</x:v>
      </x:c>
      <x:c r="G25" s="9" t="str">
        <x:v>Brève distorsion au départ, pas détectables et silhouette au tir ; révéler par effet de zone.</x:v>
      </x:c>
      <x:c r="H25" s="9" t="str">
        <x:v>Brève distorsion au départ, pas détectables et silhouette au tir ; révéler par effet de zone.</x:v>
      </x:c>
      <x:c r="I25" s="9" t="str">
        <x:v>Châssis sombre semi-transparent, optique temporaire. Ajouter un télégraphe de préparation indépendant du décor.</x:v>
      </x:c>
      <x:c r="J25" s="9" t="str">
        <x:v>Préparer état de repos, anticipation, activation et retour au repos ; aligner les événements visuels sur la résolution de l’action ATB.</x:v>
      </x:c>
      <x:c r="K25" s="9" t="str">
        <x:v>Créer des bruitages et ambiances originaux adaptés au livrable ; sous-titrer les indices utiles et proposer un réglage indépendant des effets. Aucune extraction audio demandée.</x:v>
      </x:c>
      <x:c r="L25" s="9" t="str">
        <x:v>Prévu : fiche de données me2/enemy_moves/geth-hunter ; rattacher les ressources et états cités à cet identifiant. Aucun fichier de jeu créé par ce catalogue.</x:v>
      </x:c>
      <x:c r="M25" s="9" t="str"/>
      <x:c r="N25" s="9" t="str">
        <x:v>En duel puis en groupe, « Approche masquée » laisse une réponse observable ; l’impact ne précède jamais son télégraphe et l’interruption n’exécute pas les dégâts annulés.</x:v>
      </x:c>
      <x:c r="O25" s="9" t="str">
        <x:v>ME2-ENM-GETH-HUNTER</x:v>
      </x:c>
      <x:c r="P25" s="9" t="str">
        <x:v>Adaptation originale — spécification de production</x:v>
      </x:c>
      <x:c r="Q25" s="9" t="str"/>
      <x:c r="R25" s="20" t="str"/>
      <x:c r="S25" s="20" t="str">
        <x:v>Spécification à réaliser. Les champs adaptation, gameplay, visual, animation, audio et implementation décrivent le fan game ; ils ne donnent pas des caractéristiques officielles de l’œuvre.</x:v>
      </x:c>
    </x:row>
    <x:row r="26" ht="68" customHeight="1">
      <x:c r="A26" s="19" t="str">
        <x:v>ME2-EMV-GETH-DESTROYER</x:v>
      </x:c>
      <x:c r="B26" s="7" t="str">
        <x:v>Geth Destroyer — Pression rapprochée</x:v>
      </x:c>
      <x:c r="C26" s="15" t="str">
        <x:v>Défini</x:v>
      </x:c>
      <x:c r="D26" s="17" t="str">
        <x:v>Extrapolation</x:v>
      </x:c>
      <x:c r="E26" s="17" t="str">
        <x:v>P1</x:v>
      </x:c>
      <x:c r="F26" s="7" t="str">
        <x:v>Livrable original proposé : Geth Destroyer — Pression rapprochée.</x:v>
      </x:c>
      <x:c r="G26" s="7" t="str">
        <x:v>Réduit l’espace avec une menace courte ; geler la progression après avoir retiré ses défenses.</x:v>
      </x:c>
      <x:c r="H26" s="7" t="str">
        <x:v>Réduit l’espace avec une menace courte ; geler la progression après avoir retiré ses défenses.</x:v>
      </x:c>
      <x:c r="I26" s="7" t="str">
        <x:v>Geth robuste et arme à effet continu. Ajouter un télégraphe de préparation indépendant du décor.</x:v>
      </x:c>
      <x:c r="J26" s="7" t="str">
        <x:v>Préparer état de repos, anticipation, activation et retour au repos ; aligner les événements visuels sur la résolution de l’action ATB.</x:v>
      </x:c>
      <x:c r="K26" s="7" t="str">
        <x:v>Créer des bruitages et ambiances originaux adaptés au livrable ; sous-titrer les indices utiles et proposer un réglage indépendant des effets. Aucune extraction audio demandée.</x:v>
      </x:c>
      <x:c r="L26" s="7" t="str">
        <x:v>Prévu : fiche de données me2/enemy_moves/geth-destroyer ; rattacher les ressources et états cités à cet identifiant. Aucun fichier de jeu créé par ce catalogue.</x:v>
      </x:c>
      <x:c r="M26" s="7" t="str"/>
      <x:c r="N26" s="7" t="str">
        <x:v>En duel puis en groupe, « Pression rapprochée » laisse une réponse observable ; l’impact ne précède jamais son télégraphe et l’interruption n’exécute pas les dégâts annulés.</x:v>
      </x:c>
      <x:c r="O26" s="7" t="str">
        <x:v>ME2-ENM-GETH-DESTROYER</x:v>
      </x:c>
      <x:c r="P26" s="7" t="str">
        <x:v>Adaptation originale — spécification de production</x:v>
      </x:c>
      <x:c r="Q26" s="7" t="str"/>
      <x:c r="R26" s="21" t="str"/>
      <x:c r="S26" s="21" t="str">
        <x:v>Spécification à réaliser. Les champs adaptation, gameplay, visual, animation, audio et implementation décrivent le fan game ; ils ne donnent pas des caractéristiques officielles de l’œuvre.</x:v>
      </x:c>
    </x:row>
    <x:row r="27" ht="68" customHeight="1">
      <x:c r="A27" s="18" t="str">
        <x:v>ME2-EMV-GETH-PRIME</x:v>
      </x:c>
      <x:c r="B27" s="9" t="str">
        <x:v>Geth Prime — Commandement de réseau</x:v>
      </x:c>
      <x:c r="C27" s="15" t="str">
        <x:v>Défini</x:v>
      </x:c>
      <x:c r="D27" s="16" t="str">
        <x:v>Extrapolation</x:v>
      </x:c>
      <x:c r="E27" s="16" t="str">
        <x:v>P1</x:v>
      </x:c>
      <x:c r="F27" s="9" t="str">
        <x:v>Livrable original proposé : Geth Prime — Commandement de réseau.</x:v>
      </x:c>
      <x:c r="G27" s="9" t="str">
        <x:v>Une impulsion renforce ses proches ; éliminer les soutiens avant d’exposer le noyau.</x:v>
      </x:c>
      <x:c r="H27" s="9" t="str">
        <x:v>Une impulsion renforce ses proches ; éliminer les soutiens avant d’exposer le noyau.</x:v>
      </x:c>
      <x:c r="I27" s="9" t="str">
        <x:v>Grand châssis rouge et blanc, large torse. Ajouter un télégraphe de préparation indépendant du décor.</x:v>
      </x:c>
      <x:c r="J27" s="9" t="str">
        <x:v>Préparer état de repos, anticipation, activation et retour au repos ; aligner les événements visuels sur la résolution de l’action ATB.</x:v>
      </x:c>
      <x:c r="K27" s="9" t="str">
        <x:v>Créer des bruitages et ambiances originaux adaptés au livrable ; sous-titrer les indices utiles et proposer un réglage indépendant des effets. Aucune extraction audio demandée.</x:v>
      </x:c>
      <x:c r="L27" s="9" t="str">
        <x:v>Prévu : fiche de données me2/enemy_moves/geth-prime ; rattacher les ressources et états cités à cet identifiant. Aucun fichier de jeu créé par ce catalogue.</x:v>
      </x:c>
      <x:c r="M27" s="9" t="str"/>
      <x:c r="N27" s="9" t="str">
        <x:v>En duel puis en groupe, « Commandement de réseau » laisse une réponse observable ; l’impact ne précède jamais son télégraphe et l’interruption n’exécute pas les dégâts annulés.</x:v>
      </x:c>
      <x:c r="O27" s="9" t="str">
        <x:v>ME2-ENM-GETH-PRIME</x:v>
      </x:c>
      <x:c r="P27" s="9" t="str">
        <x:v>Adaptation originale — spécification de production</x:v>
      </x:c>
      <x:c r="Q27" s="9" t="str"/>
      <x:c r="R27" s="20" t="str"/>
      <x:c r="S27" s="20" t="str">
        <x:v>Spécification à réaliser. Les champs adaptation, gameplay, visual, animation, audio et implementation décrivent le fan game ; ils ne donnent pas des caractéristiques officielles de l’œuvre.</x:v>
      </x:c>
    </x:row>
    <x:row r="28" ht="68" customHeight="1">
      <x:c r="A28" s="19" t="str">
        <x:v>ME2-EMV-GETH-COLOSSUS</x:v>
      </x:c>
      <x:c r="B28" s="7" t="str">
        <x:v>Geth Colossus — Canon et réparation</x:v>
      </x:c>
      <x:c r="C28" s="15" t="str">
        <x:v>Défini</x:v>
      </x:c>
      <x:c r="D28" s="17" t="str">
        <x:v>Extrapolation</x:v>
      </x:c>
      <x:c r="E28" s="17" t="str">
        <x:v>P1</x:v>
      </x:c>
      <x:c r="F28" s="7" t="str">
        <x:v>Livrable original proposé : Geth Colossus — Canon et réparation.</x:v>
      </x:c>
      <x:c r="G28" s="7" t="str">
        <x:v>Charge lumineuse visible, tir sur bande puis phase de réparation ; flanquer pour stopper la reprise.</x:v>
      </x:c>
      <x:c r="H28" s="7" t="str">
        <x:v>Charge lumineuse visible, tir sur bande puis phase de réparation ; flanquer pour stopper la reprise.</x:v>
      </x:c>
      <x:c r="I28" s="7" t="str">
        <x:v>Quadrupède colossal sur cour surélevée. Ajouter un télégraphe de préparation indépendant du décor.</x:v>
      </x:c>
      <x:c r="J28" s="7" t="str">
        <x:v>Préparer état de repos, anticipation, activation et retour au repos ; aligner les événements visuels sur la résolution de l’action ATB.</x:v>
      </x:c>
      <x:c r="K28" s="7" t="str">
        <x:v>Créer des bruitages et ambiances originaux adaptés au livrable ; sous-titrer les indices utiles et proposer un réglage indépendant des effets. Aucune extraction audio demandée.</x:v>
      </x:c>
      <x:c r="L28" s="7" t="str">
        <x:v>Prévu : fiche de données me2/enemy_moves/geth-colossus ; rattacher les ressources et états cités à cet identifiant. Aucun fichier de jeu créé par ce catalogue.</x:v>
      </x:c>
      <x:c r="M28" s="7" t="str"/>
      <x:c r="N28" s="7" t="str">
        <x:v>En duel puis en groupe, « Canon et réparation » laisse une réponse observable ; l’impact ne précède jamais son télégraphe et l’interruption n’exécute pas les dégâts annulés.</x:v>
      </x:c>
      <x:c r="O28" s="7" t="str">
        <x:v>ME2-ENM-GETH-COLOSSUS</x:v>
      </x:c>
      <x:c r="P28" s="7" t="str">
        <x:v>Adaptation originale — spécification de production</x:v>
      </x:c>
      <x:c r="Q28" s="7" t="str"/>
      <x:c r="R28" s="21" t="str"/>
      <x:c r="S28" s="21" t="str">
        <x:v>Spécification à réaliser. Les champs adaptation, gameplay, visual, animation, audio et implementation décrivent le fan game ; ils ne donnent pas des caractéristiques officielles de l’œuvre.</x:v>
      </x:c>
    </x:row>
    <x:row r="29" ht="68" customHeight="1">
      <x:c r="A29" s="18" t="str">
        <x:v>ME2-EMV-GETH-DRONE</x:v>
      </x:c>
      <x:c r="B29" s="9" t="str">
        <x:v>Geth Recon Drone — Passage aérien</x:v>
      </x:c>
      <x:c r="C29" s="15" t="str">
        <x:v>Défini</x:v>
      </x:c>
      <x:c r="D29" s="16" t="str">
        <x:v>Extrapolation</x:v>
      </x:c>
      <x:c r="E29" s="16" t="str">
        <x:v>P1</x:v>
      </x:c>
      <x:c r="F29" s="9" t="str">
        <x:v>Livrable original proposé : Geth Recon Drone — Passage aérien.</x:v>
      </x:c>
      <x:c r="G29" s="9" t="str">
        <x:v>Annonce son trajet par moteur et ombre ; tire en ligne puis s’expose au retour.</x:v>
      </x:c>
      <x:c r="H29" s="9" t="str">
        <x:v>Annonce son trajet par moteur et ombre ; tire en ligne puis s’expose au retour.</x:v>
      </x:c>
      <x:c r="I29" s="9" t="str">
        <x:v>Petit drone volant et optique. Ajouter un télégraphe de préparation indépendant du décor.</x:v>
      </x:c>
      <x:c r="J29" s="9" t="str">
        <x:v>Préparer état de repos, anticipation, activation et retour au repos ; aligner les événements visuels sur la résolution de l’action ATB.</x:v>
      </x:c>
      <x:c r="K29" s="9" t="str">
        <x:v>Créer des bruitages et ambiances originaux adaptés au livrable ; sous-titrer les indices utiles et proposer un réglage indépendant des effets. Aucune extraction audio demandée.</x:v>
      </x:c>
      <x:c r="L29" s="9" t="str">
        <x:v>Prévu : fiche de données me2/enemy_moves/geth-drone ; rattacher les ressources et états cités à cet identifiant. Aucun fichier de jeu créé par ce catalogue.</x:v>
      </x:c>
      <x:c r="M29" s="9" t="str"/>
      <x:c r="N29" s="9" t="str">
        <x:v>En duel puis en groupe, « Passage aérien » laisse une réponse observable ; l’impact ne précède jamais son télégraphe et l’interruption n’exécute pas les dégâts annulés.</x:v>
      </x:c>
      <x:c r="O29" s="9" t="str">
        <x:v>ME2-ENM-GETH-DRONE</x:v>
      </x:c>
      <x:c r="P29" s="9" t="str">
        <x:v>Adaptation originale — spécification de production</x:v>
      </x:c>
      <x:c r="Q29" s="9" t="str"/>
      <x:c r="R29" s="20" t="str"/>
      <x:c r="S29" s="20" t="str">
        <x:v>Spécification à réaliser. Les champs adaptation, gameplay, visual, animation, audio et implementation décrivent le fan game ; ils ne donnent pas des caractéristiques officielles de l’œuvre.</x:v>
      </x:c>
    </x:row>
    <x:row r="30" ht="68" customHeight="1">
      <x:c r="A30" s="19" t="str">
        <x:v>ME2-EMV-HUSK</x:v>
      </x:c>
      <x:c r="B30" s="7" t="str">
        <x:v>Husk — Agrippement de groupe</x:v>
      </x:c>
      <x:c r="C30" s="15" t="str">
        <x:v>Défini</x:v>
      </x:c>
      <x:c r="D30" s="17" t="str">
        <x:v>Extrapolation</x:v>
      </x:c>
      <x:c r="E30" s="17" t="str">
        <x:v>P1</x:v>
      </x:c>
      <x:c r="F30" s="7" t="str">
        <x:v>Livrable original proposé : Husk — Agrippement de groupe.</x:v>
      </x:c>
      <x:c r="G30" s="7" t="str">
        <x:v>Approche en meute ; pousser le premier brise temporairement la chaîne d’assaut.</x:v>
      </x:c>
      <x:c r="H30" s="7" t="str">
        <x:v>Approche en meute ; pousser le premier brise temporairement la chaîne d’assaut.</x:v>
      </x:c>
      <x:c r="I30" s="7" t="str">
        <x:v>Humanoïde cybernétique bleu, posture courbée. Ajouter un télégraphe de préparation indépendant du décor.</x:v>
      </x:c>
      <x:c r="J30" s="7" t="str">
        <x:v>Préparer état de repos, anticipation, activation et retour au repos ; aligner les événements visuels sur la résolution de l’action ATB.</x:v>
      </x:c>
      <x:c r="K30" s="7" t="str">
        <x:v>Créer des bruitages et ambiances originaux adaptés au livrable ; sous-titrer les indices utiles et proposer un réglage indépendant des effets. Aucune extraction audio demandée.</x:v>
      </x:c>
      <x:c r="L30" s="7" t="str">
        <x:v>Prévu : fiche de données me2/enemy_moves/husk ; rattacher les ressources et états cités à cet identifiant. Aucun fichier de jeu créé par ce catalogue.</x:v>
      </x:c>
      <x:c r="M30" s="7" t="str"/>
      <x:c r="N30" s="7" t="str">
        <x:v>En duel puis en groupe, « Agrippement de groupe » laisse une réponse observable ; l’impact ne précède jamais son télégraphe et l’interruption n’exécute pas les dégâts annulés.</x:v>
      </x:c>
      <x:c r="O30" s="7" t="str">
        <x:v>ME2-ENM-HUSK</x:v>
      </x:c>
      <x:c r="P30" s="7" t="str">
        <x:v>Adaptation originale — spécification de production</x:v>
      </x:c>
      <x:c r="Q30" s="7" t="str"/>
      <x:c r="R30" s="21" t="str"/>
      <x:c r="S30" s="21" t="str">
        <x:v>Spécification à réaliser. Les champs adaptation, gameplay, visual, animation, audio et implementation décrivent le fan game ; ils ne donnent pas des caractéristiques officielles de l’œuvre.</x:v>
      </x:c>
    </x:row>
    <x:row r="31" ht="68" customHeight="1">
      <x:c r="A31" s="18" t="str">
        <x:v>ME2-EMV-ABOMINATION</x:v>
      </x:c>
      <x:c r="B31" s="9" t="str">
        <x:v>Abomination — Explosion de proximité</x:v>
      </x:c>
      <x:c r="C31" s="15" t="str">
        <x:v>Défini</x:v>
      </x:c>
      <x:c r="D31" s="16" t="str">
        <x:v>Extrapolation</x:v>
      </x:c>
      <x:c r="E31" s="16" t="str">
        <x:v>P1</x:v>
      </x:c>
      <x:c r="F31" s="9" t="str">
        <x:v>Livrable original proposé : Abomination — Explosion de proximité.</x:v>
      </x:c>
      <x:c r="G31" s="9" t="str">
        <x:v>Lueur et contraction signalent l’explosion ; éloigner la cible avant de l’éliminer.</x:v>
      </x:c>
      <x:c r="H31" s="9" t="str">
        <x:v>Lueur et contraction signalent l’explosion ; éloigner la cible avant de l’éliminer.</x:v>
      </x:c>
      <x:c r="I31" s="9" t="str">
        <x:v>Husk rouge-orangé très contrasté. Ajouter un télégraphe de préparation indépendant du décor.</x:v>
      </x:c>
      <x:c r="J31" s="9" t="str">
        <x:v>Préparer état de repos, anticipation, activation et retour au repos ; aligner les événements visuels sur la résolution de l’action ATB.</x:v>
      </x:c>
      <x:c r="K31" s="9" t="str">
        <x:v>Créer des bruitages et ambiances originaux adaptés au livrable ; sous-titrer les indices utiles et proposer un réglage indépendant des effets. Aucune extraction audio demandée.</x:v>
      </x:c>
      <x:c r="L31" s="9" t="str">
        <x:v>Prévu : fiche de données me2/enemy_moves/abomination ; rattacher les ressources et états cités à cet identifiant. Aucun fichier de jeu créé par ce catalogue.</x:v>
      </x:c>
      <x:c r="M31" s="9" t="str"/>
      <x:c r="N31" s="9" t="str">
        <x:v>En duel puis en groupe, « Explosion de proximité » laisse une réponse observable ; l’impact ne précède jamais son télégraphe et l’interruption n’exécute pas les dégâts annulés.</x:v>
      </x:c>
      <x:c r="O31" s="9" t="str">
        <x:v>ME2-ENM-ABOMINATION</x:v>
      </x:c>
      <x:c r="P31" s="9" t="str">
        <x:v>Adaptation originale — spécification de production</x:v>
      </x:c>
      <x:c r="Q31" s="9" t="str"/>
      <x:c r="R31" s="20" t="str"/>
      <x:c r="S31" s="20" t="str">
        <x:v>Spécification à réaliser. Les champs adaptation, gameplay, visual, animation, audio et implementation décrivent le fan game ; ils ne donnent pas des caractéristiques officielles de l’œuvre.</x:v>
      </x:c>
    </x:row>
    <x:row r="32" ht="68" customHeight="1">
      <x:c r="A32" s="19" t="str">
        <x:v>ME2-EMV-SCION</x:v>
      </x:c>
      <x:c r="B32" s="7" t="str">
        <x:v>Scion — Onde au sol</x:v>
      </x:c>
      <x:c r="C32" s="15" t="str">
        <x:v>Défini</x:v>
      </x:c>
      <x:c r="D32" s="17" t="str">
        <x:v>Extrapolation</x:v>
      </x:c>
      <x:c r="E32" s="17" t="str">
        <x:v>P1</x:v>
      </x:c>
      <x:c r="F32" s="7" t="str">
        <x:v>Livrable original proposé : Scion — Onde au sol.</x:v>
      </x:c>
      <x:c r="G32" s="7" t="str">
        <x:v>Bras et corps chargent une ligne d’onde ; changer de bande ou stopper la préparation.</x:v>
      </x:c>
      <x:c r="H32" s="7" t="str">
        <x:v>Bras et corps chargent une ligne d’onde ; changer de bande ou stopper la préparation.</x:v>
      </x:c>
      <x:c r="I32" s="7" t="str">
        <x:v>Masse tordue, bras-canon et silhouette asymétrique. Ajouter un télégraphe de préparation indépendant du décor.</x:v>
      </x:c>
      <x:c r="J32" s="7" t="str">
        <x:v>Préparer état de repos, anticipation, activation et retour au repos ; aligner les événements visuels sur la résolution de l’action ATB.</x:v>
      </x:c>
      <x:c r="K32" s="7" t="str">
        <x:v>Créer des bruitages et ambiances originaux adaptés au livrable ; sous-titrer les indices utiles et proposer un réglage indépendant des effets. Aucune extraction audio demandée.</x:v>
      </x:c>
      <x:c r="L32" s="7" t="str">
        <x:v>Prévu : fiche de données me2/enemy_moves/scion ; rattacher les ressources et états cités à cet identifiant. Aucun fichier de jeu créé par ce catalogue.</x:v>
      </x:c>
      <x:c r="M32" s="7" t="str"/>
      <x:c r="N32" s="7" t="str">
        <x:v>En duel puis en groupe, « Onde au sol » laisse une réponse observable ; l’impact ne précède jamais son télégraphe et l’interruption n’exécute pas les dégâts annulés.</x:v>
      </x:c>
      <x:c r="O32" s="7" t="str">
        <x:v>ME2-ENM-SCION</x:v>
      </x:c>
      <x:c r="P32" s="7" t="str">
        <x:v>Adaptation originale — spécification de production</x:v>
      </x:c>
      <x:c r="Q32" s="7" t="str"/>
      <x:c r="R32" s="21" t="str"/>
      <x:c r="S32" s="21" t="str">
        <x:v>Spécification à réaliser. Les champs adaptation, gameplay, visual, animation, audio et implementation décrivent le fan game ; ils ne donnent pas des caractéristiques officielles de l’œuvre.</x:v>
      </x:c>
    </x:row>
    <x:row r="33" ht="68" customHeight="1">
      <x:c r="A33" s="18" t="str">
        <x:v>ME2-EMV-COLLECTOR-DRONE</x:v>
      </x:c>
      <x:c r="B33" s="9" t="str">
        <x:v>Collector Drone — Rafale organique</x:v>
      </x:c>
      <x:c r="C33" s="15" t="str">
        <x:v>Défini</x:v>
      </x:c>
      <x:c r="D33" s="16" t="str">
        <x:v>Extrapolation</x:v>
      </x:c>
      <x:c r="E33" s="16" t="str">
        <x:v>P1</x:v>
      </x:c>
      <x:c r="F33" s="9" t="str">
        <x:v>Livrable original proposé : Collector Drone — Rafale organique.</x:v>
      </x:c>
      <x:c r="G33" s="9" t="str">
        <x:v>Tir depuis couvert et repositionnement ailé ; les tirs de suppression bloquent le vol proposé.</x:v>
      </x:c>
      <x:c r="H33" s="9" t="str">
        <x:v>Tir depuis couvert et repositionnement ailé ; les tirs de suppression bloquent le vol proposé.</x:v>
      </x:c>
      <x:c r="I33" s="9" t="str">
        <x:v>Chitine brune, aile repliée et arme organique. Ajouter un télégraphe de préparation indépendant du décor.</x:v>
      </x:c>
      <x:c r="J33" s="9" t="str">
        <x:v>Préparer état de repos, anticipation, activation et retour au repos ; aligner les événements visuels sur la résolution de l’action ATB.</x:v>
      </x:c>
      <x:c r="K33" s="9" t="str">
        <x:v>Créer des bruitages et ambiances originaux adaptés au livrable ; sous-titrer les indices utiles et proposer un réglage indépendant des effets. Aucune extraction audio demandée.</x:v>
      </x:c>
      <x:c r="L33" s="9" t="str">
        <x:v>Prévu : fiche de données me2/enemy_moves/collector-drone ; rattacher les ressources et états cités à cet identifiant. Aucun fichier de jeu créé par ce catalogue.</x:v>
      </x:c>
      <x:c r="M33" s="9" t="str"/>
      <x:c r="N33" s="9" t="str">
        <x:v>En duel puis en groupe, « Rafale organique » laisse une réponse observable ; l’impact ne précède jamais son télégraphe et l’interruption n’exécute pas les dégâts annulés.</x:v>
      </x:c>
      <x:c r="O33" s="9" t="str">
        <x:v>ME2-ENM-COLLECTOR-DRONE</x:v>
      </x:c>
      <x:c r="P33" s="9" t="str">
        <x:v>Adaptation originale — spécification de production</x:v>
      </x:c>
      <x:c r="Q33" s="9" t="str"/>
      <x:c r="R33" s="20" t="str"/>
      <x:c r="S33" s="20" t="str">
        <x:v>Spécification à réaliser. Les champs adaptation, gameplay, visual, animation, audio et implementation décrivent le fan game ; ils ne donnent pas des caractéristiques officielles de l’œuvre.</x:v>
      </x:c>
    </x:row>
    <x:row r="34" ht="68" customHeight="1">
      <x:c r="A34" s="19" t="str">
        <x:v>ME2-EMV-COLLECTOR-GUARDIAN</x:v>
      </x:c>
      <x:c r="B34" s="7" t="str">
        <x:v>Collector Guardian — Écran de passage</x:v>
      </x:c>
      <x:c r="C34" s="15" t="str">
        <x:v>Défini</x:v>
      </x:c>
      <x:c r="D34" s="17" t="str">
        <x:v>Extrapolation</x:v>
      </x:c>
      <x:c r="E34" s="17" t="str">
        <x:v>P1</x:v>
      </x:c>
      <x:c r="F34" s="7" t="str">
        <x:v>Livrable original proposé : Collector Guardian — Écran de passage.</x:v>
      </x:c>
      <x:c r="G34" s="7" t="str">
        <x:v>Place une protection sur une voie ; contourner ou employer un pouvoir anti-barrière.</x:v>
      </x:c>
      <x:c r="H34" s="7" t="str">
        <x:v>Place une protection sur une voie ; contourner ou employer un pouvoir anti-barrière.</x:v>
      </x:c>
      <x:c r="I34" s="7" t="str">
        <x:v>Silhouette de Collecteur et lueur de projection. Ajouter un télégraphe de préparation indépendant du décor.</x:v>
      </x:c>
      <x:c r="J34" s="7" t="str">
        <x:v>Préparer état de repos, anticipation, activation et retour au repos ; aligner les événements visuels sur la résolution de l’action ATB.</x:v>
      </x:c>
      <x:c r="K34" s="7" t="str">
        <x:v>Créer des bruitages et ambiances originaux adaptés au livrable ; sous-titrer les indices utiles et proposer un réglage indépendant des effets. Aucune extraction audio demandée.</x:v>
      </x:c>
      <x:c r="L34" s="7" t="str">
        <x:v>Prévu : fiche de données me2/enemy_moves/collector-guardian ; rattacher les ressources et états cités à cet identifiant. Aucun fichier de jeu créé par ce catalogue.</x:v>
      </x:c>
      <x:c r="M34" s="7" t="str"/>
      <x:c r="N34" s="7" t="str">
        <x:v>En duel puis en groupe, « Écran de passage » laisse une réponse observable ; l’impact ne précède jamais son télégraphe et l’interruption n’exécute pas les dégâts annulés.</x:v>
      </x:c>
      <x:c r="O34" s="7" t="str">
        <x:v>ME2-ENM-COLLECTOR-GUARDIAN</x:v>
      </x:c>
      <x:c r="P34" s="7" t="str">
        <x:v>Adaptation originale — spécification de production</x:v>
      </x:c>
      <x:c r="Q34" s="7" t="str"/>
      <x:c r="R34" s="21" t="str"/>
      <x:c r="S34" s="21" t="str">
        <x:v>Spécification à réaliser. Les champs adaptation, gameplay, visual, animation, audio et implementation décrivent le fan game ; ils ne donnent pas des caractéristiques officielles de l’œuvre.</x:v>
      </x:c>
    </x:row>
    <x:row r="35" ht="68" customHeight="1">
      <x:c r="A35" s="18" t="str">
        <x:v>ME2-EMV-COLLECTOR-ASSASSIN</x:v>
      </x:c>
      <x:c r="B35" s="9" t="str">
        <x:v>Collector Assassin — Rayon de précision</x:v>
      </x:c>
      <x:c r="C35" s="15" t="str">
        <x:v>Défini</x:v>
      </x:c>
      <x:c r="D35" s="16" t="str">
        <x:v>Extrapolation</x:v>
      </x:c>
      <x:c r="E35" s="16" t="str">
        <x:v>P1</x:v>
      </x:c>
      <x:c r="F35" s="9" t="str">
        <x:v>Livrable original proposé : Collector Assassin — Rayon de précision.</x:v>
      </x:c>
      <x:c r="G35" s="9" t="str">
        <x:v>Canal lumineux fixe une cible ; passer derrière un couvert épais ou interrompre le canal.</x:v>
      </x:c>
      <x:c r="H35" s="9" t="str">
        <x:v>Canal lumineux fixe une cible ; passer derrière un couvert épais ou interrompre le canal.</x:v>
      </x:c>
      <x:c r="I35" s="9" t="str">
        <x:v>Arme-faisceau et visée stable. Ajouter un télégraphe de préparation indépendant du décor.</x:v>
      </x:c>
      <x:c r="J35" s="9" t="str">
        <x:v>Préparer état de repos, anticipation, activation et retour au repos ; aligner les événements visuels sur la résolution de l’action ATB.</x:v>
      </x:c>
      <x:c r="K35" s="9" t="str">
        <x:v>Créer des bruitages et ambiances originaux adaptés au livrable ; sous-titrer les indices utiles et proposer un réglage indépendant des effets. Aucune extraction audio demandée.</x:v>
      </x:c>
      <x:c r="L35" s="9" t="str">
        <x:v>Prévu : fiche de données me2/enemy_moves/collector-assassin ; rattacher les ressources et états cités à cet identifiant. Aucun fichier de jeu créé par ce catalogue.</x:v>
      </x:c>
      <x:c r="M35" s="9" t="str"/>
      <x:c r="N35" s="9" t="str">
        <x:v>En duel puis en groupe, « Rayon de précision » laisse une réponse observable ; l’impact ne précède jamais son télégraphe et l’interruption n’exécute pas les dégâts annulés.</x:v>
      </x:c>
      <x:c r="O35" s="9" t="str">
        <x:v>ME2-ENM-COLLECTOR-ASSASSIN</x:v>
      </x:c>
      <x:c r="P35" s="9" t="str">
        <x:v>Adaptation originale — spécification de production</x:v>
      </x:c>
      <x:c r="Q35" s="9" t="str"/>
      <x:c r="R35" s="20" t="str"/>
      <x:c r="S35" s="20" t="str">
        <x:v>Spécification à réaliser. Les champs adaptation, gameplay, visual, animation, audio et implementation décrivent le fan game ; ils ne donnent pas des caractéristiques officielles de l’œuvre.</x:v>
      </x:c>
    </x:row>
    <x:row r="36" ht="68" customHeight="1">
      <x:c r="A36" s="19" t="str">
        <x:v>ME2-EMV-HARBINGER</x:v>
      </x:c>
      <x:c r="B36" s="7" t="str">
        <x:v>Collecteur possédé par Harbinger — Transfert d’autorité</x:v>
      </x:c>
      <x:c r="C36" s="15" t="str">
        <x:v>Défini</x:v>
      </x:c>
      <x:c r="D36" s="17" t="str">
        <x:v>Extrapolation</x:v>
      </x:c>
      <x:c r="E36" s="17" t="str">
        <x:v>P1</x:v>
      </x:c>
      <x:c r="F36" s="7" t="str">
        <x:v>Livrable original proposé : Collecteur possédé par Harbinger — Transfert d’autorité.</x:v>
      </x:c>
      <x:c r="G36" s="7" t="str">
        <x:v>L’hôte brûle puis avance ; neutraliser ses soutiens limite les prochaines prises de contrôle.</x:v>
      </x:c>
      <x:c r="H36" s="7" t="str">
        <x:v>L’hôte brûle puis avance ; neutraliser ses soutiens limite les prochaines prises de contrôle.</x:v>
      </x:c>
      <x:c r="I36" s="7" t="str">
        <x:v>Chitine embrasée et tête éclairée. Ajouter un télégraphe de préparation indépendant du décor.</x:v>
      </x:c>
      <x:c r="J36" s="7" t="str">
        <x:v>Préparer état de repos, anticipation, activation et retour au repos ; aligner les événements visuels sur la résolution de l’action ATB.</x:v>
      </x:c>
      <x:c r="K36" s="7" t="str">
        <x:v>Créer des bruitages et ambiances originaux adaptés au livrable ; sous-titrer les indices utiles et proposer un réglage indépendant des effets. Aucune extraction audio demandée.</x:v>
      </x:c>
      <x:c r="L36" s="7" t="str">
        <x:v>Prévu : fiche de données me2/enemy_moves/harbinger ; rattacher les ressources et états cités à cet identifiant. Aucun fichier de jeu créé par ce catalogue.</x:v>
      </x:c>
      <x:c r="M36" s="7" t="str"/>
      <x:c r="N36" s="7" t="str">
        <x:v>En duel puis en groupe, « Transfert d’autorité » laisse une réponse observable ; l’impact ne précède jamais son télégraphe et l’interruption n’exécute pas les dégâts annulés.</x:v>
      </x:c>
      <x:c r="O36" s="7" t="str">
        <x:v>ME2-ENM-HARBINGER</x:v>
      </x:c>
      <x:c r="P36" s="7" t="str">
        <x:v>Adaptation originale — spécification de production</x:v>
      </x:c>
      <x:c r="Q36" s="7" t="str"/>
      <x:c r="R36" s="21" t="str"/>
      <x:c r="S36" s="21" t="str">
        <x:v>Spécification à réaliser. Les champs adaptation, gameplay, visual, animation, audio et implementation décrivent le fan game ; ils ne donnent pas des caractéristiques officielles de l’œuvre.</x:v>
      </x:c>
    </x:row>
    <x:row r="37" ht="68" customHeight="1">
      <x:c r="A37" s="18" t="str">
        <x:v>ME2-EMV-PRAETORIAN</x:v>
      </x:c>
      <x:c r="B37" s="9" t="str">
        <x:v>Praetorian — Poursuite et atterrissage</x:v>
      </x:c>
      <x:c r="C37" s="15" t="str">
        <x:v>Défini</x:v>
      </x:c>
      <x:c r="D37" s="16" t="str">
        <x:v>Extrapolation</x:v>
      </x:c>
      <x:c r="E37" s="16" t="str">
        <x:v>P1</x:v>
      </x:c>
      <x:c r="F37" s="9" t="str">
        <x:v>Livrable original proposé : Praetorian — Poursuite et atterrissage.</x:v>
      </x:c>
      <x:c r="G37" s="9" t="str">
        <x:v>Faisceau pendant poursuite, onde autour de l’atterrissage ; maintenir un pilier entre lui et la cible puis reculer.</x:v>
      </x:c>
      <x:c r="H37" s="9" t="str">
        <x:v>Faisceau pendant poursuite, onde autour de l’atterrissage ; maintenir un pilier entre lui et la cible puis reculer.</x:v>
      </x:c>
      <x:c r="I37" s="9" t="str">
        <x:v>Carapace noire, membres pendants, plusieurs visages regroupés. Ajouter un télégraphe de préparation indépendant du décor.</x:v>
      </x:c>
      <x:c r="J37" s="9" t="str">
        <x:v>Préparer état de repos, anticipation, activation et retour au repos ; aligner les événements visuels sur la résolution de l’action ATB.</x:v>
      </x:c>
      <x:c r="K37" s="9" t="str">
        <x:v>Créer des bruitages et ambiances originaux adaptés au livrable ; sous-titrer les indices utiles et proposer un réglage indépendant des effets. Aucune extraction audio demandée.</x:v>
      </x:c>
      <x:c r="L37" s="9" t="str">
        <x:v>Prévu : fiche de données me2/enemy_moves/praetorian ; rattacher les ressources et états cités à cet identifiant. Aucun fichier de jeu créé par ce catalogue.</x:v>
      </x:c>
      <x:c r="M37" s="9" t="str"/>
      <x:c r="N37" s="9" t="str">
        <x:v>En duel puis en groupe, « Poursuite et atterrissage » laisse une réponse observable ; l’impact ne précède jamais son télégraphe et l’interruption n’exécute pas les dégâts annulés.</x:v>
      </x:c>
      <x:c r="O37" s="9" t="str">
        <x:v>ME2-ENM-PRAETORIAN</x:v>
      </x:c>
      <x:c r="P37" s="9" t="str">
        <x:v>Adaptation originale — spécification de production</x:v>
      </x:c>
      <x:c r="Q37" s="9" t="str"/>
      <x:c r="R37" s="20" t="str"/>
      <x:c r="S37" s="20" t="str">
        <x:v>Spécification à réaliser. Les champs adaptation, gameplay, visual, animation, audio et implementation décrivent le fan game ; ils ne donnent pas des caractéristiques officielles de l’œuvre.</x:v>
      </x:c>
    </x:row>
    <x:row r="38" ht="68" customHeight="1">
      <x:c r="A38" s="19" t="str">
        <x:v>ME2-EMV-OCULUS</x:v>
      </x:c>
      <x:c r="B38" s="7" t="str">
        <x:v>Oculus — Percée de coque</x:v>
      </x:c>
      <x:c r="C38" s="15" t="str">
        <x:v>Défini</x:v>
      </x:c>
      <x:c r="D38" s="17" t="str">
        <x:v>Extrapolation</x:v>
      </x:c>
      <x:c r="E38" s="17" t="str">
        <x:v>P1</x:v>
      </x:c>
      <x:c r="F38" s="7" t="str">
        <x:v>Livrable original proposé : Oculus — Percée de coque.</x:v>
      </x:c>
      <x:c r="G38" s="7" t="str">
        <x:v>Entrée annoncée, balayage puis recul ; le groupe rejoint le couvert opposé à son iris.</x:v>
      </x:c>
      <x:c r="H38" s="7" t="str">
        <x:v>Entrée annoncée, balayage puis recul ; le groupe rejoint le couvert opposé à son iris.</x:v>
      </x:c>
      <x:c r="I38" s="7" t="str">
        <x:v>Sphère mécanique à iris central. Ajouter un télégraphe de préparation indépendant du décor.</x:v>
      </x:c>
      <x:c r="J38" s="7" t="str">
        <x:v>Préparer état de repos, anticipation, activation et retour au repos ; aligner les événements visuels sur la résolution de l’action ATB.</x:v>
      </x:c>
      <x:c r="K38" s="7" t="str">
        <x:v>Créer des bruitages et ambiances originaux adaptés au livrable ; sous-titrer les indices utiles et proposer un réglage indépendant des effets. Aucune extraction audio demandée.</x:v>
      </x:c>
      <x:c r="L38" s="7" t="str">
        <x:v>Prévu : fiche de données me2/enemy_moves/oculus ; rattacher les ressources et états cités à cet identifiant. Aucun fichier de jeu créé par ce catalogue.</x:v>
      </x:c>
      <x:c r="M38" s="7" t="str"/>
      <x:c r="N38" s="7" t="str">
        <x:v>En duel puis en groupe, « Percée de coque » laisse une réponse observable ; l’impact ne précède jamais son télégraphe et l’interruption n’exécute pas les dégâts annulés.</x:v>
      </x:c>
      <x:c r="O38" s="7" t="str">
        <x:v>ME2-ENM-OCULUS</x:v>
      </x:c>
      <x:c r="P38" s="7" t="str">
        <x:v>Adaptation originale — spécification de production</x:v>
      </x:c>
      <x:c r="Q38" s="7" t="str"/>
      <x:c r="R38" s="21" t="str"/>
      <x:c r="S38" s="21" t="str">
        <x:v>Spécification à réaliser. Les champs adaptation, gameplay, visual, animation, audio et implementation décrivent le fan game ; ils ne donnent pas des caractéristiques officielles de l’œuvre.</x:v>
      </x:c>
    </x:row>
    <x:row r="39" ht="68" customHeight="1">
      <x:c r="A39" s="18" t="str">
        <x:v>ME2-EMV-HUMAN-REAPER</x:v>
      </x:c>
      <x:c r="B39" s="9" t="str">
        <x:v>Moissonneur humain — Bras et tubes</x:v>
      </x:c>
      <x:c r="C39" s="15" t="str">
        <x:v>Défini</x:v>
      </x:c>
      <x:c r="D39" s="16" t="str">
        <x:v>Extrapolation</x:v>
      </x:c>
      <x:c r="E39" s="16" t="str">
        <x:v>P1</x:v>
      </x:c>
      <x:c r="F39" s="9" t="str">
        <x:v>Livrable original proposé : Moissonneur humain — Bras et tubes.</x:v>
      </x:c>
      <x:c r="G39" s="9" t="str">
        <x:v>Attaques de bandes puis exposition de points faibles ; détruire des alimentations sans confondre décor et cibles.</x:v>
      </x:c>
      <x:c r="H39" s="9" t="str">
        <x:v>Attaques de bandes puis exposition de points faibles ; détruire des alimentations sans confondre décor et cibles.</x:v>
      </x:c>
      <x:c r="I39" s="9" t="str">
        <x:v>Immense torse humanoïde métallique, yeux et tubes éclairés. Ajouter un télégraphe de préparation indépendant du décor.</x:v>
      </x:c>
      <x:c r="J39" s="9" t="str">
        <x:v>Préparer état de repos, anticipation, activation et retour au repos ; aligner les événements visuels sur la résolution de l’action ATB.</x:v>
      </x:c>
      <x:c r="K39" s="9" t="str">
        <x:v>Créer des bruitages et ambiances originaux adaptés au livrable ; sous-titrer les indices utiles et proposer un réglage indépendant des effets. Aucune extraction audio demandée.</x:v>
      </x:c>
      <x:c r="L39" s="9" t="str">
        <x:v>Prévu : fiche de données me2/enemy_moves/human-reaper ; rattacher les ressources et états cités à cet identifiant. Aucun fichier de jeu créé par ce catalogue.</x:v>
      </x:c>
      <x:c r="M39" s="9" t="str"/>
      <x:c r="N39" s="9" t="str">
        <x:v>En duel puis en groupe, « Bras et tubes » laisse une réponse observable ; l’impact ne précède jamais son télégraphe et l’interruption n’exécute pas les dégâts annulés.</x:v>
      </x:c>
      <x:c r="O39" s="9" t="str">
        <x:v>ME2-ENM-HUMAN-REAPER</x:v>
      </x:c>
      <x:c r="P39" s="9" t="str">
        <x:v>Adaptation originale — spécification de production</x:v>
      </x:c>
      <x:c r="Q39" s="9" t="str"/>
      <x:c r="R39" s="20" t="str"/>
      <x:c r="S39" s="20" t="str">
        <x:v>Spécification à réaliser. Les champs adaptation, gameplay, visual, animation, audio et implementation décrivent le fan game ; ils ne donnent pas des caractéristiques officielles de l’œuvre.</x:v>
      </x:c>
    </x:row>
    <x:row r="40" ht="68" customHeight="1">
      <x:c r="A40" s="19" t="str">
        <x:v>ME2-EMV-VARRREN</x:v>
      </x:c>
      <x:c r="B40" s="7" t="str">
        <x:v>Varren — Morsure en tenaille</x:v>
      </x:c>
      <x:c r="C40" s="15" t="str">
        <x:v>Défini</x:v>
      </x:c>
      <x:c r="D40" s="17" t="str">
        <x:v>Extrapolation</x:v>
      </x:c>
      <x:c r="E40" s="17" t="str">
        <x:v>P1</x:v>
      </x:c>
      <x:c r="F40" s="7" t="str">
        <x:v>Livrable original proposé : Varren — Morsure en tenaille.</x:v>
      </x:c>
      <x:c r="G40" s="7" t="str">
        <x:v>Deux approches décalées ; garde au contact ou projection empêchent d’être encerclé.</x:v>
      </x:c>
      <x:c r="H40" s="7" t="str">
        <x:v>Deux approches décalées ; garde au contact ou projection empêchent d’être encerclé.</x:v>
      </x:c>
      <x:c r="I40" s="7" t="str">
        <x:v>Quadrupède trapu, gueule large, peau écailleuse. Ajouter un télégraphe de préparation indépendant du décor.</x:v>
      </x:c>
      <x:c r="J40" s="7" t="str">
        <x:v>Préparer état de repos, anticipation, activation et retour au repos ; aligner les événements visuels sur la résolution de l’action ATB.</x:v>
      </x:c>
      <x:c r="K40" s="7" t="str">
        <x:v>Créer des bruitages et ambiances originaux adaptés au livrable ; sous-titrer les indices utiles et proposer un réglage indépendant des effets. Aucune extraction audio demandée.</x:v>
      </x:c>
      <x:c r="L40" s="7" t="str">
        <x:v>Prévu : fiche de données me2/enemy_moves/varrren ; rattacher les ressources et états cités à cet identifiant. Aucun fichier de jeu créé par ce catalogue.</x:v>
      </x:c>
      <x:c r="M40" s="7" t="str"/>
      <x:c r="N40" s="7" t="str">
        <x:v>En duel puis en groupe, « Morsure en tenaille » laisse une réponse observable ; l’impact ne précède jamais son télégraphe et l’interruption n’exécute pas les dégâts annulés.</x:v>
      </x:c>
      <x:c r="O40" s="7" t="str">
        <x:v>ME2-ENM-VARRREN</x:v>
      </x:c>
      <x:c r="P40" s="7" t="str">
        <x:v>Adaptation originale — spécification de production</x:v>
      </x:c>
      <x:c r="Q40" s="7" t="str"/>
      <x:c r="R40" s="21" t="str"/>
      <x:c r="S40" s="21" t="str">
        <x:v>Spécification à réaliser. Les champs adaptation, gameplay, visual, animation, audio et implementation décrivent le fan game ; ils ne donnent pas des caractéristiques officielles de l’œuvre.</x:v>
      </x:c>
    </x:row>
    <x:row r="41" ht="68" customHeight="1">
      <x:c r="A41" s="18" t="str">
        <x:v>ME2-EMV-THRESHER</x:v>
      </x:c>
      <x:c r="B41" s="9" t="str">
        <x:v>Dévoreur du rite — Émergence et projection</x:v>
      </x:c>
      <x:c r="C41" s="15" t="str">
        <x:v>Défini</x:v>
      </x:c>
      <x:c r="D41" s="16" t="str">
        <x:v>Extrapolation</x:v>
      </x:c>
      <x:c r="E41" s="16" t="str">
        <x:v>P1</x:v>
      </x:c>
      <x:c r="F41" s="9" t="str">
        <x:v>Livrable original proposé : Dévoreur du rite — Émergence et projection.</x:v>
      </x:c>
      <x:c r="G41" s="9" t="str">
        <x:v>Sol secoué avant sortie ; dissocier esquive et visée puis garder une marge de déplacement.</x:v>
      </x:c>
      <x:c r="H41" s="9" t="str">
        <x:v>Sol secoué avant sortie ; dissocier esquive et visée puis garder une marge de déplacement.</x:v>
      </x:c>
      <x:c r="I41" s="9" t="str">
        <x:v>Ver géant, bouche segmentée et poussière. Ajouter un télégraphe de préparation indépendant du décor.</x:v>
      </x:c>
      <x:c r="J41" s="9" t="str">
        <x:v>Préparer état de repos, anticipation, activation et retour au repos ; aligner les événements visuels sur la résolution de l’action ATB.</x:v>
      </x:c>
      <x:c r="K41" s="9" t="str">
        <x:v>Créer des bruitages et ambiances originaux adaptés au livrable ; sous-titrer les indices utiles et proposer un réglage indépendant des effets. Aucune extraction audio demandée.</x:v>
      </x:c>
      <x:c r="L41" s="9" t="str">
        <x:v>Prévu : fiche de données me2/enemy_moves/thresher ; rattacher les ressources et états cités à cet identifiant. Aucun fichier de jeu créé par ce catalogue.</x:v>
      </x:c>
      <x:c r="M41" s="9" t="str"/>
      <x:c r="N41" s="9" t="str">
        <x:v>En duel puis en groupe, « Émergence et projection » laisse une réponse observable ; l’impact ne précède jamais son télégraphe et l’interruption n’exécute pas les dégâts annulés.</x:v>
      </x:c>
      <x:c r="O41" s="9" t="str">
        <x:v>ME2-ENM-THRESHER</x:v>
      </x:c>
      <x:c r="P41" s="9" t="str">
        <x:v>Adaptation originale — spécification de production</x:v>
      </x:c>
      <x:c r="Q41" s="9" t="str"/>
      <x:c r="R41" s="20" t="str"/>
      <x:c r="S41" s="20" t="str">
        <x:v>Spécification à réaliser. Les champs adaptation, gameplay, visual, animation, audio et implementation décrivent le fan game ; ils ne donnent pas des caractéristiques officielles de l’œuvre.</x:v>
      </x:c>
    </x:row>
    <x:row r="42" ht="68" customHeight="1">
      <x:c r="A42" s="19" t="str">
        <x:v>ME2-EMV-GUNSHIP</x:v>
      </x:c>
      <x:c r="B42" s="7" t="str">
        <x:v>Aéronef de combat — Passe de mitraillage</x:v>
      </x:c>
      <x:c r="C42" s="15" t="str">
        <x:v>Défini</x:v>
      </x:c>
      <x:c r="D42" s="17" t="str">
        <x:v>Extrapolation</x:v>
      </x:c>
      <x:c r="E42" s="17" t="str">
        <x:v>P1</x:v>
      </x:c>
      <x:c r="F42" s="7" t="str">
        <x:v>Livrable original proposé : Aéronef de combat — Passe de mitraillage.</x:v>
      </x:c>
      <x:c r="G42" s="7" t="str">
        <x:v>Ombre annonçant le secteur balayé ; changer d’abri puis attaquer pendant le demi-tour.</x:v>
      </x:c>
      <x:c r="H42" s="7" t="str">
        <x:v>Ombre annonçant le secteur balayé ; changer d’abri puis attaquer pendant le demi-tour.</x:v>
      </x:c>
      <x:c r="I42" s="7" t="str">
        <x:v>Coque de gunship, canons et moteurs latéraux. Ajouter un télégraphe de préparation indépendant du décor.</x:v>
      </x:c>
      <x:c r="J42" s="7" t="str">
        <x:v>Préparer état de repos, anticipation, activation et retour au repos ; aligner les événements visuels sur la résolution de l’action ATB.</x:v>
      </x:c>
      <x:c r="K42" s="7" t="str">
        <x:v>Créer des bruitages et ambiances originaux adaptés au livrable ; sous-titrer les indices utiles et proposer un réglage indépendant des effets. Aucune extraction audio demandée.</x:v>
      </x:c>
      <x:c r="L42" s="7" t="str">
        <x:v>Prévu : fiche de données me2/enemy_moves/gunship ; rattacher les ressources et états cités à cet identifiant. Aucun fichier de jeu créé par ce catalogue.</x:v>
      </x:c>
      <x:c r="M42" s="7" t="str"/>
      <x:c r="N42" s="7" t="str">
        <x:v>En duel puis en groupe, « Passe de mitraillage » laisse une réponse observable ; l’impact ne précède jamais son télégraphe et l’interruption n’exécute pas les dégâts annulés.</x:v>
      </x:c>
      <x:c r="O42" s="7" t="str">
        <x:v>ME2-ENM-GUNSHIP</x:v>
      </x:c>
      <x:c r="P42" s="7" t="str">
        <x:v>Adaptation originale — spécification de production</x:v>
      </x:c>
      <x:c r="Q42" s="7" t="str"/>
      <x:c r="R42" s="21" t="str"/>
      <x:c r="S42" s="21" t="str">
        <x:v>Spécification à réaliser. Les champs adaptation, gameplay, visual, animation, audio et implementation décrivent le fan game ; ils ne donnent pas des caractéristiques officielles de l’œuvre.</x:v>
      </x:c>
    </x:row>
    <x:row r="43" ht="68" customHeight="1">
      <x:c r="A43" s="18" t="str">
        <x:v>ME2-EMV-BROKER-AGENT</x:v>
      </x:c>
      <x:c r="B43" s="9" t="str">
        <x:v>Shadow Broker Agent — Grenade d’éblouissement</x:v>
      </x:c>
      <x:c r="C43" s="15" t="str">
        <x:v>Défini</x:v>
      </x:c>
      <x:c r="D43" s="16" t="str">
        <x:v>Extrapolation</x:v>
      </x:c>
      <x:c r="E43" s="16" t="str">
        <x:v>P1</x:v>
      </x:c>
      <x:c r="F43" s="9" t="str">
        <x:v>Livrable original proposé : Shadow Broker Agent — Grenade d’éblouissement.</x:v>
      </x:c>
      <x:c r="G43" s="9" t="str">
        <x:v>Objet lancé et icône de délai ; se couvrir ou viser le lanceur avant émission.</x:v>
      </x:c>
      <x:c r="H43" s="9" t="str">
        <x:v>Objet lancé et icône de délai ; se couvrir ou viser le lanceur avant émission.</x:v>
      </x:c>
      <x:c r="I43" s="9" t="str">
        <x:v>Armure sombre et visière opaque. Ajouter un télégraphe de préparation indépendant du décor.</x:v>
      </x:c>
      <x:c r="J43" s="9" t="str">
        <x:v>Préparer état de repos, anticipation, activation et retour au repos ; aligner les événements visuels sur la résolution de l’action ATB.</x:v>
      </x:c>
      <x:c r="K43" s="9" t="str">
        <x:v>Créer des bruitages et ambiances originaux adaptés au livrable ; sous-titrer les indices utiles et proposer un réglage indépendant des effets. Aucune extraction audio demandée.</x:v>
      </x:c>
      <x:c r="L43" s="9" t="str">
        <x:v>Prévu : fiche de données me2/enemy_moves/broker-agent ; rattacher les ressources et états cités à cet identifiant. Aucun fichier de jeu créé par ce catalogue.</x:v>
      </x:c>
      <x:c r="M43" s="9" t="str"/>
      <x:c r="N43" s="9" t="str">
        <x:v>En duel puis en groupe, « Grenade d’éblouissement » laisse une réponse observable ; l’impact ne précède jamais son télégraphe et l’interruption n’exécute pas les dégâts annulés.</x:v>
      </x:c>
      <x:c r="O43" s="9" t="str">
        <x:v>ME2-ENM-BROKER-AGENT</x:v>
      </x:c>
      <x:c r="P43" s="9" t="str">
        <x:v>Adaptation originale — spécification de production</x:v>
      </x:c>
      <x:c r="Q43" s="9" t="str"/>
      <x:c r="R43" s="20" t="str"/>
      <x:c r="S43" s="20" t="str">
        <x:v>Spécification à réaliser. Les champs adaptation, gameplay, visual, animation, audio et implementation décrivent le fan game ; ils ne donnent pas des caractéristiques officielles de l’œuvre.</x:v>
      </x:c>
    </x:row>
    <x:row r="44" ht="68" customHeight="1">
      <x:c r="A44" s="19" t="str">
        <x:v>ME2-EMV-BROKER-VANGUARD</x:v>
      </x:c>
      <x:c r="B44" s="7" t="str">
        <x:v>Shadow Broker Vanguard — Charge oblique</x:v>
      </x:c>
      <x:c r="C44" s="15" t="str">
        <x:v>Défini</x:v>
      </x:c>
      <x:c r="D44" s="17" t="str">
        <x:v>Extrapolation</x:v>
      </x:c>
      <x:c r="E44" s="17" t="str">
        <x:v>P1</x:v>
      </x:c>
      <x:c r="F44" s="7" t="str">
        <x:v>Livrable original proposé : Shadow Broker Vanguard — Charge oblique.</x:v>
      </x:c>
      <x:c r="G44" s="7" t="str">
        <x:v>Marqueur d’arrivée avant déplacement ; esquive latérale et contre anti-barrière.</x:v>
      </x:c>
      <x:c r="H44" s="7" t="str">
        <x:v>Marqueur d’arrivée avant déplacement ; esquive latérale et contre anti-barrière.</x:v>
      </x:c>
      <x:c r="I44" s="7" t="str">
        <x:v>Armure noire et énergie bleue. Ajouter un télégraphe de préparation indépendant du décor.</x:v>
      </x:c>
      <x:c r="J44" s="7" t="str">
        <x:v>Préparer état de repos, anticipation, activation et retour au repos ; aligner les événements visuels sur la résolution de l’action ATB.</x:v>
      </x:c>
      <x:c r="K44" s="7" t="str">
        <x:v>Créer des bruitages et ambiances originaux adaptés au livrable ; sous-titrer les indices utiles et proposer un réglage indépendant des effets. Aucune extraction audio demandée.</x:v>
      </x:c>
      <x:c r="L44" s="7" t="str">
        <x:v>Prévu : fiche de données me2/enemy_moves/broker-vanguard ; rattacher les ressources et états cités à cet identifiant. Aucun fichier de jeu créé par ce catalogue.</x:v>
      </x:c>
      <x:c r="M44" s="7" t="str"/>
      <x:c r="N44" s="7" t="str">
        <x:v>En duel puis en groupe, « Charge oblique » laisse une réponse observable ; l’impact ne précède jamais son télégraphe et l’interruption n’exécute pas les dégâts annulés.</x:v>
      </x:c>
      <x:c r="O44" s="7" t="str">
        <x:v>ME2-ENM-BROKER-VANGUARD</x:v>
      </x:c>
      <x:c r="P44" s="7" t="str">
        <x:v>Adaptation originale — spécification de production</x:v>
      </x:c>
      <x:c r="Q44" s="7" t="str"/>
      <x:c r="R44" s="21" t="str"/>
      <x:c r="S44" s="21" t="str">
        <x:v>Spécification à réaliser. Les champs adaptation, gameplay, visual, animation, audio et implementation décrivent le fan game ; ils ne donnent pas des caractéristiques officielles de l’œuvre.</x:v>
      </x:c>
    </x:row>
    <x:row r="45" ht="68" customHeight="1">
      <x:c r="A45" s="18" t="str">
        <x:v>ME2-EMV-VASIR</x:v>
      </x:c>
      <x:c r="B45" s="9" t="str">
        <x:v>Tela Vasir — boss — Chaîne de charges</x:v>
      </x:c>
      <x:c r="C45" s="15" t="str">
        <x:v>Défini</x:v>
      </x:c>
      <x:c r="D45" s="16" t="str">
        <x:v>Extrapolation</x:v>
      </x:c>
      <x:c r="E45" s="16" t="str">
        <x:v>P1</x:v>
      </x:c>
      <x:c r="F45" s="9" t="str">
        <x:v>Livrable original proposé : Tela Vasir — boss — Chaîne de charges.</x:v>
      </x:c>
      <x:c r="G45" s="9" t="str">
        <x:v>Tracer plusieurs segments avant résolution ; casser une phase en exploitant sa récupération.</x:v>
      </x:c>
      <x:c r="H45" s="9" t="str">
        <x:v>Tracer plusieurs segments avant résolution ; casser une phase en exploitant sa récupération.</x:v>
      </x:c>
      <x:c r="I45" s="9" t="str">
        <x:v>Asari en armure, traînée biotique et posture d’élan. Ajouter un télégraphe de préparation indépendant du décor.</x:v>
      </x:c>
      <x:c r="J45" s="9" t="str">
        <x:v>Préparer état de repos, anticipation, activation et retour au repos ; aligner les événements visuels sur la résolution de l’action ATB.</x:v>
      </x:c>
      <x:c r="K45" s="9" t="str">
        <x:v>Créer des bruitages et ambiances originaux adaptés au livrable ; sous-titrer les indices utiles et proposer un réglage indépendant des effets. Aucune extraction audio demandée.</x:v>
      </x:c>
      <x:c r="L45" s="9" t="str">
        <x:v>Prévu : fiche de données me2/enemy_moves/vasir ; rattacher les ressources et états cités à cet identifiant. Aucun fichier de jeu créé par ce catalogue.</x:v>
      </x:c>
      <x:c r="M45" s="9" t="str"/>
      <x:c r="N45" s="9" t="str">
        <x:v>En duel puis en groupe, « Chaîne de charges » laisse une réponse observable ; l’impact ne précède jamais son télégraphe et l’interruption n’exécute pas les dégâts annulés.</x:v>
      </x:c>
      <x:c r="O45" s="9" t="str">
        <x:v>ME2-ENM-VASIR</x:v>
      </x:c>
      <x:c r="P45" s="9" t="str">
        <x:v>Adaptation originale — spécification de production</x:v>
      </x:c>
      <x:c r="Q45" s="9" t="str"/>
      <x:c r="R45" s="20" t="str"/>
      <x:c r="S45" s="20" t="str">
        <x:v>Spécification à réaliser. Les champs adaptation, gameplay, visual, animation, audio et implementation décrivent le fan game ; ils ne donnent pas des caractéristiques officielles de l’œuvre.</x:v>
      </x:c>
    </x:row>
    <x:row r="46" ht="68" customHeight="1">
      <x:c r="A46" s="19" t="str">
        <x:v>ME2-EMV-BROKER</x:v>
      </x:c>
      <x:c r="B46" s="7" t="str">
        <x:v>Courtier de l’Ombre — yahg — Bouclier et coup lourd</x:v>
      </x:c>
      <x:c r="C46" s="15" t="str">
        <x:v>Défini</x:v>
      </x:c>
      <x:c r="D46" s="17" t="str">
        <x:v>Extrapolation</x:v>
      </x:c>
      <x:c r="E46" s="17" t="str">
        <x:v>P1</x:v>
      </x:c>
      <x:c r="F46" s="7" t="str">
        <x:v>Livrable original proposé : Courtier de l’Ombre — yahg — Bouclier et coup lourd.</x:v>
      </x:c>
      <x:c r="G46" s="7" t="str">
        <x:v>Alterner tir, mêlée et coordination de Liara ; le côté protégé reste signalé.</x:v>
      </x:c>
      <x:c r="H46" s="7" t="str">
        <x:v>Alterner tir, mêlée et coordination de Liara ; le côté protégé reste signalé.</x:v>
      </x:c>
      <x:c r="I46" s="7" t="str">
        <x:v>Yahg massif, yeux multiples et bouclier de grande taille. Ajouter un télégraphe de préparation indépendant du décor.</x:v>
      </x:c>
      <x:c r="J46" s="7" t="str">
        <x:v>Préparer état de repos, anticipation, activation et retour au repos ; aligner les événements visuels sur la résolution de l’action ATB.</x:v>
      </x:c>
      <x:c r="K46" s="7" t="str">
        <x:v>Créer des bruitages et ambiances originaux adaptés au livrable ; sous-titrer les indices utiles et proposer un réglage indépendant des effets. Aucune extraction audio demandée.</x:v>
      </x:c>
      <x:c r="L46" s="7" t="str">
        <x:v>Prévu : fiche de données me2/enemy_moves/broker ; rattacher les ressources et états cités à cet identifiant. Aucun fichier de jeu créé par ce catalogue.</x:v>
      </x:c>
      <x:c r="M46" s="7" t="str"/>
      <x:c r="N46" s="7" t="str">
        <x:v>En duel puis en groupe, « Bouclier et coup lourd » laisse une réponse observable ; l’impact ne précède jamais son télégraphe et l’interruption n’exécute pas les dégâts annulés.</x:v>
      </x:c>
      <x:c r="O46" s="7" t="str">
        <x:v>ME2-ENM-BROKER</x:v>
      </x:c>
      <x:c r="P46" s="7" t="str">
        <x:v>Adaptation originale — spécification de production</x:v>
      </x:c>
      <x:c r="Q46" s="7" t="str"/>
      <x:c r="R46" s="21" t="str"/>
      <x:c r="S46" s="21" t="str">
        <x:v>Spécification à réaliser. Les champs adaptation, gameplay, visual, animation, audio et implementation décrivent le fan game ; ils ne donnent pas des caractéristiques officielles de l’œuvre.</x:v>
      </x:c>
    </x:row>
    <x:row r="47" ht="68" customHeight="1">
      <x:c r="A47" s="18" t="str">
        <x:v>ME2-EMV-OVERLORD</x:v>
      </x:c>
      <x:c r="B47" s="9" t="str">
        <x:v>Dispositif VI Overlord — Transfert par relais</x:v>
      </x:c>
      <x:c r="C47" s="15" t="str">
        <x:v>Défini</x:v>
      </x:c>
      <x:c r="D47" s="16" t="str">
        <x:v>Extrapolation</x:v>
      </x:c>
      <x:c r="E47" s="16" t="str">
        <x:v>P1</x:v>
      </x:c>
      <x:c r="F47" s="9" t="str">
        <x:v>Livrable original proposé : Dispositif VI Overlord — Transfert par relais.</x:v>
      </x:c>
      <x:c r="G47" s="9" t="str">
        <x:v>Nœuds activés successivement ; prioriser le relais qui annonce l’envoi sans attaquer la personne captive.</x:v>
      </x:c>
      <x:c r="H47" s="9" t="str">
        <x:v>Nœuds activés successivement ; prioriser le relais qui annonce l’envoi sans attaquer la personne captive.</x:v>
      </x:c>
      <x:c r="I47" s="9" t="str">
        <x:v>Visage numérique vert et câbles de laboratoire. Ajouter un télégraphe de préparation indépendant du décor.</x:v>
      </x:c>
      <x:c r="J47" s="9" t="str">
        <x:v>Préparer état de repos, anticipation, activation et retour au repos ; aligner les événements visuels sur la résolution de l’action ATB.</x:v>
      </x:c>
      <x:c r="K47" s="9" t="str">
        <x:v>Créer des bruitages et ambiances originaux adaptés au livrable ; sous-titrer les indices utiles et proposer un réglage indépendant des effets. Aucune extraction audio demandée.</x:v>
      </x:c>
      <x:c r="L47" s="9" t="str">
        <x:v>Prévu : fiche de données me2/enemy_moves/overlord ; rattacher les ressources et états cités à cet identifiant. Aucun fichier de jeu créé par ce catalogue.</x:v>
      </x:c>
      <x:c r="M47" s="9" t="str"/>
      <x:c r="N47" s="9" t="str">
        <x:v>En duel puis en groupe, « Transfert par relais » laisse une réponse observable ; l’impact ne précède jamais son télégraphe et l’interruption n’exécute pas les dégâts annulés.</x:v>
      </x:c>
      <x:c r="O47" s="9" t="str">
        <x:v>ME2-ENM-OVERLORD</x:v>
      </x:c>
      <x:c r="P47" s="9" t="str">
        <x:v>Adaptation originale — spécification de production</x:v>
      </x:c>
      <x:c r="Q47" s="9" t="str"/>
      <x:c r="R47" s="20" t="str"/>
      <x:c r="S47" s="20" t="str">
        <x:v>Spécification à réaliser. Les champs adaptation, gameplay, visual, animation, audio et implementation décrivent le fan game ; ils ne donnent pas des caractéristiques officielles de l’œuvre.</x:v>
      </x:c>
    </x:row>
    <x:row r="48" ht="68" customHeight="1">
      <x:c r="A48" s="19" t="str">
        <x:v>ME2-EMV-PROJECT-GUARD</x:v>
      </x:c>
      <x:c r="B48" s="7" t="str">
        <x:v>Project Guard — Verrouillage de couloir</x:v>
      </x:c>
      <x:c r="C48" s="15" t="str">
        <x:v>Défini</x:v>
      </x:c>
      <x:c r="D48" s="17" t="str">
        <x:v>Extrapolation</x:v>
      </x:c>
      <x:c r="E48" s="17" t="str">
        <x:v>P1</x:v>
      </x:c>
      <x:c r="F48" s="7" t="str">
        <x:v>Livrable original proposé : Project Guard — Verrouillage de couloir.</x:v>
      </x:c>
      <x:c r="G48" s="7" t="str">
        <x:v>Avance après une grenade ; l’interface avertit du changement de couverture.</x:v>
      </x:c>
      <x:c r="H48" s="7" t="str">
        <x:v>Avance après une grenade ; l’interface avertit du changement de couverture.</x:v>
      </x:c>
      <x:c r="I48" s="7" t="str">
        <x:v>Tenue technique et arme Cerberus. Ajouter un télégraphe de préparation indépendant du décor.</x:v>
      </x:c>
      <x:c r="J48" s="7" t="str">
        <x:v>Préparer état de repos, anticipation, activation et retour au repos ; aligner les événements visuels sur la résolution de l’action ATB.</x:v>
      </x:c>
      <x:c r="K48" s="7" t="str">
        <x:v>Créer des bruitages et ambiances originaux adaptés au livrable ; sous-titrer les indices utiles et proposer un réglage indépendant des effets. Aucune extraction audio demandée.</x:v>
      </x:c>
      <x:c r="L48" s="7" t="str">
        <x:v>Prévu : fiche de données me2/enemy_moves/project-guard ; rattacher les ressources et états cités à cet identifiant. Aucun fichier de jeu créé par ce catalogue.</x:v>
      </x:c>
      <x:c r="M48" s="7" t="str"/>
      <x:c r="N48" s="7" t="str">
        <x:v>En duel puis en groupe, « Verrouillage de couloir » laisse une réponse observable ; l’impact ne précède jamais son télégraphe et l’interruption n’exécute pas les dégâts annulés.</x:v>
      </x:c>
      <x:c r="O48" s="7" t="str">
        <x:v>ME2-ENM-PROJECT-GUARD</x:v>
      </x:c>
      <x:c r="P48" s="7" t="str">
        <x:v>Adaptation originale — spécification de production</x:v>
      </x:c>
      <x:c r="Q48" s="7" t="str"/>
      <x:c r="R48" s="21" t="str"/>
      <x:c r="S48" s="21" t="str">
        <x:v>Spécification à réaliser. Les champs adaptation, gameplay, visual, animation, audio et implementation décrivent le fan game ; ils ne donnent pas des caractéristiques officielles de l’œuvre.</x:v>
      </x:c>
    </x:row>
    <x:row r="49" ht="68" customHeight="1">
      <x:c r="A49" s="18" t="str">
        <x:v>ME2-EMV-PROJECT-PYRO</x:v>
      </x:c>
      <x:c r="B49" s="9" t="str">
        <x:v>Project Pyro — Nettoyage de sas</x:v>
      </x:c>
      <x:c r="C49" s="15" t="str">
        <x:v>Défini</x:v>
      </x:c>
      <x:c r="D49" s="16" t="str">
        <x:v>Extrapolation</x:v>
      </x:c>
      <x:c r="E49" s="16" t="str">
        <x:v>P1</x:v>
      </x:c>
      <x:c r="F49" s="9" t="str">
        <x:v>Livrable original proposé : Project Pyro — Nettoyage de sas.</x:v>
      </x:c>
      <x:c r="G49" s="9" t="str">
        <x:v>Brûleur le long d’un corridor ; détour court disponible et réservoir exposé après tir.</x:v>
      </x:c>
      <x:c r="H49" s="9" t="str">
        <x:v>Brûleur le long d’un corridor ; détour court disponible et réservoir exposé après tir.</x:v>
      </x:c>
      <x:c r="I49" s="9" t="str">
        <x:v>Tenue de projet, réservoir et flammes. Ajouter un télégraphe de préparation indépendant du décor.</x:v>
      </x:c>
      <x:c r="J49" s="9" t="str">
        <x:v>Préparer état de repos, anticipation, activation et retour au repos ; aligner les événements visuels sur la résolution de l’action ATB.</x:v>
      </x:c>
      <x:c r="K49" s="9" t="str">
        <x:v>Créer des bruitages et ambiances originaux adaptés au livrable ; sous-titrer les indices utiles et proposer un réglage indépendant des effets. Aucune extraction audio demandée.</x:v>
      </x:c>
      <x:c r="L49" s="9" t="str">
        <x:v>Prévu : fiche de données me2/enemy_moves/project-pyro ; rattacher les ressources et états cités à cet identifiant. Aucun fichier de jeu créé par ce catalogue.</x:v>
      </x:c>
      <x:c r="M49" s="9" t="str"/>
      <x:c r="N49" s="9" t="str">
        <x:v>En duel puis en groupe, « Nettoyage de sas » laisse une réponse observable ; l’impact ne précède jamais son télégraphe et l’interruption n’exécute pas les dégâts annulés.</x:v>
      </x:c>
      <x:c r="O49" s="9" t="str">
        <x:v>ME2-ENM-PROJECT-PYRO</x:v>
      </x:c>
      <x:c r="P49" s="9" t="str">
        <x:v>Adaptation originale — spécification de production</x:v>
      </x:c>
      <x:c r="Q49" s="9" t="str"/>
      <x:c r="R49" s="20" t="str"/>
      <x:c r="S49" s="20" t="str">
        <x:v>Spécification à réaliser. Les champs adaptation, gameplay, visual, animation, audio et implementation décrivent le fan game ; ils ne donnent pas des caractéristiques officielles de l’œuvre.</x:v>
      </x:c>
    </x:row>
    <x:row r="50" ht="68" customHeight="1">
      <x:c r="A50" s="19" t="str">
        <x:v>ME2-EMV-PRISON-GUARD</x:v>
      </x:c>
      <x:c r="B50" s="7" t="str">
        <x:v>Prison Guard — Alerte par témoin</x:v>
      </x:c>
      <x:c r="C50" s="15" t="str">
        <x:v>Défini</x:v>
      </x:c>
      <x:c r="D50" s="17" t="str">
        <x:v>Extrapolation</x:v>
      </x:c>
      <x:c r="E50" s="17" t="str">
        <x:v>P1</x:v>
      </x:c>
      <x:c r="F50" s="7" t="str">
        <x:v>Livrable original proposé : Prison Guard — Alerte par témoin.</x:v>
      </x:c>
      <x:c r="G50" s="7" t="str">
        <x:v>Observe, enquête puis transmet ; neutraliser la transmission ou choisir l’affrontement.</x:v>
      </x:c>
      <x:c r="H50" s="7" t="str">
        <x:v>Observe, enquête puis transmet ; neutraliser la transmission ou choisir l’affrontement.</x:v>
      </x:c>
      <x:c r="I50" s="7" t="str">
        <x:v>Batarien armé dans la prison. Ajouter un télégraphe de préparation indépendant du décor.</x:v>
      </x:c>
      <x:c r="J50" s="7" t="str">
        <x:v>Préparer état de repos, anticipation, activation et retour au repos ; aligner les événements visuels sur la résolution de l’action ATB.</x:v>
      </x:c>
      <x:c r="K50" s="7" t="str">
        <x:v>Créer des bruitages et ambiances originaux adaptés au livrable ; sous-titrer les indices utiles et proposer un réglage indépendant des effets. Aucune extraction audio demandée.</x:v>
      </x:c>
      <x:c r="L50" s="7" t="str">
        <x:v>Prévu : fiche de données me2/enemy_moves/prison-guard ; rattacher les ressources et états cités à cet identifiant. Aucun fichier de jeu créé par ce catalogue.</x:v>
      </x:c>
      <x:c r="M50" s="7" t="str"/>
      <x:c r="N50" s="7" t="str">
        <x:v>En duel puis en groupe, « Alerte par témoin » laisse une réponse observable ; l’impact ne précède jamais son télégraphe et l’interruption n’exécute pas les dégâts annulés.</x:v>
      </x:c>
      <x:c r="O50" s="7" t="str">
        <x:v>ME2-ENM-PRISON-GUARD</x:v>
      </x:c>
      <x:c r="P50" s="7" t="str">
        <x:v>Adaptation originale — spécification de production</x:v>
      </x:c>
      <x:c r="Q50" s="7" t="str"/>
      <x:c r="R50" s="21" t="str"/>
      <x:c r="S50" s="21" t="str">
        <x:v>Spécification à réaliser. Les champs adaptation, gameplay, visual, animation, audio et implementation décrivent le fan game ; ils ne donnent pas des caractéristiques officielles de l’œuvre.</x:v>
      </x:c>
    </x:row>
  </x:sheetData>
  <x:conditionalFormatting sqref="D7:D50">
    <x:cfRule type="cellIs" dxfId="72" priority="1" operator="equal">
      <x:formula>"À vérifier"</x:formula>
    </x:cfRule>
    <x:cfRule type="cellIs" dxfId="73" priority="2" operator="equal">
      <x:formula>"Extrapolation"</x:formula>
    </x:cfRule>
  </x:conditionalFormatting>
  <x:conditionalFormatting sqref="C7:C50">
    <x:cfRule type="cellIs" dxfId="74" priority="3" operator="equal">
      <x:formula>"Validé"</x:formula>
    </x:cfRule>
  </x:conditionalFormatting>
  <x:conditionalFormatting sqref="E7:E50">
    <x:cfRule type="cellIs" dxfId="75" priority="4" operator="equal">
      <x:formula>"P0"</x:formula>
    </x:cfRule>
  </x:conditionalFormatting>
  <x:dataValidations count="3">
    <x:dataValidation type="list" sqref="C7:C50">
      <x:formula1>"Défini,Prototype,Intégré,Validé"</x:formula1>
    </x:dataValidation>
    <x:dataValidation type="list" sqref="D7:D50">
      <x:formula1>"Établi,À vérifier,Extrapolation,Coupé attesté,Concept abandonné,Allégation écartée"</x:formula1>
    </x:dataValidation>
    <x:dataValidation type="list" sqref="E7:E50">
      <x:formula1>"P0,P1,P2"</x:formula1>
    </x:dataValidation>
  </x:dataValidations>
  <x:pageMargins left="0.7" right="0.7" top="0.75" bottom="0.75" header="0.3" footer="0.3"/>
  <x:tableParts count="1">
    <x:tablePart xmlns:r="http://schemas.openxmlformats.org/officeDocument/2006/relationships" r:id="R37ac79e27d814a64"/>
  </x:tableParts>
</x:worksheet>
</file>

<file path=xl/worksheets/sheet2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Animations</x:v>
      </x:c>
      <x:c r="B2" s="2"/>
      <x:c r="C2" s="2"/>
      <x:c r="D2" s="2"/>
      <x:c r="E2" s="2"/>
      <x:c r="F2" s="2"/>
      <x:c r="G2" s="2"/>
      <x:c r="H2" s="2"/>
      <x:c r="I2" s="2"/>
      <x:c r="J2" s="2"/>
      <x:c r="K2" s="2"/>
      <x:c r="L2" s="2"/>
      <x:c r="M2" s="2"/>
      <x:c r="N2" s="2"/>
      <x:c r="O2" s="2"/>
      <x:c r="P2" s="2"/>
      <x:c r="Q2" s="2"/>
      <x:c r="R2" s="2"/>
      <x:c r="S2" s="2"/>
    </x:row>
    <x:row r="3" ht="22" customHeight="1">
      <x:c r="A3" s="4" t="str">
        <x:v>Mass Effect 2 — Bibliothèque d’animation pour sprites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ME2-ANI-SHEP-COVER</x:v>
      </x:c>
      <x:c r="B7" s="9" t="str">
        <x:v>Shepard — entrée et sortie de couvert</x:v>
      </x:c>
      <x:c r="C7" s="15" t="str">
        <x:v>Défini</x:v>
      </x:c>
      <x:c r="D7" s="16" t="str">
        <x:v>Extrapolation</x:v>
      </x:c>
      <x:c r="E7" s="16" t="str">
        <x:v>P1</x:v>
      </x:c>
      <x:c r="F7" s="9" t="str">
        <x:v>Livrable original proposé : Shepard — entrée et sortie de couvert.</x:v>
      </x:c>
      <x:c r="G7" s="9" t="str">
        <x:v>Animer approche, appui et retrait ; le ciblage au sol ne bouge qu’au début du déplacement autorisé.</x:v>
      </x:c>
      <x:c r="H7" s="9" t="str">
        <x:v>Animer approche, appui et retrait ; le ciblage au sol ne bouge qu’au début du déplacement autorisé.</x:v>
      </x:c>
      <x:c r="I7" s="9" t="str">
        <x:v>Variantes debout/accroupi et arme longue/courte.</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me2/animations/shep-cover ; rattacher les ressources et états cités à cet identifiant. Aucun fichier de jeu créé par ce catalogue.</x:v>
      </x:c>
      <x:c r="M7" s="9" t="str"/>
      <x:c r="N7" s="9" t="str">
        <x:v>Le livrable « Shepard — entrée et sortie de couvert » possède une scène ou un scénario de contrôle ; ses règles proposées, ses conditions et ses retours visuels sont vérifiables séparément.</x:v>
      </x:c>
      <x:c r="O7" s="9" t="str">
        <x:v>ME2-CHR-SHEPARD</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ME2-ANI-SHEP-RELOAD</x:v>
      </x:c>
      <x:c r="B8" s="7" t="str">
        <x:v>Shepard — changement de clip</x:v>
      </x:c>
      <x:c r="C8" s="15" t="str">
        <x:v>Défini</x:v>
      </x:c>
      <x:c r="D8" s="17" t="str">
        <x:v>Extrapolation</x:v>
      </x:c>
      <x:c r="E8" s="17" t="str">
        <x:v>P1</x:v>
      </x:c>
      <x:c r="F8" s="7" t="str">
        <x:v>Livrable original proposé : Shepard — changement de clip.</x:v>
      </x:c>
      <x:c r="G8" s="7" t="str">
        <x:v>Éjection, prise et verrou distincts ; événement de munition unique au verrou ; annulation avant verrou préserve l’ancien compte.</x:v>
      </x:c>
      <x:c r="H8" s="7" t="str">
        <x:v>Éjection, prise et verrou distincts ; événement de munition unique au verrou ; annulation avant verrou préserve l’ancien compte.</x:v>
      </x:c>
      <x:c r="I8" s="7" t="str">
        <x:v>Petit bloc chaud et geste de main lisible.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me2/animations/shep-reload ; rattacher les ressources et états cités à cet identifiant. Aucun fichier de jeu créé par ce catalogue.</x:v>
      </x:c>
      <x:c r="M8" s="7" t="str"/>
      <x:c r="N8" s="7" t="str">
        <x:v>Le livrable « Shepard — changement de clip » possède une scène ou un scénario de contrôle ; ses règles proposées, ses conditions et ses retours visuels sont vérifiables séparément.</x:v>
      </x:c>
      <x:c r="O8" s="7" t="str">
        <x:v>ME2-EQP-THERMAL</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ME2-ANI-SHEP-OMNI</x:v>
      </x:c>
      <x:c r="B9" s="9" t="str">
        <x:v>Shepard — geste omni-outil</x:v>
      </x:c>
      <x:c r="C9" s="15" t="str">
        <x:v>Défini</x:v>
      </x:c>
      <x:c r="D9" s="16" t="str">
        <x:v>Extrapolation</x:v>
      </x:c>
      <x:c r="E9" s="16" t="str">
        <x:v>P1</x:v>
      </x:c>
      <x:c r="F9" s="9" t="str">
        <x:v>Livrable original proposé : Shepard — geste omni-outil.</x:v>
      </x:c>
      <x:c r="G9" s="9" t="str">
        <x:v>Main libre pour canal technique ; transition correcte depuis chaque famille d’arme.</x:v>
      </x:c>
      <x:c r="H9" s="9" t="str">
        <x:v>Main libre pour canal technique ; transition correcte depuis chaque famille d’arme.</x:v>
      </x:c>
      <x:c r="I9" s="9" t="str">
        <x:v>Arc orange extérieur à la silhouette.</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me2/animations/shep-omni ; rattacher les ressources et états cités à cet identifiant. Aucun fichier de jeu créé par ce catalogue.</x:v>
      </x:c>
      <x:c r="M9" s="9" t="str"/>
      <x:c r="N9" s="9" t="str">
        <x:v>Le livrable « Shepard — geste omni-outil » possède une scène ou un scénario de contrôle ; ses règles proposées, ses conditions et ses retours visuels sont vérifiables séparément.</x:v>
      </x:c>
      <x:c r="O9" s="9" t="str">
        <x:v>ME2-POW-OVERLOAD</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ME2-ANI-SHEP-BIOTIC</x:v>
      </x:c>
      <x:c r="B10" s="7" t="str">
        <x:v>Shepard — anticipation biotique</x:v>
      </x:c>
      <x:c r="C10" s="15" t="str">
        <x:v>Défini</x:v>
      </x:c>
      <x:c r="D10" s="17" t="str">
        <x:v>Extrapolation</x:v>
      </x:c>
      <x:c r="E10" s="17" t="str">
        <x:v>P1</x:v>
      </x:c>
      <x:c r="F10" s="7" t="str">
        <x:v>Livrable original proposé : Shepard — anticipation biotique.</x:v>
      </x:c>
      <x:c r="G10" s="7" t="str">
        <x:v>Poids du corps puis geste ; lire préparation, déclenchement et récupération même sans particules.</x:v>
      </x:c>
      <x:c r="H10" s="7" t="str">
        <x:v>Poids du corps puis geste ; lire préparation, déclenchement et récupération même sans particules.</x:v>
      </x:c>
      <x:c r="I10" s="7" t="str">
        <x:v>Trois poses fortes et paume ouverte.</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me2/animations/shep-biotic ; rattacher les ressources et états cités à cet identifiant. Aucun fichier de jeu créé par ce catalogue.</x:v>
      </x:c>
      <x:c r="M10" s="7" t="str"/>
      <x:c r="N10" s="7" t="str">
        <x:v>Le livrable « Shepard — anticipation biotique » possède une scène ou un scénario de contrôle ; ses règles proposées, ses conditions et ses retours visuels sont vérifiables séparément.</x:v>
      </x:c>
      <x:c r="O10" s="7" t="str">
        <x:v>ME2-POW-WARP</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ME2-ANI-GRUNT-CHARGE</x:v>
      </x:c>
      <x:c r="B11" s="9" t="str">
        <x:v>Grunt — charge et freinage</x:v>
      </x:c>
      <x:c r="C11" s="15" t="str">
        <x:v>Défini</x:v>
      </x:c>
      <x:c r="D11" s="16" t="str">
        <x:v>Extrapolation</x:v>
      </x:c>
      <x:c r="E11" s="16" t="str">
        <x:v>P1</x:v>
      </x:c>
      <x:c r="F11" s="9" t="str">
        <x:v>Livrable original proposé : Grunt — charge et freinage.</x:v>
      </x:c>
      <x:c r="G11" s="9" t="str">
        <x:v>Abaisser le centre, accélérer puis glisser à l’arrêt ; aucun passage à travers un allié.</x:v>
      </x:c>
      <x:c r="H11" s="9" t="str">
        <x:v>Abaisser le centre, accélérer puis glisser à l’arrêt ; aucun passage à travers un allié.</x:v>
      </x:c>
      <x:c r="I11" s="9" t="str">
        <x:v>Carapace avançant avant le corps.</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me2/animations/grunt-charge ; rattacher les ressources et états cités à cet identifiant. Aucun fichier de jeu créé par ce catalogue.</x:v>
      </x:c>
      <x:c r="M11" s="9" t="str"/>
      <x:c r="N11" s="9" t="str">
        <x:v>Le livrable « Grunt — charge et freinage » possède une scène ou un scénario de contrôle ; ses règles proposées, ses conditions et ses retours visuels sont vérifiables séparément.</x:v>
      </x:c>
      <x:c r="O11" s="9" t="str">
        <x:v>ME2-CHR-GRUNT</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ME2-ANI-JACK-SHOCK</x:v>
      </x:c>
      <x:c r="B12" s="7" t="str">
        <x:v>Jack — onde au sol</x:v>
      </x:c>
      <x:c r="C12" s="15" t="str">
        <x:v>Défini</x:v>
      </x:c>
      <x:c r="D12" s="17" t="str">
        <x:v>Extrapolation</x:v>
      </x:c>
      <x:c r="E12" s="17" t="str">
        <x:v>P1</x:v>
      </x:c>
      <x:c r="F12" s="7" t="str">
        <x:v>Livrable original proposé : Jack — onde au sol.</x:v>
      </x:c>
      <x:c r="G12" s="7" t="str">
        <x:v>Deux appuis au sol, projection des bras et reprise ; la ligne de choc commence au contact de la pose clé.</x:v>
      </x:c>
      <x:c r="H12" s="7" t="str">
        <x:v>Deux appuis au sol, projection des bras et reprise ; la ligne de choc commence au contact de la pose clé.</x:v>
      </x:c>
      <x:c r="I12" s="7" t="str">
        <x:v>Silhouette ouverte et effet horizontal.</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me2/animations/jack-shock ; rattacher les ressources et états cités à cet identifiant. Aucun fichier de jeu créé par ce catalogue.</x:v>
      </x:c>
      <x:c r="M12" s="7" t="str"/>
      <x:c r="N12" s="7" t="str">
        <x:v>Le livrable « Jack — onde au sol » possède une scène ou un scénario de contrôle ; ses règles proposées, ses conditions et ses retours visuels sont vérifiables séparément.</x:v>
      </x:c>
      <x:c r="O12" s="7" t="str">
        <x:v>ME2-CHR-JACK</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ME2-ANI-GARRUS-SNIPE</x:v>
      </x:c>
      <x:c r="B13" s="9" t="str">
        <x:v>Garrus — visée suspendue</x:v>
      </x:c>
      <x:c r="C13" s="15" t="str">
        <x:v>Défini</x:v>
      </x:c>
      <x:c r="D13" s="16" t="str">
        <x:v>Extrapolation</x:v>
      </x:c>
      <x:c r="E13" s="16" t="str">
        <x:v>P1</x:v>
      </x:c>
      <x:c r="F13" s="9" t="str">
        <x:v>Livrable original proposé : Garrus — visée suspendue.</x:v>
      </x:c>
      <x:c r="G13" s="9" t="str">
        <x:v>Épauler, immobiliser le viseur, tir et retour ; garder cicatrice du même côté selon orientation.</x:v>
      </x:c>
      <x:c r="H13" s="9" t="str">
        <x:v>Épauler, immobiliser le viseur, tir et retour ; garder cicatrice du même côté selon orientation.</x:v>
      </x:c>
      <x:c r="I13" s="9" t="str">
        <x:v>Armure asymétrique et longue arme.</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me2/animations/garrus-snipe ; rattacher les ressources et états cités à cet identifiant. Aucun fichier de jeu créé par ce catalogue.</x:v>
      </x:c>
      <x:c r="M13" s="9" t="str"/>
      <x:c r="N13" s="9" t="str">
        <x:v>Le livrable « Garrus — visée suspendue » possède une scène ou un scénario de contrôle ; ses règles proposées, ses conditions et ses retours visuels sont vérifiables séparément.</x:v>
      </x:c>
      <x:c r="O13" s="9" t="str">
        <x:v>ME2-CHR-GARRUS</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ME2-ANI-KASUMI-STRIKE</x:v>
      </x:c>
      <x:c r="B14" s="7" t="str">
        <x:v>Kasumi — disparition et retour</x:v>
      </x:c>
      <x:c r="C14" s="15" t="str">
        <x:v>Défini</x:v>
      </x:c>
      <x:c r="D14" s="17" t="str">
        <x:v>Extrapolation</x:v>
      </x:c>
      <x:c r="E14" s="17" t="str">
        <x:v>P1</x:v>
      </x:c>
      <x:c r="F14" s="7" t="str">
        <x:v>Livrable original proposé : Kasumi — disparition et retour.</x:v>
      </x:c>
      <x:c r="G14" s="7" t="str">
        <x:v>Fondre dans l’ombre après anticipation puis frapper ; les frames de retour choisissent l’emplacement validé.</x:v>
      </x:c>
      <x:c r="H14" s="7" t="str">
        <x:v>Fondre dans l’ombre après anticipation puis frapper ; les frames de retour choisissent l’emplacement validé.</x:v>
      </x:c>
      <x:c r="I14" s="7" t="str">
        <x:v>Capuche, lame de geste et ombre au sol.</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me2/animations/kasumi-strike ; rattacher les ressources et états cités à cet identifiant. Aucun fichier de jeu créé par ce catalogue.</x:v>
      </x:c>
      <x:c r="M14" s="7" t="str"/>
      <x:c r="N14" s="7" t="str">
        <x:v>Le livrable « Kasumi — disparition et retour » possède une scène ou un scénario de contrôle ; ses règles proposées, ses conditions et ses retours visuels sont vérifiables séparément.</x:v>
      </x:c>
      <x:c r="O14" s="7" t="str">
        <x:v>ME2-CHR-KASUMI</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ME2-ANI-LEGION-IDLE</x:v>
      </x:c>
      <x:c r="B15" s="9" t="str">
        <x:v>Legion — optique et panneaux</x:v>
      </x:c>
      <x:c r="C15" s="15" t="str">
        <x:v>Défini</x:v>
      </x:c>
      <x:c r="D15" s="16" t="str">
        <x:v>Extrapolation</x:v>
      </x:c>
      <x:c r="E15" s="16" t="str">
        <x:v>P1</x:v>
      </x:c>
      <x:c r="F15" s="9" t="str">
        <x:v>Livrable original proposé : Legion — optique et panneaux.</x:v>
      </x:c>
      <x:c r="G15" s="9" t="str">
        <x:v>Mouvements de tête et panneaux substituent les expressions faciales ; garder le trou du torse non miroir.</x:v>
      </x:c>
      <x:c r="H15" s="9" t="str">
        <x:v>Mouvements de tête et panneaux substituent les expressions faciales ; garder le trou du torse non miroir.</x:v>
      </x:c>
      <x:c r="I15" s="9" t="str">
        <x:v>Optique unique et plaques mobiles.</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me2/animations/legion-idle ; rattacher les ressources et états cités à cet identifiant. Aucun fichier de jeu créé par ce catalogue.</x:v>
      </x:c>
      <x:c r="M15" s="9" t="str"/>
      <x:c r="N15" s="9" t="str">
        <x:v>Le livrable « Legion — optique et panneaux » possède une scène ou un scénario de contrôle ; ses règles proposées, ses conditions et ses retours visuels sont vérifiables séparément.</x:v>
      </x:c>
      <x:c r="O15" s="9" t="str">
        <x:v>ME2-CHR-LEGION</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ME2-ANI-TALI-DRONE</x:v>
      </x:c>
      <x:c r="B16" s="7" t="str">
        <x:v>Tali — invocation de drone</x:v>
      </x:c>
      <x:c r="C16" s="15" t="str">
        <x:v>Défini</x:v>
      </x:c>
      <x:c r="D16" s="17" t="str">
        <x:v>Extrapolation</x:v>
      </x:c>
      <x:c r="E16" s="17" t="str">
        <x:v>P1</x:v>
      </x:c>
      <x:c r="F16" s="7" t="str">
        <x:v>Livrable original proposé : Tali — invocation de drone.</x:v>
      </x:c>
      <x:c r="G16" s="7" t="str">
        <x:v>Omni-outil puis libération ; un point lumineux relie clairement la créatrice au drone.</x:v>
      </x:c>
      <x:c r="H16" s="7" t="str">
        <x:v>Omni-outil puis libération ; un point lumineux relie clairement la créatrice au drone.</x:v>
      </x:c>
      <x:c r="I16" s="7" t="str">
        <x:v>Paume et capuche sans masquer l’optique.</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me2/animations/tali-drone ; rattacher les ressources et états cités à cet identifiant. Aucun fichier de jeu créé par ce catalogue.</x:v>
      </x:c>
      <x:c r="M16" s="7" t="str"/>
      <x:c r="N16" s="7" t="str">
        <x:v>Le livrable « Tali — invocation de drone » possède une scène ou un scénario de contrôle ; ses règles proposées, ses conditions et ses retours visuels sont vérifiables séparément.</x:v>
      </x:c>
      <x:c r="O16" s="7" t="str">
        <x:v>ME2-CHR-TALI</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ME2-ANI-MORDIN-WORK</x:v>
      </x:c>
      <x:c r="B17" s="9" t="str">
        <x:v>Mordin — diagnostic et conversation</x:v>
      </x:c>
      <x:c r="C17" s="15" t="str">
        <x:v>Défini</x:v>
      </x:c>
      <x:c r="D17" s="16" t="str">
        <x:v>Extrapolation</x:v>
      </x:c>
      <x:c r="E17" s="16" t="str">
        <x:v>P1</x:v>
      </x:c>
      <x:c r="F17" s="9" t="str">
        <x:v>Livrable original proposé : Mordin — diagnostic et conversation.</x:v>
      </x:c>
      <x:c r="G17" s="9" t="str">
        <x:v>Gestes rapides mais arrêts aux phrases importantes ; conserver la lisibilité des doigts en petite taille.</x:v>
      </x:c>
      <x:c r="H17" s="9" t="str">
        <x:v>Gestes rapides mais arrêts aux phrases importantes ; conserver la lisibilité des doigts en petite taille.</x:v>
      </x:c>
      <x:c r="I17" s="9" t="str">
        <x:v>Tête inclinée et omni-outil.</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me2/animations/mordin-work ; rattacher les ressources et états cités à cet identifiant. Aucun fichier de jeu créé par ce catalogue.</x:v>
      </x:c>
      <x:c r="M17" s="9" t="str"/>
      <x:c r="N17" s="9" t="str">
        <x:v>Le livrable « Mordin — diagnostic et conversation » possède une scène ou un scénario de contrôle ; ses règles proposées, ses conditions et ses retours visuels sont vérifiables séparément.</x:v>
      </x:c>
      <x:c r="O17" s="9" t="str">
        <x:v>ME2-CHR-MORDIN</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ME2-ANI-JOKER-WALK</x:v>
      </x:c>
      <x:c r="B18" s="7" t="str">
        <x:v>Joker — marche de fuite</x:v>
      </x:c>
      <x:c r="C18" s="15" t="str">
        <x:v>Défini</x:v>
      </x:c>
      <x:c r="D18" s="17" t="str">
        <x:v>Extrapolation</x:v>
      </x:c>
      <x:c r="E18" s="17" t="str">
        <x:v>P1</x:v>
      </x:c>
      <x:c r="F18" s="7" t="str">
        <x:v>Livrable original proposé : Joker — marche de fuite.</x:v>
      </x:c>
      <x:c r="G18" s="7" t="str">
        <x:v>Cycle prudent avec appuis ; ne pas utiliser le sprint générique du héros.</x:v>
      </x:c>
      <x:c r="H18" s="7" t="str">
        <x:v>Cycle prudent avec appuis ; ne pas utiliser le sprint générique du héros.</x:v>
      </x:c>
      <x:c r="I18" s="7" t="str">
        <x:v>Casquette et déplacements courts.</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me2/animations/joker-walk ; rattacher les ressources et états cités à cet identifiant. Aucun fichier de jeu créé par ce catalogue.</x:v>
      </x:c>
      <x:c r="M18" s="7" t="str"/>
      <x:c r="N18" s="7" t="str">
        <x:v>Le livrable « Joker — marche de fuite » possède une scène ou un scénario de contrôle ; ses règles proposées, ses conditions et ses retours visuels sont vérifiables séparément.</x:v>
      </x:c>
      <x:c r="O18" s="7" t="str">
        <x:v>ME2-NPC-JOKER</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ME2-ANI-FENRIS-LEAP</x:v>
      </x:c>
      <x:c r="B19" s="9" t="str">
        <x:v>FENRIS — bond</x:v>
      </x:c>
      <x:c r="C19" s="15" t="str">
        <x:v>Défini</x:v>
      </x:c>
      <x:c r="D19" s="16" t="str">
        <x:v>Extrapolation</x:v>
      </x:c>
      <x:c r="E19" s="16" t="str">
        <x:v>P1</x:v>
      </x:c>
      <x:c r="F19" s="9" t="str">
        <x:v>Livrable original proposé : FENRIS — bond.</x:v>
      </x:c>
      <x:c r="G19" s="9" t="str">
        <x:v>Compression des pattes, décollage, trajectoire et réception ; collider suit la position au sol prévue.</x:v>
      </x:c>
      <x:c r="H19" s="9" t="str">
        <x:v>Compression des pattes, décollage, trajectoire et réception ; collider suit la position au sol prévue.</x:v>
      </x:c>
      <x:c r="I19" s="9" t="str">
        <x:v>Quatre pattes nettement séparées.</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me2/animations/fenris-leap ; rattacher les ressources et états cités à cet identifiant. Aucun fichier de jeu créé par ce catalogue.</x:v>
      </x:c>
      <x:c r="M19" s="9" t="str"/>
      <x:c r="N19" s="9" t="str">
        <x:v>Le livrable « FENRIS — bond » possède une scène ou un scénario de contrôle ; ses règles proposées, ses conditions et ses retours visuels sont vérifiables séparément.</x:v>
      </x:c>
      <x:c r="O19" s="9" t="str">
        <x:v>ME2-ENM-FENRIS</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ME2-ANI-YMIR-TURN</x:v>
      </x:c>
      <x:c r="B20" s="7" t="str">
        <x:v>YMIR — rotation armée</x:v>
      </x:c>
      <x:c r="C20" s="15" t="str">
        <x:v>Défini</x:v>
      </x:c>
      <x:c r="D20" s="17" t="str">
        <x:v>Extrapolation</x:v>
      </x:c>
      <x:c r="E20" s="17" t="str">
        <x:v>P1</x:v>
      </x:c>
      <x:c r="F20" s="7" t="str">
        <x:v>Livrable original proposé : YMIR — rotation armée.</x:v>
      </x:c>
      <x:c r="G20" s="7" t="str">
        <x:v>Buste tourne avant les pieds ; fenêtre de flanc lisible pendant le pivot.</x:v>
      </x:c>
      <x:c r="H20" s="7" t="str">
        <x:v>Buste tourne avant les pieds ; fenêtre de flanc lisible pendant le pivot.</x:v>
      </x:c>
      <x:c r="I20" s="7" t="str">
        <x:v>Grand torse et jambes lourdes.</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me2/animations/ymir-turn ; rattacher les ressources et états cités à cet identifiant. Aucun fichier de jeu créé par ce catalogue.</x:v>
      </x:c>
      <x:c r="M20" s="7" t="str"/>
      <x:c r="N20" s="7" t="str">
        <x:v>Le livrable « YMIR — rotation armée » possède une scène ou un scénario de contrôle ; ses règles proposées, ses conditions et ses retours visuels sont vérifiables séparément.</x:v>
      </x:c>
      <x:c r="O20" s="7" t="str">
        <x:v>ME2-ENM-YMIR</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68" customHeight="1">
      <x:c r="A21" s="18" t="str">
        <x:v>ME2-ANI-PRAET-LAND</x:v>
      </x:c>
      <x:c r="B21" s="9" t="str">
        <x:v>Praetorian — atterrissage</x:v>
      </x:c>
      <x:c r="C21" s="15" t="str">
        <x:v>Défini</x:v>
      </x:c>
      <x:c r="D21" s="16" t="str">
        <x:v>Extrapolation</x:v>
      </x:c>
      <x:c r="E21" s="16" t="str">
        <x:v>P1</x:v>
      </x:c>
      <x:c r="F21" s="9" t="str">
        <x:v>Livrable original proposé : Praetorian — atterrissage.</x:v>
      </x:c>
      <x:c r="G21" s="9" t="str">
        <x:v>Baisser le corps puis déployer la décharge ; anneau de danger apparaît avant contact.</x:v>
      </x:c>
      <x:c r="H21" s="9" t="str">
        <x:v>Baisser le corps puis déployer la décharge ; anneau de danger apparaît avant contact.</x:v>
      </x:c>
      <x:c r="I21" s="9" t="str">
        <x:v>Silhouette suspendue devenant masse au sol.</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me2/animations/praet-land ; rattacher les ressources et états cités à cet identifiant. Aucun fichier de jeu créé par ce catalogue.</x:v>
      </x:c>
      <x:c r="M21" s="9" t="str"/>
      <x:c r="N21" s="9" t="str">
        <x:v>Le livrable « Praetorian — atterrissage » possède une scène ou un scénario de contrôle ; ses règles proposées, ses conditions et ses retours visuels sont vérifiables séparément.</x:v>
      </x:c>
      <x:c r="O21" s="9" t="str">
        <x:v>ME2-ENM-PRAETORIAN</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row r="22" ht="68" customHeight="1">
      <x:c r="A22" s="19" t="str">
        <x:v>ME2-ANI-SCION-WAVE</x:v>
      </x:c>
      <x:c r="B22" s="7" t="str">
        <x:v>Scion — préparation d’onde</x:v>
      </x:c>
      <x:c r="C22" s="15" t="str">
        <x:v>Défini</x:v>
      </x:c>
      <x:c r="D22" s="17" t="str">
        <x:v>Extrapolation</x:v>
      </x:c>
      <x:c r="E22" s="17" t="str">
        <x:v>P1</x:v>
      </x:c>
      <x:c r="F22" s="7" t="str">
        <x:v>Livrable original proposé : Scion — préparation d’onde.</x:v>
      </x:c>
      <x:c r="G22" s="7" t="str">
        <x:v>Gonflement/armement du bras puis ligne d’onde ; conserver l’asymétrie sur toutes les vues.</x:v>
      </x:c>
      <x:c r="H22" s="7" t="str">
        <x:v>Gonflement/armement du bras puis ligne d’onde ; conserver l’asymétrie sur toutes les vues.</x:v>
      </x:c>
      <x:c r="I22" s="7" t="str">
        <x:v>Bras-canon et épaule lourde.</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me2/animations/scion-wave ; rattacher les ressources et états cités à cet identifiant. Aucun fichier de jeu créé par ce catalogue.</x:v>
      </x:c>
      <x:c r="M22" s="7" t="str"/>
      <x:c r="N22" s="7" t="str">
        <x:v>Le livrable « Scion — préparation d’onde » possède une scène ou un scénario de contrôle ; ses règles proposées, ses conditions et ses retours visuels sont vérifiables séparément.</x:v>
      </x:c>
      <x:c r="O22" s="7" t="str">
        <x:v>ME2-ENM-SCION</x:v>
      </x:c>
      <x:c r="P22" s="7" t="str">
        <x:v>Adaptation originale — spécification de production</x:v>
      </x:c>
      <x:c r="Q22" s="7" t="str"/>
      <x:c r="R22" s="21" t="str"/>
      <x:c r="S22" s="21" t="str">
        <x:v>Spécification à réaliser. Les champs adaptation, gameplay, visual, animation, audio et implementation décrivent le fan game ; ils ne donnent pas des caractéristiques officielles de l’œuvre.</x:v>
      </x:c>
    </x:row>
    <x:row r="23" ht="68" customHeight="1">
      <x:c r="A23" s="18" t="str">
        <x:v>ME2-ANI-HARBINGER-TAKE</x:v>
      </x:c>
      <x:c r="B23" s="9" t="str">
        <x:v>Possession d’un Collecteur</x:v>
      </x:c>
      <x:c r="C23" s="15" t="str">
        <x:v>Défini</x:v>
      </x:c>
      <x:c r="D23" s="16" t="str">
        <x:v>Extrapolation</x:v>
      </x:c>
      <x:c r="E23" s="16" t="str">
        <x:v>P1</x:v>
      </x:c>
      <x:c r="F23" s="9" t="str">
        <x:v>Livrable original proposé : Possession d’un Collecteur.</x:v>
      </x:c>
      <x:c r="G23" s="9" t="str">
        <x:v>Arrêt du porteur, allumage puis posture de Harbinger ; conversion unique de l’état d’IA à la frame de prise.</x:v>
      </x:c>
      <x:c r="H23" s="9" t="str">
        <x:v>Arrêt du porteur, allumage puis posture de Harbinger ; conversion unique de l’état d’IA à la frame de prise.</x:v>
      </x:c>
      <x:c r="I23" s="9" t="str">
        <x:v>Chitine orange lumineuse.</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me2/animations/harbinger-take ; rattacher les ressources et états cités à cet identifiant. Aucun fichier de jeu créé par ce catalogue.</x:v>
      </x:c>
      <x:c r="M23" s="9" t="str"/>
      <x:c r="N23" s="9" t="str">
        <x:v>Le livrable « Possession d’un Collecteur » possède une scène ou un scénario de contrôle ; ses règles proposées, ses conditions et ses retours visuels sont vérifiables séparément.</x:v>
      </x:c>
      <x:c r="O23" s="9" t="str">
        <x:v>ME2-ENM-HARBINGER</x:v>
      </x:c>
      <x:c r="P23" s="9" t="str">
        <x:v>Adaptation originale — spécification de production</x:v>
      </x:c>
      <x:c r="Q23" s="9" t="str"/>
      <x:c r="R23" s="20" t="str"/>
      <x:c r="S23" s="20" t="str">
        <x:v>Spécification à réaliser. Les champs adaptation, gameplay, visual, animation, audio et implementation décrivent le fan game ; ils ne donnent pas des caractéristiques officielles de l’œuvre.</x:v>
      </x:c>
    </x:row>
    <x:row r="24" ht="68" customHeight="1">
      <x:c r="A24" s="19" t="str">
        <x:v>ME2-ANI-BROKER-SHIELD</x:v>
      </x:c>
      <x:c r="B24" s="7" t="str">
        <x:v>Yahg — alternance de bouclier</x:v>
      </x:c>
      <x:c r="C24" s="15" t="str">
        <x:v>Défini</x:v>
      </x:c>
      <x:c r="D24" s="17" t="str">
        <x:v>Extrapolation</x:v>
      </x:c>
      <x:c r="E24" s="17" t="str">
        <x:v>P1</x:v>
      </x:c>
      <x:c r="F24" s="7" t="str">
        <x:v>Livrable original proposé : Yahg — alternance de bouclier.</x:v>
      </x:c>
      <x:c r="G24" s="7" t="str">
        <x:v>Pose défensive haute, ouverture et frappe ; l’état de collision suit la surface dessinée.</x:v>
      </x:c>
      <x:c r="H24" s="7" t="str">
        <x:v>Pose défensive haute, ouverture et frappe ; l’état de collision suit la surface dessinée.</x:v>
      </x:c>
      <x:c r="I24" s="7" t="str">
        <x:v>Bouclier géant et silhouette quadrupède redressée.</x:v>
      </x:c>
      <x:c r="J24" s="7" t="str">
        <x:v>Préparer état de repos, anticipation, activation et retour au repos ; aligner les événements visuels sur la résolution de l’action ATB.</x:v>
      </x:c>
      <x:c r="K24" s="7" t="str">
        <x:v>Créer des bruitages et ambiances originaux adaptés au livrable ; sous-titrer les indices utiles et proposer un réglage indépendant des effets. Aucune extraction audio demandée.</x:v>
      </x:c>
      <x:c r="L24" s="7" t="str">
        <x:v>Prévu : fiche de données me2/animations/broker-shield ; rattacher les ressources et états cités à cet identifiant. Aucun fichier de jeu créé par ce catalogue.</x:v>
      </x:c>
      <x:c r="M24" s="7" t="str"/>
      <x:c r="N24" s="7" t="str">
        <x:v>Le livrable « Yahg — alternance de bouclier » possède une scène ou un scénario de contrôle ; ses règles proposées, ses conditions et ses retours visuels sont vérifiables séparément.</x:v>
      </x:c>
      <x:c r="O24" s="7" t="str">
        <x:v>ME2-ENM-BROKER</x:v>
      </x:c>
      <x:c r="P24" s="7" t="str">
        <x:v>Adaptation originale — spécification de production</x:v>
      </x:c>
      <x:c r="Q24" s="7" t="str"/>
      <x:c r="R24" s="21" t="str"/>
      <x:c r="S24" s="21" t="str">
        <x:v>Spécification à réaliser. Les champs adaptation, gameplay, visual, animation, audio et implementation décrivent le fan game ; ils ne donnent pas des caractéristiques officielles de l’œuvre.</x:v>
      </x:c>
    </x:row>
    <x:row r="25" ht="68" customHeight="1">
      <x:c r="A25" s="18" t="str">
        <x:v>ME2-ANI-HAMMER-HOVER</x:v>
      </x:c>
      <x:c r="B25" s="9" t="str">
        <x:v>Hammerhead — sustentation et saut</x:v>
      </x:c>
      <x:c r="C25" s="15" t="str">
        <x:v>Défini</x:v>
      </x:c>
      <x:c r="D25" s="16" t="str">
        <x:v>Extrapolation</x:v>
      </x:c>
      <x:c r="E25" s="16" t="str">
        <x:v>P1</x:v>
      </x:c>
      <x:c r="F25" s="9" t="str">
        <x:v>Livrable original proposé : Hammerhead — sustentation et saut.</x:v>
      </x:c>
      <x:c r="G25" s="9" t="str">
        <x:v>Boucle de vol bas, jets de montée puis réception ; échelle du groupe invisible durant le véhicule.</x:v>
      </x:c>
      <x:c r="H25" s="9" t="str">
        <x:v>Boucle de vol bas, jets de montée puis réception ; échelle du groupe invisible durant le véhicule.</x:v>
      </x:c>
      <x:c r="I25" s="9" t="str">
        <x:v>Jets latéraux et poussière au sol.</x:v>
      </x:c>
      <x:c r="J25" s="9" t="str">
        <x:v>Préparer état de repos, anticipation, activation et retour au repos ; aligner les événements visuels sur la résolution de l’action ATB.</x:v>
      </x:c>
      <x:c r="K25" s="9" t="str">
        <x:v>Créer des bruitages et ambiances originaux adaptés au livrable ; sous-titrer les indices utiles et proposer un réglage indépendant des effets. Aucune extraction audio demandée.</x:v>
      </x:c>
      <x:c r="L25" s="9" t="str">
        <x:v>Prévu : fiche de données me2/animations/hammer-hover ; rattacher les ressources et états cités à cet identifiant. Aucun fichier de jeu créé par ce catalogue.</x:v>
      </x:c>
      <x:c r="M25" s="9" t="str"/>
      <x:c r="N25" s="9" t="str">
        <x:v>Le livrable « Hammerhead — sustentation et saut » possède une scène ou un scénario de contrôle ; ses règles proposées, ses conditions et ses retours visuels sont vérifiables séparément.</x:v>
      </x:c>
      <x:c r="O25" s="9" t="str">
        <x:v>ME2-EQP-HAMMERHEAD</x:v>
      </x:c>
      <x:c r="P25" s="9" t="str">
        <x:v>Adaptation originale — spécification de production</x:v>
      </x:c>
      <x:c r="Q25" s="9" t="str"/>
      <x:c r="R25" s="20" t="str"/>
      <x:c r="S25" s="20" t="str">
        <x:v>Spécification à réaliser. Les champs adaptation, gameplay, visual, animation, audio et implementation décrivent le fan game ; ils ne donnent pas des caractéristiques officielles de l’œuvre.</x:v>
      </x:c>
    </x:row>
    <x:row r="26" ht="68" customHeight="1">
      <x:c r="A26" s="19" t="str">
        <x:v>ME2-ANI-CREW-RESCUE</x:v>
      </x:c>
      <x:c r="B26" s="7" t="str">
        <x:v>Équipage — sortie des pods</x:v>
      </x:c>
      <x:c r="C26" s="15" t="str">
        <x:v>Défini</x:v>
      </x:c>
      <x:c r="D26" s="17" t="str">
        <x:v>Extrapolation</x:v>
      </x:c>
      <x:c r="E26" s="17" t="str">
        <x:v>P1</x:v>
      </x:c>
      <x:c r="F26" s="7" t="str">
        <x:v>Livrable original proposé : Équipage — sortie des pods.</x:v>
      </x:c>
      <x:c r="G26" s="7" t="str">
        <x:v>Pose de réveil, appui et marche assistée ; variantes seulement pour survivants présents.</x:v>
      </x:c>
      <x:c r="H26" s="7" t="str">
        <x:v>Pose de réveil, appui et marche assistée ; variantes seulement pour survivants présents.</x:v>
      </x:c>
      <x:c r="I26" s="7" t="str">
        <x:v>Humains affaiblis et pods ouverts.</x:v>
      </x:c>
      <x:c r="J26" s="7" t="str">
        <x:v>Préparer état de repos, anticipation, activation et retour au repos ; aligner les événements visuels sur la résolution de l’action ATB.</x:v>
      </x:c>
      <x:c r="K26" s="7" t="str">
        <x:v>Créer des bruitages et ambiances originaux adaptés au livrable ; sous-titrer les indices utiles et proposer un réglage indépendant des effets. Aucune extraction audio demandée.</x:v>
      </x:c>
      <x:c r="L26" s="7" t="str">
        <x:v>Prévu : fiche de données me2/animations/crew-rescue ; rattacher les ressources et états cités à cet identifiant. Aucun fichier de jeu créé par ce catalogue.</x:v>
      </x:c>
      <x:c r="M26" s="7" t="str"/>
      <x:c r="N26" s="7" t="str">
        <x:v>Le livrable « Équipage — sortie des pods » possède une scène ou un scénario de contrôle ; ses règles proposées, ses conditions et ses retours visuels sont vérifiables séparément.</x:v>
      </x:c>
      <x:c r="O26" s="7" t="str">
        <x:v>ME2-MQ-LONG-WALK</x:v>
      </x:c>
      <x:c r="P26" s="7" t="str">
        <x:v>Adaptation originale — spécification de production</x:v>
      </x:c>
      <x:c r="Q26" s="7" t="str"/>
      <x:c r="R26" s="21" t="str"/>
      <x:c r="S26" s="21" t="str">
        <x:v>Spécification à réaliser. Les champs adaptation, gameplay, visual, animation, audio et implementation décrivent le fan game ; ils ne donnent pas des caractéristiques officielles de l’œuvre.</x:v>
      </x:c>
    </x:row>
  </x:sheetData>
  <x:conditionalFormatting sqref="D7:D26">
    <x:cfRule type="cellIs" dxfId="76" priority="1" operator="equal">
      <x:formula>"À vérifier"</x:formula>
    </x:cfRule>
    <x:cfRule type="cellIs" dxfId="77" priority="2" operator="equal">
      <x:formula>"Extrapolation"</x:formula>
    </x:cfRule>
  </x:conditionalFormatting>
  <x:conditionalFormatting sqref="C7:C26">
    <x:cfRule type="cellIs" dxfId="78" priority="3" operator="equal">
      <x:formula>"Validé"</x:formula>
    </x:cfRule>
  </x:conditionalFormatting>
  <x:conditionalFormatting sqref="E7:E26">
    <x:cfRule type="cellIs" dxfId="79" priority="4" operator="equal">
      <x:formula>"P0"</x:formula>
    </x:cfRule>
  </x:conditionalFormatting>
  <x:dataValidations count="3">
    <x:dataValidation type="list" sqref="C7:C26">
      <x:formula1>"Défini,Prototype,Intégré,Validé"</x:formula1>
    </x:dataValidation>
    <x:dataValidation type="list" sqref="D7:D26">
      <x:formula1>"Établi,À vérifier,Extrapolation,Coupé attesté,Concept abandonné,Allégation écartée"</x:formula1>
    </x:dataValidation>
    <x:dataValidation type="list" sqref="E7:E26">
      <x:formula1>"P0,P1,P2"</x:formula1>
    </x:dataValidation>
  </x:dataValidations>
  <x:pageMargins left="0.7" right="0.7" top="0.75" bottom="0.75" header="0.3" footer="0.3"/>
  <x:tableParts count="1">
    <x:tablePart xmlns:r="http://schemas.openxmlformats.org/officeDocument/2006/relationships" r:id="Rb8d594834bf34e99"/>
  </x:tableParts>
</x:worksheet>
</file>

<file path=xl/worksheets/sheet2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Sprites</x:v>
      </x:c>
      <x:c r="B2" s="2"/>
      <x:c r="C2" s="2"/>
      <x:c r="D2" s="2"/>
      <x:c r="E2" s="2"/>
      <x:c r="F2" s="2"/>
      <x:c r="G2" s="2"/>
      <x:c r="H2" s="2"/>
      <x:c r="I2" s="2"/>
      <x:c r="J2" s="2"/>
      <x:c r="K2" s="2"/>
      <x:c r="L2" s="2"/>
      <x:c r="M2" s="2"/>
      <x:c r="N2" s="2"/>
      <x:c r="O2" s="2"/>
      <x:c r="P2" s="2"/>
      <x:c r="Q2" s="2"/>
      <x:c r="R2" s="2"/>
      <x:c r="S2" s="2"/>
    </x:row>
    <x:row r="3" ht="22" customHeight="1">
      <x:c r="A3" s="4" t="str">
        <x:v>Mass Effect 2 — Livrables 2D, portraits et variantes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ME2-SPR-CHR-SHEPARD</x:v>
      </x:c>
      <x:c r="B7" s="9" t="str">
        <x:v>Planche sprites — Commandant Shepard</x:v>
      </x:c>
      <x:c r="C7" s="15" t="str">
        <x:v>Défini</x:v>
      </x:c>
      <x:c r="D7" s="16" t="str">
        <x:v>Extrapolation</x:v>
      </x:c>
      <x:c r="E7" s="16" t="str">
        <x:v>P1</x:v>
      </x:c>
      <x:c r="F7" s="9" t="str">
        <x:v>Livrable original proposé : Planche sprites — Commandant Shepard.</x:v>
      </x:c>
      <x:c r="G7" s="9" t="str">
        <x:v>Produire une planche originale de Commandant Shepard pour le groupe 2D sur décor 3D. Séparer visage, arme et effets pour préserver les variantes d’état décrites dans la fiche de rôle.</x:v>
      </x:c>
      <x:c r="H7" s="9" t="str">
        <x:v>Le sprite ne définit pas la hitbox. Distinguer position au sol, hauteur visuelle et zone ciblable afin que les grandes silhouettes ne cachent pas les cibles voisines.</x:v>
      </x:c>
      <x:c r="I7" s="9" t="str">
        <x:v>Armure N7 modulable, visage et carrure paramétrables ; cicatrices en calque séparé.</x:v>
      </x:c>
      <x:c r="J7" s="9" t="str">
        <x:v>Prévoir un état neutre, déplacement, préparation de l’action signature, impact reçu, mise à terre et retour en contrôle pour Commandant Shepard. Éviter la duplication miroir des signes asymétriques.</x:v>
      </x:c>
      <x:c r="K7" s="9" t="str">
        <x:v>Sans bande sonore embarquée dans la planche ; émettre uniquement des événements nommés vers le système audio pour éviter les doublons.</x:v>
      </x:c>
      <x:c r="L7" s="9" t="str">
        <x:v>Prévu : fiche de données me2/sprites/chr-shepard ; rattacher les ressources et états cités à cet identifiant. Aucun fichier de jeu créé par ce catalogue.</x:v>
      </x:c>
      <x:c r="M7" s="9" t="str">
        <x:v>Historique et état importés ; aucune apparence unique imposée.</x:v>
      </x:c>
      <x:c r="N7" s="9" t="str">
        <x:v>À l’échelle de jeu, Commandant Shepard est identifiable en silhouette ; pivot aux pieds, masque de profondeur et huit orientations proposés restent stables devant les couverts.</x:v>
      </x:c>
      <x:c r="O7" s="9" t="str">
        <x:v>ME2-CHR-SHEPARD</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ME2-SPR-CHR-MIRANDA</x:v>
      </x:c>
      <x:c r="B8" s="7" t="str">
        <x:v>Planche sprites — Miranda Lawson</x:v>
      </x:c>
      <x:c r="C8" s="15" t="str">
        <x:v>Défini</x:v>
      </x:c>
      <x:c r="D8" s="17" t="str">
        <x:v>Extrapolation</x:v>
      </x:c>
      <x:c r="E8" s="17" t="str">
        <x:v>P1</x:v>
      </x:c>
      <x:c r="F8" s="7" t="str">
        <x:v>Livrable original proposé : Planche sprites — Miranda Lawson.</x:v>
      </x:c>
      <x:c r="G8" s="7" t="str">
        <x:v>Produire une planche originale de Miranda Lawson pour le groupe 2D sur décor 3D. Séparer visage, arme et effets pour préserver les variantes d’état décrites dans la fiche de rôle.</x:v>
      </x:c>
      <x:c r="H8" s="7" t="str">
        <x:v>Le sprite ne définit pas la hitbox. Distinguer position au sol, hauteur visuelle et zone ciblable afin que les grandes silhouettes ne cachent pas les cibles voisines.</x:v>
      </x:c>
      <x:c r="I8" s="7" t="str">
        <x:v>Combinaison claire à panneaux noirs ; silhouette droite et démarche maîtrisée.</x:v>
      </x:c>
      <x:c r="J8" s="7" t="str">
        <x:v>Prévoir un état neutre, déplacement, préparation de l’action signature, impact reçu, mise à terre et retour en contrôle pour Miranda Lawson. Éviter la duplication miroir des signes asymétriques.</x:v>
      </x:c>
      <x:c r="K8" s="7" t="str">
        <x:v>Sans bande sonore embarquée dans la planche ; émettre uniquement des événements nommés vers le système audio pour éviter les doublons.</x:v>
      </x:c>
      <x:c r="L8" s="7" t="str">
        <x:v>Prévu : fiche de données me2/sprites/chr-miranda ; rattacher les ressources et états cités à cet identifiant. Aucun fichier de jeu créé par ce catalogue.</x:v>
      </x:c>
      <x:c r="M8" s="7" t="str"/>
      <x:c r="N8" s="7" t="str">
        <x:v>À l’échelle de jeu, Miranda Lawson est identifiable en silhouette ; pivot aux pieds, masque de profondeur et huit orientations proposés restent stables devant les couverts.</x:v>
      </x:c>
      <x:c r="O8" s="7" t="str">
        <x:v>ME2-CHR-MIRANDA</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ME2-SPR-CHR-JACOB</x:v>
      </x:c>
      <x:c r="B9" s="9" t="str">
        <x:v>Planche sprites — Jacob Taylor</x:v>
      </x:c>
      <x:c r="C9" s="15" t="str">
        <x:v>Défini</x:v>
      </x:c>
      <x:c r="D9" s="16" t="str">
        <x:v>Extrapolation</x:v>
      </x:c>
      <x:c r="E9" s="16" t="str">
        <x:v>P1</x:v>
      </x:c>
      <x:c r="F9" s="9" t="str">
        <x:v>Livrable original proposé : Planche sprites — Jacob Taylor.</x:v>
      </x:c>
      <x:c r="G9" s="9" t="str">
        <x:v>Produire une planche originale de Jacob Taylor pour le groupe 2D sur décor 3D. Séparer visage, arme et effets pour préserver les variantes d’état décrites dans la fiche de rôle.</x:v>
      </x:c>
      <x:c r="H9" s="9" t="str">
        <x:v>Le sprite ne définit pas la hitbox. Distinguer position au sol, hauteur visuelle et zone ciblable afin que les grandes silhouettes ne cachent pas les cibles voisines.</x:v>
      </x:c>
      <x:c r="I9" s="9" t="str">
        <x:v>Tenue noire Cerberus, épaules larges et fusil compact.</x:v>
      </x:c>
      <x:c r="J9" s="9" t="str">
        <x:v>Prévoir un état neutre, déplacement, préparation de l’action signature, impact reçu, mise à terre et retour en contrôle pour Jacob Taylor. Éviter la duplication miroir des signes asymétriques.</x:v>
      </x:c>
      <x:c r="K9" s="9" t="str">
        <x:v>Sans bande sonore embarquée dans la planche ; émettre uniquement des événements nommés vers le système audio pour éviter les doublons.</x:v>
      </x:c>
      <x:c r="L9" s="9" t="str">
        <x:v>Prévu : fiche de données me2/sprites/chr-jacob ; rattacher les ressources et états cités à cet identifiant. Aucun fichier de jeu créé par ce catalogue.</x:v>
      </x:c>
      <x:c r="M9" s="9" t="str"/>
      <x:c r="N9" s="9" t="str">
        <x:v>À l’échelle de jeu, Jacob Taylor est identifiable en silhouette ; pivot aux pieds, masque de profondeur et huit orientations proposés restent stables devant les couverts.</x:v>
      </x:c>
      <x:c r="O9" s="9" t="str">
        <x:v>ME2-CHR-JACOB</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ME2-SPR-CHR-MORDIN</x:v>
      </x:c>
      <x:c r="B10" s="7" t="str">
        <x:v>Planche sprites — Mordin Solus</x:v>
      </x:c>
      <x:c r="C10" s="15" t="str">
        <x:v>Défini</x:v>
      </x:c>
      <x:c r="D10" s="17" t="str">
        <x:v>Extrapolation</x:v>
      </x:c>
      <x:c r="E10" s="17" t="str">
        <x:v>P1</x:v>
      </x:c>
      <x:c r="F10" s="7" t="str">
        <x:v>Livrable original proposé : Planche sprites — Mordin Solus.</x:v>
      </x:c>
      <x:c r="G10" s="7" t="str">
        <x:v>Produire une planche originale de Mordin Solus pour le groupe 2D sur décor 3D. Séparer visage, arme et effets pour préserver les variantes d’état décrites dans la fiche de rôle.</x:v>
      </x:c>
      <x:c r="H10" s="7" t="str">
        <x:v>Le sprite ne définit pas la hitbox. Distinguer position au sol, hauteur visuelle et zone ciblable afin que les grandes silhouettes ne cachent pas les cibles voisines.</x:v>
      </x:c>
      <x:c r="I10" s="7" t="str">
        <x:v>Visage anguleux, crête asymétrique, manteau clair ; gestes précis.</x:v>
      </x:c>
      <x:c r="J10" s="7" t="str">
        <x:v>Prévoir un état neutre, déplacement, préparation de l’action signature, impact reçu, mise à terre et retour en contrôle pour Mordin Solus. Éviter la duplication miroir des signes asymétriques.</x:v>
      </x:c>
      <x:c r="K10" s="7" t="str">
        <x:v>Sans bande sonore embarquée dans la planche ; émettre uniquement des événements nommés vers le système audio pour éviter les doublons.</x:v>
      </x:c>
      <x:c r="L10" s="7" t="str">
        <x:v>Prévu : fiche de données me2/sprites/chr-mordin ; rattacher les ressources et états cités à cet identifiant. Aucun fichier de jeu créé par ce catalogue.</x:v>
      </x:c>
      <x:c r="M10" s="7" t="str"/>
      <x:c r="N10" s="7" t="str">
        <x:v>À l’échelle de jeu, Mordin Solus est identifiable en silhouette ; pivot aux pieds, masque de profondeur et huit orientations proposés restent stables devant les couverts.</x:v>
      </x:c>
      <x:c r="O10" s="7" t="str">
        <x:v>ME2-CHR-MORDIN</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ME2-SPR-CHR-GARRUS</x:v>
      </x:c>
      <x:c r="B11" s="9" t="str">
        <x:v>Planche sprites — Garrus Vakarian</x:v>
      </x:c>
      <x:c r="C11" s="15" t="str">
        <x:v>Défini</x:v>
      </x:c>
      <x:c r="D11" s="16" t="str">
        <x:v>Extrapolation</x:v>
      </x:c>
      <x:c r="E11" s="16" t="str">
        <x:v>P1</x:v>
      </x:c>
      <x:c r="F11" s="9" t="str">
        <x:v>Livrable original proposé : Planche sprites — Garrus Vakarian.</x:v>
      </x:c>
      <x:c r="G11" s="9" t="str">
        <x:v>Produire une planche originale de Garrus Vakarian pour le groupe 2D sur décor 3D. Séparer visage, arme et effets pour préserver les variantes d’état décrites dans la fiche de rôle.</x:v>
      </x:c>
      <x:c r="H11" s="9" t="str">
        <x:v>Le sprite ne définit pas la hitbox. Distinguer position au sol, hauteur visuelle et zone ciblable afin que les grandes silhouettes ne cachent pas les cibles voisines.</x:v>
      </x:c>
      <x:c r="I11" s="9" t="str">
        <x:v>Armure bleue abîmée, viseur, mandibule cicatrisée ; asymétrie conservée.</x:v>
      </x:c>
      <x:c r="J11" s="9" t="str">
        <x:v>Prévoir un état neutre, déplacement, préparation de l’action signature, impact reçu, mise à terre et retour en contrôle pour Garrus Vakarian. Éviter la duplication miroir des signes asymétriques.</x:v>
      </x:c>
      <x:c r="K11" s="9" t="str">
        <x:v>Sans bande sonore embarquée dans la planche ; émettre uniquement des événements nommés vers le système audio pour éviter les doublons.</x:v>
      </x:c>
      <x:c r="L11" s="9" t="str">
        <x:v>Prévu : fiche de données me2/sprites/chr-garrus ; rattacher les ressources et états cités à cet identifiant. Aucun fichier de jeu créé par ce catalogue.</x:v>
      </x:c>
      <x:c r="M11" s="9" t="str"/>
      <x:c r="N11" s="9" t="str">
        <x:v>À l’échelle de jeu, Garrus Vakarian est identifiable en silhouette ; pivot aux pieds, masque de profondeur et huit orientations proposés restent stables devant les couverts.</x:v>
      </x:c>
      <x:c r="O11" s="9" t="str">
        <x:v>ME2-CHR-GARRUS</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ME2-SPR-CHR-GRUNT</x:v>
      </x:c>
      <x:c r="B12" s="7" t="str">
        <x:v>Planche sprites — Grunt</x:v>
      </x:c>
      <x:c r="C12" s="15" t="str">
        <x:v>Défini</x:v>
      </x:c>
      <x:c r="D12" s="17" t="str">
        <x:v>Extrapolation</x:v>
      </x:c>
      <x:c r="E12" s="17" t="str">
        <x:v>P1</x:v>
      </x:c>
      <x:c r="F12" s="7" t="str">
        <x:v>Livrable original proposé : Planche sprites — Grunt.</x:v>
      </x:c>
      <x:c r="G12" s="7" t="str">
        <x:v>Produire une planche originale de Grunt pour le groupe 2D sur décor 3D. Séparer visage, arme et effets pour préserver les variantes d’état décrites dans la fiche de rôle.</x:v>
      </x:c>
      <x:c r="H12" s="7" t="str">
        <x:v>Le sprite ne définit pas la hitbox. Distinguer position au sol, hauteur visuelle et zone ciblable afin que les grandes silhouettes ne cachent pas les cibles voisines.</x:v>
      </x:c>
      <x:c r="I12" s="7" t="str">
        <x:v>Masse krogan, carapace claire et armure sombre ; centre de gravité bas.</x:v>
      </x:c>
      <x:c r="J12" s="7" t="str">
        <x:v>Prévoir un état neutre, déplacement, préparation de l’action signature, impact reçu, mise à terre et retour en contrôle pour Grunt. Éviter la duplication miroir des signes asymétriques.</x:v>
      </x:c>
      <x:c r="K12" s="7" t="str">
        <x:v>Sans bande sonore embarquée dans la planche ; émettre uniquement des événements nommés vers le système audio pour éviter les doublons.</x:v>
      </x:c>
      <x:c r="L12" s="7" t="str">
        <x:v>Prévu : fiche de données me2/sprites/chr-grunt ; rattacher les ressources et états cités à cet identifiant. Aucun fichier de jeu créé par ce catalogue.</x:v>
      </x:c>
      <x:c r="M12" s="7" t="str">
        <x:v>Activation de la cuve nécessaire.</x:v>
      </x:c>
      <x:c r="N12" s="7" t="str">
        <x:v>À l’échelle de jeu, Grunt est identifiable en silhouette ; pivot aux pieds, masque de profondeur et huit orientations proposés restent stables devant les couverts.</x:v>
      </x:c>
      <x:c r="O12" s="7" t="str">
        <x:v>ME2-CHR-GRUNT</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ME2-SPR-CHR-JACK</x:v>
      </x:c>
      <x:c r="B13" s="9" t="str">
        <x:v>Planche sprites — Jack</x:v>
      </x:c>
      <x:c r="C13" s="15" t="str">
        <x:v>Défini</x:v>
      </x:c>
      <x:c r="D13" s="16" t="str">
        <x:v>Extrapolation</x:v>
      </x:c>
      <x:c r="E13" s="16" t="str">
        <x:v>P1</x:v>
      </x:c>
      <x:c r="F13" s="9" t="str">
        <x:v>Livrable original proposé : Planche sprites — Jack.</x:v>
      </x:c>
      <x:c r="G13" s="9" t="str">
        <x:v>Produire une planche originale de Jack pour le groupe 2D sur décor 3D. Séparer visage, arme et effets pour préserver les variantes d’état décrites dans la fiche de rôle.</x:v>
      </x:c>
      <x:c r="H13" s="9" t="str">
        <x:v>Le sprite ne définit pas la hitbox. Distinguer position au sol, hauteur visuelle et zone ciblable afin que les grandes silhouettes ne cachent pas les cibles voisines.</x:v>
      </x:c>
      <x:c r="I13" s="9" t="str">
        <x:v>Crâne rasé, tatouages simplifiés lisibles, posture nerveuse.</x:v>
      </x:c>
      <x:c r="J13" s="9" t="str">
        <x:v>Prévoir un état neutre, déplacement, préparation de l’action signature, impact reçu, mise à terre et retour en contrôle pour Jack. Éviter la duplication miroir des signes asymétriques.</x:v>
      </x:c>
      <x:c r="K13" s="9" t="str">
        <x:v>Sans bande sonore embarquée dans la planche ; émettre uniquement des événements nommés vers le système audio pour éviter les doublons.</x:v>
      </x:c>
      <x:c r="L13" s="9" t="str">
        <x:v>Prévu : fiche de données me2/sprites/chr-jack ; rattacher les ressources et états cités à cet identifiant. Aucun fichier de jeu créé par ce catalogue.</x:v>
      </x:c>
      <x:c r="M13" s="9" t="str"/>
      <x:c r="N13" s="9" t="str">
        <x:v>À l’échelle de jeu, Jack est identifiable en silhouette ; pivot aux pieds, masque de profondeur et huit orientations proposés restent stables devant les couverts.</x:v>
      </x:c>
      <x:c r="O13" s="9" t="str">
        <x:v>ME2-CHR-JACK</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82" customHeight="1">
      <x:c r="A14" s="19" t="str">
        <x:v>ME2-SPR-CHR-TALI</x:v>
      </x:c>
      <x:c r="B14" s="7" t="str">
        <x:v>Planche sprites — Tali’Zorah vas Neema / vas Normandy</x:v>
      </x:c>
      <x:c r="C14" s="15" t="str">
        <x:v>Défini</x:v>
      </x:c>
      <x:c r="D14" s="17" t="str">
        <x:v>Extrapolation</x:v>
      </x:c>
      <x:c r="E14" s="17" t="str">
        <x:v>P1</x:v>
      </x:c>
      <x:c r="F14" s="7" t="str">
        <x:v>Livrable original proposé : Planche sprites — Tali’Zorah vas Neema / vas Normandy.</x:v>
      </x:c>
      <x:c r="G14" s="7" t="str">
        <x:v>Produire une planche originale de Tali’Zorah vas Neema / vas Normandy pour le groupe 2D sur décor 3D. Séparer visage, arme et effets pour préserver les variantes d’état décrites dans la fiche de rôle.</x:v>
      </x:c>
      <x:c r="H14" s="7" t="str">
        <x:v>Le sprite ne définit pas la hitbox. Distinguer position au sol, hauteur visuelle et zone ciblable afin que les grandes silhouettes ne cachent pas les cibles voisines.</x:v>
      </x:c>
      <x:c r="I14" s="7" t="str">
        <x:v>Capuche violette, visière opaque lumineuse, jambes et mains quariens.</x:v>
      </x:c>
      <x:c r="J14" s="7" t="str">
        <x:v>Prévoir un état neutre, déplacement, préparation de l’action signature, impact reçu, mise à terre et retour en contrôle pour Tali’Zorah vas Neema / vas Normandy. Éviter la duplication miroir des signes asymétriques.</x:v>
      </x:c>
      <x:c r="K14" s="7" t="str">
        <x:v>Sans bande sonore embarquée dans la planche ; émettre uniquement des événements nommés vers le système audio pour éviter les doublons.</x:v>
      </x:c>
      <x:c r="L14" s="7" t="str">
        <x:v>Prévu : fiche de données me2/sprites/chr-tali ; rattacher les ressources et états cités à cet identifiant. Aucun fichier de jeu créé par ce catalogue.</x:v>
      </x:c>
      <x:c r="M14" s="7" t="str">
        <x:v>Nom selon étape du procès ; ne pas l’uniformiser.</x:v>
      </x:c>
      <x:c r="N14" s="7" t="str">
        <x:v>À l’échelle de jeu, Tali’Zorah vas Neema / vas Normandy est identifiable en silhouette ; pivot aux pieds, masque de profondeur et huit orientations proposés restent stables devant les couverts.</x:v>
      </x:c>
      <x:c r="O14" s="7" t="str">
        <x:v>ME2-CHR-TALI</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ME2-SPR-CHR-THANE</x:v>
      </x:c>
      <x:c r="B15" s="9" t="str">
        <x:v>Planche sprites — Thane Krios</x:v>
      </x:c>
      <x:c r="C15" s="15" t="str">
        <x:v>Défini</x:v>
      </x:c>
      <x:c r="D15" s="16" t="str">
        <x:v>Extrapolation</x:v>
      </x:c>
      <x:c r="E15" s="16" t="str">
        <x:v>P1</x:v>
      </x:c>
      <x:c r="F15" s="9" t="str">
        <x:v>Livrable original proposé : Planche sprites — Thane Krios.</x:v>
      </x:c>
      <x:c r="G15" s="9" t="str">
        <x:v>Produire une planche originale de Thane Krios pour le groupe 2D sur décor 3D. Séparer visage, arme et effets pour préserver les variantes d’état décrites dans la fiche de rôle.</x:v>
      </x:c>
      <x:c r="H15" s="9" t="str">
        <x:v>Le sprite ne définit pas la hitbox. Distinguer position au sol, hauteur visuelle et zone ciblable afin que les grandes silhouettes ne cachent pas les cibles voisines.</x:v>
      </x:c>
      <x:c r="I15" s="9" t="str">
        <x:v>Écailles vertes, yeux sombres, manteau noir à ouverture thoracique.</x:v>
      </x:c>
      <x:c r="J15" s="9" t="str">
        <x:v>Prévoir un état neutre, déplacement, préparation de l’action signature, impact reçu, mise à terre et retour en contrôle pour Thane Krios. Éviter la duplication miroir des signes asymétriques.</x:v>
      </x:c>
      <x:c r="K15" s="9" t="str">
        <x:v>Sans bande sonore embarquée dans la planche ; émettre uniquement des événements nommés vers le système audio pour éviter les doublons.</x:v>
      </x:c>
      <x:c r="L15" s="9" t="str">
        <x:v>Prévu : fiche de données me2/sprites/chr-thane ; rattacher les ressources et états cités à cet identifiant. Aucun fichier de jeu créé par ce catalogue.</x:v>
      </x:c>
      <x:c r="M15" s="9" t="str"/>
      <x:c r="N15" s="9" t="str">
        <x:v>À l’échelle de jeu, Thane Krios est identifiable en silhouette ; pivot aux pieds, masque de profondeur et huit orientations proposés restent stables devant les couverts.</x:v>
      </x:c>
      <x:c r="O15" s="9" t="str">
        <x:v>ME2-CHR-THANE</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ME2-SPR-CHR-SAMARA</x:v>
      </x:c>
      <x:c r="B16" s="7" t="str">
        <x:v>Planche sprites — Samara</x:v>
      </x:c>
      <x:c r="C16" s="15" t="str">
        <x:v>Défini</x:v>
      </x:c>
      <x:c r="D16" s="17" t="str">
        <x:v>Extrapolation</x:v>
      </x:c>
      <x:c r="E16" s="17" t="str">
        <x:v>P1</x:v>
      </x:c>
      <x:c r="F16" s="7" t="str">
        <x:v>Livrable original proposé : Planche sprites — Samara.</x:v>
      </x:c>
      <x:c r="G16" s="7" t="str">
        <x:v>Produire une planche originale de Samara pour le groupe 2D sur décor 3D. Séparer visage, arme et effets pour préserver les variantes d’état décrites dans la fiche de rôle.</x:v>
      </x:c>
      <x:c r="H16" s="7" t="str">
        <x:v>Le sprite ne définit pas la hitbox. Distinguer position au sol, hauteur visuelle et zone ciblable afin que les grandes silhouettes ne cachent pas les cibles voisines.</x:v>
      </x:c>
      <x:c r="I16" s="7" t="str">
        <x:v>Armure rouge, tête bleue et posture verticale ; mains ouvertes en préparation.</x:v>
      </x:c>
      <x:c r="J16" s="7" t="str">
        <x:v>Prévoir un état neutre, déplacement, préparation de l’action signature, impact reçu, mise à terre et retour en contrôle pour Samara. Éviter la duplication miroir des signes asymétriques.</x:v>
      </x:c>
      <x:c r="K16" s="7" t="str">
        <x:v>Sans bande sonore embarquée dans la planche ; émettre uniquement des événements nommés vers le système audio pour éviter les doublons.</x:v>
      </x:c>
      <x:c r="L16" s="7" t="str">
        <x:v>Prévu : fiche de données me2/sprites/chr-samara ; rattacher les ressources et états cités à cet identifiant. Aucun fichier de jeu créé par ce catalogue.</x:v>
      </x:c>
      <x:c r="M16" s="7" t="str"/>
      <x:c r="N16" s="7" t="str">
        <x:v>À l’échelle de jeu, Samara est identifiable en silhouette ; pivot aux pieds, masque de profondeur et huit orientations proposés restent stables devant les couverts.</x:v>
      </x:c>
      <x:c r="O16" s="7" t="str">
        <x:v>ME2-CHR-SAMARA</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ME2-SPR-CHR-MORINTH</x:v>
      </x:c>
      <x:c r="B17" s="9" t="str">
        <x:v>Planche sprites — Morinth</x:v>
      </x:c>
      <x:c r="C17" s="15" t="str">
        <x:v>Défini</x:v>
      </x:c>
      <x:c r="D17" s="16" t="str">
        <x:v>Extrapolation</x:v>
      </x:c>
      <x:c r="E17" s="16" t="str">
        <x:v>P1</x:v>
      </x:c>
      <x:c r="F17" s="9" t="str">
        <x:v>Livrable original proposé : Planche sprites — Morinth.</x:v>
      </x:c>
      <x:c r="G17" s="9" t="str">
        <x:v>Produire une planche originale de Morinth pour le groupe 2D sur décor 3D. Séparer visage, arme et effets pour préserver les variantes d’état décrites dans la fiche de rôle.</x:v>
      </x:c>
      <x:c r="H17" s="9" t="str">
        <x:v>Le sprite ne définit pas la hitbox. Distinguer position au sol, hauteur visuelle et zone ciblable afin que les grandes silhouettes ne cachent pas les cibles voisines.</x:v>
      </x:c>
      <x:c r="I17" s="9" t="str">
        <x:v>Variante de Samara avec détails faciaux séparés ; portrait de secret facultatif.</x:v>
      </x:c>
      <x:c r="J17" s="9" t="str">
        <x:v>Prévoir un état neutre, déplacement, préparation de l’action signature, impact reçu, mise à terre et retour en contrôle pour Morinth. Éviter la duplication miroir des signes asymétriques.</x:v>
      </x:c>
      <x:c r="K17" s="9" t="str">
        <x:v>Sans bande sonore embarquée dans la planche ; émettre uniquement des événements nommés vers le système audio pour éviter les doublons.</x:v>
      </x:c>
      <x:c r="L17" s="9" t="str">
        <x:v>Prévu : fiche de données me2/sprites/chr-morinth ; rattacher les ressources et états cités à cet identifiant. Aucun fichier de jeu créé par ce catalogue.</x:v>
      </x:c>
      <x:c r="M17" s="9" t="str">
        <x:v>Exclusivité Samara/Morinth ; embranchement de loyauté.</x:v>
      </x:c>
      <x:c r="N17" s="9" t="str">
        <x:v>À l’échelle de jeu, Morinth est identifiable en silhouette ; pivot aux pieds, masque de profondeur et huit orientations proposés restent stables devant les couverts.</x:v>
      </x:c>
      <x:c r="O17" s="9" t="str">
        <x:v>ME2-CHR-MORINTH</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ME2-SPR-CHR-LEGION</x:v>
      </x:c>
      <x:c r="B18" s="7" t="str">
        <x:v>Planche sprites — Legion</x:v>
      </x:c>
      <x:c r="C18" s="15" t="str">
        <x:v>Défini</x:v>
      </x:c>
      <x:c r="D18" s="17" t="str">
        <x:v>Extrapolation</x:v>
      </x:c>
      <x:c r="E18" s="17" t="str">
        <x:v>P1</x:v>
      </x:c>
      <x:c r="F18" s="7" t="str">
        <x:v>Livrable original proposé : Planche sprites — Legion.</x:v>
      </x:c>
      <x:c r="G18" s="7" t="str">
        <x:v>Produire une planche originale de Legion pour le groupe 2D sur décor 3D. Séparer visage, arme et effets pour préserver les variantes d’état décrites dans la fiche de rôle.</x:v>
      </x:c>
      <x:c r="H18" s="7" t="str">
        <x:v>Le sprite ne définit pas la hitbox. Distinguer position au sol, hauteur visuelle et zone ciblable afin que les grandes silhouettes ne cachent pas les cibles voisines.</x:v>
      </x:c>
      <x:c r="I18" s="7" t="str">
        <x:v>Optique unique, plaques geth, partie d’armure N7 rapportée et trou thoracique.</x:v>
      </x:c>
      <x:c r="J18" s="7" t="str">
        <x:v>Prévoir un état neutre, déplacement, préparation de l’action signature, impact reçu, mise à terre et retour en contrôle pour Legion. Éviter la duplication miroir des signes asymétriques.</x:v>
      </x:c>
      <x:c r="K18" s="7" t="str">
        <x:v>Sans bande sonore embarquée dans la planche ; émettre uniquement des événements nommés vers le système audio pour éviter les doublons.</x:v>
      </x:c>
      <x:c r="L18" s="7" t="str">
        <x:v>Prévu : fiche de données me2/sprites/chr-legion ; rattacher les ressources et états cités à cet identifiant. Aucun fichier de jeu créé par ce catalogue.</x:v>
      </x:c>
      <x:c r="M18" s="7" t="str">
        <x:v>Décision d’activation ; disponibilité tardive.</x:v>
      </x:c>
      <x:c r="N18" s="7" t="str">
        <x:v>À l’échelle de jeu, Legion est identifiable en silhouette ; pivot aux pieds, masque de profondeur et huit orientations proposés restent stables devant les couverts.</x:v>
      </x:c>
      <x:c r="O18" s="7" t="str">
        <x:v>ME2-CHR-LEGION</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ME2-SPR-CHR-KASUMI</x:v>
      </x:c>
      <x:c r="B19" s="9" t="str">
        <x:v>Planche sprites — Kasumi Goto</x:v>
      </x:c>
      <x:c r="C19" s="15" t="str">
        <x:v>Défini</x:v>
      </x:c>
      <x:c r="D19" s="16" t="str">
        <x:v>Extrapolation</x:v>
      </x:c>
      <x:c r="E19" s="16" t="str">
        <x:v>P1</x:v>
      </x:c>
      <x:c r="F19" s="9" t="str">
        <x:v>Livrable original proposé : Planche sprites — Kasumi Goto.</x:v>
      </x:c>
      <x:c r="G19" s="9" t="str">
        <x:v>Produire une planche originale de Kasumi Goto pour le groupe 2D sur décor 3D. Séparer visage, arme et effets pour préserver les variantes d’état décrites dans la fiche de rôle.</x:v>
      </x:c>
      <x:c r="H19" s="9" t="str">
        <x:v>Le sprite ne définit pas la hitbox. Distinguer position au sol, hauteur visuelle et zone ciblable afin que les grandes silhouettes ne cachent pas les cibles voisines.</x:v>
      </x:c>
      <x:c r="I19" s="9" t="str">
        <x:v>Capuche sombre, bordures ocre, un œil visible ; ombre distincte.</x:v>
      </x:c>
      <x:c r="J19" s="9" t="str">
        <x:v>Prévoir un état neutre, déplacement, préparation de l’action signature, impact reçu, mise à terre et retour en contrôle pour Kasumi Goto. Éviter la duplication miroir des signes asymétriques.</x:v>
      </x:c>
      <x:c r="K19" s="9" t="str">
        <x:v>Sans bande sonore embarquée dans la planche ; émettre uniquement des événements nommés vers le système audio pour éviter les doublons.</x:v>
      </x:c>
      <x:c r="L19" s="9" t="str">
        <x:v>Prévu : fiche de données me2/sprites/chr-kasumi ; rattacher les ressources et états cités à cet identifiant. Aucun fichier de jeu créé par ce catalogue.</x:v>
      </x:c>
      <x:c r="M19" s="9" t="str"/>
      <x:c r="N19" s="9" t="str">
        <x:v>À l’échelle de jeu, Kasumi Goto est identifiable en silhouette ; pivot aux pieds, masque de profondeur et huit orientations proposés restent stables devant les couverts.</x:v>
      </x:c>
      <x:c r="O19" s="9" t="str">
        <x:v>ME2-CHR-KASUMI</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ME2-SPR-CHR-ZAEED</x:v>
      </x:c>
      <x:c r="B20" s="7" t="str">
        <x:v>Planche sprites — Zaeed Massani</x:v>
      </x:c>
      <x:c r="C20" s="15" t="str">
        <x:v>Défini</x:v>
      </x:c>
      <x:c r="D20" s="17" t="str">
        <x:v>Extrapolation</x:v>
      </x:c>
      <x:c r="E20" s="17" t="str">
        <x:v>P1</x:v>
      </x:c>
      <x:c r="F20" s="7" t="str">
        <x:v>Livrable original proposé : Planche sprites — Zaeed Massani.</x:v>
      </x:c>
      <x:c r="G20" s="7" t="str">
        <x:v>Produire une planche originale de Zaeed Massani pour le groupe 2D sur décor 3D. Séparer visage, arme et effets pour préserver les variantes d’état décrites dans la fiche de rôle.</x:v>
      </x:c>
      <x:c r="H20" s="7" t="str">
        <x:v>Le sprite ne définit pas la hitbox. Distinguer position au sol, hauteur visuelle et zone ciblable afin que les grandes silhouettes ne cachent pas les cibles voisines.</x:v>
      </x:c>
      <x:c r="I20" s="7" t="str">
        <x:v>Armure usée, visage marqué, œil altéré et fusil tenu sans cérémonie.</x:v>
      </x:c>
      <x:c r="J20" s="7" t="str">
        <x:v>Prévoir un état neutre, déplacement, préparation de l’action signature, impact reçu, mise à terre et retour en contrôle pour Zaeed Massani. Éviter la duplication miroir des signes asymétriques.</x:v>
      </x:c>
      <x:c r="K20" s="7" t="str">
        <x:v>Sans bande sonore embarquée dans la planche ; émettre uniquement des événements nommés vers le système audio pour éviter les doublons.</x:v>
      </x:c>
      <x:c r="L20" s="7" t="str">
        <x:v>Prévu : fiche de données me2/sprites/chr-zaeed ; rattacher les ressources et états cités à cet identifiant. Aucun fichier de jeu créé par ce catalogue.</x:v>
      </x:c>
      <x:c r="M20" s="7" t="str"/>
      <x:c r="N20" s="7" t="str">
        <x:v>À l’échelle de jeu, Zaeed Massani est identifiable en silhouette ; pivot aux pieds, masque de profondeur et huit orientations proposés restent stables devant les couverts.</x:v>
      </x:c>
      <x:c r="O20" s="7" t="str">
        <x:v>ME2-CHR-ZAEED</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82" customHeight="1">
      <x:c r="A21" s="18" t="str">
        <x:v>ME2-SPR-CHR-LIARA</x:v>
      </x:c>
      <x:c r="B21" s="9" t="str">
        <x:v>Planche sprites — Liara T’Soni — équipière temporaire</x:v>
      </x:c>
      <x:c r="C21" s="15" t="str">
        <x:v>Défini</x:v>
      </x:c>
      <x:c r="D21" s="16" t="str">
        <x:v>Extrapolation</x:v>
      </x:c>
      <x:c r="E21" s="16" t="str">
        <x:v>P1</x:v>
      </x:c>
      <x:c r="F21" s="9" t="str">
        <x:v>Livrable original proposé : Planche sprites — Liara T’Soni — équipière temporaire.</x:v>
      </x:c>
      <x:c r="G21" s="9" t="str">
        <x:v>Produire une planche originale de Liara T’Soni — équipière temporaire pour le groupe 2D sur décor 3D. Séparer visage, arme et effets pour préserver les variantes d’état décrites dans la fiche de rôle.</x:v>
      </x:c>
      <x:c r="H21" s="9" t="str">
        <x:v>Le sprite ne définit pas la hitbox. Distinguer position au sol, hauteur visuelle et zone ciblable afin que les grandes silhouettes ne cachent pas les cibles voisines.</x:v>
      </x:c>
      <x:c r="I21" s="9" t="str">
        <x:v>Combinaison blanche, bleu asari et détails de ceinture.</x:v>
      </x:c>
      <x:c r="J21" s="9" t="str">
        <x:v>Prévoir un état neutre, déplacement, préparation de l’action signature, impact reçu, mise à terre et retour en contrôle pour Liara T’Soni — équipière temporaire. Éviter la duplication miroir des signes asymétriques.</x:v>
      </x:c>
      <x:c r="K21" s="9" t="str">
        <x:v>Sans bande sonore embarquée dans la planche ; émettre uniquement des événements nommés vers le système audio pour éviter les doublons.</x:v>
      </x:c>
      <x:c r="L21" s="9" t="str">
        <x:v>Prévu : fiche de données me2/sprites/chr-liara ; rattacher les ressources et états cités à cet identifiant. Aucun fichier de jeu créé par ce catalogue.</x:v>
      </x:c>
      <x:c r="M21" s="9" t="str">
        <x:v>Équipière limitée à cette extension ; contacts possibles ailleurs.</x:v>
      </x:c>
      <x:c r="N21" s="9" t="str">
        <x:v>À l’échelle de jeu, Liara T’Soni — équipière temporaire est identifiable en silhouette ; pivot aux pieds, masque de profondeur et huit orientations proposés restent stables devant les couverts.</x:v>
      </x:c>
      <x:c r="O21" s="9" t="str">
        <x:v>ME2-CHR-LIARA</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row r="22" ht="82" customHeight="1">
      <x:c r="A22" s="19" t="str">
        <x:v>ME2-SPR-CHR-KENSON</x:v>
      </x:c>
      <x:c r="B22" s="7" t="str">
        <x:v>Planche sprites — Amanda Kenson — alliée temporaire</x:v>
      </x:c>
      <x:c r="C22" s="15" t="str">
        <x:v>Défini</x:v>
      </x:c>
      <x:c r="D22" s="17" t="str">
        <x:v>Extrapolation</x:v>
      </x:c>
      <x:c r="E22" s="17" t="str">
        <x:v>P1</x:v>
      </x:c>
      <x:c r="F22" s="7" t="str">
        <x:v>Livrable original proposé : Planche sprites — Amanda Kenson — alliée temporaire.</x:v>
      </x:c>
      <x:c r="G22" s="7" t="str">
        <x:v>Produire une planche originale de Amanda Kenson — alliée temporaire pour le groupe 2D sur décor 3D. Séparer visage, arme et effets pour préserver les variantes d’état décrites dans la fiche de rôle.</x:v>
      </x:c>
      <x:c r="H22" s="7" t="str">
        <x:v>Le sprite ne définit pas la hitbox. Distinguer position au sol, hauteur visuelle et zone ciblable afin que les grandes silhouettes ne cachent pas les cibles voisines.</x:v>
      </x:c>
      <x:c r="I22" s="7" t="str">
        <x:v>Scientifique humaine en tenue technique sobre.</x:v>
      </x:c>
      <x:c r="J22" s="7" t="str">
        <x:v>Prévoir un état neutre, déplacement, préparation de l’action signature, impact reçu, mise à terre et retour en contrôle pour Amanda Kenson — alliée temporaire. Éviter la duplication miroir des signes asymétriques.</x:v>
      </x:c>
      <x:c r="K22" s="7" t="str">
        <x:v>Sans bande sonore embarquée dans la planche ; émettre uniquement des événements nommés vers le système audio pour éviter les doublons.</x:v>
      </x:c>
      <x:c r="L22" s="7" t="str">
        <x:v>Prévu : fiche de données me2/sprites/chr-kenson ; rattacher les ressources et états cités à cet identifiant. Aucun fichier de jeu créé par ce catalogue.</x:v>
      </x:c>
      <x:c r="M22" s="7" t="str">
        <x:v>Arc Arrival uniquement ; son rôle change pendant l’histoire.</x:v>
      </x:c>
      <x:c r="N22" s="7" t="str">
        <x:v>À l’échelle de jeu, Amanda Kenson — alliée temporaire est identifiable en silhouette ; pivot aux pieds, masque de profondeur et huit orientations proposés restent stables devant les couverts.</x:v>
      </x:c>
      <x:c r="O22" s="7" t="str">
        <x:v>ME2-CHR-KENSON</x:v>
      </x:c>
      <x:c r="P22" s="7" t="str">
        <x:v>Adaptation originale — spécification de production</x:v>
      </x:c>
      <x:c r="Q22" s="7" t="str"/>
      <x:c r="R22" s="21" t="str"/>
      <x:c r="S22" s="21" t="str">
        <x:v>Spécification à réaliser. Les champs adaptation, gameplay, visual, animation, audio et implementation décrivent le fan game ; ils ne donnent pas des caractéristiques officielles de l’œuvre.</x:v>
      </x:c>
    </x:row>
    <x:row r="23" ht="82" customHeight="1">
      <x:c r="A23" s="18" t="str">
        <x:v>ME2-SPR-ENM-BS-TROOPER</x:v>
      </x:c>
      <x:c r="B23" s="9" t="str">
        <x:v>Planche sprites — Blue Suns Trooper</x:v>
      </x:c>
      <x:c r="C23" s="15" t="str">
        <x:v>Défini</x:v>
      </x:c>
      <x:c r="D23" s="16" t="str">
        <x:v>Extrapolation</x:v>
      </x:c>
      <x:c r="E23" s="16" t="str">
        <x:v>P1</x:v>
      </x:c>
      <x:c r="F23" s="9" t="str">
        <x:v>Livrable original proposé : Planche sprites — Blue Suns Trooper.</x:v>
      </x:c>
      <x:c r="G23" s="9" t="str">
        <x:v>Produire une planche originale de Blue Suns Trooper pour le groupe 2D sur décor 3D. Séparer visage, arme et effets pour préserver les variantes d’état décrites dans la fiche de rôle.</x:v>
      </x:c>
      <x:c r="H23" s="9" t="str">
        <x:v>Le sprite ne définit pas la hitbox. Distinguer position au sol, hauteur visuelle et zone ciblable afin que les grandes silhouettes ne cachent pas les cibles voisines.</x:v>
      </x:c>
      <x:c r="I23" s="9" t="str">
        <x:v>Armure bleue, fusil et visière rectiligne.</x:v>
      </x:c>
      <x:c r="J23" s="9" t="str">
        <x:v>Prévoir un état neutre, déplacement, préparation de l’action signature, impact reçu, mise à terre et retour en contrôle pour Blue Suns Trooper. Éviter la duplication miroir des signes asymétriques.</x:v>
      </x:c>
      <x:c r="K23" s="9" t="str">
        <x:v>Sans bande sonore embarquée dans la planche ; émettre uniquement des événements nommés vers le système audio pour éviter les doublons.</x:v>
      </x:c>
      <x:c r="L23" s="9" t="str">
        <x:v>Prévu : fiche de données me2/sprites/enm-bs-trooper ; rattacher les ressources et états cités à cet identifiant. Aucun fichier de jeu créé par ce catalogue.</x:v>
      </x:c>
      <x:c r="M23" s="9" t="str"/>
      <x:c r="N23" s="9" t="str">
        <x:v>À l’échelle de jeu, Blue Suns Trooper est identifiable en silhouette ; pivot aux pieds, masque de profondeur et huit orientations proposés restent stables devant les couverts.</x:v>
      </x:c>
      <x:c r="O23" s="9" t="str">
        <x:v>ME2-ENM-BS-TROOPER</x:v>
      </x:c>
      <x:c r="P23" s="9" t="str">
        <x:v>Adaptation originale — spécification de production</x:v>
      </x:c>
      <x:c r="Q23" s="9" t="str"/>
      <x:c r="R23" s="20" t="str"/>
      <x:c r="S23" s="20" t="str">
        <x:v>Spécification à réaliser. Les champs adaptation, gameplay, visual, animation, audio et implementation décrivent le fan game ; ils ne donnent pas des caractéristiques officielles de l’œuvre.</x:v>
      </x:c>
    </x:row>
    <x:row r="24" ht="68" customHeight="1">
      <x:c r="A24" s="19" t="str">
        <x:v>ME2-SPR-ENM-BS-HEAVY</x:v>
      </x:c>
      <x:c r="B24" s="7" t="str">
        <x:v>Planche sprites — Blue Suns Heavy</x:v>
      </x:c>
      <x:c r="C24" s="15" t="str">
        <x:v>Défini</x:v>
      </x:c>
      <x:c r="D24" s="17" t="str">
        <x:v>Extrapolation</x:v>
      </x:c>
      <x:c r="E24" s="17" t="str">
        <x:v>P1</x:v>
      </x:c>
      <x:c r="F24" s="7" t="str">
        <x:v>Livrable original proposé : Planche sprites — Blue Suns Heavy.</x:v>
      </x:c>
      <x:c r="G24" s="7" t="str">
        <x:v>Produire une planche originale de Blue Suns Heavy pour le groupe 2D sur décor 3D. Séparer visage, arme et effets pour préserver les variantes d’état décrites dans la fiche de rôle.</x:v>
      </x:c>
      <x:c r="H24" s="7" t="str">
        <x:v>Le sprite ne définit pas la hitbox. Distinguer position au sol, hauteur visuelle et zone ciblable afin que les grandes silhouettes ne cachent pas les cibles voisines.</x:v>
      </x:c>
      <x:c r="I24" s="7" t="str">
        <x:v>Tube de roquette haut sur l’épaule.</x:v>
      </x:c>
      <x:c r="J24" s="7" t="str">
        <x:v>Prévoir un état neutre, déplacement, préparation de l’action signature, impact reçu, mise à terre et retour en contrôle pour Blue Suns Heavy. Éviter la duplication miroir des signes asymétriques.</x:v>
      </x:c>
      <x:c r="K24" s="7" t="str">
        <x:v>Sans bande sonore embarquée dans la planche ; émettre uniquement des événements nommés vers le système audio pour éviter les doublons.</x:v>
      </x:c>
      <x:c r="L24" s="7" t="str">
        <x:v>Prévu : fiche de données me2/sprites/enm-bs-heavy ; rattacher les ressources et états cités à cet identifiant. Aucun fichier de jeu créé par ce catalogue.</x:v>
      </x:c>
      <x:c r="M24" s="7" t="str"/>
      <x:c r="N24" s="7" t="str">
        <x:v>À l’échelle de jeu, Blue Suns Heavy est identifiable en silhouette ; pivot aux pieds, masque de profondeur et huit orientations proposés restent stables devant les couverts.</x:v>
      </x:c>
      <x:c r="O24" s="7" t="str">
        <x:v>ME2-ENM-BS-HEAVY</x:v>
      </x:c>
      <x:c r="P24" s="7" t="str">
        <x:v>Adaptation originale — spécification de production</x:v>
      </x:c>
      <x:c r="Q24" s="7" t="str"/>
      <x:c r="R24" s="21" t="str"/>
      <x:c r="S24" s="21" t="str">
        <x:v>Spécification à réaliser. Les champs adaptation, gameplay, visual, animation, audio et implementation décrivent le fan game ; ils ne donnent pas des caractéristiques officielles de l’œuvre.</x:v>
      </x:c>
    </x:row>
    <x:row r="25" ht="82" customHeight="1">
      <x:c r="A25" s="18" t="str">
        <x:v>ME2-SPR-ENM-BS-CENTURION</x:v>
      </x:c>
      <x:c r="B25" s="9" t="str">
        <x:v>Planche sprites — Blue Suns Centurion</x:v>
      </x:c>
      <x:c r="C25" s="15" t="str">
        <x:v>Défini</x:v>
      </x:c>
      <x:c r="D25" s="16" t="str">
        <x:v>Extrapolation</x:v>
      </x:c>
      <x:c r="E25" s="16" t="str">
        <x:v>P1</x:v>
      </x:c>
      <x:c r="F25" s="9" t="str">
        <x:v>Livrable original proposé : Planche sprites — Blue Suns Centurion.</x:v>
      </x:c>
      <x:c r="G25" s="9" t="str">
        <x:v>Produire une planche originale de Blue Suns Centurion pour le groupe 2D sur décor 3D. Séparer visage, arme et effets pour préserver les variantes d’état décrites dans la fiche de rôle.</x:v>
      </x:c>
      <x:c r="H25" s="9" t="str">
        <x:v>Le sprite ne définit pas la hitbox. Distinguer position au sol, hauteur visuelle et zone ciblable afin que les grandes silhouettes ne cachent pas les cibles voisines.</x:v>
      </x:c>
      <x:c r="I25" s="9" t="str">
        <x:v>Armure bleue renforcée et signe d’officier.</x:v>
      </x:c>
      <x:c r="J25" s="9" t="str">
        <x:v>Prévoir un état neutre, déplacement, préparation de l’action signature, impact reçu, mise à terre et retour en contrôle pour Blue Suns Centurion. Éviter la duplication miroir des signes asymétriques.</x:v>
      </x:c>
      <x:c r="K25" s="9" t="str">
        <x:v>Sans bande sonore embarquée dans la planche ; émettre uniquement des événements nommés vers le système audio pour éviter les doublons.</x:v>
      </x:c>
      <x:c r="L25" s="9" t="str">
        <x:v>Prévu : fiche de données me2/sprites/enm-bs-centurion ; rattacher les ressources et états cités à cet identifiant. Aucun fichier de jeu créé par ce catalogue.</x:v>
      </x:c>
      <x:c r="M25" s="9" t="str"/>
      <x:c r="N25" s="9" t="str">
        <x:v>À l’échelle de jeu, Blue Suns Centurion est identifiable en silhouette ; pivot aux pieds, masque de profondeur et huit orientations proposés restent stables devant les couverts.</x:v>
      </x:c>
      <x:c r="O25" s="9" t="str">
        <x:v>ME2-ENM-BS-CENTURION</x:v>
      </x:c>
      <x:c r="P25" s="9" t="str">
        <x:v>Adaptation originale — spécification de production</x:v>
      </x:c>
      <x:c r="Q25" s="9" t="str"/>
      <x:c r="R25" s="20" t="str"/>
      <x:c r="S25" s="20" t="str">
        <x:v>Spécification à réaliser. Les champs adaptation, gameplay, visual, animation, audio et implementation décrivent le fan game ; ils ne donnent pas des caractéristiques officielles de l’œuvre.</x:v>
      </x:c>
    </x:row>
    <x:row r="26" ht="82" customHeight="1">
      <x:c r="A26" s="19" t="str">
        <x:v>ME2-SPR-ENM-BS-LEGION</x:v>
      </x:c>
      <x:c r="B26" s="7" t="str">
        <x:v>Planche sprites — Blue Suns Legionnaire</x:v>
      </x:c>
      <x:c r="C26" s="15" t="str">
        <x:v>Défini</x:v>
      </x:c>
      <x:c r="D26" s="17" t="str">
        <x:v>Extrapolation</x:v>
      </x:c>
      <x:c r="E26" s="17" t="str">
        <x:v>P1</x:v>
      </x:c>
      <x:c r="F26" s="7" t="str">
        <x:v>Livrable original proposé : Planche sprites — Blue Suns Legionnaire.</x:v>
      </x:c>
      <x:c r="G26" s="7" t="str">
        <x:v>Produire une planche originale de Blue Suns Legionnaire pour le groupe 2D sur décor 3D. Séparer visage, arme et effets pour préserver les variantes d’état décrites dans la fiche de rôle.</x:v>
      </x:c>
      <x:c r="H26" s="7" t="str">
        <x:v>Le sprite ne définit pas la hitbox. Distinguer position au sol, hauteur visuelle et zone ciblable afin que les grandes silhouettes ne cachent pas les cibles voisines.</x:v>
      </x:c>
      <x:c r="I26" s="7" t="str">
        <x:v>Silhouette blindée et forte protection frontale.</x:v>
      </x:c>
      <x:c r="J26" s="7" t="str">
        <x:v>Prévoir un état neutre, déplacement, préparation de l’action signature, impact reçu, mise à terre et retour en contrôle pour Blue Suns Legionnaire. Éviter la duplication miroir des signes asymétriques.</x:v>
      </x:c>
      <x:c r="K26" s="7" t="str">
        <x:v>Sans bande sonore embarquée dans la planche ; émettre uniquement des événements nommés vers le système audio pour éviter les doublons.</x:v>
      </x:c>
      <x:c r="L26" s="7" t="str">
        <x:v>Prévu : fiche de données me2/sprites/enm-bs-legion ; rattacher les ressources et états cités à cet identifiant. Aucun fichier de jeu créé par ce catalogue.</x:v>
      </x:c>
      <x:c r="M26" s="7" t="str"/>
      <x:c r="N26" s="7" t="str">
        <x:v>À l’échelle de jeu, Blue Suns Legionnaire est identifiable en silhouette ; pivot aux pieds, masque de profondeur et huit orientations proposés restent stables devant les couverts.</x:v>
      </x:c>
      <x:c r="O26" s="7" t="str">
        <x:v>ME2-ENM-BS-LEGION</x:v>
      </x:c>
      <x:c r="P26" s="7" t="str">
        <x:v>Adaptation originale — spécification de production</x:v>
      </x:c>
      <x:c r="Q26" s="7" t="str"/>
      <x:c r="R26" s="21" t="str"/>
      <x:c r="S26" s="21" t="str">
        <x:v>Spécification à réaliser. Les champs adaptation, gameplay, visual, animation, audio et implementation décrivent le fan game ; ils ne donnent pas des caractéristiques officielles de l’œuvre.</x:v>
      </x:c>
    </x:row>
    <x:row r="27" ht="68" customHeight="1">
      <x:c r="A27" s="18" t="str">
        <x:v>ME2-SPR-ENM-EC-TROOPER</x:v>
      </x:c>
      <x:c r="B27" s="9" t="str">
        <x:v>Planche sprites — Eclipse Trooper</x:v>
      </x:c>
      <x:c r="C27" s="15" t="str">
        <x:v>Défini</x:v>
      </x:c>
      <x:c r="D27" s="16" t="str">
        <x:v>Extrapolation</x:v>
      </x:c>
      <x:c r="E27" s="16" t="str">
        <x:v>P1</x:v>
      </x:c>
      <x:c r="F27" s="9" t="str">
        <x:v>Livrable original proposé : Planche sprites — Eclipse Trooper.</x:v>
      </x:c>
      <x:c r="G27" s="9" t="str">
        <x:v>Produire une planche originale de Eclipse Trooper pour le groupe 2D sur décor 3D. Séparer visage, arme et effets pour préserver les variantes d’état décrites dans la fiche de rôle.</x:v>
      </x:c>
      <x:c r="H27" s="9" t="str">
        <x:v>Le sprite ne définit pas la hitbox. Distinguer position au sol, hauteur visuelle et zone ciblable afin que les grandes silhouettes ne cachent pas les cibles voisines.</x:v>
      </x:c>
      <x:c r="I27" s="9" t="str">
        <x:v>Armure jaune et noire, arme légère.</x:v>
      </x:c>
      <x:c r="J27" s="9" t="str">
        <x:v>Prévoir un état neutre, déplacement, préparation de l’action signature, impact reçu, mise à terre et retour en contrôle pour Eclipse Trooper. Éviter la duplication miroir des signes asymétriques.</x:v>
      </x:c>
      <x:c r="K27" s="9" t="str">
        <x:v>Sans bande sonore embarquée dans la planche ; émettre uniquement des événements nommés vers le système audio pour éviter les doublons.</x:v>
      </x:c>
      <x:c r="L27" s="9" t="str">
        <x:v>Prévu : fiche de données me2/sprites/enm-ec-trooper ; rattacher les ressources et états cités à cet identifiant. Aucun fichier de jeu créé par ce catalogue.</x:v>
      </x:c>
      <x:c r="M27" s="9" t="str"/>
      <x:c r="N27" s="9" t="str">
        <x:v>À l’échelle de jeu, Eclipse Trooper est identifiable en silhouette ; pivot aux pieds, masque de profondeur et huit orientations proposés restent stables devant les couverts.</x:v>
      </x:c>
      <x:c r="O27" s="9" t="str">
        <x:v>ME2-ENM-EC-TROOPER</x:v>
      </x:c>
      <x:c r="P27" s="9" t="str">
        <x:v>Adaptation originale — spécification de production</x:v>
      </x:c>
      <x:c r="Q27" s="9" t="str"/>
      <x:c r="R27" s="20" t="str"/>
      <x:c r="S27" s="20" t="str">
        <x:v>Spécification à réaliser. Les champs adaptation, gameplay, visual, animation, audio et implementation décrivent le fan game ; ils ne donnent pas des caractéristiques officielles de l’œuvre.</x:v>
      </x:c>
    </x:row>
    <x:row r="28" ht="68" customHeight="1">
      <x:c r="A28" s="19" t="str">
        <x:v>ME2-SPR-ENM-EC-HEAVY</x:v>
      </x:c>
      <x:c r="B28" s="7" t="str">
        <x:v>Planche sprites — Eclipse Heavy</x:v>
      </x:c>
      <x:c r="C28" s="15" t="str">
        <x:v>Défini</x:v>
      </x:c>
      <x:c r="D28" s="17" t="str">
        <x:v>Extrapolation</x:v>
      </x:c>
      <x:c r="E28" s="17" t="str">
        <x:v>P1</x:v>
      </x:c>
      <x:c r="F28" s="7" t="str">
        <x:v>Livrable original proposé : Planche sprites — Eclipse Heavy.</x:v>
      </x:c>
      <x:c r="G28" s="7" t="str">
        <x:v>Produire une planche originale de Eclipse Heavy pour le groupe 2D sur décor 3D. Séparer visage, arme et effets pour préserver les variantes d’état décrites dans la fiche de rôle.</x:v>
      </x:c>
      <x:c r="H28" s="7" t="str">
        <x:v>Le sprite ne définit pas la hitbox. Distinguer position au sol, hauteur visuelle et zone ciblable afin que les grandes silhouettes ne cachent pas les cibles voisines.</x:v>
      </x:c>
      <x:c r="I28" s="7" t="str">
        <x:v>Lanceur et bandes jaunes larges.</x:v>
      </x:c>
      <x:c r="J28" s="7" t="str">
        <x:v>Prévoir un état neutre, déplacement, préparation de l’action signature, impact reçu, mise à terre et retour en contrôle pour Eclipse Heavy. Éviter la duplication miroir des signes asymétriques.</x:v>
      </x:c>
      <x:c r="K28" s="7" t="str">
        <x:v>Sans bande sonore embarquée dans la planche ; émettre uniquement des événements nommés vers le système audio pour éviter les doublons.</x:v>
      </x:c>
      <x:c r="L28" s="7" t="str">
        <x:v>Prévu : fiche de données me2/sprites/enm-ec-heavy ; rattacher les ressources et états cités à cet identifiant. Aucun fichier de jeu créé par ce catalogue.</x:v>
      </x:c>
      <x:c r="M28" s="7" t="str"/>
      <x:c r="N28" s="7" t="str">
        <x:v>À l’échelle de jeu, Eclipse Heavy est identifiable en silhouette ; pivot aux pieds, masque de profondeur et huit orientations proposés restent stables devant les couverts.</x:v>
      </x:c>
      <x:c r="O28" s="7" t="str">
        <x:v>ME2-ENM-EC-HEAVY</x:v>
      </x:c>
      <x:c r="P28" s="7" t="str">
        <x:v>Adaptation originale — spécification de production</x:v>
      </x:c>
      <x:c r="Q28" s="7" t="str"/>
      <x:c r="R28" s="21" t="str"/>
      <x:c r="S28" s="21" t="str">
        <x:v>Spécification à réaliser. Les champs adaptation, gameplay, visual, animation, audio et implementation décrivent le fan game ; ils ne donnent pas des caractéristiques officielles de l’œuvre.</x:v>
      </x:c>
    </x:row>
    <x:row r="29" ht="82" customHeight="1">
      <x:c r="A29" s="18" t="str">
        <x:v>ME2-SPR-ENM-EC-ENGINEER</x:v>
      </x:c>
      <x:c r="B29" s="9" t="str">
        <x:v>Planche sprites — Eclipse Engineer</x:v>
      </x:c>
      <x:c r="C29" s="15" t="str">
        <x:v>Défini</x:v>
      </x:c>
      <x:c r="D29" s="16" t="str">
        <x:v>Extrapolation</x:v>
      </x:c>
      <x:c r="E29" s="16" t="str">
        <x:v>P1</x:v>
      </x:c>
      <x:c r="F29" s="9" t="str">
        <x:v>Livrable original proposé : Planche sprites — Eclipse Engineer.</x:v>
      </x:c>
      <x:c r="G29" s="9" t="str">
        <x:v>Produire une planche originale de Eclipse Engineer pour le groupe 2D sur décor 3D. Séparer visage, arme et effets pour préserver les variantes d’état décrites dans la fiche de rôle.</x:v>
      </x:c>
      <x:c r="H29" s="9" t="str">
        <x:v>Le sprite ne définit pas la hitbox. Distinguer position au sol, hauteur visuelle et zone ciblable afin que les grandes silhouettes ne cachent pas les cibles voisines.</x:v>
      </x:c>
      <x:c r="I29" s="9" t="str">
        <x:v>Omni-outil et équipement jaune technique.</x:v>
      </x:c>
      <x:c r="J29" s="9" t="str">
        <x:v>Prévoir un état neutre, déplacement, préparation de l’action signature, impact reçu, mise à terre et retour en contrôle pour Eclipse Engineer. Éviter la duplication miroir des signes asymétriques.</x:v>
      </x:c>
      <x:c r="K29" s="9" t="str">
        <x:v>Sans bande sonore embarquée dans la planche ; émettre uniquement des événements nommés vers le système audio pour éviter les doublons.</x:v>
      </x:c>
      <x:c r="L29" s="9" t="str">
        <x:v>Prévu : fiche de données me2/sprites/enm-ec-engineer ; rattacher les ressources et états cités à cet identifiant. Aucun fichier de jeu créé par ce catalogue.</x:v>
      </x:c>
      <x:c r="M29" s="9" t="str"/>
      <x:c r="N29" s="9" t="str">
        <x:v>À l’échelle de jeu, Eclipse Engineer est identifiable en silhouette ; pivot aux pieds, masque de profondeur et huit orientations proposés restent stables devant les couverts.</x:v>
      </x:c>
      <x:c r="O29" s="9" t="str">
        <x:v>ME2-ENM-EC-ENGINEER</x:v>
      </x:c>
      <x:c r="P29" s="9" t="str">
        <x:v>Adaptation originale — spécification de production</x:v>
      </x:c>
      <x:c r="Q29" s="9" t="str"/>
      <x:c r="R29" s="20" t="str"/>
      <x:c r="S29" s="20" t="str">
        <x:v>Spécification à réaliser. Les champs adaptation, gameplay, visual, animation, audio et implementation décrivent le fan game ; ils ne donnent pas des caractéristiques officielles de l’œuvre.</x:v>
      </x:c>
    </x:row>
    <x:row r="30" ht="82" customHeight="1">
      <x:c r="A30" s="19" t="str">
        <x:v>ME2-SPR-ENM-EC-VANGUARD</x:v>
      </x:c>
      <x:c r="B30" s="7" t="str">
        <x:v>Planche sprites — Eclipse Vanguard</x:v>
      </x:c>
      <x:c r="C30" s="15" t="str">
        <x:v>Défini</x:v>
      </x:c>
      <x:c r="D30" s="17" t="str">
        <x:v>Extrapolation</x:v>
      </x:c>
      <x:c r="E30" s="17" t="str">
        <x:v>P1</x:v>
      </x:c>
      <x:c r="F30" s="7" t="str">
        <x:v>Livrable original proposé : Planche sprites — Eclipse Vanguard.</x:v>
      </x:c>
      <x:c r="G30" s="7" t="str">
        <x:v>Produire une planche originale de Eclipse Vanguard pour le groupe 2D sur décor 3D. Séparer visage, arme et effets pour préserver les variantes d’état décrites dans la fiche de rôle.</x:v>
      </x:c>
      <x:c r="H30" s="7" t="str">
        <x:v>Le sprite ne définit pas la hitbox. Distinguer position au sol, hauteur visuelle et zone ciblable afin que les grandes silhouettes ne cachent pas les cibles voisines.</x:v>
      </x:c>
      <x:c r="I30" s="7" t="str">
        <x:v>Halo biotique et posture penchée.</x:v>
      </x:c>
      <x:c r="J30" s="7" t="str">
        <x:v>Prévoir un état neutre, déplacement, préparation de l’action signature, impact reçu, mise à terre et retour en contrôle pour Eclipse Vanguard. Éviter la duplication miroir des signes asymétriques.</x:v>
      </x:c>
      <x:c r="K30" s="7" t="str">
        <x:v>Sans bande sonore embarquée dans la planche ; émettre uniquement des événements nommés vers le système audio pour éviter les doublons.</x:v>
      </x:c>
      <x:c r="L30" s="7" t="str">
        <x:v>Prévu : fiche de données me2/sprites/enm-ec-vanguard ; rattacher les ressources et états cités à cet identifiant. Aucun fichier de jeu créé par ce catalogue.</x:v>
      </x:c>
      <x:c r="M30" s="7" t="str"/>
      <x:c r="N30" s="7" t="str">
        <x:v>À l’échelle de jeu, Eclipse Vanguard est identifiable en silhouette ; pivot aux pieds, masque de profondeur et huit orientations proposés restent stables devant les couverts.</x:v>
      </x:c>
      <x:c r="O30" s="7" t="str">
        <x:v>ME2-ENM-EC-VANGUARD</x:v>
      </x:c>
      <x:c r="P30" s="7" t="str">
        <x:v>Adaptation originale — spécification de production</x:v>
      </x:c>
      <x:c r="Q30" s="7" t="str"/>
      <x:c r="R30" s="21" t="str"/>
      <x:c r="S30" s="21" t="str">
        <x:v>Spécification à réaliser. Les champs adaptation, gameplay, visual, animation, audio et implementation décrivent le fan game ; ils ne donnent pas des caractéristiques officielles de l’œuvre.</x:v>
      </x:c>
    </x:row>
    <x:row r="31" ht="82" customHeight="1">
      <x:c r="A31" s="18" t="str">
        <x:v>ME2-SPR-ENM-EC-COMMANDO</x:v>
      </x:c>
      <x:c r="B31" s="9" t="str">
        <x:v>Planche sprites — Eclipse Commando</x:v>
      </x:c>
      <x:c r="C31" s="15" t="str">
        <x:v>Défini</x:v>
      </x:c>
      <x:c r="D31" s="16" t="str">
        <x:v>Extrapolation</x:v>
      </x:c>
      <x:c r="E31" s="16" t="str">
        <x:v>P1</x:v>
      </x:c>
      <x:c r="F31" s="9" t="str">
        <x:v>Livrable original proposé : Planche sprites — Eclipse Commando.</x:v>
      </x:c>
      <x:c r="G31" s="9" t="str">
        <x:v>Produire une planche originale de Eclipse Commando pour le groupe 2D sur décor 3D. Séparer visage, arme et effets pour préserver les variantes d’état décrites dans la fiche de rôle.</x:v>
      </x:c>
      <x:c r="H31" s="9" t="str">
        <x:v>Le sprite ne définit pas la hitbox. Distinguer position au sol, hauteur visuelle et zone ciblable afin que les grandes silhouettes ne cachent pas les cibles voisines.</x:v>
      </x:c>
      <x:c r="I31" s="9" t="str">
        <x:v>Asari en armure jaune, bulle bleu-violet.</x:v>
      </x:c>
      <x:c r="J31" s="9" t="str">
        <x:v>Prévoir un état neutre, déplacement, préparation de l’action signature, impact reçu, mise à terre et retour en contrôle pour Eclipse Commando. Éviter la duplication miroir des signes asymétriques.</x:v>
      </x:c>
      <x:c r="K31" s="9" t="str">
        <x:v>Sans bande sonore embarquée dans la planche ; émettre uniquement des événements nommés vers le système audio pour éviter les doublons.</x:v>
      </x:c>
      <x:c r="L31" s="9" t="str">
        <x:v>Prévu : fiche de données me2/sprites/enm-ec-commando ; rattacher les ressources et états cités à cet identifiant. Aucun fichier de jeu créé par ce catalogue.</x:v>
      </x:c>
      <x:c r="M31" s="9" t="str"/>
      <x:c r="N31" s="9" t="str">
        <x:v>À l’échelle de jeu, Eclipse Commando est identifiable en silhouette ; pivot aux pieds, masque de profondeur et huit orientations proposés restent stables devant les couverts.</x:v>
      </x:c>
      <x:c r="O31" s="9" t="str">
        <x:v>ME2-ENM-EC-COMMANDO</x:v>
      </x:c>
      <x:c r="P31" s="9" t="str">
        <x:v>Adaptation originale — spécification de production</x:v>
      </x:c>
      <x:c r="Q31" s="9" t="str"/>
      <x:c r="R31" s="20" t="str"/>
      <x:c r="S31" s="20" t="str">
        <x:v>Spécification à réaliser. Les champs adaptation, gameplay, visual, animation, audio et implementation décrivent le fan game ; ils ne donnent pas des caractéristiques officielles de l’œuvre.</x:v>
      </x:c>
    </x:row>
    <x:row r="32" ht="82" customHeight="1">
      <x:c r="A32" s="19" t="str">
        <x:v>ME2-SPR-ENM-BP-TROOPER</x:v>
      </x:c>
      <x:c r="B32" s="7" t="str">
        <x:v>Planche sprites — Blood Pack Trooper</x:v>
      </x:c>
      <x:c r="C32" s="15" t="str">
        <x:v>Défini</x:v>
      </x:c>
      <x:c r="D32" s="17" t="str">
        <x:v>Extrapolation</x:v>
      </x:c>
      <x:c r="E32" s="17" t="str">
        <x:v>P1</x:v>
      </x:c>
      <x:c r="F32" s="7" t="str">
        <x:v>Livrable original proposé : Planche sprites — Blood Pack Trooper.</x:v>
      </x:c>
      <x:c r="G32" s="7" t="str">
        <x:v>Produire une planche originale de Blood Pack Trooper pour le groupe 2D sur décor 3D. Séparer visage, arme et effets pour préserver les variantes d’état décrites dans la fiche de rôle.</x:v>
      </x:c>
      <x:c r="H32" s="7" t="str">
        <x:v>Le sprite ne définit pas la hitbox. Distinguer position au sol, hauteur visuelle et zone ciblable afin que les grandes silhouettes ne cachent pas les cibles voisines.</x:v>
      </x:c>
      <x:c r="I32" s="7" t="str">
        <x:v>Vorcha rougeâtre et plaques mal ajustées.</x:v>
      </x:c>
      <x:c r="J32" s="7" t="str">
        <x:v>Prévoir un état neutre, déplacement, préparation de l’action signature, impact reçu, mise à terre et retour en contrôle pour Blood Pack Trooper. Éviter la duplication miroir des signes asymétriques.</x:v>
      </x:c>
      <x:c r="K32" s="7" t="str">
        <x:v>Sans bande sonore embarquée dans la planche ; émettre uniquement des événements nommés vers le système audio pour éviter les doublons.</x:v>
      </x:c>
      <x:c r="L32" s="7" t="str">
        <x:v>Prévu : fiche de données me2/sprites/enm-bp-trooper ; rattacher les ressources et états cités à cet identifiant. Aucun fichier de jeu créé par ce catalogue.</x:v>
      </x:c>
      <x:c r="M32" s="7" t="str"/>
      <x:c r="N32" s="7" t="str">
        <x:v>À l’échelle de jeu, Blood Pack Trooper est identifiable en silhouette ; pivot aux pieds, masque de profondeur et huit orientations proposés restent stables devant les couverts.</x:v>
      </x:c>
      <x:c r="O32" s="7" t="str">
        <x:v>ME2-ENM-BP-TROOPER</x:v>
      </x:c>
      <x:c r="P32" s="7" t="str">
        <x:v>Adaptation originale — spécification de production</x:v>
      </x:c>
      <x:c r="Q32" s="7" t="str"/>
      <x:c r="R32" s="21" t="str"/>
      <x:c r="S32" s="21" t="str">
        <x:v>Spécification à réaliser. Les champs adaptation, gameplay, visual, animation, audio et implementation décrivent le fan game ; ils ne donnent pas des caractéristiques officielles de l’œuvre.</x:v>
      </x:c>
    </x:row>
    <x:row r="33" ht="82" customHeight="1">
      <x:c r="A33" s="18" t="str">
        <x:v>ME2-SPR-ENM-BP-WARRIOR</x:v>
      </x:c>
      <x:c r="B33" s="9" t="str">
        <x:v>Planche sprites — Blood Pack Warrior</x:v>
      </x:c>
      <x:c r="C33" s="15" t="str">
        <x:v>Défini</x:v>
      </x:c>
      <x:c r="D33" s="16" t="str">
        <x:v>Extrapolation</x:v>
      </x:c>
      <x:c r="E33" s="16" t="str">
        <x:v>P1</x:v>
      </x:c>
      <x:c r="F33" s="9" t="str">
        <x:v>Livrable original proposé : Planche sprites — Blood Pack Warrior.</x:v>
      </x:c>
      <x:c r="G33" s="9" t="str">
        <x:v>Produire une planche originale de Blood Pack Warrior pour le groupe 2D sur décor 3D. Séparer visage, arme et effets pour préserver les variantes d’état décrites dans la fiche de rôle.</x:v>
      </x:c>
      <x:c r="H33" s="9" t="str">
        <x:v>Le sprite ne définit pas la hitbox. Distinguer position au sol, hauteur visuelle et zone ciblable afin que les grandes silhouettes ne cachent pas les cibles voisines.</x:v>
      </x:c>
      <x:c r="I33" s="9" t="str">
        <x:v>Grande silhouette krogan rouge sombre.</x:v>
      </x:c>
      <x:c r="J33" s="9" t="str">
        <x:v>Prévoir un état neutre, déplacement, préparation de l’action signature, impact reçu, mise à terre et retour en contrôle pour Blood Pack Warrior. Éviter la duplication miroir des signes asymétriques.</x:v>
      </x:c>
      <x:c r="K33" s="9" t="str">
        <x:v>Sans bande sonore embarquée dans la planche ; émettre uniquement des événements nommés vers le système audio pour éviter les doublons.</x:v>
      </x:c>
      <x:c r="L33" s="9" t="str">
        <x:v>Prévu : fiche de données me2/sprites/enm-bp-warrior ; rattacher les ressources et états cités à cet identifiant. Aucun fichier de jeu créé par ce catalogue.</x:v>
      </x:c>
      <x:c r="M33" s="9" t="str"/>
      <x:c r="N33" s="9" t="str">
        <x:v>À l’échelle de jeu, Blood Pack Warrior est identifiable en silhouette ; pivot aux pieds, masque de profondeur et huit orientations proposés restent stables devant les couverts.</x:v>
      </x:c>
      <x:c r="O33" s="9" t="str">
        <x:v>ME2-ENM-BP-WARRIOR</x:v>
      </x:c>
      <x:c r="P33" s="9" t="str">
        <x:v>Adaptation originale — spécification de production</x:v>
      </x:c>
      <x:c r="Q33" s="9" t="str"/>
      <x:c r="R33" s="20" t="str"/>
      <x:c r="S33" s="20" t="str">
        <x:v>Spécification à réaliser. Les champs adaptation, gameplay, visual, animation, audio et implementation décrivent le fan game ; ils ne donnent pas des caractéristiques officielles de l’œuvre.</x:v>
      </x:c>
    </x:row>
    <x:row r="34" ht="68" customHeight="1">
      <x:c r="A34" s="19" t="str">
        <x:v>ME2-SPR-ENM-BP-PYRO</x:v>
      </x:c>
      <x:c r="B34" s="7" t="str">
        <x:v>Planche sprites — Blood Pack Pyro</x:v>
      </x:c>
      <x:c r="C34" s="15" t="str">
        <x:v>Défini</x:v>
      </x:c>
      <x:c r="D34" s="17" t="str">
        <x:v>Extrapolation</x:v>
      </x:c>
      <x:c r="E34" s="17" t="str">
        <x:v>P1</x:v>
      </x:c>
      <x:c r="F34" s="7" t="str">
        <x:v>Livrable original proposé : Planche sprites — Blood Pack Pyro.</x:v>
      </x:c>
      <x:c r="G34" s="7" t="str">
        <x:v>Produire une planche originale de Blood Pack Pyro pour le groupe 2D sur décor 3D. Séparer visage, arme et effets pour préserver les variantes d’état décrites dans la fiche de rôle.</x:v>
      </x:c>
      <x:c r="H34" s="7" t="str">
        <x:v>Le sprite ne définit pas la hitbox. Distinguer position au sol, hauteur visuelle et zone ciblable afin que les grandes silhouettes ne cachent pas les cibles voisines.</x:v>
      </x:c>
      <x:c r="I34" s="7" t="str">
        <x:v>Réservoir dorsal et brûleur.</x:v>
      </x:c>
      <x:c r="J34" s="7" t="str">
        <x:v>Prévoir un état neutre, déplacement, préparation de l’action signature, impact reçu, mise à terre et retour en contrôle pour Blood Pack Pyro. Éviter la duplication miroir des signes asymétriques.</x:v>
      </x:c>
      <x:c r="K34" s="7" t="str">
        <x:v>Sans bande sonore embarquée dans la planche ; émettre uniquement des événements nommés vers le système audio pour éviter les doublons.</x:v>
      </x:c>
      <x:c r="L34" s="7" t="str">
        <x:v>Prévu : fiche de données me2/sprites/enm-bp-pyro ; rattacher les ressources et états cités à cet identifiant. Aucun fichier de jeu créé par ce catalogue.</x:v>
      </x:c>
      <x:c r="M34" s="7" t="str"/>
      <x:c r="N34" s="7" t="str">
        <x:v>À l’échelle de jeu, Blood Pack Pyro est identifiable en silhouette ; pivot aux pieds, masque de profondeur et huit orientations proposés restent stables devant les couverts.</x:v>
      </x:c>
      <x:c r="O34" s="7" t="str">
        <x:v>ME2-ENM-BP-PYRO</x:v>
      </x:c>
      <x:c r="P34" s="7" t="str">
        <x:v>Adaptation originale — spécification de production</x:v>
      </x:c>
      <x:c r="Q34" s="7" t="str"/>
      <x:c r="R34" s="21" t="str"/>
      <x:c r="S34" s="21" t="str">
        <x:v>Spécification à réaliser. Les champs adaptation, gameplay, visual, animation, audio et implementation décrivent le fan game ; ils ne donnent pas des caractéristiques officielles de l’œuvre.</x:v>
      </x:c>
    </x:row>
    <x:row r="35" ht="82" customHeight="1">
      <x:c r="A35" s="18" t="str">
        <x:v>ME2-SPR-ENM-BP-BOOM</x:v>
      </x:c>
      <x:c r="B35" s="9" t="str">
        <x:v>Planche sprites — Blood Pack Boom-Squad</x:v>
      </x:c>
      <x:c r="C35" s="15" t="str">
        <x:v>Défini</x:v>
      </x:c>
      <x:c r="D35" s="16" t="str">
        <x:v>Extrapolation</x:v>
      </x:c>
      <x:c r="E35" s="16" t="str">
        <x:v>P1</x:v>
      </x:c>
      <x:c r="F35" s="9" t="str">
        <x:v>Livrable original proposé : Planche sprites — Blood Pack Boom-Squad.</x:v>
      </x:c>
      <x:c r="G35" s="9" t="str">
        <x:v>Produire une planche originale de Blood Pack Boom-Squad pour le groupe 2D sur décor 3D. Séparer visage, arme et effets pour préserver les variantes d’état décrites dans la fiche de rôle.</x:v>
      </x:c>
      <x:c r="H35" s="9" t="str">
        <x:v>Le sprite ne définit pas la hitbox. Distinguer position au sol, hauteur visuelle et zone ciblable afin que les grandes silhouettes ne cachent pas les cibles voisines.</x:v>
      </x:c>
      <x:c r="I35" s="9" t="str">
        <x:v>Lanceur volumineux et appui large.</x:v>
      </x:c>
      <x:c r="J35" s="9" t="str">
        <x:v>Prévoir un état neutre, déplacement, préparation de l’action signature, impact reçu, mise à terre et retour en contrôle pour Blood Pack Boom-Squad. Éviter la duplication miroir des signes asymétriques.</x:v>
      </x:c>
      <x:c r="K35" s="9" t="str">
        <x:v>Sans bande sonore embarquée dans la planche ; émettre uniquement des événements nommés vers le système audio pour éviter les doublons.</x:v>
      </x:c>
      <x:c r="L35" s="9" t="str">
        <x:v>Prévu : fiche de données me2/sprites/enm-bp-boom ; rattacher les ressources et états cités à cet identifiant. Aucun fichier de jeu créé par ce catalogue.</x:v>
      </x:c>
      <x:c r="M35" s="9" t="str"/>
      <x:c r="N35" s="9" t="str">
        <x:v>À l’échelle de jeu, Blood Pack Boom-Squad est identifiable en silhouette ; pivot aux pieds, masque de profondeur et huit orientations proposés restent stables devant les couverts.</x:v>
      </x:c>
      <x:c r="O35" s="9" t="str">
        <x:v>ME2-ENM-BP-BOOM</x:v>
      </x:c>
      <x:c r="P35" s="9" t="str">
        <x:v>Adaptation originale — spécification de production</x:v>
      </x:c>
      <x:c r="Q35" s="9" t="str"/>
      <x:c r="R35" s="20" t="str"/>
      <x:c r="S35" s="20" t="str">
        <x:v>Spécification à réaliser. Les champs adaptation, gameplay, visual, animation, audio et implementation décrivent le fan game ; ils ne donnent pas des caractéristiques officielles de l’œuvre.</x:v>
      </x:c>
    </x:row>
    <x:row r="36" ht="68" customHeight="1">
      <x:c r="A36" s="19" t="str">
        <x:v>ME2-SPR-ENM-LOKI</x:v>
      </x:c>
      <x:c r="B36" s="7" t="str">
        <x:v>Planche sprites — LOKI Mech</x:v>
      </x:c>
      <x:c r="C36" s="15" t="str">
        <x:v>Défini</x:v>
      </x:c>
      <x:c r="D36" s="17" t="str">
        <x:v>Extrapolation</x:v>
      </x:c>
      <x:c r="E36" s="17" t="str">
        <x:v>P1</x:v>
      </x:c>
      <x:c r="F36" s="7" t="str">
        <x:v>Livrable original proposé : Planche sprites — LOKI Mech.</x:v>
      </x:c>
      <x:c r="G36" s="7" t="str">
        <x:v>Produire une planche originale de LOKI Mech pour le groupe 2D sur décor 3D. Séparer visage, arme et effets pour préserver les variantes d’état décrites dans la fiche de rôle.</x:v>
      </x:c>
      <x:c r="H36" s="7" t="str">
        <x:v>Le sprite ne définit pas la hitbox. Distinguer position au sol, hauteur visuelle et zone ciblable afin que les grandes silhouettes ne cachent pas les cibles voisines.</x:v>
      </x:c>
      <x:c r="I36" s="7" t="str">
        <x:v>Humanoïde blanc, articulations fines et optique rouge.</x:v>
      </x:c>
      <x:c r="J36" s="7" t="str">
        <x:v>Prévoir un état neutre, déplacement, préparation de l’action signature, impact reçu, mise à terre et retour en contrôle pour LOKI Mech. Éviter la duplication miroir des signes asymétriques.</x:v>
      </x:c>
      <x:c r="K36" s="7" t="str">
        <x:v>Sans bande sonore embarquée dans la planche ; émettre uniquement des événements nommés vers le système audio pour éviter les doublons.</x:v>
      </x:c>
      <x:c r="L36" s="7" t="str">
        <x:v>Prévu : fiche de données me2/sprites/enm-loki ; rattacher les ressources et états cités à cet identifiant. Aucun fichier de jeu créé par ce catalogue.</x:v>
      </x:c>
      <x:c r="M36" s="7" t="str"/>
      <x:c r="N36" s="7" t="str">
        <x:v>À l’échelle de jeu, LOKI Mech est identifiable en silhouette ; pivot aux pieds, masque de profondeur et huit orientations proposés restent stables devant les couverts.</x:v>
      </x:c>
      <x:c r="O36" s="7" t="str">
        <x:v>ME2-ENM-LOKI</x:v>
      </x:c>
      <x:c r="P36" s="7" t="str">
        <x:v>Adaptation originale — spécification de production</x:v>
      </x:c>
      <x:c r="Q36" s="7" t="str"/>
      <x:c r="R36" s="21" t="str"/>
      <x:c r="S36" s="21" t="str">
        <x:v>Spécification à réaliser. Les champs adaptation, gameplay, visual, animation, audio et implementation décrivent le fan game ; ils ne donnent pas des caractéristiques officielles de l’œuvre.</x:v>
      </x:c>
    </x:row>
    <x:row r="37" ht="68" customHeight="1">
      <x:c r="A37" s="18" t="str">
        <x:v>ME2-SPR-ENM-FENRIS</x:v>
      </x:c>
      <x:c r="B37" s="9" t="str">
        <x:v>Planche sprites — FENRIS Mech</x:v>
      </x:c>
      <x:c r="C37" s="15" t="str">
        <x:v>Défini</x:v>
      </x:c>
      <x:c r="D37" s="16" t="str">
        <x:v>Extrapolation</x:v>
      </x:c>
      <x:c r="E37" s="16" t="str">
        <x:v>P1</x:v>
      </x:c>
      <x:c r="F37" s="9" t="str">
        <x:v>Livrable original proposé : Planche sprites — FENRIS Mech.</x:v>
      </x:c>
      <x:c r="G37" s="9" t="str">
        <x:v>Produire une planche originale de FENRIS Mech pour le groupe 2D sur décor 3D. Séparer visage, arme et effets pour préserver les variantes d’état décrites dans la fiche de rôle.</x:v>
      </x:c>
      <x:c r="H37" s="9" t="str">
        <x:v>Le sprite ne définit pas la hitbox. Distinguer position au sol, hauteur visuelle et zone ciblable afin que les grandes silhouettes ne cachent pas les cibles voisines.</x:v>
      </x:c>
      <x:c r="I37" s="9" t="str">
        <x:v>Châssis canin métallique.</x:v>
      </x:c>
      <x:c r="J37" s="9" t="str">
        <x:v>Prévoir un état neutre, déplacement, préparation de l’action signature, impact reçu, mise à terre et retour en contrôle pour FENRIS Mech. Éviter la duplication miroir des signes asymétriques.</x:v>
      </x:c>
      <x:c r="K37" s="9" t="str">
        <x:v>Sans bande sonore embarquée dans la planche ; émettre uniquement des événements nommés vers le système audio pour éviter les doublons.</x:v>
      </x:c>
      <x:c r="L37" s="9" t="str">
        <x:v>Prévu : fiche de données me2/sprites/enm-fenris ; rattacher les ressources et états cités à cet identifiant. Aucun fichier de jeu créé par ce catalogue.</x:v>
      </x:c>
      <x:c r="M37" s="9" t="str"/>
      <x:c r="N37" s="9" t="str">
        <x:v>À l’échelle de jeu, FENRIS Mech est identifiable en silhouette ; pivot aux pieds, masque de profondeur et huit orientations proposés restent stables devant les couverts.</x:v>
      </x:c>
      <x:c r="O37" s="9" t="str">
        <x:v>ME2-ENM-FENRIS</x:v>
      </x:c>
      <x:c r="P37" s="9" t="str">
        <x:v>Adaptation originale — spécification de production</x:v>
      </x:c>
      <x:c r="Q37" s="9" t="str"/>
      <x:c r="R37" s="20" t="str"/>
      <x:c r="S37" s="20" t="str">
        <x:v>Spécification à réaliser. Les champs adaptation, gameplay, visual, animation, audio et implementation décrivent le fan game ; ils ne donnent pas des caractéristiques officielles de l’œuvre.</x:v>
      </x:c>
    </x:row>
    <x:row r="38" ht="68" customHeight="1">
      <x:c r="A38" s="19" t="str">
        <x:v>ME2-SPR-ENM-YMIR</x:v>
      </x:c>
      <x:c r="B38" s="7" t="str">
        <x:v>Planche sprites — YMIR Mech</x:v>
      </x:c>
      <x:c r="C38" s="15" t="str">
        <x:v>Défini</x:v>
      </x:c>
      <x:c r="D38" s="17" t="str">
        <x:v>Extrapolation</x:v>
      </x:c>
      <x:c r="E38" s="17" t="str">
        <x:v>P1</x:v>
      </x:c>
      <x:c r="F38" s="7" t="str">
        <x:v>Livrable original proposé : Planche sprites — YMIR Mech.</x:v>
      </x:c>
      <x:c r="G38" s="7" t="str">
        <x:v>Produire une planche originale de YMIR Mech pour le groupe 2D sur décor 3D. Séparer visage, arme et effets pour préserver les variantes d’état décrites dans la fiche de rôle.</x:v>
      </x:c>
      <x:c r="H38" s="7" t="str">
        <x:v>Le sprite ne définit pas la hitbox. Distinguer position au sol, hauteur visuelle et zone ciblable afin que les grandes silhouettes ne cachent pas les cibles voisines.</x:v>
      </x:c>
      <x:c r="I38" s="7" t="str">
        <x:v>Buste massif, bras d’armes et pas lourds.</x:v>
      </x:c>
      <x:c r="J38" s="7" t="str">
        <x:v>Prévoir un état neutre, déplacement, préparation de l’action signature, impact reçu, mise à terre et retour en contrôle pour YMIR Mech. Éviter la duplication miroir des signes asymétriques.</x:v>
      </x:c>
      <x:c r="K38" s="7" t="str">
        <x:v>Sans bande sonore embarquée dans la planche ; émettre uniquement des événements nommés vers le système audio pour éviter les doublons.</x:v>
      </x:c>
      <x:c r="L38" s="7" t="str">
        <x:v>Prévu : fiche de données me2/sprites/enm-ymir ; rattacher les ressources et états cités à cet identifiant. Aucun fichier de jeu créé par ce catalogue.</x:v>
      </x:c>
      <x:c r="M38" s="7" t="str"/>
      <x:c r="N38" s="7" t="str">
        <x:v>À l’échelle de jeu, YMIR Mech est identifiable en silhouette ; pivot aux pieds, masque de profondeur et huit orientations proposés restent stables devant les couverts.</x:v>
      </x:c>
      <x:c r="O38" s="7" t="str">
        <x:v>ME2-ENM-YMIR</x:v>
      </x:c>
      <x:c r="P38" s="7" t="str">
        <x:v>Adaptation originale — spécification de production</x:v>
      </x:c>
      <x:c r="Q38" s="7" t="str"/>
      <x:c r="R38" s="21" t="str"/>
      <x:c r="S38" s="21" t="str">
        <x:v>Spécification à réaliser. Les champs adaptation, gameplay, visual, animation, audio et implementation décrivent le fan game ; ils ne donnent pas des caractéristiques officielles de l’œuvre.</x:v>
      </x:c>
    </x:row>
    <x:row r="39" ht="68" customHeight="1">
      <x:c r="A39" s="18" t="str">
        <x:v>ME2-SPR-ENM-GETH-TROOPER</x:v>
      </x:c>
      <x:c r="B39" s="9" t="str">
        <x:v>Planche sprites — Geth Trooper</x:v>
      </x:c>
      <x:c r="C39" s="15" t="str">
        <x:v>Défini</x:v>
      </x:c>
      <x:c r="D39" s="16" t="str">
        <x:v>Extrapolation</x:v>
      </x:c>
      <x:c r="E39" s="16" t="str">
        <x:v>P1</x:v>
      </x:c>
      <x:c r="F39" s="9" t="str">
        <x:v>Livrable original proposé : Planche sprites — Geth Trooper.</x:v>
      </x:c>
      <x:c r="G39" s="9" t="str">
        <x:v>Produire une planche originale de Geth Trooper pour le groupe 2D sur décor 3D. Séparer visage, arme et effets pour préserver les variantes d’état décrites dans la fiche de rôle.</x:v>
      </x:c>
      <x:c r="H39" s="9" t="str">
        <x:v>Le sprite ne définit pas la hitbox. Distinguer position au sol, hauteur visuelle et zone ciblable afin que les grandes silhouettes ne cachent pas les cibles voisines.</x:v>
      </x:c>
      <x:c r="I39" s="9" t="str">
        <x:v>Optique unique et châssis synthétique fin.</x:v>
      </x:c>
      <x:c r="J39" s="9" t="str">
        <x:v>Prévoir un état neutre, déplacement, préparation de l’action signature, impact reçu, mise à terre et retour en contrôle pour Geth Trooper. Éviter la duplication miroir des signes asymétriques.</x:v>
      </x:c>
      <x:c r="K39" s="9" t="str">
        <x:v>Sans bande sonore embarquée dans la planche ; émettre uniquement des événements nommés vers le système audio pour éviter les doublons.</x:v>
      </x:c>
      <x:c r="L39" s="9" t="str">
        <x:v>Prévu : fiche de données me2/sprites/enm-geth-trooper ; rattacher les ressources et états cités à cet identifiant. Aucun fichier de jeu créé par ce catalogue.</x:v>
      </x:c>
      <x:c r="M39" s="9" t="str"/>
      <x:c r="N39" s="9" t="str">
        <x:v>À l’échelle de jeu, Geth Trooper est identifiable en silhouette ; pivot aux pieds, masque de profondeur et huit orientations proposés restent stables devant les couverts.</x:v>
      </x:c>
      <x:c r="O39" s="9" t="str">
        <x:v>ME2-ENM-GETH-TROOPER</x:v>
      </x:c>
      <x:c r="P39" s="9" t="str">
        <x:v>Adaptation originale — spécification de production</x:v>
      </x:c>
      <x:c r="Q39" s="9" t="str"/>
      <x:c r="R39" s="20" t="str"/>
      <x:c r="S39" s="20" t="str">
        <x:v>Spécification à réaliser. Les champs adaptation, gameplay, visual, animation, audio et implementation décrivent le fan game ; ils ne donnent pas des caractéristiques officielles de l’œuvre.</x:v>
      </x:c>
    </x:row>
    <x:row r="40" ht="82" customHeight="1">
      <x:c r="A40" s="19" t="str">
        <x:v>ME2-SPR-ENM-GETH-ROCKET</x:v>
      </x:c>
      <x:c r="B40" s="7" t="str">
        <x:v>Planche sprites — Geth Rocket Trooper</x:v>
      </x:c>
      <x:c r="C40" s="15" t="str">
        <x:v>Défini</x:v>
      </x:c>
      <x:c r="D40" s="17" t="str">
        <x:v>Extrapolation</x:v>
      </x:c>
      <x:c r="E40" s="17" t="str">
        <x:v>P1</x:v>
      </x:c>
      <x:c r="F40" s="7" t="str">
        <x:v>Livrable original proposé : Planche sprites — Geth Rocket Trooper.</x:v>
      </x:c>
      <x:c r="G40" s="7" t="str">
        <x:v>Produire une planche originale de Geth Rocket Trooper pour le groupe 2D sur décor 3D. Séparer visage, arme et effets pour préserver les variantes d’état décrites dans la fiche de rôle.</x:v>
      </x:c>
      <x:c r="H40" s="7" t="str">
        <x:v>Le sprite ne définit pas la hitbox. Distinguer position au sol, hauteur visuelle et zone ciblable afin que les grandes silhouettes ne cachent pas les cibles voisines.</x:v>
      </x:c>
      <x:c r="I40" s="7" t="str">
        <x:v>Tube d’arme et lumière d’optique nette.</x:v>
      </x:c>
      <x:c r="J40" s="7" t="str">
        <x:v>Prévoir un état neutre, déplacement, préparation de l’action signature, impact reçu, mise à terre et retour en contrôle pour Geth Rocket Trooper. Éviter la duplication miroir des signes asymétriques.</x:v>
      </x:c>
      <x:c r="K40" s="7" t="str">
        <x:v>Sans bande sonore embarquée dans la planche ; émettre uniquement des événements nommés vers le système audio pour éviter les doublons.</x:v>
      </x:c>
      <x:c r="L40" s="7" t="str">
        <x:v>Prévu : fiche de données me2/sprites/enm-geth-rocket ; rattacher les ressources et états cités à cet identifiant. Aucun fichier de jeu créé par ce catalogue.</x:v>
      </x:c>
      <x:c r="M40" s="7" t="str"/>
      <x:c r="N40" s="7" t="str">
        <x:v>À l’échelle de jeu, Geth Rocket Trooper est identifiable en silhouette ; pivot aux pieds, masque de profondeur et huit orientations proposés restent stables devant les couverts.</x:v>
      </x:c>
      <x:c r="O40" s="7" t="str">
        <x:v>ME2-ENM-GETH-ROCKET</x:v>
      </x:c>
      <x:c r="P40" s="7" t="str">
        <x:v>Adaptation originale — spécification de production</x:v>
      </x:c>
      <x:c r="Q40" s="7" t="str"/>
      <x:c r="R40" s="21" t="str"/>
      <x:c r="S40" s="21" t="str">
        <x:v>Spécification à réaliser. Les champs adaptation, gameplay, visual, animation, audio et implementation décrivent le fan game ; ils ne donnent pas des caractéristiques officielles de l’œuvre.</x:v>
      </x:c>
    </x:row>
    <x:row r="41" ht="68" customHeight="1">
      <x:c r="A41" s="18" t="str">
        <x:v>ME2-SPR-ENM-GETH-HUNTER</x:v>
      </x:c>
      <x:c r="B41" s="9" t="str">
        <x:v>Planche sprites — Geth Hunter</x:v>
      </x:c>
      <x:c r="C41" s="15" t="str">
        <x:v>Défini</x:v>
      </x:c>
      <x:c r="D41" s="16" t="str">
        <x:v>Extrapolation</x:v>
      </x:c>
      <x:c r="E41" s="16" t="str">
        <x:v>P1</x:v>
      </x:c>
      <x:c r="F41" s="9" t="str">
        <x:v>Livrable original proposé : Planche sprites — Geth Hunter.</x:v>
      </x:c>
      <x:c r="G41" s="9" t="str">
        <x:v>Produire une planche originale de Geth Hunter pour le groupe 2D sur décor 3D. Séparer visage, arme et effets pour préserver les variantes d’état décrites dans la fiche de rôle.</x:v>
      </x:c>
      <x:c r="H41" s="9" t="str">
        <x:v>Le sprite ne définit pas la hitbox. Distinguer position au sol, hauteur visuelle et zone ciblable afin que les grandes silhouettes ne cachent pas les cibles voisines.</x:v>
      </x:c>
      <x:c r="I41" s="9" t="str">
        <x:v>Châssis sombre semi-transparent, optique temporaire.</x:v>
      </x:c>
      <x:c r="J41" s="9" t="str">
        <x:v>Prévoir un état neutre, déplacement, préparation de l’action signature, impact reçu, mise à terre et retour en contrôle pour Geth Hunter. Éviter la duplication miroir des signes asymétriques.</x:v>
      </x:c>
      <x:c r="K41" s="9" t="str">
        <x:v>Sans bande sonore embarquée dans la planche ; émettre uniquement des événements nommés vers le système audio pour éviter les doublons.</x:v>
      </x:c>
      <x:c r="L41" s="9" t="str">
        <x:v>Prévu : fiche de données me2/sprites/enm-geth-hunter ; rattacher les ressources et états cités à cet identifiant. Aucun fichier de jeu créé par ce catalogue.</x:v>
      </x:c>
      <x:c r="M41" s="9" t="str"/>
      <x:c r="N41" s="9" t="str">
        <x:v>À l’échelle de jeu, Geth Hunter est identifiable en silhouette ; pivot aux pieds, masque de profondeur et huit orientations proposés restent stables devant les couverts.</x:v>
      </x:c>
      <x:c r="O41" s="9" t="str">
        <x:v>ME2-ENM-GETH-HUNTER</x:v>
      </x:c>
      <x:c r="P41" s="9" t="str">
        <x:v>Adaptation originale — spécification de production</x:v>
      </x:c>
      <x:c r="Q41" s="9" t="str"/>
      <x:c r="R41" s="20" t="str"/>
      <x:c r="S41" s="20" t="str">
        <x:v>Spécification à réaliser. Les champs adaptation, gameplay, visual, animation, audio et implementation décrivent le fan game ; ils ne donnent pas des caractéristiques officielles de l’œuvre.</x:v>
      </x:c>
    </x:row>
    <x:row r="42" ht="68" customHeight="1">
      <x:c r="A42" s="19" t="str">
        <x:v>ME2-SPR-ENM-GETH-DESTROYER</x:v>
      </x:c>
      <x:c r="B42" s="7" t="str">
        <x:v>Planche sprites — Geth Destroyer</x:v>
      </x:c>
      <x:c r="C42" s="15" t="str">
        <x:v>Défini</x:v>
      </x:c>
      <x:c r="D42" s="17" t="str">
        <x:v>Extrapolation</x:v>
      </x:c>
      <x:c r="E42" s="17" t="str">
        <x:v>P1</x:v>
      </x:c>
      <x:c r="F42" s="7" t="str">
        <x:v>Livrable original proposé : Planche sprites — Geth Destroyer.</x:v>
      </x:c>
      <x:c r="G42" s="7" t="str">
        <x:v>Produire une planche originale de Geth Destroyer pour le groupe 2D sur décor 3D. Séparer visage, arme et effets pour préserver les variantes d’état décrites dans la fiche de rôle.</x:v>
      </x:c>
      <x:c r="H42" s="7" t="str">
        <x:v>Le sprite ne définit pas la hitbox. Distinguer position au sol, hauteur visuelle et zone ciblable afin que les grandes silhouettes ne cachent pas les cibles voisines.</x:v>
      </x:c>
      <x:c r="I42" s="7" t="str">
        <x:v>Geth robuste et arme à effet continu.</x:v>
      </x:c>
      <x:c r="J42" s="7" t="str">
        <x:v>Prévoir un état neutre, déplacement, préparation de l’action signature, impact reçu, mise à terre et retour en contrôle pour Geth Destroyer. Éviter la duplication miroir des signes asymétriques.</x:v>
      </x:c>
      <x:c r="K42" s="7" t="str">
        <x:v>Sans bande sonore embarquée dans la planche ; émettre uniquement des événements nommés vers le système audio pour éviter les doublons.</x:v>
      </x:c>
      <x:c r="L42" s="7" t="str">
        <x:v>Prévu : fiche de données me2/sprites/enm-geth-destroyer ; rattacher les ressources et états cités à cet identifiant. Aucun fichier de jeu créé par ce catalogue.</x:v>
      </x:c>
      <x:c r="M42" s="7" t="str"/>
      <x:c r="N42" s="7" t="str">
        <x:v>À l’échelle de jeu, Geth Destroyer est identifiable en silhouette ; pivot aux pieds, masque de profondeur et huit orientations proposés restent stables devant les couverts.</x:v>
      </x:c>
      <x:c r="O42" s="7" t="str">
        <x:v>ME2-ENM-GETH-DESTROYER</x:v>
      </x:c>
      <x:c r="P42" s="7" t="str">
        <x:v>Adaptation originale — spécification de production</x:v>
      </x:c>
      <x:c r="Q42" s="7" t="str"/>
      <x:c r="R42" s="21" t="str"/>
      <x:c r="S42" s="21" t="str">
        <x:v>Spécification à réaliser. Les champs adaptation, gameplay, visual, animation, audio et implementation décrivent le fan game ; ils ne donnent pas des caractéristiques officielles de l’œuvre.</x:v>
      </x:c>
    </x:row>
    <x:row r="43" ht="68" customHeight="1">
      <x:c r="A43" s="18" t="str">
        <x:v>ME2-SPR-ENM-GETH-PRIME</x:v>
      </x:c>
      <x:c r="B43" s="9" t="str">
        <x:v>Planche sprites — Geth Prime</x:v>
      </x:c>
      <x:c r="C43" s="15" t="str">
        <x:v>Défini</x:v>
      </x:c>
      <x:c r="D43" s="16" t="str">
        <x:v>Extrapolation</x:v>
      </x:c>
      <x:c r="E43" s="16" t="str">
        <x:v>P1</x:v>
      </x:c>
      <x:c r="F43" s="9" t="str">
        <x:v>Livrable original proposé : Planche sprites — Geth Prime.</x:v>
      </x:c>
      <x:c r="G43" s="9" t="str">
        <x:v>Produire une planche originale de Geth Prime pour le groupe 2D sur décor 3D. Séparer visage, arme et effets pour préserver les variantes d’état décrites dans la fiche de rôle.</x:v>
      </x:c>
      <x:c r="H43" s="9" t="str">
        <x:v>Le sprite ne définit pas la hitbox. Distinguer position au sol, hauteur visuelle et zone ciblable afin que les grandes silhouettes ne cachent pas les cibles voisines.</x:v>
      </x:c>
      <x:c r="I43" s="9" t="str">
        <x:v>Grand châssis rouge et blanc, large torse.</x:v>
      </x:c>
      <x:c r="J43" s="9" t="str">
        <x:v>Prévoir un état neutre, déplacement, préparation de l’action signature, impact reçu, mise à terre et retour en contrôle pour Geth Prime. Éviter la duplication miroir des signes asymétriques.</x:v>
      </x:c>
      <x:c r="K43" s="9" t="str">
        <x:v>Sans bande sonore embarquée dans la planche ; émettre uniquement des événements nommés vers le système audio pour éviter les doublons.</x:v>
      </x:c>
      <x:c r="L43" s="9" t="str">
        <x:v>Prévu : fiche de données me2/sprites/enm-geth-prime ; rattacher les ressources et états cités à cet identifiant. Aucun fichier de jeu créé par ce catalogue.</x:v>
      </x:c>
      <x:c r="M43" s="9" t="str"/>
      <x:c r="N43" s="9" t="str">
        <x:v>À l’échelle de jeu, Geth Prime est identifiable en silhouette ; pivot aux pieds, masque de profondeur et huit orientations proposés restent stables devant les couverts.</x:v>
      </x:c>
      <x:c r="O43" s="9" t="str">
        <x:v>ME2-ENM-GETH-PRIME</x:v>
      </x:c>
      <x:c r="P43" s="9" t="str">
        <x:v>Adaptation originale — spécification de production</x:v>
      </x:c>
      <x:c r="Q43" s="9" t="str"/>
      <x:c r="R43" s="20" t="str"/>
      <x:c r="S43" s="20" t="str">
        <x:v>Spécification à réaliser. Les champs adaptation, gameplay, visual, animation, audio et implementation décrivent le fan game ; ils ne donnent pas des caractéristiques officielles de l’œuvre.</x:v>
      </x:c>
    </x:row>
    <x:row r="44" ht="68" customHeight="1">
      <x:c r="A44" s="19" t="str">
        <x:v>ME2-SPR-ENM-GETH-COLOSSUS</x:v>
      </x:c>
      <x:c r="B44" s="7" t="str">
        <x:v>Planche sprites — Geth Colossus</x:v>
      </x:c>
      <x:c r="C44" s="15" t="str">
        <x:v>Défini</x:v>
      </x:c>
      <x:c r="D44" s="17" t="str">
        <x:v>Extrapolation</x:v>
      </x:c>
      <x:c r="E44" s="17" t="str">
        <x:v>P1</x:v>
      </x:c>
      <x:c r="F44" s="7" t="str">
        <x:v>Livrable original proposé : Planche sprites — Geth Colossus.</x:v>
      </x:c>
      <x:c r="G44" s="7" t="str">
        <x:v>Produire une planche originale de Geth Colossus pour le groupe 2D sur décor 3D. Séparer visage, arme et effets pour préserver les variantes d’état décrites dans la fiche de rôle.</x:v>
      </x:c>
      <x:c r="H44" s="7" t="str">
        <x:v>Le sprite ne définit pas la hitbox. Distinguer position au sol, hauteur visuelle et zone ciblable afin que les grandes silhouettes ne cachent pas les cibles voisines.</x:v>
      </x:c>
      <x:c r="I44" s="7" t="str">
        <x:v>Quadrupède colossal sur cour surélevée.</x:v>
      </x:c>
      <x:c r="J44" s="7" t="str">
        <x:v>Prévoir un état neutre, déplacement, préparation de l’action signature, impact reçu, mise à terre et retour en contrôle pour Geth Colossus. Éviter la duplication miroir des signes asymétriques.</x:v>
      </x:c>
      <x:c r="K44" s="7" t="str">
        <x:v>Sans bande sonore embarquée dans la planche ; émettre uniquement des événements nommés vers le système audio pour éviter les doublons.</x:v>
      </x:c>
      <x:c r="L44" s="7" t="str">
        <x:v>Prévu : fiche de données me2/sprites/enm-geth-colossus ; rattacher les ressources et états cités à cet identifiant. Aucun fichier de jeu créé par ce catalogue.</x:v>
      </x:c>
      <x:c r="M44" s="7" t="str"/>
      <x:c r="N44" s="7" t="str">
        <x:v>À l’échelle de jeu, Geth Colossus est identifiable en silhouette ; pivot aux pieds, masque de profondeur et huit orientations proposés restent stables devant les couverts.</x:v>
      </x:c>
      <x:c r="O44" s="7" t="str">
        <x:v>ME2-ENM-GETH-COLOSSUS</x:v>
      </x:c>
      <x:c r="P44" s="7" t="str">
        <x:v>Adaptation originale — spécification de production</x:v>
      </x:c>
      <x:c r="Q44" s="7" t="str"/>
      <x:c r="R44" s="21" t="str"/>
      <x:c r="S44" s="21" t="str">
        <x:v>Spécification à réaliser. Les champs adaptation, gameplay, visual, animation, audio et implementation décrivent le fan game ; ils ne donnent pas des caractéristiques officielles de l’œuvre.</x:v>
      </x:c>
    </x:row>
    <x:row r="45" ht="82" customHeight="1">
      <x:c r="A45" s="18" t="str">
        <x:v>ME2-SPR-ENM-GETH-DRONE</x:v>
      </x:c>
      <x:c r="B45" s="9" t="str">
        <x:v>Planche sprites — Geth Recon Drone</x:v>
      </x:c>
      <x:c r="C45" s="15" t="str">
        <x:v>Défini</x:v>
      </x:c>
      <x:c r="D45" s="16" t="str">
        <x:v>Extrapolation</x:v>
      </x:c>
      <x:c r="E45" s="16" t="str">
        <x:v>P1</x:v>
      </x:c>
      <x:c r="F45" s="9" t="str">
        <x:v>Livrable original proposé : Planche sprites — Geth Recon Drone.</x:v>
      </x:c>
      <x:c r="G45" s="9" t="str">
        <x:v>Produire une planche originale de Geth Recon Drone pour le groupe 2D sur décor 3D. Séparer visage, arme et effets pour préserver les variantes d’état décrites dans la fiche de rôle.</x:v>
      </x:c>
      <x:c r="H45" s="9" t="str">
        <x:v>Le sprite ne définit pas la hitbox. Distinguer position au sol, hauteur visuelle et zone ciblable afin que les grandes silhouettes ne cachent pas les cibles voisines.</x:v>
      </x:c>
      <x:c r="I45" s="9" t="str">
        <x:v>Petit drone volant et optique.</x:v>
      </x:c>
      <x:c r="J45" s="9" t="str">
        <x:v>Prévoir un état neutre, déplacement, préparation de l’action signature, impact reçu, mise à terre et retour en contrôle pour Geth Recon Drone. Éviter la duplication miroir des signes asymétriques.</x:v>
      </x:c>
      <x:c r="K45" s="9" t="str">
        <x:v>Sans bande sonore embarquée dans la planche ; émettre uniquement des événements nommés vers le système audio pour éviter les doublons.</x:v>
      </x:c>
      <x:c r="L45" s="9" t="str">
        <x:v>Prévu : fiche de données me2/sprites/enm-geth-drone ; rattacher les ressources et états cités à cet identifiant. Aucun fichier de jeu créé par ce catalogue.</x:v>
      </x:c>
      <x:c r="M45" s="9" t="str"/>
      <x:c r="N45" s="9" t="str">
        <x:v>À l’échelle de jeu, Geth Recon Drone est identifiable en silhouette ; pivot aux pieds, masque de profondeur et huit orientations proposés restent stables devant les couverts.</x:v>
      </x:c>
      <x:c r="O45" s="9" t="str">
        <x:v>ME2-ENM-GETH-DRONE</x:v>
      </x:c>
      <x:c r="P45" s="9" t="str">
        <x:v>Adaptation originale — spécification de production</x:v>
      </x:c>
      <x:c r="Q45" s="9" t="str"/>
      <x:c r="R45" s="20" t="str"/>
      <x:c r="S45" s="20" t="str">
        <x:v>Spécification à réaliser. Les champs adaptation, gameplay, visual, animation, audio et implementation décrivent le fan game ; ils ne donnent pas des caractéristiques officielles de l’œuvre.</x:v>
      </x:c>
    </x:row>
    <x:row r="46" ht="68" customHeight="1">
      <x:c r="A46" s="19" t="str">
        <x:v>ME2-SPR-ENM-HUSK</x:v>
      </x:c>
      <x:c r="B46" s="7" t="str">
        <x:v>Planche sprites — Husk</x:v>
      </x:c>
      <x:c r="C46" s="15" t="str">
        <x:v>Défini</x:v>
      </x:c>
      <x:c r="D46" s="17" t="str">
        <x:v>Extrapolation</x:v>
      </x:c>
      <x:c r="E46" s="17" t="str">
        <x:v>P1</x:v>
      </x:c>
      <x:c r="F46" s="7" t="str">
        <x:v>Livrable original proposé : Planche sprites — Husk.</x:v>
      </x:c>
      <x:c r="G46" s="7" t="str">
        <x:v>Produire une planche originale de Husk pour le groupe 2D sur décor 3D. Séparer visage, arme et effets pour préserver les variantes d’état décrites dans la fiche de rôle.</x:v>
      </x:c>
      <x:c r="H46" s="7" t="str">
        <x:v>Le sprite ne définit pas la hitbox. Distinguer position au sol, hauteur visuelle et zone ciblable afin que les grandes silhouettes ne cachent pas les cibles voisines.</x:v>
      </x:c>
      <x:c r="I46" s="7" t="str">
        <x:v>Humanoïde cybernétique bleu, posture courbée.</x:v>
      </x:c>
      <x:c r="J46" s="7" t="str">
        <x:v>Prévoir un état neutre, déplacement, préparation de l’action signature, impact reçu, mise à terre et retour en contrôle pour Husk. Éviter la duplication miroir des signes asymétriques.</x:v>
      </x:c>
      <x:c r="K46" s="7" t="str">
        <x:v>Sans bande sonore embarquée dans la planche ; émettre uniquement des événements nommés vers le système audio pour éviter les doublons.</x:v>
      </x:c>
      <x:c r="L46" s="7" t="str">
        <x:v>Prévu : fiche de données me2/sprites/enm-husk ; rattacher les ressources et états cités à cet identifiant. Aucun fichier de jeu créé par ce catalogue.</x:v>
      </x:c>
      <x:c r="M46" s="7" t="str"/>
      <x:c r="N46" s="7" t="str">
        <x:v>À l’échelle de jeu, Husk est identifiable en silhouette ; pivot aux pieds, masque de profondeur et huit orientations proposés restent stables devant les couverts.</x:v>
      </x:c>
      <x:c r="O46" s="7" t="str">
        <x:v>ME2-ENM-HUSK</x:v>
      </x:c>
      <x:c r="P46" s="7" t="str">
        <x:v>Adaptation originale — spécification de production</x:v>
      </x:c>
      <x:c r="Q46" s="7" t="str"/>
      <x:c r="R46" s="21" t="str"/>
      <x:c r="S46" s="21" t="str">
        <x:v>Spécification à réaliser. Les champs adaptation, gameplay, visual, animation, audio et implementation décrivent le fan game ; ils ne donnent pas des caractéristiques officielles de l’œuvre.</x:v>
      </x:c>
    </x:row>
    <x:row r="47" ht="68" customHeight="1">
      <x:c r="A47" s="18" t="str">
        <x:v>ME2-SPR-ENM-ABOMINATION</x:v>
      </x:c>
      <x:c r="B47" s="9" t="str">
        <x:v>Planche sprites — Abomination</x:v>
      </x:c>
      <x:c r="C47" s="15" t="str">
        <x:v>Défini</x:v>
      </x:c>
      <x:c r="D47" s="16" t="str">
        <x:v>Extrapolation</x:v>
      </x:c>
      <x:c r="E47" s="16" t="str">
        <x:v>P1</x:v>
      </x:c>
      <x:c r="F47" s="9" t="str">
        <x:v>Livrable original proposé : Planche sprites — Abomination.</x:v>
      </x:c>
      <x:c r="G47" s="9" t="str">
        <x:v>Produire une planche originale de Abomination pour le groupe 2D sur décor 3D. Séparer visage, arme et effets pour préserver les variantes d’état décrites dans la fiche de rôle.</x:v>
      </x:c>
      <x:c r="H47" s="9" t="str">
        <x:v>Le sprite ne définit pas la hitbox. Distinguer position au sol, hauteur visuelle et zone ciblable afin que les grandes silhouettes ne cachent pas les cibles voisines.</x:v>
      </x:c>
      <x:c r="I47" s="9" t="str">
        <x:v>Husk rouge-orangé très contrasté.</x:v>
      </x:c>
      <x:c r="J47" s="9" t="str">
        <x:v>Prévoir un état neutre, déplacement, préparation de l’action signature, impact reçu, mise à terre et retour en contrôle pour Abomination. Éviter la duplication miroir des signes asymétriques.</x:v>
      </x:c>
      <x:c r="K47" s="9" t="str">
        <x:v>Sans bande sonore embarquée dans la planche ; émettre uniquement des événements nommés vers le système audio pour éviter les doublons.</x:v>
      </x:c>
      <x:c r="L47" s="9" t="str">
        <x:v>Prévu : fiche de données me2/sprites/enm-abomination ; rattacher les ressources et états cités à cet identifiant. Aucun fichier de jeu créé par ce catalogue.</x:v>
      </x:c>
      <x:c r="M47" s="9" t="str"/>
      <x:c r="N47" s="9" t="str">
        <x:v>À l’échelle de jeu, Abomination est identifiable en silhouette ; pivot aux pieds, masque de profondeur et huit orientations proposés restent stables devant les couverts.</x:v>
      </x:c>
      <x:c r="O47" s="9" t="str">
        <x:v>ME2-ENM-ABOMINATION</x:v>
      </x:c>
      <x:c r="P47" s="9" t="str">
        <x:v>Adaptation originale — spécification de production</x:v>
      </x:c>
      <x:c r="Q47" s="9" t="str"/>
      <x:c r="R47" s="20" t="str"/>
      <x:c r="S47" s="20" t="str">
        <x:v>Spécification à réaliser. Les champs adaptation, gameplay, visual, animation, audio et implementation décrivent le fan game ; ils ne donnent pas des caractéristiques officielles de l’œuvre.</x:v>
      </x:c>
    </x:row>
    <x:row r="48" ht="68" customHeight="1">
      <x:c r="A48" s="19" t="str">
        <x:v>ME2-SPR-ENM-SCION</x:v>
      </x:c>
      <x:c r="B48" s="7" t="str">
        <x:v>Planche sprites — Scion</x:v>
      </x:c>
      <x:c r="C48" s="15" t="str">
        <x:v>Défini</x:v>
      </x:c>
      <x:c r="D48" s="17" t="str">
        <x:v>Extrapolation</x:v>
      </x:c>
      <x:c r="E48" s="17" t="str">
        <x:v>P1</x:v>
      </x:c>
      <x:c r="F48" s="7" t="str">
        <x:v>Livrable original proposé : Planche sprites — Scion.</x:v>
      </x:c>
      <x:c r="G48" s="7" t="str">
        <x:v>Produire une planche originale de Scion pour le groupe 2D sur décor 3D. Séparer visage, arme et effets pour préserver les variantes d’état décrites dans la fiche de rôle.</x:v>
      </x:c>
      <x:c r="H48" s="7" t="str">
        <x:v>Le sprite ne définit pas la hitbox. Distinguer position au sol, hauteur visuelle et zone ciblable afin que les grandes silhouettes ne cachent pas les cibles voisines.</x:v>
      </x:c>
      <x:c r="I48" s="7" t="str">
        <x:v>Masse tordue, bras-canon et silhouette asymétrique.</x:v>
      </x:c>
      <x:c r="J48" s="7" t="str">
        <x:v>Prévoir un état neutre, déplacement, préparation de l’action signature, impact reçu, mise à terre et retour en contrôle pour Scion. Éviter la duplication miroir des signes asymétriques.</x:v>
      </x:c>
      <x:c r="K48" s="7" t="str">
        <x:v>Sans bande sonore embarquée dans la planche ; émettre uniquement des événements nommés vers le système audio pour éviter les doublons.</x:v>
      </x:c>
      <x:c r="L48" s="7" t="str">
        <x:v>Prévu : fiche de données me2/sprites/enm-scion ; rattacher les ressources et états cités à cet identifiant. Aucun fichier de jeu créé par ce catalogue.</x:v>
      </x:c>
      <x:c r="M48" s="7" t="str"/>
      <x:c r="N48" s="7" t="str">
        <x:v>À l’échelle de jeu, Scion est identifiable en silhouette ; pivot aux pieds, masque de profondeur et huit orientations proposés restent stables devant les couverts.</x:v>
      </x:c>
      <x:c r="O48" s="7" t="str">
        <x:v>ME2-ENM-SCION</x:v>
      </x:c>
      <x:c r="P48" s="7" t="str">
        <x:v>Adaptation originale — spécification de production</x:v>
      </x:c>
      <x:c r="Q48" s="7" t="str"/>
      <x:c r="R48" s="21" t="str"/>
      <x:c r="S48" s="21" t="str">
        <x:v>Spécification à réaliser. Les champs adaptation, gameplay, visual, animation, audio et implementation décrivent le fan game ; ils ne donnent pas des caractéristiques officielles de l’œuvre.</x:v>
      </x:c>
    </x:row>
    <x:row r="49" ht="68" customHeight="1">
      <x:c r="A49" s="18" t="str">
        <x:v>ME2-SPR-ENM-COLLECTOR-DRONE</x:v>
      </x:c>
      <x:c r="B49" s="9" t="str">
        <x:v>Planche sprites — Collector Drone</x:v>
      </x:c>
      <x:c r="C49" s="15" t="str">
        <x:v>Défini</x:v>
      </x:c>
      <x:c r="D49" s="16" t="str">
        <x:v>Extrapolation</x:v>
      </x:c>
      <x:c r="E49" s="16" t="str">
        <x:v>P1</x:v>
      </x:c>
      <x:c r="F49" s="9" t="str">
        <x:v>Livrable original proposé : Planche sprites — Collector Drone.</x:v>
      </x:c>
      <x:c r="G49" s="9" t="str">
        <x:v>Produire une planche originale de Collector Drone pour le groupe 2D sur décor 3D. Séparer visage, arme et effets pour préserver les variantes d’état décrites dans la fiche de rôle.</x:v>
      </x:c>
      <x:c r="H49" s="9" t="str">
        <x:v>Le sprite ne définit pas la hitbox. Distinguer position au sol, hauteur visuelle et zone ciblable afin que les grandes silhouettes ne cachent pas les cibles voisines.</x:v>
      </x:c>
      <x:c r="I49" s="9" t="str">
        <x:v>Chitine brune, aile repliée et arme organique.</x:v>
      </x:c>
      <x:c r="J49" s="9" t="str">
        <x:v>Prévoir un état neutre, déplacement, préparation de l’action signature, impact reçu, mise à terre et retour en contrôle pour Collector Drone. Éviter la duplication miroir des signes asymétriques.</x:v>
      </x:c>
      <x:c r="K49" s="9" t="str">
        <x:v>Sans bande sonore embarquée dans la planche ; émettre uniquement des événements nommés vers le système audio pour éviter les doublons.</x:v>
      </x:c>
      <x:c r="L49" s="9" t="str">
        <x:v>Prévu : fiche de données me2/sprites/enm-collector-drone ; rattacher les ressources et états cités à cet identifiant. Aucun fichier de jeu créé par ce catalogue.</x:v>
      </x:c>
      <x:c r="M49" s="9" t="str"/>
      <x:c r="N49" s="9" t="str">
        <x:v>À l’échelle de jeu, Collector Drone est identifiable en silhouette ; pivot aux pieds, masque de profondeur et huit orientations proposés restent stables devant les couverts.</x:v>
      </x:c>
      <x:c r="O49" s="9" t="str">
        <x:v>ME2-ENM-COLLECTOR-DRONE</x:v>
      </x:c>
      <x:c r="P49" s="9" t="str">
        <x:v>Adaptation originale — spécification de production</x:v>
      </x:c>
      <x:c r="Q49" s="9" t="str"/>
      <x:c r="R49" s="20" t="str"/>
      <x:c r="S49" s="20" t="str">
        <x:v>Spécification à réaliser. Les champs adaptation, gameplay, visual, animation, audio et implementation décrivent le fan game ; ils ne donnent pas des caractéristiques officielles de l’œuvre.</x:v>
      </x:c>
    </x:row>
    <x:row r="50" ht="82" customHeight="1">
      <x:c r="A50" s="19" t="str">
        <x:v>ME2-SPR-ENM-COLLECTOR-GUARDIAN</x:v>
      </x:c>
      <x:c r="B50" s="7" t="str">
        <x:v>Planche sprites — Collector Guardian</x:v>
      </x:c>
      <x:c r="C50" s="15" t="str">
        <x:v>Défini</x:v>
      </x:c>
      <x:c r="D50" s="17" t="str">
        <x:v>Extrapolation</x:v>
      </x:c>
      <x:c r="E50" s="17" t="str">
        <x:v>P1</x:v>
      </x:c>
      <x:c r="F50" s="7" t="str">
        <x:v>Livrable original proposé : Planche sprites — Collector Guardian.</x:v>
      </x:c>
      <x:c r="G50" s="7" t="str">
        <x:v>Produire une planche originale de Collector Guardian pour le groupe 2D sur décor 3D. Séparer visage, arme et effets pour préserver les variantes d’état décrites dans la fiche de rôle.</x:v>
      </x:c>
      <x:c r="H50" s="7" t="str">
        <x:v>Le sprite ne définit pas la hitbox. Distinguer position au sol, hauteur visuelle et zone ciblable afin que les grandes silhouettes ne cachent pas les cibles voisines.</x:v>
      </x:c>
      <x:c r="I50" s="7" t="str">
        <x:v>Silhouette de Collecteur et lueur de projection.</x:v>
      </x:c>
      <x:c r="J50" s="7" t="str">
        <x:v>Prévoir un état neutre, déplacement, préparation de l’action signature, impact reçu, mise à terre et retour en contrôle pour Collector Guardian. Éviter la duplication miroir des signes asymétriques.</x:v>
      </x:c>
      <x:c r="K50" s="7" t="str">
        <x:v>Sans bande sonore embarquée dans la planche ; émettre uniquement des événements nommés vers le système audio pour éviter les doublons.</x:v>
      </x:c>
      <x:c r="L50" s="7" t="str">
        <x:v>Prévu : fiche de données me2/sprites/enm-collector-guardian ; rattacher les ressources et états cités à cet identifiant. Aucun fichier de jeu créé par ce catalogue.</x:v>
      </x:c>
      <x:c r="M50" s="7" t="str"/>
      <x:c r="N50" s="7" t="str">
        <x:v>À l’échelle de jeu, Collector Guardian est identifiable en silhouette ; pivot aux pieds, masque de profondeur et huit orientations proposés restent stables devant les couverts.</x:v>
      </x:c>
      <x:c r="O50" s="7" t="str">
        <x:v>ME2-ENM-COLLECTOR-GUARDIAN</x:v>
      </x:c>
      <x:c r="P50" s="7" t="str">
        <x:v>Adaptation originale — spécification de production</x:v>
      </x:c>
      <x:c r="Q50" s="7" t="str"/>
      <x:c r="R50" s="21" t="str"/>
      <x:c r="S50" s="21" t="str">
        <x:v>Spécification à réaliser. Les champs adaptation, gameplay, visual, animation, audio et implementation décrivent le fan game ; ils ne donnent pas des caractéristiques officielles de l’œuvre.</x:v>
      </x:c>
    </x:row>
    <x:row r="51" ht="82" customHeight="1">
      <x:c r="A51" s="18" t="str">
        <x:v>ME2-SPR-ENM-COLLECTOR-ASSASSIN</x:v>
      </x:c>
      <x:c r="B51" s="9" t="str">
        <x:v>Planche sprites — Collector Assassin</x:v>
      </x:c>
      <x:c r="C51" s="15" t="str">
        <x:v>Défini</x:v>
      </x:c>
      <x:c r="D51" s="16" t="str">
        <x:v>Extrapolation</x:v>
      </x:c>
      <x:c r="E51" s="16" t="str">
        <x:v>P1</x:v>
      </x:c>
      <x:c r="F51" s="9" t="str">
        <x:v>Livrable original proposé : Planche sprites — Collector Assassin.</x:v>
      </x:c>
      <x:c r="G51" s="9" t="str">
        <x:v>Produire une planche originale de Collector Assassin pour le groupe 2D sur décor 3D. Séparer visage, arme et effets pour préserver les variantes d’état décrites dans la fiche de rôle.</x:v>
      </x:c>
      <x:c r="H51" s="9" t="str">
        <x:v>Le sprite ne définit pas la hitbox. Distinguer position au sol, hauteur visuelle et zone ciblable afin que les grandes silhouettes ne cachent pas les cibles voisines.</x:v>
      </x:c>
      <x:c r="I51" s="9" t="str">
        <x:v>Arme-faisceau et visée stable.</x:v>
      </x:c>
      <x:c r="J51" s="9" t="str">
        <x:v>Prévoir un état neutre, déplacement, préparation de l’action signature, impact reçu, mise à terre et retour en contrôle pour Collector Assassin. Éviter la duplication miroir des signes asymétriques.</x:v>
      </x:c>
      <x:c r="K51" s="9" t="str">
        <x:v>Sans bande sonore embarquée dans la planche ; émettre uniquement des événements nommés vers le système audio pour éviter les doublons.</x:v>
      </x:c>
      <x:c r="L51" s="9" t="str">
        <x:v>Prévu : fiche de données me2/sprites/enm-collector-assassin ; rattacher les ressources et états cités à cet identifiant. Aucun fichier de jeu créé par ce catalogue.</x:v>
      </x:c>
      <x:c r="M51" s="9" t="str"/>
      <x:c r="N51" s="9" t="str">
        <x:v>À l’échelle de jeu, Collector Assassin est identifiable en silhouette ; pivot aux pieds, masque de profondeur et huit orientations proposés restent stables devant les couverts.</x:v>
      </x:c>
      <x:c r="O51" s="9" t="str">
        <x:v>ME2-ENM-COLLECTOR-ASSASSIN</x:v>
      </x:c>
      <x:c r="P51" s="9" t="str">
        <x:v>Adaptation originale — spécification de production</x:v>
      </x:c>
      <x:c r="Q51" s="9" t="str"/>
      <x:c r="R51" s="20" t="str"/>
      <x:c r="S51" s="20" t="str">
        <x:v>Spécification à réaliser. Les champs adaptation, gameplay, visual, animation, audio et implementation décrivent le fan game ; ils ne donnent pas des caractéristiques officielles de l’œuvre.</x:v>
      </x:c>
    </x:row>
    <x:row r="52" ht="82" customHeight="1">
      <x:c r="A52" s="19" t="str">
        <x:v>ME2-SPR-ENM-HARBINGER</x:v>
      </x:c>
      <x:c r="B52" s="7" t="str">
        <x:v>Planche sprites — Collecteur possédé par Harbinger</x:v>
      </x:c>
      <x:c r="C52" s="15" t="str">
        <x:v>Défini</x:v>
      </x:c>
      <x:c r="D52" s="17" t="str">
        <x:v>Extrapolation</x:v>
      </x:c>
      <x:c r="E52" s="17" t="str">
        <x:v>P1</x:v>
      </x:c>
      <x:c r="F52" s="7" t="str">
        <x:v>Livrable original proposé : Planche sprites — Collecteur possédé par Harbinger.</x:v>
      </x:c>
      <x:c r="G52" s="7" t="str">
        <x:v>Produire une planche originale de Collecteur possédé par Harbinger pour le groupe 2D sur décor 3D. Séparer visage, arme et effets pour préserver les variantes d’état décrites dans la fiche de rôle.</x:v>
      </x:c>
      <x:c r="H52" s="7" t="str">
        <x:v>Le sprite ne définit pas la hitbox. Distinguer position au sol, hauteur visuelle et zone ciblable afin que les grandes silhouettes ne cachent pas les cibles voisines.</x:v>
      </x:c>
      <x:c r="I52" s="7" t="str">
        <x:v>Chitine embrasée et tête éclairée.</x:v>
      </x:c>
      <x:c r="J52" s="7" t="str">
        <x:v>Prévoir un état neutre, déplacement, préparation de l’action signature, impact reçu, mise à terre et retour en contrôle pour Collecteur possédé par Harbinger. Éviter la duplication miroir des signes asymétriques.</x:v>
      </x:c>
      <x:c r="K52" s="7" t="str">
        <x:v>Sans bande sonore embarquée dans la planche ; émettre uniquement des événements nommés vers le système audio pour éviter les doublons.</x:v>
      </x:c>
      <x:c r="L52" s="7" t="str">
        <x:v>Prévu : fiche de données me2/sprites/enm-harbinger ; rattacher les ressources et états cités à cet identifiant. Aucun fichier de jeu créé par ce catalogue.</x:v>
      </x:c>
      <x:c r="M52" s="7" t="str"/>
      <x:c r="N52" s="7" t="str">
        <x:v>À l’échelle de jeu, Collecteur possédé par Harbinger est identifiable en silhouette ; pivot aux pieds, masque de profondeur et huit orientations proposés restent stables devant les couverts.</x:v>
      </x:c>
      <x:c r="O52" s="7" t="str">
        <x:v>ME2-ENM-HARBINGER</x:v>
      </x:c>
      <x:c r="P52" s="7" t="str">
        <x:v>Adaptation originale — spécification de production</x:v>
      </x:c>
      <x:c r="Q52" s="7" t="str"/>
      <x:c r="R52" s="21" t="str"/>
      <x:c r="S52" s="21" t="str">
        <x:v>Spécification à réaliser. Les champs adaptation, gameplay, visual, animation, audio et implementation décrivent le fan game ; ils ne donnent pas des caractéristiques officielles de l’œuvre.</x:v>
      </x:c>
    </x:row>
    <x:row r="53" ht="68" customHeight="1">
      <x:c r="A53" s="18" t="str">
        <x:v>ME2-SPR-ENM-PRAETORIAN</x:v>
      </x:c>
      <x:c r="B53" s="9" t="str">
        <x:v>Planche sprites — Praetorian</x:v>
      </x:c>
      <x:c r="C53" s="15" t="str">
        <x:v>Défini</x:v>
      </x:c>
      <x:c r="D53" s="16" t="str">
        <x:v>Extrapolation</x:v>
      </x:c>
      <x:c r="E53" s="16" t="str">
        <x:v>P1</x:v>
      </x:c>
      <x:c r="F53" s="9" t="str">
        <x:v>Livrable original proposé : Planche sprites — Praetorian.</x:v>
      </x:c>
      <x:c r="G53" s="9" t="str">
        <x:v>Produire une planche originale de Praetorian pour le groupe 2D sur décor 3D. Séparer visage, arme et effets pour préserver les variantes d’état décrites dans la fiche de rôle.</x:v>
      </x:c>
      <x:c r="H53" s="9" t="str">
        <x:v>Le sprite ne définit pas la hitbox. Distinguer position au sol, hauteur visuelle et zone ciblable afin que les grandes silhouettes ne cachent pas les cibles voisines.</x:v>
      </x:c>
      <x:c r="I53" s="9" t="str">
        <x:v>Carapace noire, membres pendants, plusieurs visages regroupés.</x:v>
      </x:c>
      <x:c r="J53" s="9" t="str">
        <x:v>Prévoir un état neutre, déplacement, préparation de l’action signature, impact reçu, mise à terre et retour en contrôle pour Praetorian. Éviter la duplication miroir des signes asymétriques.</x:v>
      </x:c>
      <x:c r="K53" s="9" t="str">
        <x:v>Sans bande sonore embarquée dans la planche ; émettre uniquement des événements nommés vers le système audio pour éviter les doublons.</x:v>
      </x:c>
      <x:c r="L53" s="9" t="str">
        <x:v>Prévu : fiche de données me2/sprites/enm-praetorian ; rattacher les ressources et états cités à cet identifiant. Aucun fichier de jeu créé par ce catalogue.</x:v>
      </x:c>
      <x:c r="M53" s="9" t="str"/>
      <x:c r="N53" s="9" t="str">
        <x:v>À l’échelle de jeu, Praetorian est identifiable en silhouette ; pivot aux pieds, masque de profondeur et huit orientations proposés restent stables devant les couverts.</x:v>
      </x:c>
      <x:c r="O53" s="9" t="str">
        <x:v>ME2-ENM-PRAETORIAN</x:v>
      </x:c>
      <x:c r="P53" s="9" t="str">
        <x:v>Adaptation originale — spécification de production</x:v>
      </x:c>
      <x:c r="Q53" s="9" t="str"/>
      <x:c r="R53" s="20" t="str"/>
      <x:c r="S53" s="20" t="str">
        <x:v>Spécification à réaliser. Les champs adaptation, gameplay, visual, animation, audio et implementation décrivent le fan game ; ils ne donnent pas des caractéristiques officielles de l’œuvre.</x:v>
      </x:c>
    </x:row>
    <x:row r="54" ht="68" customHeight="1">
      <x:c r="A54" s="19" t="str">
        <x:v>ME2-SPR-ENM-OCULUS</x:v>
      </x:c>
      <x:c r="B54" s="7" t="str">
        <x:v>Planche sprites — Oculus</x:v>
      </x:c>
      <x:c r="C54" s="15" t="str">
        <x:v>Défini</x:v>
      </x:c>
      <x:c r="D54" s="17" t="str">
        <x:v>Extrapolation</x:v>
      </x:c>
      <x:c r="E54" s="17" t="str">
        <x:v>P1</x:v>
      </x:c>
      <x:c r="F54" s="7" t="str">
        <x:v>Livrable original proposé : Planche sprites — Oculus.</x:v>
      </x:c>
      <x:c r="G54" s="7" t="str">
        <x:v>Produire une planche originale de Oculus pour le groupe 2D sur décor 3D. Séparer visage, arme et effets pour préserver les variantes d’état décrites dans la fiche de rôle.</x:v>
      </x:c>
      <x:c r="H54" s="7" t="str">
        <x:v>Le sprite ne définit pas la hitbox. Distinguer position au sol, hauteur visuelle et zone ciblable afin que les grandes silhouettes ne cachent pas les cibles voisines.</x:v>
      </x:c>
      <x:c r="I54" s="7" t="str">
        <x:v>Sphère mécanique à iris central.</x:v>
      </x:c>
      <x:c r="J54" s="7" t="str">
        <x:v>Prévoir un état neutre, déplacement, préparation de l’action signature, impact reçu, mise à terre et retour en contrôle pour Oculus. Éviter la duplication miroir des signes asymétriques.</x:v>
      </x:c>
      <x:c r="K54" s="7" t="str">
        <x:v>Sans bande sonore embarquée dans la planche ; émettre uniquement des événements nommés vers le système audio pour éviter les doublons.</x:v>
      </x:c>
      <x:c r="L54" s="7" t="str">
        <x:v>Prévu : fiche de données me2/sprites/enm-oculus ; rattacher les ressources et états cités à cet identifiant. Aucun fichier de jeu créé par ce catalogue.</x:v>
      </x:c>
      <x:c r="M54" s="7" t="str"/>
      <x:c r="N54" s="7" t="str">
        <x:v>À l’échelle de jeu, Oculus est identifiable en silhouette ; pivot aux pieds, masque de profondeur et huit orientations proposés restent stables devant les couverts.</x:v>
      </x:c>
      <x:c r="O54" s="7" t="str">
        <x:v>ME2-ENM-OCULUS</x:v>
      </x:c>
      <x:c r="P54" s="7" t="str">
        <x:v>Adaptation originale — spécification de production</x:v>
      </x:c>
      <x:c r="Q54" s="7" t="str"/>
      <x:c r="R54" s="21" t="str"/>
      <x:c r="S54" s="21" t="str">
        <x:v>Spécification à réaliser. Les champs adaptation, gameplay, visual, animation, audio et implementation décrivent le fan game ; ils ne donnent pas des caractéristiques officielles de l’œuvre.</x:v>
      </x:c>
    </x:row>
    <x:row r="55" ht="82" customHeight="1">
      <x:c r="A55" s="18" t="str">
        <x:v>ME2-SPR-ENM-HUMAN-REAPER</x:v>
      </x:c>
      <x:c r="B55" s="9" t="str">
        <x:v>Planche sprites — Moissonneur humain</x:v>
      </x:c>
      <x:c r="C55" s="15" t="str">
        <x:v>Défini</x:v>
      </x:c>
      <x:c r="D55" s="16" t="str">
        <x:v>Extrapolation</x:v>
      </x:c>
      <x:c r="E55" s="16" t="str">
        <x:v>P1</x:v>
      </x:c>
      <x:c r="F55" s="9" t="str">
        <x:v>Livrable original proposé : Planche sprites — Moissonneur humain.</x:v>
      </x:c>
      <x:c r="G55" s="9" t="str">
        <x:v>Produire une planche originale de Moissonneur humain pour le groupe 2D sur décor 3D. Séparer visage, arme et effets pour préserver les variantes d’état décrites dans la fiche de rôle.</x:v>
      </x:c>
      <x:c r="H55" s="9" t="str">
        <x:v>Le sprite ne définit pas la hitbox. Distinguer position au sol, hauteur visuelle et zone ciblable afin que les grandes silhouettes ne cachent pas les cibles voisines.</x:v>
      </x:c>
      <x:c r="I55" s="9" t="str">
        <x:v>Immense torse humanoïde métallique, yeux et tubes éclairés.</x:v>
      </x:c>
      <x:c r="J55" s="9" t="str">
        <x:v>Prévoir un état neutre, déplacement, préparation de l’action signature, impact reçu, mise à terre et retour en contrôle pour Moissonneur humain. Éviter la duplication miroir des signes asymétriques.</x:v>
      </x:c>
      <x:c r="K55" s="9" t="str">
        <x:v>Sans bande sonore embarquée dans la planche ; émettre uniquement des événements nommés vers le système audio pour éviter les doublons.</x:v>
      </x:c>
      <x:c r="L55" s="9" t="str">
        <x:v>Prévu : fiche de données me2/sprites/enm-human-reaper ; rattacher les ressources et états cités à cet identifiant. Aucun fichier de jeu créé par ce catalogue.</x:v>
      </x:c>
      <x:c r="M55" s="9" t="str"/>
      <x:c r="N55" s="9" t="str">
        <x:v>À l’échelle de jeu, Moissonneur humain est identifiable en silhouette ; pivot aux pieds, masque de profondeur et huit orientations proposés restent stables devant les couverts.</x:v>
      </x:c>
      <x:c r="O55" s="9" t="str">
        <x:v>ME2-ENM-HUMAN-REAPER</x:v>
      </x:c>
      <x:c r="P55" s="9" t="str">
        <x:v>Adaptation originale — spécification de production</x:v>
      </x:c>
      <x:c r="Q55" s="9" t="str"/>
      <x:c r="R55" s="20" t="str"/>
      <x:c r="S55" s="20" t="str">
        <x:v>Spécification à réaliser. Les champs adaptation, gameplay, visual, animation, audio et implementation décrivent le fan game ; ils ne donnent pas des caractéristiques officielles de l’œuvre.</x:v>
      </x:c>
    </x:row>
    <x:row r="56" ht="68" customHeight="1">
      <x:c r="A56" s="19" t="str">
        <x:v>ME2-SPR-ENM-VARRREN</x:v>
      </x:c>
      <x:c r="B56" s="7" t="str">
        <x:v>Planche sprites — Varren</x:v>
      </x:c>
      <x:c r="C56" s="15" t="str">
        <x:v>Défini</x:v>
      </x:c>
      <x:c r="D56" s="17" t="str">
        <x:v>Extrapolation</x:v>
      </x:c>
      <x:c r="E56" s="17" t="str">
        <x:v>P1</x:v>
      </x:c>
      <x:c r="F56" s="7" t="str">
        <x:v>Livrable original proposé : Planche sprites — Varren.</x:v>
      </x:c>
      <x:c r="G56" s="7" t="str">
        <x:v>Produire une planche originale de Varren pour le groupe 2D sur décor 3D. Séparer visage, arme et effets pour préserver les variantes d’état décrites dans la fiche de rôle.</x:v>
      </x:c>
      <x:c r="H56" s="7" t="str">
        <x:v>Le sprite ne définit pas la hitbox. Distinguer position au sol, hauteur visuelle et zone ciblable afin que les grandes silhouettes ne cachent pas les cibles voisines.</x:v>
      </x:c>
      <x:c r="I56" s="7" t="str">
        <x:v>Quadrupède trapu, gueule large, peau écailleuse.</x:v>
      </x:c>
      <x:c r="J56" s="7" t="str">
        <x:v>Prévoir un état neutre, déplacement, préparation de l’action signature, impact reçu, mise à terre et retour en contrôle pour Varren. Éviter la duplication miroir des signes asymétriques.</x:v>
      </x:c>
      <x:c r="K56" s="7" t="str">
        <x:v>Sans bande sonore embarquée dans la planche ; émettre uniquement des événements nommés vers le système audio pour éviter les doublons.</x:v>
      </x:c>
      <x:c r="L56" s="7" t="str">
        <x:v>Prévu : fiche de données me2/sprites/enm-varrren ; rattacher les ressources et états cités à cet identifiant. Aucun fichier de jeu créé par ce catalogue.</x:v>
      </x:c>
      <x:c r="M56" s="7" t="str"/>
      <x:c r="N56" s="7" t="str">
        <x:v>À l’échelle de jeu, Varren est identifiable en silhouette ; pivot aux pieds, masque de profondeur et huit orientations proposés restent stables devant les couverts.</x:v>
      </x:c>
      <x:c r="O56" s="7" t="str">
        <x:v>ME2-ENM-VARRREN</x:v>
      </x:c>
      <x:c r="P56" s="7" t="str">
        <x:v>Adaptation originale — spécification de production</x:v>
      </x:c>
      <x:c r="Q56" s="7" t="str"/>
      <x:c r="R56" s="21" t="str"/>
      <x:c r="S56" s="21" t="str">
        <x:v>Spécification à réaliser. Les champs adaptation, gameplay, visual, animation, audio et implementation décrivent le fan game ; ils ne donnent pas des caractéristiques officielles de l’œuvre.</x:v>
      </x:c>
    </x:row>
    <x:row r="57" ht="82" customHeight="1">
      <x:c r="A57" s="18" t="str">
        <x:v>ME2-SPR-ENM-THRESHER</x:v>
      </x:c>
      <x:c r="B57" s="9" t="str">
        <x:v>Planche sprites — Dévoreur du rite</x:v>
      </x:c>
      <x:c r="C57" s="15" t="str">
        <x:v>Défini</x:v>
      </x:c>
      <x:c r="D57" s="16" t="str">
        <x:v>Extrapolation</x:v>
      </x:c>
      <x:c r="E57" s="16" t="str">
        <x:v>P1</x:v>
      </x:c>
      <x:c r="F57" s="9" t="str">
        <x:v>Livrable original proposé : Planche sprites — Dévoreur du rite.</x:v>
      </x:c>
      <x:c r="G57" s="9" t="str">
        <x:v>Produire une planche originale de Dévoreur du rite pour le groupe 2D sur décor 3D. Séparer visage, arme et effets pour préserver les variantes d’état décrites dans la fiche de rôle.</x:v>
      </x:c>
      <x:c r="H57" s="9" t="str">
        <x:v>Le sprite ne définit pas la hitbox. Distinguer position au sol, hauteur visuelle et zone ciblable afin que les grandes silhouettes ne cachent pas les cibles voisines.</x:v>
      </x:c>
      <x:c r="I57" s="9" t="str">
        <x:v>Ver géant, bouche segmentée et poussière.</x:v>
      </x:c>
      <x:c r="J57" s="9" t="str">
        <x:v>Prévoir un état neutre, déplacement, préparation de l’action signature, impact reçu, mise à terre et retour en contrôle pour Dévoreur du rite. Éviter la duplication miroir des signes asymétriques.</x:v>
      </x:c>
      <x:c r="K57" s="9" t="str">
        <x:v>Sans bande sonore embarquée dans la planche ; émettre uniquement des événements nommés vers le système audio pour éviter les doublons.</x:v>
      </x:c>
      <x:c r="L57" s="9" t="str">
        <x:v>Prévu : fiche de données me2/sprites/enm-thresher ; rattacher les ressources et états cités à cet identifiant. Aucun fichier de jeu créé par ce catalogue.</x:v>
      </x:c>
      <x:c r="M57" s="9" t="str"/>
      <x:c r="N57" s="9" t="str">
        <x:v>À l’échelle de jeu, Dévoreur du rite est identifiable en silhouette ; pivot aux pieds, masque de profondeur et huit orientations proposés restent stables devant les couverts.</x:v>
      </x:c>
      <x:c r="O57" s="9" t="str">
        <x:v>ME2-ENM-THRESHER</x:v>
      </x:c>
      <x:c r="P57" s="9" t="str">
        <x:v>Adaptation originale — spécification de production</x:v>
      </x:c>
      <x:c r="Q57" s="9" t="str"/>
      <x:c r="R57" s="20" t="str"/>
      <x:c r="S57" s="20" t="str">
        <x:v>Spécification à réaliser. Les champs adaptation, gameplay, visual, animation, audio et implementation décrivent le fan game ; ils ne donnent pas des caractéristiques officielles de l’œuvre.</x:v>
      </x:c>
    </x:row>
    <x:row r="58" ht="82" customHeight="1">
      <x:c r="A58" s="19" t="str">
        <x:v>ME2-SPR-ENM-GUNSHIP</x:v>
      </x:c>
      <x:c r="B58" s="7" t="str">
        <x:v>Planche sprites — Aéronef de combat</x:v>
      </x:c>
      <x:c r="C58" s="15" t="str">
        <x:v>Défini</x:v>
      </x:c>
      <x:c r="D58" s="17" t="str">
        <x:v>Extrapolation</x:v>
      </x:c>
      <x:c r="E58" s="17" t="str">
        <x:v>P1</x:v>
      </x:c>
      <x:c r="F58" s="7" t="str">
        <x:v>Livrable original proposé : Planche sprites — Aéronef de combat.</x:v>
      </x:c>
      <x:c r="G58" s="7" t="str">
        <x:v>Produire une planche originale de Aéronef de combat pour le groupe 2D sur décor 3D. Séparer visage, arme et effets pour préserver les variantes d’état décrites dans la fiche de rôle.</x:v>
      </x:c>
      <x:c r="H58" s="7" t="str">
        <x:v>Le sprite ne définit pas la hitbox. Distinguer position au sol, hauteur visuelle et zone ciblable afin que les grandes silhouettes ne cachent pas les cibles voisines.</x:v>
      </x:c>
      <x:c r="I58" s="7" t="str">
        <x:v>Coque de gunship, canons et moteurs latéraux.</x:v>
      </x:c>
      <x:c r="J58" s="7" t="str">
        <x:v>Prévoir un état neutre, déplacement, préparation de l’action signature, impact reçu, mise à terre et retour en contrôle pour Aéronef de combat. Éviter la duplication miroir des signes asymétriques.</x:v>
      </x:c>
      <x:c r="K58" s="7" t="str">
        <x:v>Sans bande sonore embarquée dans la planche ; émettre uniquement des événements nommés vers le système audio pour éviter les doublons.</x:v>
      </x:c>
      <x:c r="L58" s="7" t="str">
        <x:v>Prévu : fiche de données me2/sprites/enm-gunship ; rattacher les ressources et états cités à cet identifiant. Aucun fichier de jeu créé par ce catalogue.</x:v>
      </x:c>
      <x:c r="M58" s="7" t="str"/>
      <x:c r="N58" s="7" t="str">
        <x:v>À l’échelle de jeu, Aéronef de combat est identifiable en silhouette ; pivot aux pieds, masque de profondeur et huit orientations proposés restent stables devant les couverts.</x:v>
      </x:c>
      <x:c r="O58" s="7" t="str">
        <x:v>ME2-ENM-GUNSHIP</x:v>
      </x:c>
      <x:c r="P58" s="7" t="str">
        <x:v>Adaptation originale — spécification de production</x:v>
      </x:c>
      <x:c r="Q58" s="7" t="str"/>
      <x:c r="R58" s="21" t="str"/>
      <x:c r="S58" s="21" t="str">
        <x:v>Spécification à réaliser. Les champs adaptation, gameplay, visual, animation, audio et implementation décrivent le fan game ; ils ne donnent pas des caractéristiques officielles de l’œuvre.</x:v>
      </x:c>
    </x:row>
    <x:row r="59" ht="82" customHeight="1">
      <x:c r="A59" s="18" t="str">
        <x:v>ME2-SPR-ENM-BROKER-AGENT</x:v>
      </x:c>
      <x:c r="B59" s="9" t="str">
        <x:v>Planche sprites — Shadow Broker Agent</x:v>
      </x:c>
      <x:c r="C59" s="15" t="str">
        <x:v>Défini</x:v>
      </x:c>
      <x:c r="D59" s="16" t="str">
        <x:v>Extrapolation</x:v>
      </x:c>
      <x:c r="E59" s="16" t="str">
        <x:v>P1</x:v>
      </x:c>
      <x:c r="F59" s="9" t="str">
        <x:v>Livrable original proposé : Planche sprites — Shadow Broker Agent.</x:v>
      </x:c>
      <x:c r="G59" s="9" t="str">
        <x:v>Produire une planche originale de Shadow Broker Agent pour le groupe 2D sur décor 3D. Séparer visage, arme et effets pour préserver les variantes d’état décrites dans la fiche de rôle.</x:v>
      </x:c>
      <x:c r="H59" s="9" t="str">
        <x:v>Le sprite ne définit pas la hitbox. Distinguer position au sol, hauteur visuelle et zone ciblable afin que les grandes silhouettes ne cachent pas les cibles voisines.</x:v>
      </x:c>
      <x:c r="I59" s="9" t="str">
        <x:v>Armure sombre et visière opaque.</x:v>
      </x:c>
      <x:c r="J59" s="9" t="str">
        <x:v>Prévoir un état neutre, déplacement, préparation de l’action signature, impact reçu, mise à terre et retour en contrôle pour Shadow Broker Agent. Éviter la duplication miroir des signes asymétriques.</x:v>
      </x:c>
      <x:c r="K59" s="9" t="str">
        <x:v>Sans bande sonore embarquée dans la planche ; émettre uniquement des événements nommés vers le système audio pour éviter les doublons.</x:v>
      </x:c>
      <x:c r="L59" s="9" t="str">
        <x:v>Prévu : fiche de données me2/sprites/enm-broker-agent ; rattacher les ressources et états cités à cet identifiant. Aucun fichier de jeu créé par ce catalogue.</x:v>
      </x:c>
      <x:c r="M59" s="9" t="str"/>
      <x:c r="N59" s="9" t="str">
        <x:v>À l’échelle de jeu, Shadow Broker Agent est identifiable en silhouette ; pivot aux pieds, masque de profondeur et huit orientations proposés restent stables devant les couverts.</x:v>
      </x:c>
      <x:c r="O59" s="9" t="str">
        <x:v>ME2-ENM-BROKER-AGENT</x:v>
      </x:c>
      <x:c r="P59" s="9" t="str">
        <x:v>Adaptation originale — spécification de production</x:v>
      </x:c>
      <x:c r="Q59" s="9" t="str"/>
      <x:c r="R59" s="20" t="str"/>
      <x:c r="S59" s="20" t="str">
        <x:v>Spécification à réaliser. Les champs adaptation, gameplay, visual, animation, audio et implementation décrivent le fan game ; ils ne donnent pas des caractéristiques officielles de l’œuvre.</x:v>
      </x:c>
    </x:row>
    <x:row r="60" ht="82" customHeight="1">
      <x:c r="A60" s="19" t="str">
        <x:v>ME2-SPR-ENM-BROKER-VANGUARD</x:v>
      </x:c>
      <x:c r="B60" s="7" t="str">
        <x:v>Planche sprites — Shadow Broker Vanguard</x:v>
      </x:c>
      <x:c r="C60" s="15" t="str">
        <x:v>Défini</x:v>
      </x:c>
      <x:c r="D60" s="17" t="str">
        <x:v>Extrapolation</x:v>
      </x:c>
      <x:c r="E60" s="17" t="str">
        <x:v>P1</x:v>
      </x:c>
      <x:c r="F60" s="7" t="str">
        <x:v>Livrable original proposé : Planche sprites — Shadow Broker Vanguard.</x:v>
      </x:c>
      <x:c r="G60" s="7" t="str">
        <x:v>Produire une planche originale de Shadow Broker Vanguard pour le groupe 2D sur décor 3D. Séparer visage, arme et effets pour préserver les variantes d’état décrites dans la fiche de rôle.</x:v>
      </x:c>
      <x:c r="H60" s="7" t="str">
        <x:v>Le sprite ne définit pas la hitbox. Distinguer position au sol, hauteur visuelle et zone ciblable afin que les grandes silhouettes ne cachent pas les cibles voisines.</x:v>
      </x:c>
      <x:c r="I60" s="7" t="str">
        <x:v>Armure noire et énergie bleue.</x:v>
      </x:c>
      <x:c r="J60" s="7" t="str">
        <x:v>Prévoir un état neutre, déplacement, préparation de l’action signature, impact reçu, mise à terre et retour en contrôle pour Shadow Broker Vanguard. Éviter la duplication miroir des signes asymétriques.</x:v>
      </x:c>
      <x:c r="K60" s="7" t="str">
        <x:v>Sans bande sonore embarquée dans la planche ; émettre uniquement des événements nommés vers le système audio pour éviter les doublons.</x:v>
      </x:c>
      <x:c r="L60" s="7" t="str">
        <x:v>Prévu : fiche de données me2/sprites/enm-broker-vanguard ; rattacher les ressources et états cités à cet identifiant. Aucun fichier de jeu créé par ce catalogue.</x:v>
      </x:c>
      <x:c r="M60" s="7" t="str"/>
      <x:c r="N60" s="7" t="str">
        <x:v>À l’échelle de jeu, Shadow Broker Vanguard est identifiable en silhouette ; pivot aux pieds, masque de profondeur et huit orientations proposés restent stables devant les couverts.</x:v>
      </x:c>
      <x:c r="O60" s="7" t="str">
        <x:v>ME2-ENM-BROKER-VANGUARD</x:v>
      </x:c>
      <x:c r="P60" s="7" t="str">
        <x:v>Adaptation originale — spécification de production</x:v>
      </x:c>
      <x:c r="Q60" s="7" t="str"/>
      <x:c r="R60" s="21" t="str"/>
      <x:c r="S60" s="21" t="str">
        <x:v>Spécification à réaliser. Les champs adaptation, gameplay, visual, animation, audio et implementation décrivent le fan game ; ils ne donnent pas des caractéristiques officielles de l’œuvre.</x:v>
      </x:c>
    </x:row>
    <x:row r="61" ht="82" customHeight="1">
      <x:c r="A61" s="18" t="str">
        <x:v>ME2-SPR-ENM-VASIR</x:v>
      </x:c>
      <x:c r="B61" s="9" t="str">
        <x:v>Planche sprites — Tela Vasir — boss</x:v>
      </x:c>
      <x:c r="C61" s="15" t="str">
        <x:v>Défini</x:v>
      </x:c>
      <x:c r="D61" s="16" t="str">
        <x:v>Extrapolation</x:v>
      </x:c>
      <x:c r="E61" s="16" t="str">
        <x:v>P1</x:v>
      </x:c>
      <x:c r="F61" s="9" t="str">
        <x:v>Livrable original proposé : Planche sprites — Tela Vasir — boss.</x:v>
      </x:c>
      <x:c r="G61" s="9" t="str">
        <x:v>Produire une planche originale de Tela Vasir — boss pour le groupe 2D sur décor 3D. Séparer visage, arme et effets pour préserver les variantes d’état décrites dans la fiche de rôle.</x:v>
      </x:c>
      <x:c r="H61" s="9" t="str">
        <x:v>Le sprite ne définit pas la hitbox. Distinguer position au sol, hauteur visuelle et zone ciblable afin que les grandes silhouettes ne cachent pas les cibles voisines.</x:v>
      </x:c>
      <x:c r="I61" s="9" t="str">
        <x:v>Asari en armure, traînée biotique et posture d’élan.</x:v>
      </x:c>
      <x:c r="J61" s="9" t="str">
        <x:v>Prévoir un état neutre, déplacement, préparation de l’action signature, impact reçu, mise à terre et retour en contrôle pour Tela Vasir — boss. Éviter la duplication miroir des signes asymétriques.</x:v>
      </x:c>
      <x:c r="K61" s="9" t="str">
        <x:v>Sans bande sonore embarquée dans la planche ; émettre uniquement des événements nommés vers le système audio pour éviter les doublons.</x:v>
      </x:c>
      <x:c r="L61" s="9" t="str">
        <x:v>Prévu : fiche de données me2/sprites/enm-vasir ; rattacher les ressources et états cités à cet identifiant. Aucun fichier de jeu créé par ce catalogue.</x:v>
      </x:c>
      <x:c r="M61" s="9" t="str"/>
      <x:c r="N61" s="9" t="str">
        <x:v>À l’échelle de jeu, Tela Vasir — boss est identifiable en silhouette ; pivot aux pieds, masque de profondeur et huit orientations proposés restent stables devant les couverts.</x:v>
      </x:c>
      <x:c r="O61" s="9" t="str">
        <x:v>ME2-ENM-VASIR</x:v>
      </x:c>
      <x:c r="P61" s="9" t="str">
        <x:v>Adaptation originale — spécification de production</x:v>
      </x:c>
      <x:c r="Q61" s="9" t="str"/>
      <x:c r="R61" s="20" t="str"/>
      <x:c r="S61" s="20" t="str">
        <x:v>Spécification à réaliser. Les champs adaptation, gameplay, visual, animation, audio et implementation décrivent le fan game ; ils ne donnent pas des caractéristiques officielles de l’œuvre.</x:v>
      </x:c>
    </x:row>
    <x:row r="62" ht="82" customHeight="1">
      <x:c r="A62" s="19" t="str">
        <x:v>ME2-SPR-ENM-BROKER</x:v>
      </x:c>
      <x:c r="B62" s="7" t="str">
        <x:v>Planche sprites — Courtier de l’Ombre — yahg</x:v>
      </x:c>
      <x:c r="C62" s="15" t="str">
        <x:v>Défini</x:v>
      </x:c>
      <x:c r="D62" s="17" t="str">
        <x:v>Extrapolation</x:v>
      </x:c>
      <x:c r="E62" s="17" t="str">
        <x:v>P1</x:v>
      </x:c>
      <x:c r="F62" s="7" t="str">
        <x:v>Livrable original proposé : Planche sprites — Courtier de l’Ombre — yahg.</x:v>
      </x:c>
      <x:c r="G62" s="7" t="str">
        <x:v>Produire une planche originale de Courtier de l’Ombre — yahg pour le groupe 2D sur décor 3D. Séparer visage, arme et effets pour préserver les variantes d’état décrites dans la fiche de rôle.</x:v>
      </x:c>
      <x:c r="H62" s="7" t="str">
        <x:v>Le sprite ne définit pas la hitbox. Distinguer position au sol, hauteur visuelle et zone ciblable afin que les grandes silhouettes ne cachent pas les cibles voisines.</x:v>
      </x:c>
      <x:c r="I62" s="7" t="str">
        <x:v>Yahg massif, yeux multiples et bouclier de grande taille.</x:v>
      </x:c>
      <x:c r="J62" s="7" t="str">
        <x:v>Prévoir un état neutre, déplacement, préparation de l’action signature, impact reçu, mise à terre et retour en contrôle pour Courtier de l’Ombre — yahg. Éviter la duplication miroir des signes asymétriques.</x:v>
      </x:c>
      <x:c r="K62" s="7" t="str">
        <x:v>Sans bande sonore embarquée dans la planche ; émettre uniquement des événements nommés vers le système audio pour éviter les doublons.</x:v>
      </x:c>
      <x:c r="L62" s="7" t="str">
        <x:v>Prévu : fiche de données me2/sprites/enm-broker ; rattacher les ressources et états cités à cet identifiant. Aucun fichier de jeu créé par ce catalogue.</x:v>
      </x:c>
      <x:c r="M62" s="7" t="str"/>
      <x:c r="N62" s="7" t="str">
        <x:v>À l’échelle de jeu, Courtier de l’Ombre — yahg est identifiable en silhouette ; pivot aux pieds, masque de profondeur et huit orientations proposés restent stables devant les couverts.</x:v>
      </x:c>
      <x:c r="O62" s="7" t="str">
        <x:v>ME2-ENM-BROKER</x:v>
      </x:c>
      <x:c r="P62" s="7" t="str">
        <x:v>Adaptation originale — spécification de production</x:v>
      </x:c>
      <x:c r="Q62" s="7" t="str"/>
      <x:c r="R62" s="21" t="str"/>
      <x:c r="S62" s="21" t="str">
        <x:v>Spécification à réaliser. Les champs adaptation, gameplay, visual, animation, audio et implementation décrivent le fan game ; ils ne donnent pas des caractéristiques officielles de l’œuvre.</x:v>
      </x:c>
    </x:row>
    <x:row r="63" ht="82" customHeight="1">
      <x:c r="A63" s="18" t="str">
        <x:v>ME2-SPR-ENM-OVERLORD</x:v>
      </x:c>
      <x:c r="B63" s="9" t="str">
        <x:v>Planche sprites — Dispositif VI Overlord</x:v>
      </x:c>
      <x:c r="C63" s="15" t="str">
        <x:v>Défini</x:v>
      </x:c>
      <x:c r="D63" s="16" t="str">
        <x:v>Extrapolation</x:v>
      </x:c>
      <x:c r="E63" s="16" t="str">
        <x:v>P1</x:v>
      </x:c>
      <x:c r="F63" s="9" t="str">
        <x:v>Livrable original proposé : Planche sprites — Dispositif VI Overlord.</x:v>
      </x:c>
      <x:c r="G63" s="9" t="str">
        <x:v>Produire une planche originale de Dispositif VI Overlord pour le groupe 2D sur décor 3D. Séparer visage, arme et effets pour préserver les variantes d’état décrites dans la fiche de rôle.</x:v>
      </x:c>
      <x:c r="H63" s="9" t="str">
        <x:v>Le sprite ne définit pas la hitbox. Distinguer position au sol, hauteur visuelle et zone ciblable afin que les grandes silhouettes ne cachent pas les cibles voisines.</x:v>
      </x:c>
      <x:c r="I63" s="9" t="str">
        <x:v>Visage numérique vert et câbles de laboratoire.</x:v>
      </x:c>
      <x:c r="J63" s="9" t="str">
        <x:v>Prévoir un état neutre, déplacement, préparation de l’action signature, impact reçu, mise à terre et retour en contrôle pour Dispositif VI Overlord. Éviter la duplication miroir des signes asymétriques.</x:v>
      </x:c>
      <x:c r="K63" s="9" t="str">
        <x:v>Sans bande sonore embarquée dans la planche ; émettre uniquement des événements nommés vers le système audio pour éviter les doublons.</x:v>
      </x:c>
      <x:c r="L63" s="9" t="str">
        <x:v>Prévu : fiche de données me2/sprites/enm-overlord ; rattacher les ressources et états cités à cet identifiant. Aucun fichier de jeu créé par ce catalogue.</x:v>
      </x:c>
      <x:c r="M63" s="9" t="str"/>
      <x:c r="N63" s="9" t="str">
        <x:v>À l’échelle de jeu, Dispositif VI Overlord est identifiable en silhouette ; pivot aux pieds, masque de profondeur et huit orientations proposés restent stables devant les couverts.</x:v>
      </x:c>
      <x:c r="O63" s="9" t="str">
        <x:v>ME2-ENM-OVERLORD</x:v>
      </x:c>
      <x:c r="P63" s="9" t="str">
        <x:v>Adaptation originale — spécification de production</x:v>
      </x:c>
      <x:c r="Q63" s="9" t="str"/>
      <x:c r="R63" s="20" t="str"/>
      <x:c r="S63" s="20" t="str">
        <x:v>Spécification à réaliser. Les champs adaptation, gameplay, visual, animation, audio et implementation décrivent le fan game ; ils ne donnent pas des caractéristiques officielles de l’œuvre.</x:v>
      </x:c>
    </x:row>
    <x:row r="64" ht="68" customHeight="1">
      <x:c r="A64" s="19" t="str">
        <x:v>ME2-SPR-ENM-PROJECT-GUARD</x:v>
      </x:c>
      <x:c r="B64" s="7" t="str">
        <x:v>Planche sprites — Project Guard</x:v>
      </x:c>
      <x:c r="C64" s="15" t="str">
        <x:v>Défini</x:v>
      </x:c>
      <x:c r="D64" s="17" t="str">
        <x:v>Extrapolation</x:v>
      </x:c>
      <x:c r="E64" s="17" t="str">
        <x:v>P1</x:v>
      </x:c>
      <x:c r="F64" s="7" t="str">
        <x:v>Livrable original proposé : Planche sprites — Project Guard.</x:v>
      </x:c>
      <x:c r="G64" s="7" t="str">
        <x:v>Produire une planche originale de Project Guard pour le groupe 2D sur décor 3D. Séparer visage, arme et effets pour préserver les variantes d’état décrites dans la fiche de rôle.</x:v>
      </x:c>
      <x:c r="H64" s="7" t="str">
        <x:v>Le sprite ne définit pas la hitbox. Distinguer position au sol, hauteur visuelle et zone ciblable afin que les grandes silhouettes ne cachent pas les cibles voisines.</x:v>
      </x:c>
      <x:c r="I64" s="7" t="str">
        <x:v>Tenue technique et arme Cerberus.</x:v>
      </x:c>
      <x:c r="J64" s="7" t="str">
        <x:v>Prévoir un état neutre, déplacement, préparation de l’action signature, impact reçu, mise à terre et retour en contrôle pour Project Guard. Éviter la duplication miroir des signes asymétriques.</x:v>
      </x:c>
      <x:c r="K64" s="7" t="str">
        <x:v>Sans bande sonore embarquée dans la planche ; émettre uniquement des événements nommés vers le système audio pour éviter les doublons.</x:v>
      </x:c>
      <x:c r="L64" s="7" t="str">
        <x:v>Prévu : fiche de données me2/sprites/enm-project-guard ; rattacher les ressources et états cités à cet identifiant. Aucun fichier de jeu créé par ce catalogue.</x:v>
      </x:c>
      <x:c r="M64" s="7" t="str"/>
      <x:c r="N64" s="7" t="str">
        <x:v>À l’échelle de jeu, Project Guard est identifiable en silhouette ; pivot aux pieds, masque de profondeur et huit orientations proposés restent stables devant les couverts.</x:v>
      </x:c>
      <x:c r="O64" s="7" t="str">
        <x:v>ME2-ENM-PROJECT-GUARD</x:v>
      </x:c>
      <x:c r="P64" s="7" t="str">
        <x:v>Adaptation originale — spécification de production</x:v>
      </x:c>
      <x:c r="Q64" s="7" t="str"/>
      <x:c r="R64" s="21" t="str"/>
      <x:c r="S64" s="21" t="str">
        <x:v>Spécification à réaliser. Les champs adaptation, gameplay, visual, animation, audio et implementation décrivent le fan game ; ils ne donnent pas des caractéristiques officielles de l’œuvre.</x:v>
      </x:c>
    </x:row>
    <x:row r="65" ht="68" customHeight="1">
      <x:c r="A65" s="18" t="str">
        <x:v>ME2-SPR-ENM-PROJECT-PYRO</x:v>
      </x:c>
      <x:c r="B65" s="9" t="str">
        <x:v>Planche sprites — Project Pyro</x:v>
      </x:c>
      <x:c r="C65" s="15" t="str">
        <x:v>Défini</x:v>
      </x:c>
      <x:c r="D65" s="16" t="str">
        <x:v>Extrapolation</x:v>
      </x:c>
      <x:c r="E65" s="16" t="str">
        <x:v>P1</x:v>
      </x:c>
      <x:c r="F65" s="9" t="str">
        <x:v>Livrable original proposé : Planche sprites — Project Pyro.</x:v>
      </x:c>
      <x:c r="G65" s="9" t="str">
        <x:v>Produire une planche originale de Project Pyro pour le groupe 2D sur décor 3D. Séparer visage, arme et effets pour préserver les variantes d’état décrites dans la fiche de rôle.</x:v>
      </x:c>
      <x:c r="H65" s="9" t="str">
        <x:v>Le sprite ne définit pas la hitbox. Distinguer position au sol, hauteur visuelle et zone ciblable afin que les grandes silhouettes ne cachent pas les cibles voisines.</x:v>
      </x:c>
      <x:c r="I65" s="9" t="str">
        <x:v>Tenue de projet, réservoir et flammes.</x:v>
      </x:c>
      <x:c r="J65" s="9" t="str">
        <x:v>Prévoir un état neutre, déplacement, préparation de l’action signature, impact reçu, mise à terre et retour en contrôle pour Project Pyro. Éviter la duplication miroir des signes asymétriques.</x:v>
      </x:c>
      <x:c r="K65" s="9" t="str">
        <x:v>Sans bande sonore embarquée dans la planche ; émettre uniquement des événements nommés vers le système audio pour éviter les doublons.</x:v>
      </x:c>
      <x:c r="L65" s="9" t="str">
        <x:v>Prévu : fiche de données me2/sprites/enm-project-pyro ; rattacher les ressources et états cités à cet identifiant. Aucun fichier de jeu créé par ce catalogue.</x:v>
      </x:c>
      <x:c r="M65" s="9" t="str"/>
      <x:c r="N65" s="9" t="str">
        <x:v>À l’échelle de jeu, Project Pyro est identifiable en silhouette ; pivot aux pieds, masque de profondeur et huit orientations proposés restent stables devant les couverts.</x:v>
      </x:c>
      <x:c r="O65" s="9" t="str">
        <x:v>ME2-ENM-PROJECT-PYRO</x:v>
      </x:c>
      <x:c r="P65" s="9" t="str">
        <x:v>Adaptation originale — spécification de production</x:v>
      </x:c>
      <x:c r="Q65" s="9" t="str"/>
      <x:c r="R65" s="20" t="str"/>
      <x:c r="S65" s="20" t="str">
        <x:v>Spécification à réaliser. Les champs adaptation, gameplay, visual, animation, audio et implementation décrivent le fan game ; ils ne donnent pas des caractéristiques officielles de l’œuvre.</x:v>
      </x:c>
    </x:row>
    <x:row r="66" ht="68" customHeight="1">
      <x:c r="A66" s="19" t="str">
        <x:v>ME2-SPR-ENM-PRISON-GUARD</x:v>
      </x:c>
      <x:c r="B66" s="7" t="str">
        <x:v>Planche sprites — Prison Guard</x:v>
      </x:c>
      <x:c r="C66" s="15" t="str">
        <x:v>Défini</x:v>
      </x:c>
      <x:c r="D66" s="17" t="str">
        <x:v>Extrapolation</x:v>
      </x:c>
      <x:c r="E66" s="17" t="str">
        <x:v>P1</x:v>
      </x:c>
      <x:c r="F66" s="7" t="str">
        <x:v>Livrable original proposé : Planche sprites — Prison Guard.</x:v>
      </x:c>
      <x:c r="G66" s="7" t="str">
        <x:v>Produire une planche originale de Prison Guard pour le groupe 2D sur décor 3D. Séparer visage, arme et effets pour préserver les variantes d’état décrites dans la fiche de rôle.</x:v>
      </x:c>
      <x:c r="H66" s="7" t="str">
        <x:v>Le sprite ne définit pas la hitbox. Distinguer position au sol, hauteur visuelle et zone ciblable afin que les grandes silhouettes ne cachent pas les cibles voisines.</x:v>
      </x:c>
      <x:c r="I66" s="7" t="str">
        <x:v>Batarien armé dans la prison.</x:v>
      </x:c>
      <x:c r="J66" s="7" t="str">
        <x:v>Prévoir un état neutre, déplacement, préparation de l’action signature, impact reçu, mise à terre et retour en contrôle pour Prison Guard. Éviter la duplication miroir des signes asymétriques.</x:v>
      </x:c>
      <x:c r="K66" s="7" t="str">
        <x:v>Sans bande sonore embarquée dans la planche ; émettre uniquement des événements nommés vers le système audio pour éviter les doublons.</x:v>
      </x:c>
      <x:c r="L66" s="7" t="str">
        <x:v>Prévu : fiche de données me2/sprites/enm-prison-guard ; rattacher les ressources et états cités à cet identifiant. Aucun fichier de jeu créé par ce catalogue.</x:v>
      </x:c>
      <x:c r="M66" s="7" t="str"/>
      <x:c r="N66" s="7" t="str">
        <x:v>À l’échelle de jeu, Prison Guard est identifiable en silhouette ; pivot aux pieds, masque de profondeur et huit orientations proposés restent stables devant les couverts.</x:v>
      </x:c>
      <x:c r="O66" s="7" t="str">
        <x:v>ME2-ENM-PRISON-GUARD</x:v>
      </x:c>
      <x:c r="P66" s="7" t="str">
        <x:v>Adaptation originale — spécification de production</x:v>
      </x:c>
      <x:c r="Q66" s="7" t="str"/>
      <x:c r="R66" s="21" t="str"/>
      <x:c r="S66" s="21" t="str">
        <x:v>Spécification à réaliser. Les champs adaptation, gameplay, visual, animation, audio et implementation décrivent le fan game ; ils ne donnent pas des caractéristiques officielles de l’œuvre.</x:v>
      </x:c>
    </x:row>
  </x:sheetData>
  <x:conditionalFormatting sqref="D7:D66">
    <x:cfRule type="cellIs" dxfId="80" priority="1" operator="equal">
      <x:formula>"À vérifier"</x:formula>
    </x:cfRule>
    <x:cfRule type="cellIs" dxfId="81" priority="2" operator="equal">
      <x:formula>"Extrapolation"</x:formula>
    </x:cfRule>
  </x:conditionalFormatting>
  <x:conditionalFormatting sqref="C7:C66">
    <x:cfRule type="cellIs" dxfId="82" priority="3" operator="equal">
      <x:formula>"Validé"</x:formula>
    </x:cfRule>
  </x:conditionalFormatting>
  <x:conditionalFormatting sqref="E7:E66">
    <x:cfRule type="cellIs" dxfId="83" priority="4" operator="equal">
      <x:formula>"P0"</x:formula>
    </x:cfRule>
  </x:conditionalFormatting>
  <x:dataValidations count="3">
    <x:dataValidation type="list" sqref="C7:C66">
      <x:formula1>"Défini,Prototype,Intégré,Validé"</x:formula1>
    </x:dataValidation>
    <x:dataValidation type="list" sqref="D7:D66">
      <x:formula1>"Établi,À vérifier,Extrapolation,Coupé attesté,Concept abandonné,Allégation écartée"</x:formula1>
    </x:dataValidation>
    <x:dataValidation type="list" sqref="E7:E66">
      <x:formula1>"P0,P1,P2"</x:formula1>
    </x:dataValidation>
  </x:dataValidations>
  <x:pageMargins left="0.7" right="0.7" top="0.75" bottom="0.75" header="0.3" footer="0.3"/>
  <x:tableParts count="1">
    <x:tablePart xmlns:r="http://schemas.openxmlformats.org/officeDocument/2006/relationships" r:id="R6e3d6ac919c54cc3"/>
  </x:tableParts>
</x:worksheet>
</file>

<file path=xl/worksheets/sheet2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VFX</x:v>
      </x:c>
      <x:c r="B2" s="2"/>
      <x:c r="C2" s="2"/>
      <x:c r="D2" s="2"/>
      <x:c r="E2" s="2"/>
      <x:c r="F2" s="2"/>
      <x:c r="G2" s="2"/>
      <x:c r="H2" s="2"/>
      <x:c r="I2" s="2"/>
      <x:c r="J2" s="2"/>
      <x:c r="K2" s="2"/>
      <x:c r="L2" s="2"/>
      <x:c r="M2" s="2"/>
      <x:c r="N2" s="2"/>
      <x:c r="O2" s="2"/>
      <x:c r="P2" s="2"/>
      <x:c r="Q2" s="2"/>
      <x:c r="R2" s="2"/>
      <x:c r="S2" s="2"/>
    </x:row>
    <x:row r="3" ht="22" customHeight="1">
      <x:c r="A3" s="4" t="str">
        <x:v>Mass Effect 2 — Effets visuels et lisibilité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ME2-VFX-SHIELD</x:v>
      </x:c>
      <x:c r="B7" s="9" t="str">
        <x:v>Rupture de bouclier</x:v>
      </x:c>
      <x:c r="C7" s="15" t="str">
        <x:v>Défini</x:v>
      </x:c>
      <x:c r="D7" s="16" t="str">
        <x:v>Extrapolation</x:v>
      </x:c>
      <x:c r="E7" s="16" t="str">
        <x:v>P1</x:v>
      </x:c>
      <x:c r="F7" s="9" t="str">
        <x:v>Livrable original proposé : Rupture de bouclier.</x:v>
      </x:c>
      <x:c r="G7" s="9" t="str">
        <x:v>Décharge bleue courte avec pictogramme ; pas de flash plein écran obligatoire.</x:v>
      </x:c>
      <x:c r="H7" s="9" t="str">
        <x:v>Décharge bleue courte avec pictogramme ; pas de flash plein écran obligatoire.</x:v>
      </x:c>
      <x:c r="I7" s="9" t="str">
        <x:v>Contour et éclats directionnels.</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me2/vfx/shield ; rattacher les ressources et états cités à cet identifiant. Aucun fichier de jeu créé par ce catalogue.</x:v>
      </x:c>
      <x:c r="M7" s="9" t="str"/>
      <x:c r="N7" s="9" t="str">
        <x:v>Le livrable « Rupture de bouclier » possède une scène ou un scénario de contrôle ; ses règles proposées, ses conditions et ses retours visuels sont vérifiables séparément.</x:v>
      </x:c>
      <x:c r="O7" s="9" t="str">
        <x:v>ME2-POW-OVERLOAD</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ME2-VFX-BARRIER</x:v>
      </x:c>
      <x:c r="B8" s="7" t="str">
        <x:v>Rupture de barrière</x:v>
      </x:c>
      <x:c r="C8" s="15" t="str">
        <x:v>Défini</x:v>
      </x:c>
      <x:c r="D8" s="17" t="str">
        <x:v>Extrapolation</x:v>
      </x:c>
      <x:c r="E8" s="17" t="str">
        <x:v>P1</x:v>
      </x:c>
      <x:c r="F8" s="7" t="str">
        <x:v>Livrable original proposé : Rupture de barrière.</x:v>
      </x:c>
      <x:c r="G8" s="7" t="str">
        <x:v>Effet violet en fragments souples distinct du bouclier technique ; texture et forme doublent la couleur.</x:v>
      </x:c>
      <x:c r="H8" s="7" t="str">
        <x:v>Effet violet en fragments souples distinct du bouclier technique ; texture et forme doublent la couleur.</x:v>
      </x:c>
      <x:c r="I8" s="7" t="str">
        <x:v>Arc brisé et icône biotique.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me2/vfx/barrier ; rattacher les ressources et états cités à cet identifiant. Aucun fichier de jeu créé par ce catalogue.</x:v>
      </x:c>
      <x:c r="M8" s="7" t="str"/>
      <x:c r="N8" s="7" t="str">
        <x:v>Le livrable « Rupture de barrière » possède une scène ou un scénario de contrôle ; ses règles proposées, ses conditions et ses retours visuels sont vérifiables séparément.</x:v>
      </x:c>
      <x:c r="O8" s="7" t="str">
        <x:v>ME2-POW-WARP</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ME2-VFX-ARMOR</x:v>
      </x:c>
      <x:c r="B9" s="9" t="str">
        <x:v>Impact sur armure</x:v>
      </x:c>
      <x:c r="C9" s="15" t="str">
        <x:v>Défini</x:v>
      </x:c>
      <x:c r="D9" s="16" t="str">
        <x:v>Extrapolation</x:v>
      </x:c>
      <x:c r="E9" s="16" t="str">
        <x:v>P1</x:v>
      </x:c>
      <x:c r="F9" s="9" t="str">
        <x:v>Livrable original proposé : Impact sur armure.</x:v>
      </x:c>
      <x:c r="G9" s="9" t="str">
        <x:v>Étincelles localisées et marque de plaque ; la protection reste visible sans gore.</x:v>
      </x:c>
      <x:c r="H9" s="9" t="str">
        <x:v>Étincelles localisées et marque de plaque ; la protection reste visible sans gore.</x:v>
      </x:c>
      <x:c r="I9" s="9" t="str">
        <x:v>Petits impacts jaunes et plaque striée.</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me2/vfx/armor ; rattacher les ressources et états cités à cet identifiant. Aucun fichier de jeu créé par ce catalogue.</x:v>
      </x:c>
      <x:c r="M9" s="9" t="str"/>
      <x:c r="N9" s="9" t="str">
        <x:v>Le livrable « Impact sur armure » possède une scène ou un scénario de contrôle ; ses règles proposées, ses conditions et ses retours visuels sont vérifiables séparément.</x:v>
      </x:c>
      <x:c r="O9" s="9" t="str">
        <x:v>ME2-POW-INCINERATE</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ME2-VFX-WARP-COMBO</x:v>
      </x:c>
      <x:c r="B10" s="7" t="str">
        <x:v>Détonation biotique proposée</x:v>
      </x:c>
      <x:c r="C10" s="15" t="str">
        <x:v>Défini</x:v>
      </x:c>
      <x:c r="D10" s="17" t="str">
        <x:v>Extrapolation</x:v>
      </x:c>
      <x:c r="E10" s="17" t="str">
        <x:v>P1</x:v>
      </x:c>
      <x:c r="F10" s="7" t="str">
        <x:v>Livrable original proposé : Détonation biotique proposée.</x:v>
      </x:c>
      <x:c r="G10" s="7" t="str">
        <x:v>Anneau borné et lecture de l’origine ; ne pas masquer le retour d’ennemis prêts à agir.</x:v>
      </x:c>
      <x:c r="H10" s="7" t="str">
        <x:v>Anneau borné et lecture de l’origine ; ne pas masquer le retour d’ennemis prêts à agir.</x:v>
      </x:c>
      <x:c r="I10" s="7" t="str">
        <x:v>Violet/bleu, centre sombre.</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me2/vfx/warp-combo ; rattacher les ressources et états cités à cet identifiant. Aucun fichier de jeu créé par ce catalogue.</x:v>
      </x:c>
      <x:c r="M10" s="7" t="str"/>
      <x:c r="N10" s="7" t="str">
        <x:v>Le livrable « Détonation biotique proposée » possède une scène ou un scénario de contrôle ; ses règles proposées, ses conditions et ses retours visuels sont vérifiables séparément.</x:v>
      </x:c>
      <x:c r="O10" s="7" t="str">
        <x:v>ME2-POW-WARP, ME2-POW-PULL</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ME2-VFX-CRYO</x:v>
      </x:c>
      <x:c r="B11" s="9" t="str">
        <x:v>Gel et dégel</x:v>
      </x:c>
      <x:c r="C11" s="15" t="str">
        <x:v>Défini</x:v>
      </x:c>
      <x:c r="D11" s="16" t="str">
        <x:v>Extrapolation</x:v>
      </x:c>
      <x:c r="E11" s="16" t="str">
        <x:v>P1</x:v>
      </x:c>
      <x:c r="F11" s="9" t="str">
        <x:v>Livrable original proposé : Gel et dégel.</x:v>
      </x:c>
      <x:c r="G11" s="9" t="str">
        <x:v>Givre progressif sur le contour, fissure à la fin ; bosses utilisent une variante de ralentissement.</x:v>
      </x:c>
      <x:c r="H11" s="9" t="str">
        <x:v>Givre progressif sur le contour, fissure à la fin ; bosses utilisent une variante de ralentissement.</x:v>
      </x:c>
      <x:c r="I11" s="9" t="str">
        <x:v>Blanc opaque en bord et cœur visible.</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me2/vfx/cryo ; rattacher les ressources et états cités à cet identifiant. Aucun fichier de jeu créé par ce catalogue.</x:v>
      </x:c>
      <x:c r="M11" s="9" t="str"/>
      <x:c r="N11" s="9" t="str">
        <x:v>Le livrable « Gel et dégel » possède une scène ou un scénario de contrôle ; ses règles proposées, ses conditions et ses retours visuels sont vérifiables séparément.</x:v>
      </x:c>
      <x:c r="O11" s="9" t="str">
        <x:v>ME2-POW-CRYO</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ME2-VFX-FIRE</x:v>
      </x:c>
      <x:c r="B12" s="7" t="str">
        <x:v>Combustion persistante</x:v>
      </x:c>
      <x:c r="C12" s="15" t="str">
        <x:v>Défini</x:v>
      </x:c>
      <x:c r="D12" s="17" t="str">
        <x:v>Extrapolation</x:v>
      </x:c>
      <x:c r="E12" s="17" t="str">
        <x:v>P1</x:v>
      </x:c>
      <x:c r="F12" s="7" t="str">
        <x:v>Livrable original proposé : Combustion persistante.</x:v>
      </x:c>
      <x:c r="G12" s="7" t="str">
        <x:v>Flammes limitées au contour et icône de durée ; pas de confusion avec une mort de personnage.</x:v>
      </x:c>
      <x:c r="H12" s="7" t="str">
        <x:v>Flammes limitées au contour et icône de durée ; pas de confusion avec une mort de personnage.</x:v>
      </x:c>
      <x:c r="I12" s="7" t="str">
        <x:v>Orange et braises petites.</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me2/vfx/fire ; rattacher les ressources et états cités à cet identifiant. Aucun fichier de jeu créé par ce catalogue.</x:v>
      </x:c>
      <x:c r="M12" s="7" t="str"/>
      <x:c r="N12" s="7" t="str">
        <x:v>Le livrable « Combustion persistante » possède une scène ou un scénario de contrôle ; ses règles proposées, ses conditions et ses retours visuels sont vérifiables séparément.</x:v>
      </x:c>
      <x:c r="O12" s="7" t="str">
        <x:v>ME2-POW-INCINERATE</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ME2-VFX-CLOAK</x:v>
      </x:c>
      <x:c r="B13" s="9" t="str">
        <x:v>Camouflage accessible</x:v>
      </x:c>
      <x:c r="C13" s="15" t="str">
        <x:v>Défini</x:v>
      </x:c>
      <x:c r="D13" s="16" t="str">
        <x:v>Extrapolation</x:v>
      </x:c>
      <x:c r="E13" s="16" t="str">
        <x:v>P1</x:v>
      </x:c>
      <x:c r="F13" s="9" t="str">
        <x:v>Livrable original proposé : Camouflage accessible.</x:v>
      </x:c>
      <x:c r="G13" s="9" t="str">
        <x:v>Réfraction accompagnée d’un bord réglable pour le joueur ; silhouette ennemie perceptible par indice de mouvement.</x:v>
      </x:c>
      <x:c r="H13" s="9" t="str">
        <x:v>Réfraction accompagnée d’un bord réglable pour le joueur ; silhouette ennemie perceptible par indice de mouvement.</x:v>
      </x:c>
      <x:c r="I13" s="9" t="str">
        <x:v>Contour discontinu et distorsion légère.</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me2/vfx/cloak ; rattacher les ressources et états cités à cet identifiant. Aucun fichier de jeu créé par ce catalogue.</x:v>
      </x:c>
      <x:c r="M13" s="9" t="str"/>
      <x:c r="N13" s="9" t="str">
        <x:v>Le livrable « Camouflage accessible » possède une scène ou un scénario de contrôle ; ses règles proposées, ses conditions et ses retours visuels sont vérifiables séparément.</x:v>
      </x:c>
      <x:c r="O13" s="9" t="str">
        <x:v>ME2-POW-TACTICAL, ME2-ENM-GETH-HUNTER</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ME2-VFX-SEEKER</x:v>
      </x:c>
      <x:c r="B14" s="7" t="str">
        <x:v>Essaim de Seeker</x:v>
      </x:c>
      <x:c r="C14" s="15" t="str">
        <x:v>Défini</x:v>
      </x:c>
      <x:c r="D14" s="17" t="str">
        <x:v>Extrapolation</x:v>
      </x:c>
      <x:c r="E14" s="17" t="str">
        <x:v>P1</x:v>
      </x:c>
      <x:c r="F14" s="7" t="str">
        <x:v>Livrable original proposé : Essaim de Seeker.</x:v>
      </x:c>
      <x:c r="G14" s="7" t="str">
        <x:v>Nuage à densité plafonnée et masque de visibilité ; dôme protecteur garde toujours son bord visible.</x:v>
      </x:c>
      <x:c r="H14" s="7" t="str">
        <x:v>Nuage à densité plafonnée et masque de visibilité ; dôme protecteur garde toujours son bord visible.</x:v>
      </x:c>
      <x:c r="I14" s="7" t="str">
        <x:v>Insectes en particules regroupées.</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me2/vfx/seeker ; rattacher les ressources et états cités à cet identifiant. Aucun fichier de jeu créé par ce catalogue.</x:v>
      </x:c>
      <x:c r="M14" s="7" t="str"/>
      <x:c r="N14" s="7" t="str">
        <x:v>Le livrable « Essaim de Seeker » possède une scène ou un scénario de contrôle ; ses règles proposées, ses conditions et ses retours visuels sont vérifiables séparément.</x:v>
      </x:c>
      <x:c r="O14" s="7" t="str">
        <x:v>ME2-MQ-LONG-WALK</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ME2-VFX-HAESTROM</x:v>
      </x:c>
      <x:c r="B15" s="9" t="str">
        <x:v>Radiation solaire</x:v>
      </x:c>
      <x:c r="C15" s="15" t="str">
        <x:v>Défini</x:v>
      </x:c>
      <x:c r="D15" s="16" t="str">
        <x:v>Extrapolation</x:v>
      </x:c>
      <x:c r="E15" s="16" t="str">
        <x:v>P1</x:v>
      </x:c>
      <x:c r="F15" s="9" t="str">
        <x:v>Livrable original proposé : Radiation solaire.</x:v>
      </x:c>
      <x:c r="G15" s="9" t="str">
        <x:v>Liseré chaud sur personnage exposé et icône de bouclier en baisse ; ombre reste une forme stable.</x:v>
      </x:c>
      <x:c r="H15" s="9" t="str">
        <x:v>Liseré chaud sur personnage exposé et icône de bouclier en baisse ; ombre reste une forme stable.</x:v>
      </x:c>
      <x:c r="I15" s="9" t="str">
        <x:v>Orange discret et pictogramme soleil.</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me2/vfx/haestrom ; rattacher les ressources et états cités à cet identifiant. Aucun fichier de jeu créé par ce catalogue.</x:v>
      </x:c>
      <x:c r="M15" s="9" t="str"/>
      <x:c r="N15" s="9" t="str">
        <x:v>Le livrable « Radiation solaire » possède une scène ou un scénario de contrôle ; ses règles proposées, ses conditions et ses retours visuels sont vérifiables séparément.</x:v>
      </x:c>
      <x:c r="O15" s="9" t="str">
        <x:v>ME2-WRL-HAESTROM</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ME2-VFX-HAGALAZ</x:v>
      </x:c>
      <x:c r="B16" s="7" t="str">
        <x:v>Éclairs d’Hagalaz</x:v>
      </x:c>
      <x:c r="C16" s="15" t="str">
        <x:v>Défini</x:v>
      </x:c>
      <x:c r="D16" s="17" t="str">
        <x:v>Extrapolation</x:v>
      </x:c>
      <x:c r="E16" s="17" t="str">
        <x:v>P1</x:v>
      </x:c>
      <x:c r="F16" s="7" t="str">
        <x:v>Livrable original proposé : Éclairs d’Hagalaz.</x:v>
      </x:c>
      <x:c r="G16" s="7" t="str">
        <x:v>Impulsions météo séparées des attaques ; mode sans flash garde les repères de condensateurs.</x:v>
      </x:c>
      <x:c r="H16" s="7" t="str">
        <x:v>Impulsions météo séparées des attaques ; mode sans flash garde les repères de condensateurs.</x:v>
      </x:c>
      <x:c r="I16" s="7" t="str">
        <x:v>Éclair en arrière-plan et halo de charge.</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me2/vfx/hagalaz ; rattacher les ressources et états cités à cet identifiant. Aucun fichier de jeu créé par ce catalogue.</x:v>
      </x:c>
      <x:c r="M16" s="7" t="str"/>
      <x:c r="N16" s="7" t="str">
        <x:v>Le livrable « Éclairs d’Hagalaz » possède une scène ou un scénario de contrôle ; ses règles proposées, ses conditions et ses retours visuels sont vérifiables séparément.</x:v>
      </x:c>
      <x:c r="O16" s="7" t="str">
        <x:v>ME2-WRL-HAGALAZ</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ME2-VFX-OVERLORD</x:v>
      </x:c>
      <x:c r="B17" s="9" t="str">
        <x:v>Interférence verte Overlord</x:v>
      </x:c>
      <x:c r="C17" s="15" t="str">
        <x:v>Défini</x:v>
      </x:c>
      <x:c r="D17" s="16" t="str">
        <x:v>Extrapolation</x:v>
      </x:c>
      <x:c r="E17" s="16" t="str">
        <x:v>P1</x:v>
      </x:c>
      <x:c r="F17" s="9" t="str">
        <x:v>Livrable original proposé : Interférence verte Overlord.</x:v>
      </x:c>
      <x:c r="G17" s="9" t="str">
        <x:v>Déformation d’écran limitée à certaines surfaces ; informations essentielles restent nettes.</x:v>
      </x:c>
      <x:c r="H17" s="9" t="str">
        <x:v>Déformation d’écran limitée à certaines surfaces ; informations essentielles restent nettes.</x:v>
      </x:c>
      <x:c r="I17" s="9" t="str">
        <x:v>Grille et visage morcelé.</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me2/vfx/overlord ; rattacher les ressources et états cités à cet identifiant. Aucun fichier de jeu créé par ce catalogue.</x:v>
      </x:c>
      <x:c r="M17" s="9" t="str"/>
      <x:c r="N17" s="9" t="str">
        <x:v>Le livrable « Interférence verte Overlord » possède une scène ou un scénario de contrôle ; ses règles proposées, ses conditions et ses retours visuels sont vérifiables séparément.</x:v>
      </x:c>
      <x:c r="O17" s="9" t="str">
        <x:v>ME2-ZON-ATLAS-VR</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ME2-VFX-CAIN</x:v>
      </x:c>
      <x:c r="B18" s="7" t="str">
        <x:v>Explosion du Cain</x:v>
      </x:c>
      <x:c r="C18" s="15" t="str">
        <x:v>Défini</x:v>
      </x:c>
      <x:c r="D18" s="17" t="str">
        <x:v>Extrapolation</x:v>
      </x:c>
      <x:c r="E18" s="17" t="str">
        <x:v>P1</x:v>
      </x:c>
      <x:c r="F18" s="7" t="str">
        <x:v>Livrable original proposé : Explosion du Cain.</x:v>
      </x:c>
      <x:c r="G18" s="7" t="str">
        <x:v>Zone prévisualisée puis choc en couches ; intensité et secousse réglables.</x:v>
      </x:c>
      <x:c r="H18" s="7" t="str">
        <x:v>Zone prévisualisée puis choc en couches ; intensité et secousse réglables.</x:v>
      </x:c>
      <x:c r="I18" s="7" t="str">
        <x:v>Onde blanche/orange avec noyau atténué.</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me2/vfx/cain ; rattacher les ressources et états cités à cet identifiant. Aucun fichier de jeu créé par ce catalogue.</x:v>
      </x:c>
      <x:c r="M18" s="7" t="str"/>
      <x:c r="N18" s="7" t="str">
        <x:v>Le livrable « Explosion du Cain » possède une scène ou un scénario de contrôle ; ses règles proposées, ses conditions et ses retours visuels sont vérifiables séparément.</x:v>
      </x:c>
      <x:c r="O18" s="7" t="str">
        <x:v>ME2-WPN-CAIN</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ME2-VFX-BLACKSTORM</x:v>
      </x:c>
      <x:c r="B19" s="9" t="str">
        <x:v>Implosion Blackstorm</x:v>
      </x:c>
      <x:c r="C19" s="15" t="str">
        <x:v>Défini</x:v>
      </x:c>
      <x:c r="D19" s="16" t="str">
        <x:v>Extrapolation</x:v>
      </x:c>
      <x:c r="E19" s="16" t="str">
        <x:v>P1</x:v>
      </x:c>
      <x:c r="F19" s="9" t="str">
        <x:v>Livrable original proposé : Implosion Blackstorm.</x:v>
      </x:c>
      <x:c r="G19" s="9" t="str">
        <x:v>Noyau lent et flèches d’attraction ; la fin est annoncée par anneau, pas seulement par couleur.</x:v>
      </x:c>
      <x:c r="H19" s="9" t="str">
        <x:v>Noyau lent et flèches d’attraction ; la fin est annoncée par anneau, pas seulement par couleur.</x:v>
      </x:c>
      <x:c r="I19" s="9" t="str">
        <x:v>Noir-violet et déformation locale.</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me2/vfx/blackstorm ; rattacher les ressources et états cités à cet identifiant. Aucun fichier de jeu créé par ce catalogue.</x:v>
      </x:c>
      <x:c r="M19" s="9" t="str"/>
      <x:c r="N19" s="9" t="str">
        <x:v>Le livrable « Implosion Blackstorm » possède une scène ou un scénario de contrôle ; ses règles proposées, ses conditions et ses retours visuels sont vérifiables séparément.</x:v>
      </x:c>
      <x:c r="O19" s="9" t="str">
        <x:v>ME2-WPN-BLACKSTORM</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ME2-VFX-ARRIVAL</x:v>
      </x:c>
      <x:c r="B20" s="7" t="str">
        <x:v>Destruction du relais</x:v>
      </x:c>
      <x:c r="C20" s="15" t="str">
        <x:v>Défini</x:v>
      </x:c>
      <x:c r="D20" s="17" t="str">
        <x:v>Extrapolation</x:v>
      </x:c>
      <x:c r="E20" s="17" t="str">
        <x:v>P1</x:v>
      </x:c>
      <x:c r="F20" s="7" t="str">
        <x:v>Livrable original proposé : Destruction du relais.</x:v>
      </x:c>
      <x:c r="G20" s="7" t="str">
        <x:v>Effet spatial de fin de scène indépendant des systèmes de dégâts de l’arène.</x:v>
      </x:c>
      <x:c r="H20" s="7" t="str">
        <x:v>Effet spatial de fin de scène indépendant des systèmes de dégâts de l’arène.</x:v>
      </x:c>
      <x:c r="I20" s="7" t="str">
        <x:v>Anneau de lumière et coupure au noir graduée.</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me2/vfx/arrival ; rattacher les ressources et états cités à cet identifiant. Aucun fichier de jeu créé par ce catalogue.</x:v>
      </x:c>
      <x:c r="M20" s="7" t="str"/>
      <x:c r="N20" s="7" t="str">
        <x:v>Le livrable « Destruction du relais » possède une scène ou un scénario de contrôle ; ses règles proposées, ses conditions et ses retours visuels sont vérifiables séparément.</x:v>
      </x:c>
      <x:c r="O20" s="7" t="str">
        <x:v>ME2-MQ-ARRIVAL</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68" customHeight="1">
      <x:c r="A21" s="18" t="str">
        <x:v>ME2-VFX-LOYALTY</x:v>
      </x:c>
      <x:c r="B21" s="9" t="str">
        <x:v>Gain ou perte de loyauté</x:v>
      </x:c>
      <x:c r="C21" s="15" t="str">
        <x:v>Défini</x:v>
      </x:c>
      <x:c r="D21" s="16" t="str">
        <x:v>Extrapolation</x:v>
      </x:c>
      <x:c r="E21" s="16" t="str">
        <x:v>P1</x:v>
      </x:c>
      <x:c r="F21" s="9" t="str">
        <x:v>Livrable original proposé : Gain ou perte de loyauté.</x:v>
      </x:c>
      <x:c r="G21" s="9" t="str">
        <x:v>Notification discrète avec nom et conséquence système ; pas de pluie de particules durant une scène sensible.</x:v>
      </x:c>
      <x:c r="H21" s="9" t="str">
        <x:v>Notification discrète avec nom et conséquence système ; pas de pluie de particules durant une scène sensible.</x:v>
      </x:c>
      <x:c r="I21" s="9" t="str">
        <x:v>Portrait, mot et trait de statut.</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me2/vfx/loyalty ; rattacher les ressources et états cités à cet identifiant. Aucun fichier de jeu créé par ce catalogue.</x:v>
      </x:c>
      <x:c r="M21" s="9" t="str"/>
      <x:c r="N21" s="9" t="str">
        <x:v>Le livrable « Gain ou perte de loyauté » possède une scène ou un scénario de contrôle ; ses règles proposées, ses conditions et ses retours visuels sont vérifiables séparément.</x:v>
      </x:c>
      <x:c r="O21" s="9" t="str">
        <x:v>ME2-SYS-LOYALTY</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sheetData>
  <x:conditionalFormatting sqref="D7:D21">
    <x:cfRule type="cellIs" dxfId="84" priority="1" operator="equal">
      <x:formula>"À vérifier"</x:formula>
    </x:cfRule>
    <x:cfRule type="cellIs" dxfId="85" priority="2" operator="equal">
      <x:formula>"Extrapolation"</x:formula>
    </x:cfRule>
  </x:conditionalFormatting>
  <x:conditionalFormatting sqref="C7:C21">
    <x:cfRule type="cellIs" dxfId="86" priority="3" operator="equal">
      <x:formula>"Validé"</x:formula>
    </x:cfRule>
  </x:conditionalFormatting>
  <x:conditionalFormatting sqref="E7:E21">
    <x:cfRule type="cellIs" dxfId="87" priority="4" operator="equal">
      <x:formula>"P0"</x:formula>
    </x:cfRule>
  </x:conditionalFormatting>
  <x:dataValidations count="3">
    <x:dataValidation type="list" sqref="C7:C21">
      <x:formula1>"Défini,Prototype,Intégré,Validé"</x:formula1>
    </x:dataValidation>
    <x:dataValidation type="list" sqref="D7:D21">
      <x:formula1>"Établi,À vérifier,Extrapolation,Coupé attesté,Concept abandonné,Allégation écartée"</x:formula1>
    </x:dataValidation>
    <x:dataValidation type="list" sqref="E7:E21">
      <x:formula1>"P0,P1,P2"</x:formula1>
    </x:dataValidation>
  </x:dataValidations>
  <x:pageMargins left="0.7" right="0.7" top="0.75" bottom="0.75" header="0.3" footer="0.3"/>
  <x:tableParts count="1">
    <x:tablePart xmlns:r="http://schemas.openxmlformats.org/officeDocument/2006/relationships" r:id="R14f4068b179e4353"/>
  </x:tableParts>
</x:worksheet>
</file>

<file path=xl/worksheets/sheet2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Audio</x:v>
      </x:c>
      <x:c r="B2" s="2"/>
      <x:c r="C2" s="2"/>
      <x:c r="D2" s="2"/>
      <x:c r="E2" s="2"/>
      <x:c r="F2" s="2"/>
      <x:c r="G2" s="2"/>
      <x:c r="H2" s="2"/>
      <x:c r="I2" s="2"/>
      <x:c r="J2" s="2"/>
      <x:c r="K2" s="2"/>
      <x:c r="L2" s="2"/>
      <x:c r="M2" s="2"/>
      <x:c r="N2" s="2"/>
      <x:c r="O2" s="2"/>
      <x:c r="P2" s="2"/>
      <x:c r="Q2" s="2"/>
      <x:c r="R2" s="2"/>
      <x:c r="S2" s="2"/>
    </x:row>
    <x:row r="3" ht="22" customHeight="1">
      <x:c r="A3" s="4" t="str">
        <x:v>Mass Effect 2 — Ambiances, effets et musique originale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ME2-AUD-OMEGA</x:v>
      </x:c>
      <x:c r="B7" s="9" t="str">
        <x:v>Ambiance d’Omega</x:v>
      </x:c>
      <x:c r="C7" s="15" t="str">
        <x:v>Défini</x:v>
      </x:c>
      <x:c r="D7" s="16" t="str">
        <x:v>Extrapolation</x:v>
      </x:c>
      <x:c r="E7" s="16" t="str">
        <x:v>P1</x:v>
      </x:c>
      <x:c r="F7" s="9" t="str">
        <x:v>Livrable original proposé : Ambiance d’Omega.</x:v>
      </x:c>
      <x:c r="G7" s="9" t="str">
        <x:v>Composer nappes industrielles, ventilation et club lointain ; ducking sur parole, variante calme pour accès au journal.</x:v>
      </x:c>
      <x:c r="H7" s="9" t="str">
        <x:v>Composer nappes industrielles, ventilation et club lointain ; ducking sur parole, variante calme pour accès au journal.</x:v>
      </x:c>
      <x:c r="I7" s="9" t="str">
        <x:v>Repères sonores de portes et foule de provenances variées.</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me2/audio/omega ; rattacher les ressources et états cités à cet identifiant. Aucun fichier de jeu créé par ce catalogue.</x:v>
      </x:c>
      <x:c r="M7" s="9" t="str"/>
      <x:c r="N7" s="9" t="str">
        <x:v>Le livrable « Ambiance d’Omega » possède une scène ou un scénario de contrôle ; ses règles proposées, ses conditions et ses retours visuels sont vérifiables séparément.</x:v>
      </x:c>
      <x:c r="O7" s="9" t="str">
        <x:v>ME2-WRL-OMEGA</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ME2-AUD-ILLIUM</x:v>
      </x:c>
      <x:c r="B8" s="7" t="str">
        <x:v>Ambiance de Nos Astra</x:v>
      </x:c>
      <x:c r="C8" s="15" t="str">
        <x:v>Défini</x:v>
      </x:c>
      <x:c r="D8" s="17" t="str">
        <x:v>Extrapolation</x:v>
      </x:c>
      <x:c r="E8" s="17" t="str">
        <x:v>P1</x:v>
      </x:c>
      <x:c r="F8" s="7" t="str">
        <x:v>Livrable original proposé : Ambiance de Nos Astra.</x:v>
      </x:c>
      <x:c r="G8" s="7" t="str">
        <x:v>Transports aériens, talons et fontaines ; annonces originales brèves plutôt qu’une radio envahissante.</x:v>
      </x:c>
      <x:c r="H8" s="7" t="str">
        <x:v>Transports aériens, talons et fontaines ; annonces originales brèves plutôt qu’une radio envahissante.</x:v>
      </x:c>
      <x:c r="I8" s="7" t="str">
        <x:v>Espace aérien ample et zone commerciale nette.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me2/audio/illium ; rattacher les ressources et états cités à cet identifiant. Aucun fichier de jeu créé par ce catalogue.</x:v>
      </x:c>
      <x:c r="M8" s="7" t="str"/>
      <x:c r="N8" s="7" t="str">
        <x:v>Le livrable « Ambiance de Nos Astra » possède une scène ou un scénario de contrôle ; ses règles proposées, ses conditions et ses retours visuels sont vérifiables séparément.</x:v>
      </x:c>
      <x:c r="O8" s="7" t="str">
        <x:v>ME2-WRL-ILLIUM</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ME2-AUD-TUCHANKA</x:v>
      </x:c>
      <x:c r="B9" s="9" t="str">
        <x:v>Ambiance de Tuchanka</x:v>
      </x:c>
      <x:c r="C9" s="15" t="str">
        <x:v>Défini</x:v>
      </x:c>
      <x:c r="D9" s="16" t="str">
        <x:v>Extrapolation</x:v>
      </x:c>
      <x:c r="E9" s="16" t="str">
        <x:v>P1</x:v>
      </x:c>
      <x:c r="F9" s="9" t="str">
        <x:v>Livrable original proposé : Ambiance de Tuchanka.</x:v>
      </x:c>
      <x:c r="G9" s="9" t="str">
        <x:v>Vent sec, métal et marteaux distants ; le rite reçoit une percussion originale distincte de l’hôpital.</x:v>
      </x:c>
      <x:c r="H9" s="9" t="str">
        <x:v>Vent sec, métal et marteaux distants ; le rite reçoit une percussion originale distincte de l’hôpital.</x:v>
      </x:c>
      <x:c r="I9" s="9" t="str">
        <x:v>Spatialisation par cour et couloir.</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me2/audio/tuchanka ; rattacher les ressources et états cités à cet identifiant. Aucun fichier de jeu créé par ce catalogue.</x:v>
      </x:c>
      <x:c r="M9" s="9" t="str"/>
      <x:c r="N9" s="9" t="str">
        <x:v>Le livrable « Ambiance de Tuchanka » possède une scène ou un scénario de contrôle ; ses règles proposées, ses conditions et ses retours visuels sont vérifiables séparément.</x:v>
      </x:c>
      <x:c r="O9" s="9" t="str">
        <x:v>ME2-WRL-TUCHANKA</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ME2-AUD-NORMANDY</x:v>
      </x:c>
      <x:c r="B10" s="7" t="str">
        <x:v>Vie du Normandy</x:v>
      </x:c>
      <x:c r="C10" s="15" t="str">
        <x:v>Défini</x:v>
      </x:c>
      <x:c r="D10" s="17" t="str">
        <x:v>Extrapolation</x:v>
      </x:c>
      <x:c r="E10" s="17" t="str">
        <x:v>P1</x:v>
      </x:c>
      <x:c r="F10" s="7" t="str">
        <x:v>Livrable original proposé : Vie du Normandy.</x:v>
      </x:c>
      <x:c r="G10" s="7" t="str">
        <x:v>Moteur grave, électroniques discrètes et proximité des voix ; changer l’ambiance après l’enlèvement.</x:v>
      </x:c>
      <x:c r="H10" s="7" t="str">
        <x:v>Moteur grave, électroniques discrètes et proximité des voix ; changer l’ambiance après l’enlèvement.</x:v>
      </x:c>
      <x:c r="I10" s="7" t="str">
        <x:v>Résonance différente entre CIC, cabine et ingénierie.</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me2/audio/normandy ; rattacher les ressources et états cités à cet identifiant. Aucun fichier de jeu créé par ce catalogue.</x:v>
      </x:c>
      <x:c r="M10" s="7" t="str"/>
      <x:c r="N10" s="7" t="str">
        <x:v>Le livrable « Vie du Normandy » possède une scène ou un scénario de contrôle ; ses règles proposées, ses conditions et ses retours visuels sont vérifiables séparément.</x:v>
      </x:c>
      <x:c r="O10" s="7" t="str">
        <x:v>ME2-ZON-NORMANDY-CIC, ME2-MQ-ABDUCTION</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ME2-AUD-QUARIAN</x:v>
      </x:c>
      <x:c r="B11" s="9" t="str">
        <x:v>Ambiance de la Flotte</x:v>
      </x:c>
      <x:c r="C11" s="15" t="str">
        <x:v>Défini</x:v>
      </x:c>
      <x:c r="D11" s="16" t="str">
        <x:v>Extrapolation</x:v>
      </x:c>
      <x:c r="E11" s="16" t="str">
        <x:v>P1</x:v>
      </x:c>
      <x:c r="F11" s="9" t="str">
        <x:v>Livrable original proposé : Ambiance de la Flotte.</x:v>
      </x:c>
      <x:c r="G11" s="9" t="str">
        <x:v>Ventilation dense et filtres de masque ; sous-titres identifiant les amiraux même hors champ.</x:v>
      </x:c>
      <x:c r="H11" s="9" t="str">
        <x:v>Ventilation dense et filtres de masque ; sous-titres identifiant les amiraux même hors champ.</x:v>
      </x:c>
      <x:c r="I11" s="9" t="str">
        <x:v>Bips de vaisseau et voix filtrées avec intelligibilité prioritaire.</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me2/audio/quarian ; rattacher les ressources et états cités à cet identifiant. Aucun fichier de jeu créé par ce catalogue.</x:v>
      </x:c>
      <x:c r="M11" s="9" t="str"/>
      <x:c r="N11" s="9" t="str">
        <x:v>Le livrable « Ambiance de la Flotte » possède une scène ou un scénario de contrôle ; ses règles proposées, ses conditions et ses retours visuels sont vérifiables séparément.</x:v>
      </x:c>
      <x:c r="O11" s="9" t="str">
        <x:v>ME2-MQ-LOY-TALI</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ME2-AUD-COLLECTOR</x:v>
      </x:c>
      <x:c r="B12" s="7" t="str">
        <x:v>Ambiance Collecteur</x:v>
      </x:c>
      <x:c r="C12" s="15" t="str">
        <x:v>Défini</x:v>
      </x:c>
      <x:c r="D12" s="17" t="str">
        <x:v>Extrapolation</x:v>
      </x:c>
      <x:c r="E12" s="17" t="str">
        <x:v>P1</x:v>
      </x:c>
      <x:c r="F12" s="7" t="str">
        <x:v>Livrable original proposé : Ambiance Collecteur.</x:v>
      </x:c>
      <x:c r="G12" s="7" t="str">
        <x:v>Organique sec, ailes et grondements ; séparer les appels de renfort des textures de décor.</x:v>
      </x:c>
      <x:c r="H12" s="7" t="str">
        <x:v>Organique sec, ailes et grondements ; séparer les appels de renfort des textures de décor.</x:v>
      </x:c>
      <x:c r="I12" s="7" t="str">
        <x:v>Sons de chitine et bruit spatial étouffé.</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me2/audio/collector ; rattacher les ressources et états cités à cet identifiant. Aucun fichier de jeu créé par ce catalogue.</x:v>
      </x:c>
      <x:c r="M12" s="7" t="str"/>
      <x:c r="N12" s="7" t="str">
        <x:v>Le livrable « Ambiance Collecteur » possède une scène ou un scénario de contrôle ; ses règles proposées, ses conditions et ses retours visuels sont vérifiables séparément.</x:v>
      </x:c>
      <x:c r="O12" s="7" t="str">
        <x:v>ME2-WRL-COLLECTOR-BASE</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ME2-AUD-HARBINGER</x:v>
      </x:c>
      <x:c r="B13" s="9" t="str">
        <x:v>Signature de possession</x:v>
      </x:c>
      <x:c r="C13" s="15" t="str">
        <x:v>Défini</x:v>
      </x:c>
      <x:c r="D13" s="16" t="str">
        <x:v>Extrapolation</x:v>
      </x:c>
      <x:c r="E13" s="16" t="str">
        <x:v>P1</x:v>
      </x:c>
      <x:c r="F13" s="9" t="str">
        <x:v>Livrable original proposé : Signature de possession.</x:v>
      </x:c>
      <x:c r="G13" s="9" t="str">
        <x:v>Créer une signature vocale originale et un signal de transfert ; aucune imitation d’acteur ni réplique extraite.</x:v>
      </x:c>
      <x:c r="H13" s="9" t="str">
        <x:v>Créer une signature vocale originale et un signal de transfert ; aucune imitation d’acteur ni réplique extraite.</x:v>
      </x:c>
      <x:c r="I13" s="9" t="str">
        <x:v>Grave traité, attaque lumineuse sous-titrée.</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me2/audio/harbinger ; rattacher les ressources et états cités à cet identifiant. Aucun fichier de jeu créé par ce catalogue.</x:v>
      </x:c>
      <x:c r="M13" s="9" t="str"/>
      <x:c r="N13" s="9" t="str">
        <x:v>Le livrable « Signature de possession » possède une scène ou un scénario de contrôle ; ses règles proposées, ses conditions et ses retours visuels sont vérifiables séparément.</x:v>
      </x:c>
      <x:c r="O13" s="9" t="str">
        <x:v>ME2-ENM-HARBINGER</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ME2-AUD-PRAETORIAN</x:v>
      </x:c>
      <x:c r="B14" s="7" t="str">
        <x:v>Signal du Praetorian</x:v>
      </x:c>
      <x:c r="C14" s="15" t="str">
        <x:v>Défini</x:v>
      </x:c>
      <x:c r="D14" s="17" t="str">
        <x:v>Extrapolation</x:v>
      </x:c>
      <x:c r="E14" s="17" t="str">
        <x:v>P1</x:v>
      </x:c>
      <x:c r="F14" s="7" t="str">
        <x:v>Livrable original proposé : Signal du Praetorian.</x:v>
      </x:c>
      <x:c r="G14" s="7" t="str">
        <x:v>Montée de fréquence avant atterrissage, pulsation de rayon ; option de texte tactique pour joueurs sans son.</x:v>
      </x:c>
      <x:c r="H14" s="7" t="str">
        <x:v>Montée de fréquence avant atterrissage, pulsation de rayon ; option de texte tactique pour joueurs sans son.</x:v>
      </x:c>
      <x:c r="I14" s="7" t="str">
        <x:v>Deux motifs incompatibles entre eux.</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me2/audio/praetorian ; rattacher les ressources et états cités à cet identifiant. Aucun fichier de jeu créé par ce catalogue.</x:v>
      </x:c>
      <x:c r="M14" s="7" t="str"/>
      <x:c r="N14" s="7" t="str">
        <x:v>Le livrable « Signal du Praetorian » possède une scène ou un scénario de contrôle ; ses règles proposées, ses conditions et ses retours visuels sont vérifiables séparément.</x:v>
      </x:c>
      <x:c r="O14" s="7" t="str">
        <x:v>ME2-ENM-PRAETORIAN</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ME2-AUD-GUNS</x:v>
      </x:c>
      <x:c r="B15" s="9" t="str">
        <x:v>Familles d’armes ME2</x:v>
      </x:c>
      <x:c r="C15" s="15" t="str">
        <x:v>Défini</x:v>
      </x:c>
      <x:c r="D15" s="16" t="str">
        <x:v>Extrapolation</x:v>
      </x:c>
      <x:c r="E15" s="16" t="str">
        <x:v>P1</x:v>
      </x:c>
      <x:c r="F15" s="9" t="str">
        <x:v>Livrable original proposé : Familles d’armes ME2.</x:v>
      </x:c>
      <x:c r="G15" s="9" t="str">
        <x:v>Bibliothèque originale distinguant pistolet, rafale, pompe, sniper et arme lourde ; limiter les collisions de voix.</x:v>
      </x:c>
      <x:c r="H15" s="9" t="str">
        <x:v>Bibliothèque originale distinguant pistolet, rafale, pompe, sniper et arme lourde ; limiter les collisions de voix.</x:v>
      </x:c>
      <x:c r="I15" s="9" t="str">
        <x:v>Matériaux métalliques pour humain, organiques pour Collecteur.</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me2/audio/guns ; rattacher les ressources et états cités à cet identifiant. Aucun fichier de jeu créé par ce catalogue.</x:v>
      </x:c>
      <x:c r="M15" s="9" t="str"/>
      <x:c r="N15" s="9" t="str">
        <x:v>Le livrable « Familles d’armes ME2 » possède une scène ou un scénario de contrôle ; ses règles proposées, ses conditions et ses retours visuels sont vérifiables séparément.</x:v>
      </x:c>
      <x:c r="O15" s="9" t="str">
        <x:v>ME2-WPN-AVENGER, ME2-WPN-PARTICLE</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ME2-AUD-HAMMERHEAD</x:v>
      </x:c>
      <x:c r="B16" s="7" t="str">
        <x:v>Hammerhead : moteurs et récolte</x:v>
      </x:c>
      <x:c r="C16" s="15" t="str">
        <x:v>Défini</x:v>
      </x:c>
      <x:c r="D16" s="17" t="str">
        <x:v>Extrapolation</x:v>
      </x:c>
      <x:c r="E16" s="17" t="str">
        <x:v>P1</x:v>
      </x:c>
      <x:c r="F16" s="7" t="str">
        <x:v>Livrable original proposé : Hammerhead : moteurs et récolte.</x:v>
      </x:c>
      <x:c r="G16" s="7" t="str">
        <x:v>Jets différenciés montée/sustentation, boucle de gel de moteur et son de capture de sonde.</x:v>
      </x:c>
      <x:c r="H16" s="7" t="str">
        <x:v>Jets différenciés montée/sustentation, boucle de gel de moteur et son de capture de sonde.</x:v>
      </x:c>
      <x:c r="I16" s="7" t="str">
        <x:v>Avertissement thermique également écrit.</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me2/audio/hammerhead ; rattacher les ressources et états cités à cet identifiant. Aucun fichier de jeu créé par ce catalogue.</x:v>
      </x:c>
      <x:c r="M16" s="7" t="str"/>
      <x:c r="N16" s="7" t="str">
        <x:v>Le livrable « Hammerhead : moteurs et récolte » possède une scène ou un scénario de contrôle ; ses règles proposées, ses conditions et ses retours visuels sont vérifiables séparément.</x:v>
      </x:c>
      <x:c r="O16" s="7" t="str">
        <x:v>ME2-EQP-HAMMERHEAD</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ME2-AUD-SHADOW</x:v>
      </x:c>
      <x:c r="B17" s="9" t="str">
        <x:v>Musique originale du cambriolage au Courtier</x:v>
      </x:c>
      <x:c r="C17" s="15" t="str">
        <x:v>Défini</x:v>
      </x:c>
      <x:c r="D17" s="16" t="str">
        <x:v>Extrapolation</x:v>
      </x:c>
      <x:c r="E17" s="16" t="str">
        <x:v>P1</x:v>
      </x:c>
      <x:c r="F17" s="9" t="str">
        <x:v>Livrable original proposé : Musique originale du cambriolage au Courtier.</x:v>
      </x:c>
      <x:c r="G17" s="9" t="str">
        <x:v>Composer deux arcs séparés : enquête tendue puis tempête et duel ; transitions selon états de mission.</x:v>
      </x:c>
      <x:c r="H17" s="9" t="str">
        <x:v>Composer deux arcs séparés : enquête tendue puis tempête et duel ; transitions selon états de mission.</x:v>
      </x:c>
      <x:c r="I17" s="9" t="str">
        <x:v>Pulsations discrètes et percussions métalliques.</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me2/audio/shadow ; rattacher les ressources et états cités à cet identifiant. Aucun fichier de jeu créé par ce catalogue.</x:v>
      </x:c>
      <x:c r="M17" s="9" t="str"/>
      <x:c r="N17" s="9" t="str">
        <x:v>Le livrable « Musique originale du cambriolage au Courtier » possède une scène ou un scénario de contrôle ; ses règles proposées, ses conditions et ses retours visuels sont vérifiables séparément.</x:v>
      </x:c>
      <x:c r="O17" s="9" t="str">
        <x:v>ME2-MQ-SHADOW</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ME2-AUD-KASUMI</x:v>
      </x:c>
      <x:c r="B18" s="7" t="str">
        <x:v>Musique originale de l’infiltration</x:v>
      </x:c>
      <x:c r="C18" s="15" t="str">
        <x:v>Défini</x:v>
      </x:c>
      <x:c r="D18" s="17" t="str">
        <x:v>Extrapolation</x:v>
      </x:c>
      <x:c r="E18" s="17" t="str">
        <x:v>P1</x:v>
      </x:c>
      <x:c r="F18" s="7" t="str">
        <x:v>Livrable original proposé : Musique originale de l’infiltration.</x:v>
      </x:c>
      <x:c r="G18" s="7" t="str">
        <x:v>Motif social posé puis variation rythmique de fuite ; pas de morceau officiel copié.</x:v>
      </x:c>
      <x:c r="H18" s="7" t="str">
        <x:v>Motif social posé puis variation rythmique de fuite ; pas de morceau officiel copié.</x:v>
      </x:c>
      <x:c r="I18" s="7" t="str">
        <x:v>Instruments légers et basse contrôlée.</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me2/audio/kasumi ; rattacher les ressources et états cités à cet identifiant. Aucun fichier de jeu créé par ce catalogue.</x:v>
      </x:c>
      <x:c r="M18" s="7" t="str"/>
      <x:c r="N18" s="7" t="str">
        <x:v>Le livrable « Musique originale de l’infiltration » possède une scène ou un scénario de contrôle ; ses règles proposées, ses conditions et ses retours visuels sont vérifiables séparément.</x:v>
      </x:c>
      <x:c r="O18" s="7" t="str">
        <x:v>ME2-MQ-KASUMI-HEIST</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ME2-AUD-OVERLORD</x:v>
      </x:c>
      <x:c r="B19" s="9" t="str">
        <x:v>Audio de détresse d’Overlord</x:v>
      </x:c>
      <x:c r="C19" s="15" t="str">
        <x:v>Défini</x:v>
      </x:c>
      <x:c r="D19" s="16" t="str">
        <x:v>Extrapolation</x:v>
      </x:c>
      <x:c r="E19" s="16" t="str">
        <x:v>P1</x:v>
      </x:c>
      <x:c r="F19" s="9" t="str">
        <x:v>Livrable original proposé : Audio de détresse d’Overlord.</x:v>
      </x:c>
      <x:c r="G19" s="9" t="str">
        <x:v>Traitement abstrait avec intensité réduite possible ; message narratif compréhensible sans hurlement prolongé.</x:v>
      </x:c>
      <x:c r="H19" s="9" t="str">
        <x:v>Traitement abstrait avec intensité réduite possible ; message narratif compréhensible sans hurlement prolongé.</x:v>
      </x:c>
      <x:c r="I19" s="9" t="str">
        <x:v>Signal fragmenté, silence et ambiance électrique.</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me2/audio/overlord ; rattacher les ressources et états cités à cet identifiant. Aucun fichier de jeu créé par ce catalogue.</x:v>
      </x:c>
      <x:c r="M19" s="9" t="str"/>
      <x:c r="N19" s="9" t="str">
        <x:v>Le livrable « Audio de détresse d’Overlord » possède une scène ou un scénario de contrôle ; ses règles proposées, ses conditions et ses retours visuels sont vérifiables séparément.</x:v>
      </x:c>
      <x:c r="O19" s="9" t="str">
        <x:v>ME2-MQ-OV-ATLAS</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ME2-AUD-ARRIVAL</x:v>
      </x:c>
      <x:c r="B20" s="7" t="str">
        <x:v>Audio d’urgence Arrival</x:v>
      </x:c>
      <x:c r="C20" s="15" t="str">
        <x:v>Défini</x:v>
      </x:c>
      <x:c r="D20" s="17" t="str">
        <x:v>Extrapolation</x:v>
      </x:c>
      <x:c r="E20" s="17" t="str">
        <x:v>P1</x:v>
      </x:c>
      <x:c r="F20" s="7" t="str">
        <x:v>Livrable original proposé : Audio d’urgence Arrival.</x:v>
      </x:c>
      <x:c r="G20" s="7" t="str">
        <x:v>Compteur et alarme non continus ; messages de progression prioritaires et sous-titres complets.</x:v>
      </x:c>
      <x:c r="H20" s="7" t="str">
        <x:v>Compteur et alarme non continus ; messages de progression prioritaires et sous-titres complets.</x:v>
      </x:c>
      <x:c r="I20" s="7" t="str">
        <x:v>Pulsation de délai et bruit de propulseurs.</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me2/audio/arrival ; rattacher les ressources et états cités à cet identifiant. Aucun fichier de jeu créé par ce catalogue.</x:v>
      </x:c>
      <x:c r="M20" s="7" t="str"/>
      <x:c r="N20" s="7" t="str">
        <x:v>Le livrable « Audio d’urgence Arrival » possède une scène ou un scénario de contrôle ; ses règles proposées, ses conditions et ses retours visuels sont vérifiables séparément.</x:v>
      </x:c>
      <x:c r="O20" s="7" t="str">
        <x:v>ME2-MQ-ARRIVAL</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68" customHeight="1">
      <x:c r="A21" s="18" t="str">
        <x:v>ME2-AUD-MEMORIAL</x:v>
      </x:c>
      <x:c r="B21" s="9" t="str">
        <x:v>Silence du site du Normandy</x:v>
      </x:c>
      <x:c r="C21" s="15" t="str">
        <x:v>Défini</x:v>
      </x:c>
      <x:c r="D21" s="16" t="str">
        <x:v>Extrapolation</x:v>
      </x:c>
      <x:c r="E21" s="16" t="str">
        <x:v>P1</x:v>
      </x:c>
      <x:c r="F21" s="9" t="str">
        <x:v>Livrable original proposé : Silence du site du Normandy.</x:v>
      </x:c>
      <x:c r="G21" s="9" t="str">
        <x:v>Vent, neige et quelques notes originales espacées ; découverte d’une trace reçoit un son discret.</x:v>
      </x:c>
      <x:c r="H21" s="9" t="str">
        <x:v>Vent, neige et quelques notes originales espacées ; découverte d’une trace reçoit un son discret.</x:v>
      </x:c>
      <x:c r="I21" s="9" t="str">
        <x:v>Réverbération ouverte et peu de basses.</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me2/audio/memorial ; rattacher les ressources et états cités à cet identifiant. Aucun fichier de jeu créé par ce catalogue.</x:v>
      </x:c>
      <x:c r="M21" s="9" t="str"/>
      <x:c r="N21" s="9" t="str">
        <x:v>Le livrable « Silence du site du Normandy » possède une scène ou un scénario de contrôle ; ses règles proposées, ses conditions et ses retours visuels sont vérifiables séparément.</x:v>
      </x:c>
      <x:c r="O21" s="9" t="str">
        <x:v>ME2-SQ-CRASH-SITE</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sheetData>
  <x:conditionalFormatting sqref="D7:D21">
    <x:cfRule type="cellIs" dxfId="88" priority="1" operator="equal">
      <x:formula>"À vérifier"</x:formula>
    </x:cfRule>
    <x:cfRule type="cellIs" dxfId="89" priority="2" operator="equal">
      <x:formula>"Extrapolation"</x:formula>
    </x:cfRule>
  </x:conditionalFormatting>
  <x:conditionalFormatting sqref="C7:C21">
    <x:cfRule type="cellIs" dxfId="90" priority="3" operator="equal">
      <x:formula>"Validé"</x:formula>
    </x:cfRule>
  </x:conditionalFormatting>
  <x:conditionalFormatting sqref="E7:E21">
    <x:cfRule type="cellIs" dxfId="91" priority="4" operator="equal">
      <x:formula>"P0"</x:formula>
    </x:cfRule>
  </x:conditionalFormatting>
  <x:dataValidations count="3">
    <x:dataValidation type="list" sqref="C7:C21">
      <x:formula1>"Défini,Prototype,Intégré,Validé"</x:formula1>
    </x:dataValidation>
    <x:dataValidation type="list" sqref="D7:D21">
      <x:formula1>"Établi,À vérifier,Extrapolation,Coupé attesté,Concept abandonné,Allégation écartée"</x:formula1>
    </x:dataValidation>
    <x:dataValidation type="list" sqref="E7:E21">
      <x:formula1>"P0,P1,P2"</x:formula1>
    </x:dataValidation>
  </x:dataValidations>
  <x:pageMargins left="0.7" right="0.7" top="0.75" bottom="0.75" header="0.3" footer="0.3"/>
  <x:tableParts count="1">
    <x:tablePart xmlns:r="http://schemas.openxmlformats.org/officeDocument/2006/relationships" r:id="R60c5b4b5fbaf4e74"/>
  </x:tableParts>
</x:worksheet>
</file>

<file path=xl/worksheets/sheet2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Systèmes et UI</x:v>
      </x:c>
      <x:c r="B2" s="2"/>
      <x:c r="C2" s="2"/>
      <x:c r="D2" s="2"/>
      <x:c r="E2" s="2"/>
      <x:c r="F2" s="2"/>
      <x:c r="G2" s="2"/>
      <x:c r="H2" s="2"/>
      <x:c r="I2" s="2"/>
      <x:c r="J2" s="2"/>
      <x:c r="K2" s="2"/>
      <x:c r="L2" s="2"/>
      <x:c r="M2" s="2"/>
      <x:c r="N2" s="2"/>
      <x:c r="O2" s="2"/>
      <x:c r="P2" s="2"/>
      <x:c r="Q2" s="2"/>
      <x:c r="R2" s="2"/>
      <x:c r="S2" s="2"/>
    </x:row>
    <x:row r="3" ht="22" customHeight="1">
      <x:c r="A3" s="4" t="str">
        <x:v>Mass Effect 2 — Interface et règles de jeu</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ME2-SYS-ATB</x:v>
      </x:c>
      <x:c r="B7" s="9" t="str">
        <x:v>Noyau de combat ATB ME2</x:v>
      </x:c>
      <x:c r="C7" s="15" t="str">
        <x:v>Défini</x:v>
      </x:c>
      <x:c r="D7" s="16" t="str">
        <x:v>Extrapolation</x:v>
      </x:c>
      <x:c r="E7" s="16" t="str">
        <x:v>P0</x:v>
      </x:c>
      <x:c r="F7" s="9" t="str">
        <x:v>Livrable original proposé : Noyau de combat ATB ME2.</x:v>
      </x:c>
      <x:c r="G7" s="9" t="str">
        <x:v>Proposer jauges individuelles et pause de sélection ; résolution déterministe avec réservation de cible, coût et interruption.</x:v>
      </x:c>
      <x:c r="H7" s="9" t="str">
        <x:v>Proposer jauges individuelles et pause de sélection ; résolution déterministe avec réservation de cible, coût et interruption.</x:v>
      </x:c>
      <x:c r="I7" s="9" t="str">
        <x:v>Trois portraits, jauges et timeline des attaques lourdes.</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me2/systems/atb ; rattacher les ressources et états cités à cet identifiant. Aucun fichier de jeu créé par ce catalogue.</x:v>
      </x:c>
      <x:c r="M7" s="9" t="str"/>
      <x:c r="N7" s="9" t="str">
        <x:v>Le livrable « Noyau de combat ATB ME2 » possède une scène ou un scénario de contrôle ; ses règles proposées, ses conditions et ses retours visuels sont vérifiables séparément.</x:v>
      </x:c>
      <x:c r="O7" s="9" t="str">
        <x:v>ME2-CHR-SHEPARD</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ME2-SYS-PROTECTIONS</x:v>
      </x:c>
      <x:c r="B8" s="7" t="str">
        <x:v>Santé, bouclier, barrière, armure</x:v>
      </x:c>
      <x:c r="C8" s="15" t="str">
        <x:v>Défini</x:v>
      </x:c>
      <x:c r="D8" s="17" t="str">
        <x:v>Extrapolation</x:v>
      </x:c>
      <x:c r="E8" s="17" t="str">
        <x:v>P0</x:v>
      </x:c>
      <x:c r="F8" s="7" t="str">
        <x:v>Livrable original proposé : Santé, bouclier, barrière, armure.</x:v>
      </x:c>
      <x:c r="G8" s="7" t="str">
        <x:v>Quatre couches lisibles ; chaque pouvoir affiche son efficacité sans dépendre uniquement de couleur.</x:v>
      </x:c>
      <x:c r="H8" s="7" t="str">
        <x:v>Quatre couches lisibles ; chaque pouvoir affiche son efficacité sans dépendre uniquement de couleur.</x:v>
      </x:c>
      <x:c r="I8" s="7" t="str">
        <x:v>Icônes cœur, grille, onde et plaque.</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me2/systems/protections ; rattacher les ressources et états cités à cet identifiant. Aucun fichier de jeu créé par ce catalogue.</x:v>
      </x:c>
      <x:c r="M8" s="7" t="str"/>
      <x:c r="N8" s="7" t="str">
        <x:v>Le livrable « Santé, bouclier, barrière, armure » possède une scène ou un scénario de contrôle ; ses règles proposées, ses conditions et ses retours visuels sont vérifiables séparément.</x:v>
      </x:c>
      <x:c r="O8" s="7" t="str">
        <x:v>ME2-POW-OVERLOAD, ME2-POW-WARP, ME2-POW-INCINERATE</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ME2-SYS-LOYALTY</x:v>
      </x:c>
      <x:c r="B9" s="9" t="str">
        <x:v>Loyauté par équipier</x:v>
      </x:c>
      <x:c r="C9" s="15" t="str">
        <x:v>Défini</x:v>
      </x:c>
      <x:c r="D9" s="16" t="str">
        <x:v>Extrapolation</x:v>
      </x:c>
      <x:c r="E9" s="16" t="str">
        <x:v>P0</x:v>
      </x:c>
      <x:c r="F9" s="9" t="str">
        <x:v>Livrable original proposé : Loyauté par équipier.</x:v>
      </x:c>
      <x:c r="G9" s="9" t="str">
        <x:v>Garder recrutement, mission accomplie et loyauté comme états distincts ; disputes et réconciliation écrivent des événements auditables.</x:v>
      </x:c>
      <x:c r="H9" s="9" t="str">
        <x:v>Garder recrutement, mission accomplie et loyauté comme états distincts ; disputes et réconciliation écrivent des événements auditables.</x:v>
      </x:c>
      <x:c r="I9" s="9" t="str">
        <x:v>Portraits avec état explicite et historique concis.</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me2/systems/loyalty ; rattacher les ressources et états cités à cet identifiant. Aucun fichier de jeu créé par ce catalogue.</x:v>
      </x:c>
      <x:c r="M9" s="9" t="str"/>
      <x:c r="N9" s="9" t="str">
        <x:v>Le livrable « Loyauté par équipier » possède une scène ou un scénario de contrôle ; ses règles proposées, ses conditions et ses retours visuels sont vérifiables séparément.</x:v>
      </x:c>
      <x:c r="O9" s="9" t="str">
        <x:v>ME2-CHO-TALI-LEGION, ME2-CHO-JACK-MIRANDA</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ME2-SYS-SQUAD</x:v>
      </x:c>
      <x:c r="B10" s="7" t="str">
        <x:v>Sélection du groupe et exclusivités</x:v>
      </x:c>
      <x:c r="C10" s="15" t="str">
        <x:v>Défini</x:v>
      </x:c>
      <x:c r="D10" s="17" t="str">
        <x:v>Extrapolation</x:v>
      </x:c>
      <x:c r="E10" s="17" t="str">
        <x:v>P0</x:v>
      </x:c>
      <x:c r="F10" s="7" t="str">
        <x:v>Livrable original proposé : Sélection du groupe et exclusivités.</x:v>
      </x:c>
      <x:c r="G10" s="7" t="str">
        <x:v>Shepard plus deux équipiers ; contraintes de mission et personnages temporaires annoncés avant embarquement.</x:v>
      </x:c>
      <x:c r="H10" s="7" t="str">
        <x:v>Shepard plus deux équipiers ; contraintes de mission et personnages temporaires annoncés avant embarquement.</x:v>
      </x:c>
      <x:c r="I10" s="7" t="str">
        <x:v>Grille avec tags temporaire, requis et indisponible.</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me2/systems/squad ; rattacher les ressources et états cités à cet identifiant. Aucun fichier de jeu créé par ce catalogue.</x:v>
      </x:c>
      <x:c r="M10" s="7" t="str"/>
      <x:c r="N10" s="7" t="str">
        <x:v>Le livrable « Sélection du groupe et exclusivités » possède une scène ou un scénario de contrôle ; ses règles proposées, ses conditions et ses retours visuels sont vérifiables séparément.</x:v>
      </x:c>
      <x:c r="O10" s="7" t="str">
        <x:v>ME2-CHR-SAMARA, ME2-CHR-MORINTH, ME2-CHR-LIARA</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ME2-SYS-SUICIDE</x:v>
      </x:c>
      <x:c r="B11" s="9" t="str">
        <x:v>Résolveur de mission suicide</x:v>
      </x:c>
      <x:c r="C11" s="15" t="str">
        <x:v>Défini</x:v>
      </x:c>
      <x:c r="D11" s="16" t="str">
        <x:v>Extrapolation</x:v>
      </x:c>
      <x:c r="E11" s="16" t="str">
        <x:v>P0</x:v>
      </x:c>
      <x:c r="F11" s="9" t="str">
        <x:v>Livrable original proposé : Résolveur de mission suicide.</x:v>
      </x:c>
      <x:c r="G11" s="9" t="str">
        <x:v>États du vaisseau, rôles, loyauté, escorte, défense arrière et dernier groupe sont évalués séparément puis dans l’ordre.</x:v>
      </x:c>
      <x:c r="H11" s="9" t="str">
        <x:v>États du vaisseau, rôles, loyauté, escorte, défense arrière et dernier groupe sont évalués séparément puis dans l’ordre.</x:v>
      </x:c>
      <x:c r="I11" s="9" t="str">
        <x:v>Table de préparation avec vérification des affectations.</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me2/systems/suicide ; rattacher les ressources et états cités à cet identifiant. Aucun fichier de jeu créé par ce catalogue.</x:v>
      </x:c>
      <x:c r="M11" s="9" t="str"/>
      <x:c r="N11" s="9" t="str">
        <x:v>Le livrable « Résolveur de mission suicide » possède une scène ou un scénario de contrôle ; ses règles proposées, ses conditions et ses retours visuels sont vérifiables séparément.</x:v>
      </x:c>
      <x:c r="O11" s="9" t="str">
        <x:v>ME2-MQ-INFILTRATION, ME2-MQ-LONG-WALK, ME2-MQ-FINAL</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ME2-SYS-IFF-CLOCK</x:v>
      </x:c>
      <x:c r="B12" s="7" t="str">
        <x:v>Compteur IFF et enlèvement</x:v>
      </x:c>
      <x:c r="C12" s="15" t="str">
        <x:v>Défini</x:v>
      </x:c>
      <x:c r="D12" s="17" t="str">
        <x:v>Extrapolation</x:v>
      </x:c>
      <x:c r="E12" s="17" t="str">
        <x:v>P0</x:v>
      </x:c>
      <x:c r="F12" s="7" t="str">
        <x:v>Livrable original proposé : Compteur IFF et enlèvement.</x:v>
      </x:c>
      <x:c r="G12" s="7" t="str">
        <x:v>Compter les événements admissibles de mission ; aucune progression pendant menus, dialogues ou temps réel d’inactivité.</x:v>
      </x:c>
      <x:c r="H12" s="7" t="str">
        <x:v>Compter les événements admissibles de mission ; aucune progression pendant menus, dialogues ou temps réel d’inactivité.</x:v>
      </x:c>
      <x:c r="I12" s="7" t="str">
        <x:v>Journal de missions et signal d’urgence.</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me2/systems/iff-clock ; rattacher les ressources et états cités à cet identifiant. Aucun fichier de jeu créé par ce catalogue.</x:v>
      </x:c>
      <x:c r="M12" s="7" t="str"/>
      <x:c r="N12" s="7" t="str">
        <x:v>Le livrable « Compteur IFF et enlèvement » possède une scène ou un scénario de contrôle ; ses règles proposées, ses conditions et ses retours visuels sont vérifiables séparément.</x:v>
      </x:c>
      <x:c r="O12" s="7" t="str">
        <x:v>ME2-MQ-IFF, ME2-MQ-ABDUCTION</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ME2-SYS-MORALITY</x:v>
      </x:c>
      <x:c r="B13" s="9" t="str">
        <x:v>Dialogue et moralité par édition</x:v>
      </x:c>
      <x:c r="C13" s="15" t="str">
        <x:v>Défini</x:v>
      </x:c>
      <x:c r="D13" s="16" t="str">
        <x:v>Extrapolation</x:v>
      </x:c>
      <x:c r="E13" s="16" t="str">
        <x:v>P0</x:v>
      </x:c>
      <x:c r="F13" s="9" t="str">
        <x:v>Livrable original proposé : Dialogue et moralité par édition.</x:v>
      </x:c>
      <x:c r="G13" s="9" t="str">
        <x:v>Modèle d’adaptation explicite, sans recopier un seuil numérique non vérifié ; éviter d’afficher une option faisable qui échoue silencieusement.</x:v>
      </x:c>
      <x:c r="H13" s="9" t="str">
        <x:v>Modèle d’adaptation explicite, sans recopier un seuil numérique non vérifié ; éviter d’afficher une option faisable qui échoue silencieusement.</x:v>
      </x:c>
      <x:c r="I13" s="9" t="str">
        <x:v>Roue lisible et raison de verrouillage facultative.</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me2/systems/morality ; rattacher les ressources et états cités à cet identifiant. Aucun fichier de jeu créé par ce catalogue.</x:v>
      </x:c>
      <x:c r="M13" s="9" t="str"/>
      <x:c r="N13" s="9" t="str">
        <x:v>Le livrable « Dialogue et moralité par édition » possède une scène ou un scénario de contrôle ; ses règles proposées, ses conditions et ses retours visuels sont vérifiables séparément.</x:v>
      </x:c>
      <x:c r="O13" s="9" t="str">
        <x:v>ME2-CHO-SAMARA</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ME2-SYS-INTERRUPTS</x:v>
      </x:c>
      <x:c r="B14" s="7" t="str">
        <x:v>Interruptions contextuelles accessibles</x:v>
      </x:c>
      <x:c r="C14" s="15" t="str">
        <x:v>Défini</x:v>
      </x:c>
      <x:c r="D14" s="17" t="str">
        <x:v>Extrapolation</x:v>
      </x:c>
      <x:c r="E14" s="17" t="str">
        <x:v>P0</x:v>
      </x:c>
      <x:c r="F14" s="7" t="str">
        <x:v>Livrable original proposé : Interruptions contextuelles accessibles.</x:v>
      </x:c>
      <x:c r="G14" s="7" t="str">
        <x:v>Fenêtre de temps réglable, pause ou sélection textuelle équivalente ; résultat narratif identique pour chaque mode.</x:v>
      </x:c>
      <x:c r="H14" s="7" t="str">
        <x:v>Fenêtre de temps réglable, pause ou sélection textuelle équivalente ; résultat narratif identique pour chaque mode.</x:v>
      </x:c>
      <x:c r="I14" s="7" t="str">
        <x:v>Bouton et phrase d’action avant pression.</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me2/systems/interrupts ; rattacher les ressources et états cités à cet identifiant. Aucun fichier de jeu créé par ce catalogue.</x:v>
      </x:c>
      <x:c r="M14" s="7" t="str"/>
      <x:c r="N14" s="7" t="str">
        <x:v>Le livrable « Interruptions contextuelles accessibles » possède une scène ou un scénario de contrôle ; ses règles proposées, ses conditions et ses retours visuels sont vérifiables séparément.</x:v>
      </x:c>
      <x:c r="O14" s="7" t="str">
        <x:v>ME2-CHO-ARESH</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ME2-SYS-SCANNING</x:v>
      </x:c>
      <x:c r="B15" s="9" t="str">
        <x:v>Scan planétaire et ressources</x:v>
      </x:c>
      <x:c r="C15" s="15" t="str">
        <x:v>Défini</x:v>
      </x:c>
      <x:c r="D15" s="16" t="str">
        <x:v>Extrapolation</x:v>
      </x:c>
      <x:c r="E15" s="16" t="str">
        <x:v>P0</x:v>
      </x:c>
      <x:c r="F15" s="9" t="str">
        <x:v>Livrable original proposé : Scan planétaire et ressources.</x:v>
      </x:c>
      <x:c r="G15" s="9" t="str">
        <x:v>Mini-jeu de sondage facultatif avec balayage automatique proposé ; toute ressource a un coût et une destination de recherche visibles.</x:v>
      </x:c>
      <x:c r="H15" s="9" t="str">
        <x:v>Mini-jeu de sondage facultatif avec balayage automatique proposé ; toute ressource a un coût et une destination de recherche visibles.</x:v>
      </x:c>
      <x:c r="I15" s="9" t="str">
        <x:v>Globe, courbe de scanner et stocks nommés.</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me2/systems/scanning ; rattacher les ressources et états cités à cet identifiant. Aucun fichier de jeu créé par ce catalogue.</x:v>
      </x:c>
      <x:c r="M15" s="9" t="str"/>
      <x:c r="N15" s="9" t="str">
        <x:v>Le livrable « Scan planétaire et ressources » possède une scène ou un scénario de contrôle ; ses règles proposées, ses conditions et ses retours visuels sont vérifiables séparément.</x:v>
      </x:c>
      <x:c r="O15" s="9" t="str">
        <x:v>ME2-EQP-NORMANDY-ARMOR</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ME2-SYS-RESEARCH</x:v>
      </x:c>
      <x:c r="B16" s="7" t="str">
        <x:v>Recherche de laboratoire</x:v>
      </x:c>
      <x:c r="C16" s="15" t="str">
        <x:v>Défini</x:v>
      </x:c>
      <x:c r="D16" s="17" t="str">
        <x:v>Extrapolation</x:v>
      </x:c>
      <x:c r="E16" s="17" t="str">
        <x:v>P0</x:v>
      </x:c>
      <x:c r="F16" s="7" t="str">
        <x:v>Livrable original proposé : Recherche de laboratoire.</x:v>
      </x:c>
      <x:c r="G16" s="7" t="str">
        <x:v>Séparer découverte de schéma, ressources et achat ; prévisualiser bénéfice avant validation et sauvegarder transaction atomique.</x:v>
      </x:c>
      <x:c r="H16" s="7" t="str">
        <x:v>Séparer découverte de schéma, ressources et achat ; prévisualiser bénéfice avant validation et sauvegarder transaction atomique.</x:v>
      </x:c>
      <x:c r="I16" s="7" t="str">
        <x:v>Table de recherche du Normandy.</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me2/systems/research ; rattacher les ressources et états cités à cet identifiant. Aucun fichier de jeu créé par ce catalogue.</x:v>
      </x:c>
      <x:c r="M16" s="7" t="str"/>
      <x:c r="N16" s="7" t="str">
        <x:v>Le livrable « Recherche de laboratoire » possède une scène ou un scénario de contrôle ; ses règles proposées, ses conditions et ses retours visuels sont vérifiables séparément.</x:v>
      </x:c>
      <x:c r="O16" s="7" t="str">
        <x:v>ME2-EQP-NORMANDY-SHIELD</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ME2-SYS-MERCHANTS</x:v>
      </x:c>
      <x:c r="B17" s="9" t="str">
        <x:v>Boutiques et remises</x:v>
      </x:c>
      <x:c r="C17" s="15" t="str">
        <x:v>Défini</x:v>
      </x:c>
      <x:c r="D17" s="16" t="str">
        <x:v>Extrapolation</x:v>
      </x:c>
      <x:c r="E17" s="16" t="str">
        <x:v>P0</x:v>
      </x:c>
      <x:c r="F17" s="9" t="str">
        <x:v>Livrable original proposé : Boutiques et remises.</x:v>
      </x:c>
      <x:c r="G17" s="9" t="str">
        <x:v>Chaque boutique expose ses catégories, crédit disponible et remise ; ne pas appliquer une remise deux fois.</x:v>
      </x:c>
      <x:c r="H17" s="9" t="str">
        <x:v>Chaque boutique expose ses catégories, crédit disponible et remise ; ne pas appliquer une remise deux fois.</x:v>
      </x:c>
      <x:c r="I17" s="9" t="str">
        <x:v>Liste avec comparaison de prix et confirmation.</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me2/systems/merchants ; rattacher les ressources et états cités à cet identifiant. Aucun fichier de jeu créé par ce catalogue.</x:v>
      </x:c>
      <x:c r="M17" s="9" t="str"/>
      <x:c r="N17" s="9" t="str">
        <x:v>Le livrable « Boutiques et remises » possède une scène ou un scénario de contrôle ; ses règles proposées, ses conditions et ses retours visuels sont vérifiables séparément.</x:v>
      </x:c>
      <x:c r="O17" s="9" t="str">
        <x:v>ME2-ZON-OMEGA-MARKET</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ME2-SYS-LOADOUT</x:v>
      </x:c>
      <x:c r="B18" s="7" t="str">
        <x:v>Armes, armures et classes</x:v>
      </x:c>
      <x:c r="C18" s="15" t="str">
        <x:v>Défini</x:v>
      </x:c>
      <x:c r="D18" s="17" t="str">
        <x:v>Extrapolation</x:v>
      </x:c>
      <x:c r="E18" s="17" t="str">
        <x:v>P0</x:v>
      </x:c>
      <x:c r="F18" s="7" t="str">
        <x:v>Livrable original proposé : Armes, armures et classes.</x:v>
      </x:c>
      <x:c r="G18" s="7" t="str">
        <x:v>Tables par classe et édition ; les restrictions de Shepard et celles des équipiers ne partagent pas le même filtre.</x:v>
      </x:c>
      <x:c r="H18" s="7" t="str">
        <x:v>Tables par classe et édition ; les restrictions de Shepard et celles des équipiers ne partagent pas le même filtre.</x:v>
      </x:c>
      <x:c r="I18" s="7" t="str">
        <x:v>Emplacements avec raison d’incompatibilité.</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me2/systems/loadout ; rattacher les ressources et états cités à cet identifiant. Aucun fichier de jeu créé par ce catalogue.</x:v>
      </x:c>
      <x:c r="M18" s="7" t="str"/>
      <x:c r="N18" s="7" t="str">
        <x:v>Le livrable « Armes, armures et classes » possède une scène ou un scénario de contrôle ; ses règles proposées, ses conditions et ses retours visuels sont vérifiables séparément.</x:v>
      </x:c>
      <x:c r="O18" s="7" t="str">
        <x:v>ME2-EQP-N7, ME2-WPN-WIDOW</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ME2-SYS-HEAVY</x:v>
      </x:c>
      <x:c r="B19" s="9" t="str">
        <x:v>Réserve d’armes lourdes</x:v>
      </x:c>
      <x:c r="C19" s="15" t="str">
        <x:v>Défini</x:v>
      </x:c>
      <x:c r="D19" s="16" t="str">
        <x:v>Extrapolation</x:v>
      </x:c>
      <x:c r="E19" s="16" t="str">
        <x:v>P0</x:v>
      </x:c>
      <x:c r="F19" s="9" t="str">
        <x:v>Livrable original proposé : Réserve d’armes lourdes.</x:v>
      </x:c>
      <x:c r="G19" s="9" t="str">
        <x:v>Cellules partagées, changement d’arme et capacité avec règle documentée ; aucune recharge gratuite involontaire au menu.</x:v>
      </x:c>
      <x:c r="H19" s="9" t="str">
        <x:v>Cellules partagées, changement d’arme et capacité avec règle documentée ; aucune recharge gratuite involontaire au menu.</x:v>
      </x:c>
      <x:c r="I19" s="9" t="str">
        <x:v>Barre lourde distincte des clips.</x:v>
      </x:c>
      <x:c r="J19" s="9" t="str">
        <x:v>Transitions de caméra et d’interface interruptibles ; aucun délai d’animation ne doit consommer une décision encore ouverte.</x:v>
      </x:c>
      <x:c r="K19" s="9" t="str">
        <x:v>Créer des bruitages et ambiances originaux adaptés au livrable ; sous-titrer les indices utiles et proposer un réglage indépendant des effets. Aucune extraction audio demandée.</x:v>
      </x:c>
      <x:c r="L19" s="9" t="str">
        <x:v>Prévu : fiche de données me2/systems/heavy ; rattacher les ressources et états cités à cet identifiant. Aucun fichier de jeu créé par ce catalogue.</x:v>
      </x:c>
      <x:c r="M19" s="9" t="str"/>
      <x:c r="N19" s="9" t="str">
        <x:v>Le livrable « Réserve d’armes lourdes » possède une scène ou un scénario de contrôle ; ses règles proposées, ses conditions et ses retours visuels sont vérifiables séparément.</x:v>
      </x:c>
      <x:c r="O19" s="9" t="str">
        <x:v>ME2-EQP-CELLS</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ME2-SYS-HACKING</x:v>
      </x:c>
      <x:c r="B20" s="7" t="str">
        <x:v>Piratage et contournement</x:v>
      </x:c>
      <x:c r="C20" s="15" t="str">
        <x:v>Défini</x:v>
      </x:c>
      <x:c r="D20" s="17" t="str">
        <x:v>Extrapolation</x:v>
      </x:c>
      <x:c r="E20" s="17" t="str">
        <x:v>P0</x:v>
      </x:c>
      <x:c r="F20" s="7" t="str">
        <x:v>Livrable original proposé : Piratage et contournement.</x:v>
      </x:c>
      <x:c r="G20" s="7" t="str">
        <x:v>Deux puzzles courts distincts avec option accessible ; le succès signale l’état de porte et l’objet reçu séparément.</x:v>
      </x:c>
      <x:c r="H20" s="7" t="str">
        <x:v>Deux puzzles courts distincts avec option accessible ; le succès signale l’état de porte et l’objet reçu séparément.</x:v>
      </x:c>
      <x:c r="I20" s="7" t="str">
        <x:v>Circuits et segments de code abstraits.</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me2/systems/hacking ; rattacher les ressources et états cités à cet identifiant. Aucun fichier de jeu créé par ce catalogue.</x:v>
      </x:c>
      <x:c r="M20" s="7" t="str"/>
      <x:c r="N20" s="7" t="str">
        <x:v>Le livrable « Piratage et contournement » possède une scène ou un scénario de contrôle ; ses règles proposées, ses conditions et ses retours visuels sont vérifiables séparément.</x:v>
      </x:c>
      <x:c r="O20" s="7" t="str">
        <x:v>ME2-PRP-HOCK-SECURITY</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68" customHeight="1">
      <x:c r="A21" s="18" t="str">
        <x:v>ME2-SYS-HAMMERHEAD</x:v>
      </x:c>
      <x:c r="B21" s="9" t="str">
        <x:v>Pilotage Hammerhead</x:v>
      </x:c>
      <x:c r="C21" s="15" t="str">
        <x:v>Défini</x:v>
      </x:c>
      <x:c r="D21" s="16" t="str">
        <x:v>Extrapolation</x:v>
      </x:c>
      <x:c r="E21" s="16" t="str">
        <x:v>P0</x:v>
      </x:c>
      <x:c r="F21" s="9" t="str">
        <x:v>Livrable original proposé : Pilotage Hammerhead.</x:v>
      </x:c>
      <x:c r="G21" s="9" t="str">
        <x:v>Sous-mode véhicule avec chemins, boost et prélèvement ; caméra empêche de cacher le prochain point d’appui.</x:v>
      </x:c>
      <x:c r="H21" s="9" t="str">
        <x:v>Sous-mode véhicule avec chemins, boost et prélèvement ; caméra empêche de cacher le prochain point d’appui.</x:v>
      </x:c>
      <x:c r="I21" s="9" t="str">
        <x:v>Ombre du véhicule et prédiction d’atterrissage.</x:v>
      </x:c>
      <x:c r="J21" s="9" t="str">
        <x:v>Transitions de caméra et d’interface interruptibles ; aucun délai d’animation ne doit consommer une décision encore ouverte.</x:v>
      </x:c>
      <x:c r="K21" s="9" t="str">
        <x:v>Créer des bruitages et ambiances originaux adaptés au livrable ; sous-titrer les indices utiles et proposer un réglage indépendant des effets. Aucune extraction audio demandée.</x:v>
      </x:c>
      <x:c r="L21" s="9" t="str">
        <x:v>Prévu : fiche de données me2/systems/hammerhead ; rattacher les ressources et états cités à cet identifiant. Aucun fichier de jeu créé par ce catalogue.</x:v>
      </x:c>
      <x:c r="M21" s="9" t="str"/>
      <x:c r="N21" s="9" t="str">
        <x:v>Le livrable « Pilotage Hammerhead » possède une scène ou un scénario de contrôle ; ses règles proposées, ses conditions et ses retours visuels sont vérifiables séparément.</x:v>
      </x:c>
      <x:c r="O21" s="9" t="str">
        <x:v>ME2-EQP-HAMMERHEAD</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row r="22" ht="68" customHeight="1">
      <x:c r="A22" s="19" t="str">
        <x:v>ME2-SYS-JOURNAL</x:v>
      </x:c>
      <x:c r="B22" s="7" t="str">
        <x:v>Journal par mission et alias</x:v>
      </x:c>
      <x:c r="C22" s="15" t="str">
        <x:v>Défini</x:v>
      </x:c>
      <x:c r="D22" s="17" t="str">
        <x:v>Extrapolation</x:v>
      </x:c>
      <x:c r="E22" s="17" t="str">
        <x:v>P0</x:v>
      </x:c>
      <x:c r="F22" s="7" t="str">
        <x:v>Livrable original proposé : Journal par mission et alias.</x:v>
      </x:c>
      <x:c r="G22" s="7" t="str">
        <x:v>Un identifiant de quête pour les variantes de titre ; journal distingue piste, action et retour au donneur.</x:v>
      </x:c>
      <x:c r="H22" s="7" t="str">
        <x:v>Un identifiant de quête pour les variantes de titre ; journal distingue piste, action et retour au donneur.</x:v>
      </x:c>
      <x:c r="I22" s="7" t="str">
        <x:v>Filtres campagne, loyauté, affectation et DLC.</x:v>
      </x:c>
      <x:c r="J22" s="7" t="str">
        <x:v>Transitions de caméra et d’interface interruptibles ; aucun délai d’animation ne doit consommer une décision encore ouverte.</x:v>
      </x:c>
      <x:c r="K22" s="7" t="str">
        <x:v>Créer des bruitages et ambiances originaux adaptés au livrable ; sous-titrer les indices utiles et proposer un réglage indépendant des effets. Aucune extraction audio demandée.</x:v>
      </x:c>
      <x:c r="L22" s="7" t="str">
        <x:v>Prévu : fiche de données me2/systems/journal ; rattacher les ressources et états cités à cet identifiant. Aucun fichier de jeu créé par ce catalogue.</x:v>
      </x:c>
      <x:c r="M22" s="7" t="str"/>
      <x:c r="N22" s="7" t="str">
        <x:v>Le livrable « Journal par mission et alias » possède une scène ou un scénario de contrôle ; ses règles proposées, ses conditions et ses retours visuels sont vérifiables séparément.</x:v>
      </x:c>
      <x:c r="O22" s="7" t="str">
        <x:v>ME2-SQ-CIT-ID</x:v>
      </x:c>
      <x:c r="P22" s="7" t="str">
        <x:v>Adaptation originale — spécification de production</x:v>
      </x:c>
      <x:c r="Q22" s="7" t="str"/>
      <x:c r="R22" s="21" t="str"/>
      <x:c r="S22" s="21" t="str">
        <x:v>Spécification à réaliser. Les champs adaptation, gameplay, visual, animation, audio et implementation décrivent le fan game ; ils ne donnent pas des caractéristiques officielles de l’œuvre.</x:v>
      </x:c>
    </x:row>
    <x:row r="23" ht="68" customHeight="1">
      <x:c r="A23" s="18" t="str">
        <x:v>ME2-SYS-ROMANCE</x:v>
      </x:c>
      <x:c r="B23" s="9" t="str">
        <x:v>Relations et consentement narratif</x:v>
      </x:c>
      <x:c r="C23" s="15" t="str">
        <x:v>Défini</x:v>
      </x:c>
      <x:c r="D23" s="16" t="str">
        <x:v>Extrapolation</x:v>
      </x:c>
      <x:c r="E23" s="16" t="str">
        <x:v>P0</x:v>
      </x:c>
      <x:c r="F23" s="9" t="str">
        <x:v>Livrable original proposé : Relations et consentement narratif.</x:v>
      </x:c>
      <x:c r="G23" s="9" t="str">
        <x:v>Drapeaux propres à chaque relation ; choix amoureux explicites et contrôle des conflits importés ; aucun flirt forcé par amabilité.</x:v>
      </x:c>
      <x:c r="H23" s="9" t="str">
        <x:v>Drapeaux propres à chaque relation ; choix amoureux explicites et contrôle des conflits importés ; aucun flirt forcé par amabilité.</x:v>
      </x:c>
      <x:c r="I23" s="9" t="str">
        <x:v>Portrait, intention et résumé d’engagement.</x:v>
      </x:c>
      <x:c r="J23" s="9" t="str">
        <x:v>Transitions de caméra et d’interface interruptibles ; aucun délai d’animation ne doit consommer une décision encore ouverte.</x:v>
      </x:c>
      <x:c r="K23" s="9" t="str">
        <x:v>Créer des bruitages et ambiances originaux adaptés au livrable ; sous-titrer les indices utiles et proposer un réglage indépendant des effets. Aucune extraction audio demandée.</x:v>
      </x:c>
      <x:c r="L23" s="9" t="str">
        <x:v>Prévu : fiche de données me2/systems/romance ; rattacher les ressources et états cités à cet identifiant. Aucun fichier de jeu créé par ce catalogue.</x:v>
      </x:c>
      <x:c r="M23" s="9" t="str"/>
      <x:c r="N23" s="9" t="str">
        <x:v>Le livrable « Relations et consentement narratif » possède une scène ou un scénario de contrôle ; ses règles proposées, ses conditions et ses retours visuels sont vérifiables séparément.</x:v>
      </x:c>
      <x:c r="O23" s="9" t="str">
        <x:v>ME2-CHR-SHEPARD</x:v>
      </x:c>
      <x:c r="P23" s="9" t="str">
        <x:v>Adaptation originale — spécification de production</x:v>
      </x:c>
      <x:c r="Q23" s="9" t="str"/>
      <x:c r="R23" s="20" t="str"/>
      <x:c r="S23" s="20" t="str">
        <x:v>Spécification à réaliser. Les champs adaptation, gameplay, visual, animation, audio et implementation décrivent le fan game ; ils ne donnent pas des caractéristiques officielles de l’œuvre.</x:v>
      </x:c>
    </x:row>
    <x:row r="24" ht="68" customHeight="1">
      <x:c r="A24" s="19" t="str">
        <x:v>ME2-SYS-PHOTO</x:v>
      </x:c>
      <x:c r="B24" s="7" t="str">
        <x:v>Caméra de production hybride</x:v>
      </x:c>
      <x:c r="C24" s="15" t="str">
        <x:v>Défini</x:v>
      </x:c>
      <x:c r="D24" s="17" t="str">
        <x:v>Extrapolation</x:v>
      </x:c>
      <x:c r="E24" s="17" t="str">
        <x:v>P0</x:v>
      </x:c>
      <x:c r="F24" s="7" t="str">
        <x:v>Livrable original proposé : Caméra de production hybride.</x:v>
      </x:c>
      <x:c r="G24" s="7" t="str">
        <x:v>Sprites à huit directions proposées, décors 3D et masques d’occlusion ; priorité de visibilité au groupe et aux télégraphes.</x:v>
      </x:c>
      <x:c r="H24" s="7" t="str">
        <x:v>Sprites à huit directions proposées, décors 3D et masques d’occlusion ; priorité de visibilité au groupe et aux télégraphes.</x:v>
      </x:c>
      <x:c r="I24" s="7" t="str">
        <x:v>Plan d’ombres et contours sélectionnables.</x:v>
      </x:c>
      <x:c r="J24" s="7" t="str">
        <x:v>Transitions de caméra et d’interface interruptibles ; aucun délai d’animation ne doit consommer une décision encore ouverte.</x:v>
      </x:c>
      <x:c r="K24" s="7" t="str">
        <x:v>Créer des bruitages et ambiances originaux adaptés au livrable ; sous-titrer les indices utiles et proposer un réglage indépendant des effets. Aucune extraction audio demandée.</x:v>
      </x:c>
      <x:c r="L24" s="7" t="str">
        <x:v>Prévu : fiche de données me2/systems/photo ; rattacher les ressources et états cités à cet identifiant. Aucun fichier de jeu créé par ce catalogue.</x:v>
      </x:c>
      <x:c r="M24" s="7" t="str"/>
      <x:c r="N24" s="7" t="str">
        <x:v>Le livrable « Caméra de production hybride » possède une scène ou un scénario de contrôle ; ses règles proposées, ses conditions et ses retours visuels sont vérifiables séparément.</x:v>
      </x:c>
      <x:c r="O24" s="7" t="str">
        <x:v>ME2-ZON-DANTIUS</x:v>
      </x:c>
      <x:c r="P24" s="7" t="str">
        <x:v>Adaptation originale — spécification de production</x:v>
      </x:c>
      <x:c r="Q24" s="7" t="str"/>
      <x:c r="R24" s="21" t="str"/>
      <x:c r="S24" s="21" t="str">
        <x:v>Spécification à réaliser. Les champs adaptation, gameplay, visual, animation, audio et implementation décrivent le fan game ; ils ne donnent pas des caractéristiques officielles de l’œuvre.</x:v>
      </x:c>
    </x:row>
    <x:row r="25" ht="68" customHeight="1">
      <x:c r="A25" s="18" t="str">
        <x:v>ME2-SYS-SAVE</x:v>
      </x:c>
      <x:c r="B25" s="9" t="str">
        <x:v>Sauvegarde d’états de mission</x:v>
      </x:c>
      <x:c r="C25" s="15" t="str">
        <x:v>Défini</x:v>
      </x:c>
      <x:c r="D25" s="16" t="str">
        <x:v>Extrapolation</x:v>
      </x:c>
      <x:c r="E25" s="16" t="str">
        <x:v>P0</x:v>
      </x:c>
      <x:c r="F25" s="9" t="str">
        <x:v>Livrable original proposé : Sauvegarde d’états de mission.</x:v>
      </x:c>
      <x:c r="G25" s="9" t="str">
        <x:v>Écrire inventaire, équipe et choix dans une transaction ; reprise interdit de rejouer les récompenses déjà confirmées.</x:v>
      </x:c>
      <x:c r="H25" s="9" t="str">
        <x:v>Écrire inventaire, équipe et choix dans une transaction ; reprise interdit de rejouer les récompenses déjà confirmées.</x:v>
      </x:c>
      <x:c r="I25" s="9" t="str">
        <x:v>Journal de sauvegarde daté et miniature de zone.</x:v>
      </x:c>
      <x:c r="J25" s="9" t="str">
        <x:v>Transitions de caméra et d’interface interruptibles ; aucun délai d’animation ne doit consommer une décision encore ouverte.</x:v>
      </x:c>
      <x:c r="K25" s="9" t="str">
        <x:v>Créer des bruitages et ambiances originaux adaptés au livrable ; sous-titrer les indices utiles et proposer un réglage indépendant des effets. Aucune extraction audio demandée.</x:v>
      </x:c>
      <x:c r="L25" s="9" t="str">
        <x:v>Prévu : fiche de données me2/systems/save ; rattacher les ressources et états cités à cet identifiant. Aucun fichier de jeu créé par ce catalogue.</x:v>
      </x:c>
      <x:c r="M25" s="9" t="str"/>
      <x:c r="N25" s="9" t="str">
        <x:v>Le livrable « Sauvegarde d’états de mission » possède une scène ou un scénario de contrôle ; ses règles proposées, ses conditions et ses retours visuels sont vérifiables séparément.</x:v>
      </x:c>
      <x:c r="O25" s="9" t="str">
        <x:v>ME2-MQ-FINAL</x:v>
      </x:c>
      <x:c r="P25" s="9" t="str">
        <x:v>Adaptation originale — spécification de production</x:v>
      </x:c>
      <x:c r="Q25" s="9" t="str"/>
      <x:c r="R25" s="20" t="str"/>
      <x:c r="S25" s="20" t="str">
        <x:v>Spécification à réaliser. Les champs adaptation, gameplay, visual, animation, audio et implementation décrivent le fan game ; ils ne donnent pas des caractéristiques officielles de l’œuvre.</x:v>
      </x:c>
    </x:row>
    <x:row r="26" ht="68" customHeight="1">
      <x:c r="A26" s="19" t="str">
        <x:v>ME2-SYS-EDITION</x:v>
      </x:c>
      <x:c r="B26" s="7" t="str">
        <x:v>Profils Original / Legendary</x:v>
      </x:c>
      <x:c r="C26" s="15" t="str">
        <x:v>Défini</x:v>
      </x:c>
      <x:c r="D26" s="17" t="str">
        <x:v>Extrapolation</x:v>
      </x:c>
      <x:c r="E26" s="17" t="str">
        <x:v>P0</x:v>
      </x:c>
      <x:c r="F26" s="7" t="str">
        <x:v>Livrable original proposé : Profils Original / Legendary.</x:v>
      </x:c>
      <x:c r="G26" s="7" t="str">
        <x:v>Distinguer disponibilité des DLC, acquisition d’équipement et ajustements officiels ; aucune dépendance au réseau Cerberus simulée requise pour jouer le fan game.</x:v>
      </x:c>
      <x:c r="H26" s="7" t="str">
        <x:v>Distinguer disponibilité des DLC, acquisition d’équipement et ajustements officiels ; aucune dépendance au réseau Cerberus simulée requise pour jouer le fan game.</x:v>
      </x:c>
      <x:c r="I26" s="7" t="str">
        <x:v>Étiquette d’édition dans options et fiches.</x:v>
      </x:c>
      <x:c r="J26" s="7" t="str">
        <x:v>Transitions de caméra et d’interface interruptibles ; aucun délai d’animation ne doit consommer une décision encore ouverte.</x:v>
      </x:c>
      <x:c r="K26" s="7" t="str">
        <x:v>Créer des bruitages et ambiances originaux adaptés au livrable ; sous-titrer les indices utiles et proposer un réglage indépendant des effets. Aucune extraction audio demandée.</x:v>
      </x:c>
      <x:c r="L26" s="7" t="str">
        <x:v>Prévu : fiche de données me2/systems/edition ; rattacher les ressources et états cités à cet identifiant. Aucun fichier de jeu créé par ce catalogue.</x:v>
      </x:c>
      <x:c r="M26" s="7" t="str"/>
      <x:c r="N26" s="7" t="str">
        <x:v>Le livrable « Profils Original / Legendary » possède une scène ou un scénario de contrôle ; ses règles proposées, ses conditions et ses retours visuels sont vérifiables séparément.</x:v>
      </x:c>
      <x:c r="O26" s="7" t="str">
        <x:v>ME2-EQP-RECON</x:v>
      </x:c>
      <x:c r="P26" s="7" t="str">
        <x:v>Adaptation originale — spécification de production</x:v>
      </x:c>
      <x:c r="Q26" s="7" t="str"/>
      <x:c r="R26" s="21" t="str"/>
      <x:c r="S26" s="21" t="str">
        <x:v>Spécification à réaliser. Les champs adaptation, gameplay, visual, animation, audio et implementation décrivent le fan game ; ils ne donnent pas des caractéristiques officielles de l’œuvre.</x:v>
      </x:c>
    </x:row>
  </x:sheetData>
  <x:conditionalFormatting sqref="D7:D26">
    <x:cfRule type="cellIs" dxfId="92" priority="1" operator="equal">
      <x:formula>"À vérifier"</x:formula>
    </x:cfRule>
    <x:cfRule type="cellIs" dxfId="93" priority="2" operator="equal">
      <x:formula>"Extrapolation"</x:formula>
    </x:cfRule>
  </x:conditionalFormatting>
  <x:conditionalFormatting sqref="C7:C26">
    <x:cfRule type="cellIs" dxfId="94" priority="3" operator="equal">
      <x:formula>"Validé"</x:formula>
    </x:cfRule>
  </x:conditionalFormatting>
  <x:conditionalFormatting sqref="E7:E26">
    <x:cfRule type="cellIs" dxfId="95" priority="4" operator="equal">
      <x:formula>"P0"</x:formula>
    </x:cfRule>
  </x:conditionalFormatting>
  <x:dataValidations count="3">
    <x:dataValidation type="list" sqref="C7:C26">
      <x:formula1>"Défini,Prototype,Intégré,Validé"</x:formula1>
    </x:dataValidation>
    <x:dataValidation type="list" sqref="D7:D26">
      <x:formula1>"Établi,À vérifier,Extrapolation,Coupé attesté,Concept abandonné,Allégation écartée"</x:formula1>
    </x:dataValidation>
    <x:dataValidation type="list" sqref="E7:E26">
      <x:formula1>"P0,P1,P2"</x:formula1>
    </x:dataValidation>
  </x:dataValidations>
  <x:pageMargins left="0.7" right="0.7" top="0.75" bottom="0.75" header="0.3" footer="0.3"/>
  <x:tableParts count="1">
    <x:tablePart xmlns:r="http://schemas.openxmlformats.org/officeDocument/2006/relationships" r:id="Rfec77753785847dc"/>
  </x:tableParts>
</x:worksheet>
</file>

<file path=xl/worksheets/sheet2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QA</x:v>
      </x:c>
      <x:c r="B2" s="2"/>
      <x:c r="C2" s="2"/>
      <x:c r="D2" s="2"/>
      <x:c r="E2" s="2"/>
      <x:c r="F2" s="2"/>
      <x:c r="G2" s="2"/>
      <x:c r="H2" s="2"/>
      <x:c r="I2" s="2"/>
      <x:c r="J2" s="2"/>
      <x:c r="K2" s="2"/>
      <x:c r="L2" s="2"/>
      <x:c r="M2" s="2"/>
      <x:c r="N2" s="2"/>
      <x:c r="O2" s="2"/>
      <x:c r="P2" s="2"/>
      <x:c r="Q2" s="2"/>
      <x:c r="R2" s="2"/>
      <x:c r="S2" s="2"/>
    </x:row>
    <x:row r="3" ht="22" customHeight="1">
      <x:c r="A3" s="4" t="str">
        <x:v>Mass Effect 2 — Critères de test et contrôles de fidélité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ME2-QA-SQUAD-MORINTH</x:v>
      </x:c>
      <x:c r="B7" s="9" t="str">
        <x:v>QA — exclusivité Samara / Morinth</x:v>
      </x:c>
      <x:c r="C7" s="15" t="str">
        <x:v>Défini</x:v>
      </x:c>
      <x:c r="D7" s="16" t="str">
        <x:v>Extrapolation</x:v>
      </x:c>
      <x:c r="E7" s="16" t="str">
        <x:v>P1</x:v>
      </x:c>
      <x:c r="F7" s="9" t="str">
        <x:v>Livrable original proposé : QA — exclusivité Samara / Morinth.</x:v>
      </x:c>
      <x:c r="G7" s="9" t="str">
        <x:v>Charger chaque issue de loyauté ; vérifier qu’un seul emplacement est sélectionnable et que les dialogues reflètent l’identité connue.</x:v>
      </x:c>
      <x:c r="H7" s="9" t="str">
        <x:v>Charger chaque issue de loyauté ; vérifier qu’un seul emplacement est sélectionnable et que les dialogues reflètent l’identité connue.</x:v>
      </x:c>
      <x:c r="I7" s="9" t="str">
        <x:v>Captures avant/après choix et grille d’équipe.</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me2/qa/squad-morinth ; rattacher les ressources et états cités à cet identifiant. Aucun fichier de jeu créé par ce catalogue.</x:v>
      </x:c>
      <x:c r="M7" s="9" t="str"/>
      <x:c r="N7" s="9" t="str">
        <x:v>Le livrable « QA — exclusivité Samara / Morinth » possède une scène ou un scénario de contrôle ; ses règles proposées, ses conditions et ses retours visuels sont vérifiables séparément.</x:v>
      </x:c>
      <x:c r="O7" s="9" t="str">
        <x:v>ME2-CHO-SAMARA</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ME2-QA-TALI-PROOF</x:v>
      </x:c>
      <x:c r="B8" s="7" t="str">
        <x:v>QA — procès de Tali</x:v>
      </x:c>
      <x:c r="C8" s="15" t="str">
        <x:v>Défini</x:v>
      </x:c>
      <x:c r="D8" s="17" t="str">
        <x:v>Extrapolation</x:v>
      </x:c>
      <x:c r="E8" s="17" t="str">
        <x:v>P1</x:v>
      </x:c>
      <x:c r="F8" s="7" t="str">
        <x:v>Livrable original proposé : QA — procès de Tali.</x:v>
      </x:c>
      <x:c r="G8" s="7" t="str">
        <x:v>Tester acquittement, exil et usage/refus de preuve ; vérifier verdict, loyauté et nom sans confondre les états.</x:v>
      </x:c>
      <x:c r="H8" s="7" t="str">
        <x:v>Tester acquittement, exil et usage/refus de preuve ; vérifier verdict, loyauté et nom sans confondre les états.</x:v>
      </x:c>
      <x:c r="I8" s="7" t="str">
        <x:v>Table de vérité narrative.</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me2/qa/tali-proof ; rattacher les ressources et états cités à cet identifiant. Aucun fichier de jeu créé par ce catalogue.</x:v>
      </x:c>
      <x:c r="M8" s="7" t="str"/>
      <x:c r="N8" s="7" t="str">
        <x:v>Le livrable « QA — procès de Tali » possède une scène ou un scénario de contrôle ; ses règles proposées, ses conditions et ses retours visuels sont vérifiables séparément.</x:v>
      </x:c>
      <x:c r="O8" s="7" t="str">
        <x:v>ME2-CHO-TALI-PROOF</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ME2-QA-IFF</x:v>
      </x:c>
      <x:c r="B9" s="9" t="str">
        <x:v>QA — compteur de missions IFF</x:v>
      </x:c>
      <x:c r="C9" s="15" t="str">
        <x:v>Défini</x:v>
      </x:c>
      <x:c r="D9" s="16" t="str">
        <x:v>Extrapolation</x:v>
      </x:c>
      <x:c r="E9" s="16" t="str">
        <x:v>P1</x:v>
      </x:c>
      <x:c r="F9" s="9" t="str">
        <x:v>Livrable original proposé : QA — compteur de missions IFF.</x:v>
      </x:c>
      <x:c r="G9" s="9" t="str">
        <x:v>Rejouer un parcours avec missions restantes puis un parcours achevé ; les menus et achats n’ajoutent aucune unité de délai.</x:v>
      </x:c>
      <x:c r="H9" s="9" t="str">
        <x:v>Rejouer un parcours avec missions restantes puis un parcours achevé ; les menus et achats n’ajoutent aucune unité de délai.</x:v>
      </x:c>
      <x:c r="I9" s="9" t="str">
        <x:v>Chronologie d’événements.</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me2/qa/iff ; rattacher les ressources et états cités à cet identifiant. Aucun fichier de jeu créé par ce catalogue.</x:v>
      </x:c>
      <x:c r="M9" s="9" t="str"/>
      <x:c r="N9" s="9" t="str">
        <x:v>Le livrable « QA — compteur de missions IFF » possède une scène ou un scénario de contrôle ; ses règles proposées, ses conditions et ses retours visuels sont vérifiables séparément.</x:v>
      </x:c>
      <x:c r="O9" s="9" t="str">
        <x:v>ME2-SYS-IFF-CLOCK</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ME2-QA-CREW</x:v>
      </x:c>
      <x:c r="B10" s="7" t="str">
        <x:v>QA — délais après enlèvement</x:v>
      </x:c>
      <x:c r="C10" s="15" t="str">
        <x:v>Défini</x:v>
      </x:c>
      <x:c r="D10" s="17" t="str">
        <x:v>Extrapolation</x:v>
      </x:c>
      <x:c r="E10" s="17" t="str">
        <x:v>P1</x:v>
      </x:c>
      <x:c r="F10" s="7" t="str">
        <x:v>Livrable original proposé : QA — délais après enlèvement.</x:v>
      </x:c>
      <x:c r="G10" s="7" t="str">
        <x:v>Comparer départ immédiat et départ retardé ; vérifier les captifs, l’escorte et les scènes sans duplication de survivants.</x:v>
      </x:c>
      <x:c r="H10" s="7" t="str">
        <x:v>Comparer départ immédiat et départ retardé ; vérifier les captifs, l’escorte et les scènes sans duplication de survivants.</x:v>
      </x:c>
      <x:c r="I10" s="7" t="str">
        <x:v>Liste de PNJ attendus par branche.</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me2/qa/crew ; rattacher les ressources et états cités à cet identifiant. Aucun fichier de jeu créé par ce catalogue.</x:v>
      </x:c>
      <x:c r="M10" s="7" t="str"/>
      <x:c r="N10" s="7" t="str">
        <x:v>Le livrable « QA — délais après enlèvement » possède une scène ou un scénario de contrôle ; ses règles proposées, ses conditions et ses retours visuels sont vérifiables séparément.</x:v>
      </x:c>
      <x:c r="O10" s="7" t="str">
        <x:v>ME2-CHO-DELAY</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ME2-QA-SHIP</x:v>
      </x:c>
      <x:c r="B11" s="9" t="str">
        <x:v>QA — améliorations du Normandy</x:v>
      </x:c>
      <x:c r="C11" s="15" t="str">
        <x:v>Défini</x:v>
      </x:c>
      <x:c r="D11" s="16" t="str">
        <x:v>Extrapolation</x:v>
      </x:c>
      <x:c r="E11" s="16" t="str">
        <x:v>P1</x:v>
      </x:c>
      <x:c r="F11" s="9" t="str">
        <x:v>Livrable original proposé : QA — améliorations du Normandy.</x:v>
      </x:c>
      <x:c r="G11" s="9" t="str">
        <x:v>Tester absence puis présence des trois améliorations critiques ; chaque conséquence survient à la bonne étape de l’approche.</x:v>
      </x:c>
      <x:c r="H11" s="9" t="str">
        <x:v>Tester absence puis présence des trois améliorations critiques ; chaque conséquence survient à la bonne étape de l’approche.</x:v>
      </x:c>
      <x:c r="I11" s="9" t="str">
        <x:v>Journal de scène et identité des victimes conditionnelles.</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me2/qa/ship ; rattacher les ressources et états cités à cet identifiant. Aucun fichier de jeu créé par ce catalogue.</x:v>
      </x:c>
      <x:c r="M11" s="9" t="str"/>
      <x:c r="N11" s="9" t="str">
        <x:v>Le livrable « QA — améliorations du Normandy » possède une scène ou un scénario de contrôle ; ses règles proposées, ses conditions et ses retours visuels sont vérifiables séparément.</x:v>
      </x:c>
      <x:c r="O11" s="9" t="str">
        <x:v>ME2-SYS-SUICIDE</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ME2-QA-TECH</x:v>
      </x:c>
      <x:c r="B12" s="7" t="str">
        <x:v>QA — technicien et chef de diversion</x:v>
      </x:c>
      <x:c r="C12" s="15" t="str">
        <x:v>Défini</x:v>
      </x:c>
      <x:c r="D12" s="17" t="str">
        <x:v>Extrapolation</x:v>
      </x:c>
      <x:c r="E12" s="17" t="str">
        <x:v>P1</x:v>
      </x:c>
      <x:c r="F12" s="7" t="str">
        <x:v>Livrable original proposé : QA — technicien et chef de diversion.</x:v>
      </x:c>
      <x:c r="G12" s="7" t="str">
        <x:v>Tester candidat adapté loyal, adapté non loyal et inadapté ; un bon technicien ne compense pas automatiquement un chef incorrect.</x:v>
      </x:c>
      <x:c r="H12" s="7" t="str">
        <x:v>Tester candidat adapté loyal, adapté non loyal et inadapté ; un bon technicien ne compense pas automatiquement un chef incorrect.</x:v>
      </x:c>
      <x:c r="I12" s="7" t="str">
        <x:v>Table de rôles et résultat du sas.</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me2/qa/tech ; rattacher les ressources et états cités à cet identifiant. Aucun fichier de jeu créé par ce catalogue.</x:v>
      </x:c>
      <x:c r="M12" s="7" t="str"/>
      <x:c r="N12" s="7" t="str">
        <x:v>Le livrable « QA — technicien et chef de diversion » possède une scène ou un scénario de contrôle ; ses règles proposées, ses conditions et ses retours visuels sont vérifiables séparément.</x:v>
      </x:c>
      <x:c r="O12" s="7" t="str">
        <x:v>ME2-CHO-SPECIALIST, ME2-CHO-FIRETEAM</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ME2-QA-BIOTIC</x:v>
      </x:c>
      <x:c r="B13" s="9" t="str">
        <x:v>QA — barrière et escorte</x:v>
      </x:c>
      <x:c r="C13" s="15" t="str">
        <x:v>Défini</x:v>
      </x:c>
      <x:c r="D13" s="16" t="str">
        <x:v>Extrapolation</x:v>
      </x:c>
      <x:c r="E13" s="16" t="str">
        <x:v>P1</x:v>
      </x:c>
      <x:c r="F13" s="9" t="str">
        <x:v>Livrable original proposé : QA — barrière et escorte.</x:v>
      </x:c>
      <x:c r="G13" s="9" t="str">
        <x:v>Comparer biotique approprié et autre candidat ; vérifier que l’escorte quitte bien la liste du groupe final.</x:v>
      </x:c>
      <x:c r="H13" s="9" t="str">
        <x:v>Comparer biotique approprié et autre candidat ; vérifier que l’escorte quitte bien la liste du groupe final.</x:v>
      </x:c>
      <x:c r="I13" s="9" t="str">
        <x:v>Jauge de barrière et registre d’affectation.</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me2/qa/biotic ; rattacher les ressources et états cités à cet identifiant. Aucun fichier de jeu créé par ce catalogue.</x:v>
      </x:c>
      <x:c r="M13" s="9" t="str"/>
      <x:c r="N13" s="9" t="str">
        <x:v>Le livrable « QA — barrière et escorte » possède une scène ou un scénario de contrôle ; ses règles proposées, ses conditions et ses retours visuels sont vérifiables séparément.</x:v>
      </x:c>
      <x:c r="O13" s="9" t="str">
        <x:v>ME2-CHO-BIOTIC, ME2-CHO-ESCORT</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ME2-QA-HOLDLINE</x:v>
      </x:c>
      <x:c r="B14" s="7" t="str">
        <x:v>QA — défense arrière</x:v>
      </x:c>
      <x:c r="C14" s="15" t="str">
        <x:v>Défini</x:v>
      </x:c>
      <x:c r="D14" s="17" t="str">
        <x:v>Extrapolation</x:v>
      </x:c>
      <x:c r="E14" s="17" t="str">
        <x:v>P1</x:v>
      </x:c>
      <x:c r="F14" s="7" t="str">
        <x:v>Livrable original proposé : QA — défense arrière.</x:v>
      </x:c>
      <x:c r="G14" s="7" t="str">
        <x:v>Tester plusieurs répartitions de survivants, loyautés et membres emmenés au boss ; aucun membre ne défend en deux lieux.</x:v>
      </x:c>
      <x:c r="H14" s="7" t="str">
        <x:v>Tester plusieurs répartitions de survivants, loyautés et membres emmenés au boss ; aucun membre ne défend en deux lieux.</x:v>
      </x:c>
      <x:c r="I14" s="7" t="str">
        <x:v>Journal d’évaluation et bilan final.</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me2/qa/holdline ; rattacher les ressources et états cités à cet identifiant. Aucun fichier de jeu créé par ce catalogue.</x:v>
      </x:c>
      <x:c r="M14" s="7" t="str"/>
      <x:c r="N14" s="7" t="str">
        <x:v>Le livrable « QA — défense arrière » possède une scène ou un scénario de contrôle ; ses règles proposées, ses conditions et ses retours visuels sont vérifiables séparément.</x:v>
      </x:c>
      <x:c r="O14" s="7" t="str">
        <x:v>ME2-SYS-SUICIDE</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ME2-QA-SHEPARD-DEATH</x:v>
      </x:c>
      <x:c r="B15" s="9" t="str">
        <x:v>QA — issue sans survie de Shepard</x:v>
      </x:c>
      <x:c r="C15" s="15" t="str">
        <x:v>Défini</x:v>
      </x:c>
      <x:c r="D15" s="16" t="str">
        <x:v>Extrapolation</x:v>
      </x:c>
      <x:c r="E15" s="16" t="str">
        <x:v>P1</x:v>
      </x:c>
      <x:c r="F15" s="9" t="str">
        <x:v>Livrable original proposé : QA — issue sans survie de Shepard.</x:v>
      </x:c>
      <x:c r="G15" s="9" t="str">
        <x:v>Déclencher l’issue d’échec final admissible ; pas de retour libre ni d’import de héros vivant généré par défaut.</x:v>
      </x:c>
      <x:c r="H15" s="9" t="str">
        <x:v>Déclencher l’issue d’échec final admissible ; pas de retour libre ni d’import de héros vivant généré par défaut.</x:v>
      </x:c>
      <x:c r="I15" s="9" t="str">
        <x:v>Écran de fin et métadonnées de partie.</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me2/qa/shepard-death ; rattacher les ressources et états cités à cet identifiant. Aucun fichier de jeu créé par ce catalogue.</x:v>
      </x:c>
      <x:c r="M15" s="9" t="str"/>
      <x:c r="N15" s="9" t="str">
        <x:v>Le livrable « QA — issue sans survie de Shepard » possède une scène ou un scénario de contrôle ; ses règles proposées, ses conditions et ses retours visuels sont vérifiables séparément.</x:v>
      </x:c>
      <x:c r="O15" s="9" t="str">
        <x:v>ME2-MQ-FINAL</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ME2-QA-HAESTROM</x:v>
      </x:c>
      <x:c r="B16" s="7" t="str">
        <x:v>QA — soleil et ombre</x:v>
      </x:c>
      <x:c r="C16" s="15" t="str">
        <x:v>Défini</x:v>
      </x:c>
      <x:c r="D16" s="17" t="str">
        <x:v>Extrapolation</x:v>
      </x:c>
      <x:c r="E16" s="17" t="str">
        <x:v>P1</x:v>
      </x:c>
      <x:c r="F16" s="7" t="str">
        <x:v>Livrable original proposé : QA — soleil et ombre.</x:v>
      </x:c>
      <x:c r="G16" s="7" t="str">
        <x:v>Tracer les limites d’exposition sur les parcours ; ombre visuelle et protection réelle restent alignées après rotation caméra.</x:v>
      </x:c>
      <x:c r="H16" s="7" t="str">
        <x:v>Tracer les limites d’exposition sur les parcours ; ombre visuelle et protection réelle restent alignées après rotation caméra.</x:v>
      </x:c>
      <x:c r="I16" s="7" t="str">
        <x:v>Carte thermique de zone.</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me2/qa/haestrom ; rattacher les ressources et états cités à cet identifiant. Aucun fichier de jeu créé par ce catalogue.</x:v>
      </x:c>
      <x:c r="M16" s="7" t="str"/>
      <x:c r="N16" s="7" t="str">
        <x:v>Le livrable « QA — soleil et ombre » possède une scène ou un scénario de contrôle ; ses règles proposées, ses conditions et ses retours visuels sont vérifiables séparément.</x:v>
      </x:c>
      <x:c r="O16" s="7" t="str">
        <x:v>ME2-WRL-HAESTROM</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ME2-QA-JOKER</x:v>
      </x:c>
      <x:c r="B17" s="9" t="str">
        <x:v>QA — chemin Joker</x:v>
      </x:c>
      <x:c r="C17" s="15" t="str">
        <x:v>Défini</x:v>
      </x:c>
      <x:c r="D17" s="16" t="str">
        <x:v>Extrapolation</x:v>
      </x:c>
      <x:c r="E17" s="16" t="str">
        <x:v>P1</x:v>
      </x:c>
      <x:c r="F17" s="9" t="str">
        <x:v>Livrable original proposé : QA — chemin Joker.</x:v>
      </x:c>
      <x:c r="G17" s="9" t="str">
        <x:v>Rejouer la séquence à vitesse minimale et avec aide ; vérifier qu’un personnage sans sprint combat peut atteindre chaque abri prévu.</x:v>
      </x:c>
      <x:c r="H17" s="9" t="str">
        <x:v>Rejouer la séquence à vitesse minimale et avec aide ; vérifier qu’un personnage sans sprint combat peut atteindre chaque abri prévu.</x:v>
      </x:c>
      <x:c r="I17" s="9" t="str">
        <x:v>Trajets annotés et temps d’événements proposés.</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me2/qa/joker ; rattacher les ressources et états cités à cet identifiant. Aucun fichier de jeu créé par ce catalogue.</x:v>
      </x:c>
      <x:c r="M17" s="9" t="str"/>
      <x:c r="N17" s="9" t="str">
        <x:v>Le livrable « QA — chemin Joker » possède une scène ou un scénario de contrôle ; ses règles proposées, ses conditions et ses retours visuels sont vérifiables séparément.</x:v>
      </x:c>
      <x:c r="O17" s="9" t="str">
        <x:v>ME2-MQ-ABDUCTION</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ME2-QA-THANE</x:v>
      </x:c>
      <x:c r="B18" s="7" t="str">
        <x:v>QA — filature sans combat</x:v>
      </x:c>
      <x:c r="C18" s="15" t="str">
        <x:v>Défini</x:v>
      </x:c>
      <x:c r="D18" s="17" t="str">
        <x:v>Extrapolation</x:v>
      </x:c>
      <x:c r="E18" s="17" t="str">
        <x:v>P1</x:v>
      </x:c>
      <x:c r="F18" s="7" t="str">
        <x:v>Livrable original proposé : QA — filature sans combat.</x:v>
      </x:c>
      <x:c r="G18" s="7" t="str">
        <x:v>Tester perte de cible, reprise et rapport dans chaque fenêtre ; aucune attaque indispensable n’est ajoutée.</x:v>
      </x:c>
      <x:c r="H18" s="7" t="str">
        <x:v>Tester perte de cible, reprise et rapport dans chaque fenêtre ; aucune attaque indispensable n’est ajoutée.</x:v>
      </x:c>
      <x:c r="I18" s="7" t="str">
        <x:v>Trace du suivi de Talid.</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me2/qa/thane ; rattacher les ressources et états cités à cet identifiant. Aucun fichier de jeu créé par ce catalogue.</x:v>
      </x:c>
      <x:c r="M18" s="7" t="str"/>
      <x:c r="N18" s="7" t="str">
        <x:v>Le livrable « QA — filature sans combat » possède une scène ou un scénario de contrôle ; ses règles proposées, ses conditions et ses retours visuels sont vérifiables séparément.</x:v>
      </x:c>
      <x:c r="O18" s="7" t="str">
        <x:v>ME2-MQ-LOY-THANE</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ME2-QA-ZAEED</x:v>
      </x:c>
      <x:c r="B19" s="9" t="str">
        <x:v>QA — routes de raffinerie</x:v>
      </x:c>
      <x:c r="C19" s="15" t="str">
        <x:v>Défini</x:v>
      </x:c>
      <x:c r="D19" s="16" t="str">
        <x:v>Extrapolation</x:v>
      </x:c>
      <x:c r="E19" s="16" t="str">
        <x:v>P1</x:v>
      </x:c>
      <x:c r="F19" s="9" t="str">
        <x:v>Livrable original proposé : QA — routes de raffinerie.</x:v>
      </x:c>
      <x:c r="G19" s="9" t="str">
        <x:v>Comparer secours et poursuite ; vérifier état de travailleurs, Vido et loyauté séparés ; aucun loot inaccessible requis pour sortir.</x:v>
      </x:c>
      <x:c r="H19" s="9" t="str">
        <x:v>Comparer secours et poursuite ; vérifier état de travailleurs, Vido et loyauté séparés ; aucun loot inaccessible requis pour sortir.</x:v>
      </x:c>
      <x:c r="I19" s="9" t="str">
        <x:v>Graphe de mission annoté.</x:v>
      </x:c>
      <x:c r="J19" s="9" t="str">
        <x:v>Transitions de caméra et d’interface interruptibles ; aucun délai d’animation ne doit consommer une décision encore ouverte.</x:v>
      </x:c>
      <x:c r="K19" s="9" t="str">
        <x:v>Créer des bruitages et ambiances originaux adaptés au livrable ; sous-titrer les indices utiles et proposer un réglage indépendant des effets. Aucune extraction audio demandée.</x:v>
      </x:c>
      <x:c r="L19" s="9" t="str">
        <x:v>Prévu : fiche de données me2/qa/zaeed ; rattacher les ressources et états cités à cet identifiant. Aucun fichier de jeu créé par ce catalogue.</x:v>
      </x:c>
      <x:c r="M19" s="9" t="str"/>
      <x:c r="N19" s="9" t="str">
        <x:v>Le livrable « QA — routes de raffinerie » possède une scène ou un scénario de contrôle ; ses règles proposées, ses conditions et ses retours visuels sont vérifiables séparément.</x:v>
      </x:c>
      <x:c r="O19" s="9" t="str">
        <x:v>ME2-MQ-ZAEED-LOY</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ME2-QA-SHADOW</x:v>
      </x:c>
      <x:c r="B20" s="7" t="str">
        <x:v>QA — Liara et Shadow Broker</x:v>
      </x:c>
      <x:c r="C20" s="15" t="str">
        <x:v>Défini</x:v>
      </x:c>
      <x:c r="D20" s="17" t="str">
        <x:v>Extrapolation</x:v>
      </x:c>
      <x:c r="E20" s="17" t="str">
        <x:v>P1</x:v>
      </x:c>
      <x:c r="F20" s="7" t="str">
        <x:v>Livrable original proposé : QA — Liara et Shadow Broker.</x:v>
      </x:c>
      <x:c r="G20" s="7" t="str">
        <x:v>Passer du duo DLC à l’équipe permanente ; Liara ne reste pas sélectionnable hors périmètre par accident.</x:v>
      </x:c>
      <x:c r="H20" s="7" t="str">
        <x:v>Passer du duo DLC à l’équipe permanente ; Liara ne reste pas sélectionnable hors périmètre par accident.</x:v>
      </x:c>
      <x:c r="I20" s="7" t="str">
        <x:v>Roster avant, pendant et après DLC.</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me2/qa/shadow ; rattacher les ressources et états cités à cet identifiant. Aucun fichier de jeu créé par ce catalogue.</x:v>
      </x:c>
      <x:c r="M20" s="7" t="str"/>
      <x:c r="N20" s="7" t="str">
        <x:v>Le livrable « QA — Liara et Shadow Broker » possède une scène ou un scénario de contrôle ; ses règles proposées, ses conditions et ses retours visuels sont vérifiables séparément.</x:v>
      </x:c>
      <x:c r="O20" s="7" t="str">
        <x:v>ME2-CHR-LIARA</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68" customHeight="1">
      <x:c r="A21" s="18" t="str">
        <x:v>ME2-QA-OVERLORD</x:v>
      </x:c>
      <x:c r="B21" s="9" t="str">
        <x:v>QA — verrous d’Aite</x:v>
      </x:c>
      <x:c r="C21" s="15" t="str">
        <x:v>Défini</x:v>
      </x:c>
      <x:c r="D21" s="16" t="str">
        <x:v>Extrapolation</x:v>
      </x:c>
      <x:c r="E21" s="16" t="str">
        <x:v>P1</x:v>
      </x:c>
      <x:c r="F21" s="9" t="str">
        <x:v>Livrable original proposé : QA — verrous d’Aite.</x:v>
      </x:c>
      <x:c r="G21" s="9" t="str">
        <x:v>Faire Vulcan puis Prometheus et l’ordre inverse ; Atlas s’ouvre une fois et conserve les collectibles déjà pris.</x:v>
      </x:c>
      <x:c r="H21" s="9" t="str">
        <x:v>Faire Vulcan puis Prometheus et l’ordre inverse ; Atlas s’ouvre une fois et conserve les collectibles déjà pris.</x:v>
      </x:c>
      <x:c r="I21" s="9" t="str">
        <x:v>Table d’états des stations.</x:v>
      </x:c>
      <x:c r="J21" s="9" t="str">
        <x:v>Transitions de caméra et d’interface interruptibles ; aucun délai d’animation ne doit consommer une décision encore ouverte.</x:v>
      </x:c>
      <x:c r="K21" s="9" t="str">
        <x:v>Créer des bruitages et ambiances originaux adaptés au livrable ; sous-titrer les indices utiles et proposer un réglage indépendant des effets. Aucune extraction audio demandée.</x:v>
      </x:c>
      <x:c r="L21" s="9" t="str">
        <x:v>Prévu : fiche de données me2/qa/overlord ; rattacher les ressources et états cités à cet identifiant. Aucun fichier de jeu créé par ce catalogue.</x:v>
      </x:c>
      <x:c r="M21" s="9" t="str"/>
      <x:c r="N21" s="9" t="str">
        <x:v>Le livrable « QA — verrous d’Aite » possède une scène ou un scénario de contrôle ; ses règles proposées, ses conditions et ses retours visuels sont vérifiables séparément.</x:v>
      </x:c>
      <x:c r="O21" s="9" t="str">
        <x:v>ME2-MQ-OVERLORD</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row r="22" ht="68" customHeight="1">
      <x:c r="A22" s="19" t="str">
        <x:v>ME2-QA-ARRIVAL</x:v>
      </x:c>
      <x:c r="B22" s="7" t="str">
        <x:v>QA — mission solo et variant Harbinger</x:v>
      </x:c>
      <x:c r="C22" s="15" t="str">
        <x:v>Défini</x:v>
      </x:c>
      <x:c r="D22" s="17" t="str">
        <x:v>Extrapolation</x:v>
      </x:c>
      <x:c r="E22" s="17" t="str">
        <x:v>P1</x:v>
      </x:c>
      <x:c r="F22" s="7" t="str">
        <x:v>Livrable original proposé : QA — mission solo et variant Harbinger.</x:v>
      </x:c>
      <x:c r="G22" s="7" t="str">
        <x:v>Lancer Arrival avant et après le final ME2 ; groupe temporaire et scène de communication suivent le bon état.</x:v>
      </x:c>
      <x:c r="H22" s="7" t="str">
        <x:v>Lancer Arrival avant et après le final ME2 ; groupe temporaire et scène de communication suivent le bon état.</x:v>
      </x:c>
      <x:c r="I22" s="7" t="str">
        <x:v>Comparaison de dialogues et roster.</x:v>
      </x:c>
      <x:c r="J22" s="7" t="str">
        <x:v>Transitions de caméra et d’interface interruptibles ; aucun délai d’animation ne doit consommer une décision encore ouverte.</x:v>
      </x:c>
      <x:c r="K22" s="7" t="str">
        <x:v>Créer des bruitages et ambiances originaux adaptés au livrable ; sous-titrer les indices utiles et proposer un réglage indépendant des effets. Aucune extraction audio demandée.</x:v>
      </x:c>
      <x:c r="L22" s="7" t="str">
        <x:v>Prévu : fiche de données me2/qa/arrival ; rattacher les ressources et états cités à cet identifiant. Aucun fichier de jeu créé par ce catalogue.</x:v>
      </x:c>
      <x:c r="M22" s="7" t="str"/>
      <x:c r="N22" s="7" t="str">
        <x:v>Le livrable « QA — mission solo et variant Harbinger » possède une scène ou un scénario de contrôle ; ses règles proposées, ses conditions et ses retours visuels sont vérifiables séparément.</x:v>
      </x:c>
      <x:c r="O22" s="7" t="str">
        <x:v>ME2-MQ-ARRIVAL</x:v>
      </x:c>
      <x:c r="P22" s="7" t="str">
        <x:v>Adaptation originale — spécification de production</x:v>
      </x:c>
      <x:c r="Q22" s="7" t="str"/>
      <x:c r="R22" s="21" t="str"/>
      <x:c r="S22" s="21" t="str">
        <x:v>Spécification à réaliser. Les champs adaptation, gameplay, visual, animation, audio et implementation décrivent le fan game ; ils ne donnent pas des caractéristiques officielles de l’œuvre.</x:v>
      </x:c>
    </x:row>
    <x:row r="23" ht="68" customHeight="1">
      <x:c r="A23" s="18" t="str">
        <x:v>ME2-QA-FIRE-COLD</x:v>
      </x:c>
      <x:c r="B23" s="9" t="str">
        <x:v>QA — panne de froid Firewalker</x:v>
      </x:c>
      <x:c r="C23" s="15" t="str">
        <x:v>Défini</x:v>
      </x:c>
      <x:c r="D23" s="16" t="str">
        <x:v>Extrapolation</x:v>
      </x:c>
      <x:c r="E23" s="16" t="str">
        <x:v>P1</x:v>
      </x:c>
      <x:c r="F23" s="9" t="str">
        <x:v>Livrable original proposé : QA — panne de froid Firewalker.</x:v>
      </x:c>
      <x:c r="G23" s="9" t="str">
        <x:v>Laisser le moteur geler puis réussir toutes les sondes ; résultat partiel sans écran de mort inventé.</x:v>
      </x:c>
      <x:c r="H23" s="9" t="str">
        <x:v>Laisser le moteur geler puis réussir toutes les sondes ; résultat partiel sans écran de mort inventé.</x:v>
      </x:c>
      <x:c r="I23" s="9" t="str">
        <x:v>Bilan de ressources et retour Normandy.</x:v>
      </x:c>
      <x:c r="J23" s="9" t="str">
        <x:v>Transitions de caméra et d’interface interruptibles ; aucun délai d’animation ne doit consommer une décision encore ouverte.</x:v>
      </x:c>
      <x:c r="K23" s="9" t="str">
        <x:v>Créer des bruitages et ambiances originaux adaptés au livrable ; sous-titrer les indices utiles et proposer un réglage indépendant des effets. Aucune extraction audio demandée.</x:v>
      </x:c>
      <x:c r="L23" s="9" t="str">
        <x:v>Prévu : fiche de données me2/qa/fire-cold ; rattacher les ressources et états cités à cet identifiant. Aucun fichier de jeu créé par ce catalogue.</x:v>
      </x:c>
      <x:c r="M23" s="9" t="str"/>
      <x:c r="N23" s="9" t="str">
        <x:v>Le livrable « QA — panne de froid Firewalker » possède une scène ou un scénario de contrôle ; ses règles proposées, ses conditions et ses retours visuels sont vérifiables séparément.</x:v>
      </x:c>
      <x:c r="O23" s="9" t="str">
        <x:v>ME2-SQ-FIRE-COLD</x:v>
      </x:c>
      <x:c r="P23" s="9" t="str">
        <x:v>Adaptation originale — spécification de production</x:v>
      </x:c>
      <x:c r="Q23" s="9" t="str"/>
      <x:c r="R23" s="20" t="str"/>
      <x:c r="S23" s="20" t="str">
        <x:v>Spécification à réaliser. Les champs adaptation, gameplay, visual, animation, audio et implementation décrivent le fan game ; ils ne donnent pas des caractéristiques officielles de l’œuvre.</x:v>
      </x:c>
    </x:row>
    <x:row r="24" ht="68" customHeight="1">
      <x:c r="A24" s="19" t="str">
        <x:v>ME2-QA-SOURCES</x:v>
      </x:c>
      <x:c r="B24" s="7" t="str">
        <x:v>QA — titres et provenance</x:v>
      </x:c>
      <x:c r="C24" s="15" t="str">
        <x:v>Défini</x:v>
      </x:c>
      <x:c r="D24" s="17" t="str">
        <x:v>Extrapolation</x:v>
      </x:c>
      <x:c r="E24" s="17" t="str">
        <x:v>P1</x:v>
      </x:c>
      <x:c r="F24" s="7" t="str">
        <x:v>Livrable original proposé : QA — titres et provenance.</x:v>
      </x:c>
      <x:c r="G24" s="7" t="str">
        <x:v>Pour chaque fait dépassant le simple index, vérifier une page spécifique ou une capture en jeu avant validation du canon ; corriger la traduction française indépendamment.</x:v>
      </x:c>
      <x:c r="H24" s="7" t="str">
        <x:v>Pour chaque fait dépassant le simple index, vérifier une page spécifique ou une capture en jeu avant validation du canon ; corriger la traduction française indépendamment.</x:v>
      </x:c>
      <x:c r="I24" s="7" t="str">
        <x:v>Registre source, date et édition.</x:v>
      </x:c>
      <x:c r="J24" s="7" t="str">
        <x:v>Transitions de caméra et d’interface interruptibles ; aucun délai d’animation ne doit consommer une décision encore ouverte.</x:v>
      </x:c>
      <x:c r="K24" s="7" t="str">
        <x:v>Créer des bruitages et ambiances originaux adaptés au livrable ; sous-titrer les indices utiles et proposer un réglage indépendant des effets. Aucune extraction audio demandée.</x:v>
      </x:c>
      <x:c r="L24" s="7" t="str">
        <x:v>Prévu : fiche de données me2/qa/sources ; rattacher les ressources et états cités à cet identifiant. Aucun fichier de jeu créé par ce catalogue.</x:v>
      </x:c>
      <x:c r="M24" s="7" t="str"/>
      <x:c r="N24" s="7" t="str">
        <x:v>Le livrable « QA — titres et provenance » possède une scène ou un scénario de contrôle ; ses règles proposées, ses conditions et ses retours visuels sont vérifiables séparément.</x:v>
      </x:c>
      <x:c r="O24" s="7" t="str">
        <x:v>ME2-SYS-EDITION</x:v>
      </x:c>
      <x:c r="P24" s="7" t="str">
        <x:v>Adaptation originale — spécification de production</x:v>
      </x:c>
      <x:c r="Q24" s="7" t="str"/>
      <x:c r="R24" s="21" t="str"/>
      <x:c r="S24" s="21" t="str">
        <x:v>Spécification à réaliser. Les champs adaptation, gameplay, visual, animation, audio et implementation décrivent le fan game ; ils ne donnent pas des caractéristiques officielles de l’œuvre.</x:v>
      </x:c>
    </x:row>
    <x:row r="25" ht="68" customHeight="1">
      <x:c r="A25" s="18" t="str">
        <x:v>ME2-QA-VISUAL</x:v>
      </x:c>
      <x:c r="B25" s="9" t="str">
        <x:v>QA — sprites sur décors 3D</x:v>
      </x:c>
      <x:c r="C25" s="15" t="str">
        <x:v>Défini</x:v>
      </x:c>
      <x:c r="D25" s="16" t="str">
        <x:v>Extrapolation</x:v>
      </x:c>
      <x:c r="E25" s="16" t="str">
        <x:v>P1</x:v>
      </x:c>
      <x:c r="F25" s="9" t="str">
        <x:v>Livrable original proposé : QA — sprites sur décors 3D.</x:v>
      </x:c>
      <x:c r="G25" s="9" t="str">
        <x:v>Tester les huit directions proposées, couverts translucides et grands ennemis ; aucun masque ne cache un télégraphe essentiel.</x:v>
      </x:c>
      <x:c r="H25" s="9" t="str">
        <x:v>Tester les huit directions proposées, couverts translucides et grands ennemis ; aucun masque ne cache un télégraphe essentiel.</x:v>
      </x:c>
      <x:c r="I25" s="9" t="str">
        <x:v>Mosaïque de scènes de lisibilité.</x:v>
      </x:c>
      <x:c r="J25" s="9" t="str">
        <x:v>Transitions de caméra et d’interface interruptibles ; aucun délai d’animation ne doit consommer une décision encore ouverte.</x:v>
      </x:c>
      <x:c r="K25" s="9" t="str">
        <x:v>Créer des bruitages et ambiances originaux adaptés au livrable ; sous-titrer les indices utiles et proposer un réglage indépendant des effets. Aucune extraction audio demandée.</x:v>
      </x:c>
      <x:c r="L25" s="9" t="str">
        <x:v>Prévu : fiche de données me2/qa/visual ; rattacher les ressources et états cités à cet identifiant. Aucun fichier de jeu créé par ce catalogue.</x:v>
      </x:c>
      <x:c r="M25" s="9" t="str"/>
      <x:c r="N25" s="9" t="str">
        <x:v>Le livrable « QA — sprites sur décors 3D » possède une scène ou un scénario de contrôle ; ses règles proposées, ses conditions et ses retours visuels sont vérifiables séparément.</x:v>
      </x:c>
      <x:c r="O25" s="9" t="str">
        <x:v>ME2-SYS-PHOTO</x:v>
      </x:c>
      <x:c r="P25" s="9" t="str">
        <x:v>Adaptation originale — spécification de production</x:v>
      </x:c>
      <x:c r="Q25" s="9" t="str"/>
      <x:c r="R25" s="20" t="str"/>
      <x:c r="S25" s="20" t="str">
        <x:v>Spécification à réaliser. Les champs adaptation, gameplay, visual, animation, audio et implementation décrivent le fan game ; ils ne donnent pas des caractéristiques officielles de l’œuvre.</x:v>
      </x:c>
    </x:row>
    <x:row r="26" ht="68" customHeight="1">
      <x:c r="A26" s="19" t="str">
        <x:v>ME2-QA-ACCESS</x:v>
      </x:c>
      <x:c r="B26" s="7" t="str">
        <x:v>QA — sans son et effets réduits</x:v>
      </x:c>
      <x:c r="C26" s="15" t="str">
        <x:v>Défini</x:v>
      </x:c>
      <x:c r="D26" s="17" t="str">
        <x:v>Extrapolation</x:v>
      </x:c>
      <x:c r="E26" s="17" t="str">
        <x:v>P1</x:v>
      </x:c>
      <x:c r="F26" s="7" t="str">
        <x:v>Livrable original proposé : QA — sans son et effets réduits.</x:v>
      </x:c>
      <x:c r="G26" s="7" t="str">
        <x:v>Terminer un duel Praetorian, une poursuite et une interruption avec son coupé et flash réduit ; toutes les informations tactiques restent disponibles.</x:v>
      </x:c>
      <x:c r="H26" s="7" t="str">
        <x:v>Terminer un duel Praetorian, une poursuite et une interruption avec son coupé et flash réduit ; toutes les informations tactiques restent disponibles.</x:v>
      </x:c>
      <x:c r="I26" s="7" t="str">
        <x:v>Icônes, sous-titres et réglages.</x:v>
      </x:c>
      <x:c r="J26" s="7" t="str">
        <x:v>Transitions de caméra et d’interface interruptibles ; aucun délai d’animation ne doit consommer une décision encore ouverte.</x:v>
      </x:c>
      <x:c r="K26" s="7" t="str">
        <x:v>Créer des bruitages et ambiances originaux adaptés au livrable ; sous-titrer les indices utiles et proposer un réglage indépendant des effets. Aucune extraction audio demandée.</x:v>
      </x:c>
      <x:c r="L26" s="7" t="str">
        <x:v>Prévu : fiche de données me2/qa/access ; rattacher les ressources et états cités à cet identifiant. Aucun fichier de jeu créé par ce catalogue.</x:v>
      </x:c>
      <x:c r="M26" s="7" t="str"/>
      <x:c r="N26" s="7" t="str">
        <x:v>Le livrable « QA — sans son et effets réduits » possède une scène ou un scénario de contrôle ; ses règles proposées, ses conditions et ses retours visuels sont vérifiables séparément.</x:v>
      </x:c>
      <x:c r="O26" s="7" t="str">
        <x:v>ME2-VFX-HAGALAZ, ME2-AUD-PRAETORIAN</x:v>
      </x:c>
      <x:c r="P26" s="7" t="str">
        <x:v>Adaptation originale — spécification de production</x:v>
      </x:c>
      <x:c r="Q26" s="7" t="str"/>
      <x:c r="R26" s="21" t="str"/>
      <x:c r="S26" s="21" t="str">
        <x:v>Spécification à réaliser. Les champs adaptation, gameplay, visual, animation, audio et implementation décrivent le fan game ; ils ne donnent pas des caractéristiques officielles de l’œuvre.</x:v>
      </x:c>
    </x:row>
  </x:sheetData>
  <x:conditionalFormatting sqref="D7:D26">
    <x:cfRule type="cellIs" dxfId="96" priority="1" operator="equal">
      <x:formula>"À vérifier"</x:formula>
    </x:cfRule>
    <x:cfRule type="cellIs" dxfId="97" priority="2" operator="equal">
      <x:formula>"Extrapolation"</x:formula>
    </x:cfRule>
  </x:conditionalFormatting>
  <x:conditionalFormatting sqref="C7:C26">
    <x:cfRule type="cellIs" dxfId="98" priority="3" operator="equal">
      <x:formula>"Validé"</x:formula>
    </x:cfRule>
  </x:conditionalFormatting>
  <x:conditionalFormatting sqref="E7:E26">
    <x:cfRule type="cellIs" dxfId="99" priority="4" operator="equal">
      <x:formula>"P0"</x:formula>
    </x:cfRule>
  </x:conditionalFormatting>
  <x:dataValidations count="3">
    <x:dataValidation type="list" sqref="C7:C26">
      <x:formula1>"Défini,Prototype,Intégré,Validé"</x:formula1>
    </x:dataValidation>
    <x:dataValidation type="list" sqref="D7:D26">
      <x:formula1>"Établi,À vérifier,Extrapolation,Coupé attesté,Concept abandonné,Allégation écartée"</x:formula1>
    </x:dataValidation>
    <x:dataValidation type="list" sqref="E7:E26">
      <x:formula1>"P0,P1,P2"</x:formula1>
    </x:dataValidation>
  </x:dataValidations>
  <x:pageMargins left="0.7" right="0.7" top="0.75" bottom="0.75" header="0.3" footer="0.3"/>
  <x:tableParts count="1">
    <x:tablePart xmlns:r="http://schemas.openxmlformats.org/officeDocument/2006/relationships" r:id="R3078a6a4486f473d"/>
  </x:tableParts>
</x:worksheet>
</file>

<file path=xl/worksheets/sheet2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Continuité</x:v>
      </x:c>
      <x:c r="B2" s="2"/>
      <x:c r="C2" s="2"/>
      <x:c r="D2" s="2"/>
      <x:c r="E2" s="2"/>
      <x:c r="F2" s="2"/>
      <x:c r="G2" s="2"/>
      <x:c r="H2" s="2"/>
      <x:c r="I2" s="2"/>
      <x:c r="J2" s="2"/>
      <x:c r="K2" s="2"/>
      <x:c r="L2" s="2"/>
      <x:c r="M2" s="2"/>
      <x:c r="N2" s="2"/>
      <x:c r="O2" s="2"/>
      <x:c r="P2" s="2"/>
      <x:c r="Q2" s="2"/>
      <x:c r="R2" s="2"/>
      <x:c r="S2" s="2"/>
    </x:row>
    <x:row r="3" ht="22" customHeight="1">
      <x:c r="A3" s="4" t="str">
        <x:v>Mass Effect 2 — États persistants, chronologie et limites de l’adaptation</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ME2-CON-IMPORT-ME1</x:v>
      </x:c>
      <x:c r="B7" s="9" t="str">
        <x:v>Import ME1 : Virmire, Conseil, relations</x:v>
      </x:c>
      <x:c r="C7" s="15" t="str">
        <x:v>Défini</x:v>
      </x:c>
      <x:c r="D7" s="16" t="str">
        <x:v>Établi</x:v>
      </x:c>
      <x:c r="E7" s="16" t="str">
        <x:v>P1</x:v>
      </x:c>
      <x:c r="F7" s="9" t="str">
        <x:v>Des choix précédents sont importés.</x:v>
      </x:c>
      <x:c r="G7" s="9" t="str">
        <x:v>Schéma de sauvegarde sans défaut silencieux ; trois groupes de variables et origine de chaque valeur.</x:v>
      </x:c>
      <x:c r="H7" s="9" t="str">
        <x:v>Schéma de sauvegarde sans défaut silencieux ; trois groupes de variables et origine de chaque valeur.</x:v>
      </x:c>
      <x:c r="I7" s="9" t="str">
        <x:v>Table d’import lisible.</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me2/continuity/import-me1 ; rattacher les ressources et états cités à cet identifiant. Aucun fichier de jeu créé par ce catalogue.</x:v>
      </x:c>
      <x:c r="M7" s="9" t="str">
        <x:v>Parties sans import utilisent un profil explicite.</x:v>
      </x:c>
      <x:c r="N7" s="9" t="str">
        <x:v>Le livrable « Import ME1 : Virmire, Conseil, relations » possède une scène ou un scénario de contrôle ; ses règles proposées, ses conditions et ses retours visuels sont vérifiables séparément.</x:v>
      </x:c>
      <x:c r="O7" s="9" t="str"/>
      <x:c r="P7" s="9" t="str">
        <x:v>Import ME1 : Virmire, Conseil, relations</x:v>
      </x:c>
      <x:c r="Q7" s="9" t="str">
        <x:v>ME2-SRC-SAVE</x:v>
      </x:c>
      <x:c r="R7" s="20" t="str">
        <x:v>https://masseffect.fandom.com/wiki/Save_File_Transfer</x:v>
      </x:c>
      <x:c r="S7" s="20" t="str">
        <x:v>Spécification à réaliser. Les champs adaptation, gameplay, visual, animation, audio et implementation décrivent le fan game ; ils ne donnent pas des caractéristiques officielles de l’œuvre.</x:v>
      </x:c>
    </x:row>
    <x:row r="8" ht="68" customHeight="1">
      <x:c r="A8" s="19" t="str">
        <x:v>ME2-CON-SHEPARD</x:v>
      </x:c>
      <x:c r="B8" s="7" t="str">
        <x:v>Shepard : identité conservée</x:v>
      </x:c>
      <x:c r="C8" s="15" t="str">
        <x:v>Défini</x:v>
      </x:c>
      <x:c r="D8" s="17" t="str">
        <x:v>Établi</x:v>
      </x:c>
      <x:c r="E8" s="17" t="str">
        <x:v>P1</x:v>
      </x:c>
      <x:c r="F8" s="7" t="str">
        <x:v>La personnalisation traverse la trilogie.</x:v>
      </x:c>
      <x:c r="G8" s="7" t="str">
        <x:v>Conserver nom, genre joué et visage ; cicatrices ME2 comme calque et non remplacement d’identité.</x:v>
      </x:c>
      <x:c r="H8" s="7" t="str">
        <x:v>Conserver nom, genre joué et visage ; cicatrices ME2 comme calque et non remplacement d’identité.</x:v>
      </x:c>
      <x:c r="I8" s="7" t="str">
        <x:v>Portraits cohérents entre scènes.</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me2/continuity/shepard ; rattacher les ressources et états cités à cet identifiant. Aucun fichier de jeu créé par ce catalogue.</x:v>
      </x:c>
      <x:c r="M8" s="7" t="str"/>
      <x:c r="N8" s="7" t="str">
        <x:v>Le livrable « Shepard : identité conservée » possède une scène ou un scénario de contrôle ; ses règles proposées, ses conditions et ses retours visuels sont vérifiables séparément.</x:v>
      </x:c>
      <x:c r="O8" s="7" t="str"/>
      <x:c r="P8" s="7" t="str">
        <x:v>Shepard : identité conservée</x:v>
      </x:c>
      <x:c r="Q8" s="7" t="str">
        <x:v>ME2-SRC-EA-LE, ME2-SRC-EA-CAL</x:v>
      </x:c>
      <x:c r="R8" s="21" t="str">
        <x:v>https://www.ea.com/fr/games/mass-effect/mass-effect-legendary-edition
https://www.ea.com/ea-play/news/gameplay-calibrations</x:v>
      </x:c>
      <x:c r="S8" s="21" t="str">
        <x:v>Spécification à réaliser. Les champs adaptation, gameplay, visual, animation, audio et implementation décrivent le fan game ; ils ne donnent pas des caractéristiques officielles de l’œuvre.</x:v>
      </x:c>
    </x:row>
    <x:row r="9" ht="68" customHeight="1">
      <x:c r="A9" s="18" t="str">
        <x:v>ME2-CON-SURVIVORS</x:v>
      </x:c>
      <x:c r="B9" s="9" t="str">
        <x:v>Survivants exportés vers ME3</x:v>
      </x:c>
      <x:c r="C9" s="15" t="str">
        <x:v>Défini</x:v>
      </x:c>
      <x:c r="D9" s="16" t="str">
        <x:v>Établi</x:v>
      </x:c>
      <x:c r="E9" s="16" t="str">
        <x:v>P1</x:v>
      </x:c>
      <x:c r="F9" s="9" t="str">
        <x:v>La mission suicide peut coûter des équipiers.</x:v>
      </x:c>
      <x:c r="G9" s="9" t="str">
        <x:v>Exporter chaque mort et chaque absence séparément ; ne pas ressusciter un personnage pour une scène de fan game.</x:v>
      </x:c>
      <x:c r="H9" s="9" t="str">
        <x:v>Exporter chaque mort et chaque absence séparément ; ne pas ressusciter un personnage pour une scène de fan game.</x:v>
      </x:c>
      <x:c r="I9" s="9" t="str">
        <x:v>Table par personne et cause.</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me2/continuity/survivors ; rattacher les ressources et états cités à cet identifiant. Aucun fichier de jeu créé par ce catalogue.</x:v>
      </x:c>
      <x:c r="M9" s="9" t="str">
        <x:v>Validation narrative ME3 nécessaire.</x:v>
      </x:c>
      <x:c r="N9" s="9" t="str">
        <x:v>Le livrable « Survivants exportés vers ME3 » possède une scène ou un scénario de contrôle ; ses règles proposées, ses conditions et ses retours visuels sont vérifiables séparément.</x:v>
      </x:c>
      <x:c r="O9" s="9" t="str"/>
      <x:c r="P9" s="9" t="str">
        <x:v>Survivants exportés vers ME3</x:v>
      </x:c>
      <x:c r="Q9" s="9" t="str">
        <x:v>ME2-SRC-SAVE</x:v>
      </x:c>
      <x:c r="R9" s="20" t="str">
        <x:v>https://masseffect.fandom.com/wiki/Save_File_Transfer</x:v>
      </x:c>
      <x:c r="S9" s="20" t="str">
        <x:v>Spécification à réaliser. Les champs adaptation, gameplay, visual, animation, audio et implementation décrivent le fan game ; ils ne donnent pas des caractéristiques officielles de l’œuvre.</x:v>
      </x:c>
    </x:row>
    <x:row r="10" ht="68" customHeight="1">
      <x:c r="A10" s="19" t="str">
        <x:v>ME2-CON-MORDIN</x:v>
      </x:c>
      <x:c r="B10" s="7" t="str">
        <x:v>Données de Maelon vers ME3</x:v>
      </x:c>
      <x:c r="C10" s="15" t="str">
        <x:v>Défini</x:v>
      </x:c>
      <x:c r="D10" s="17" t="str">
        <x:v>Établi</x:v>
      </x:c>
      <x:c r="E10" s="17" t="str">
        <x:v>P1</x:v>
      </x:c>
      <x:c r="F10" s="7" t="str">
        <x:v>La recherche fait partie des décisions suivies.</x:v>
      </x:c>
      <x:c r="G10" s="7" t="str">
        <x:v>Transmettre état de données distinct de survie de Maelon, Mordin et loyauté.</x:v>
      </x:c>
      <x:c r="H10" s="7" t="str">
        <x:v>Transmettre état de données distinct de survie de Maelon, Mordin et loyauté.</x:v>
      </x:c>
      <x:c r="I10" s="7" t="str">
        <x:v>Dossier médical scellé.</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me2/continuity/mordin ; rattacher les ressources et états cités à cet identifiant. Aucun fichier de jeu créé par ce catalogue.</x:v>
      </x:c>
      <x:c r="M10" s="7" t="str"/>
      <x:c r="N10" s="7" t="str">
        <x:v>Le livrable « Données de Maelon vers ME3 » possède une scène ou un scénario de contrôle ; ses règles proposées, ses conditions et ses retours visuels sont vérifiables séparément.</x:v>
      </x:c>
      <x:c r="O10" s="7" t="str"/>
      <x:c r="P10" s="7" t="str">
        <x:v>Données de Maelon vers ME3</x:v>
      </x:c>
      <x:c r="Q10" s="7" t="str">
        <x:v>ME2-SRC-MORDIN, ME2-SRC-SAVE</x:v>
      </x:c>
      <x:c r="R10" s="21" t="str">
        <x:v>https://masseffect.fandom.com/wiki/Mordin%3A_Old_Blood
https://masseffect.fandom.com/wiki/Save_File_Transfer</x:v>
      </x:c>
      <x:c r="S10" s="21" t="str">
        <x:v>Spécification à réaliser. Les champs adaptation, gameplay, visual, animation, audio et implementation décrivent le fan game ; ils ne donnent pas des caractéristiques officielles de l’œuvre.</x:v>
      </x:c>
    </x:row>
    <x:row r="11" ht="68" customHeight="1">
      <x:c r="A11" s="18" t="str">
        <x:v>ME2-CON-GETH</x:v>
      </x:c>
      <x:c r="B11" s="9" t="str">
        <x:v>Hérétiques et relation Tali/Legion</x:v>
      </x:c>
      <x:c r="C11" s="15" t="str">
        <x:v>Défini</x:v>
      </x:c>
      <x:c r="D11" s="16" t="str">
        <x:v>Établi</x:v>
      </x:c>
      <x:c r="E11" s="16" t="str">
        <x:v>P1</x:v>
      </x:c>
      <x:c r="F11" s="9" t="str">
        <x:v>Les choix participent à la continuité geth.</x:v>
      </x:c>
      <x:c r="G11" s="9" t="str">
        <x:v>Exporter réécriture/destruction, survie et médiation sous clés séparées ; aucun score de paix inventé.</x:v>
      </x:c>
      <x:c r="H11" s="9" t="str">
        <x:v>Exporter réécriture/destruction, survie et médiation sous clés séparées ; aucun score de paix inventé.</x:v>
      </x:c>
      <x:c r="I11" s="9" t="str">
        <x:v>Schéma de trois sources d’état.</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me2/continuity/geth ; rattacher les ressources et états cités à cet identifiant. Aucun fichier de jeu créé par ce catalogue.</x:v>
      </x:c>
      <x:c r="M11" s="9" t="str"/>
      <x:c r="N11" s="9" t="str">
        <x:v>Le livrable « Hérétiques et relation Tali/Legion » possède une scène ou un scénario de contrôle ; ses règles proposées, ses conditions et ses retours visuels sont vérifiables séparément.</x:v>
      </x:c>
      <x:c r="O11" s="9" t="str"/>
      <x:c r="P11" s="9" t="str">
        <x:v>Hérétiques et relation Tali/Legion</x:v>
      </x:c>
      <x:c r="Q11" s="9" t="str">
        <x:v>ME2-SRC-LEGION, ME2-SRC-SAVE</x:v>
      </x:c>
      <x:c r="R11" s="20" t="str">
        <x:v>https://masseffect.fandom.com/wiki/Legion%3A_A_House_Divided
https://masseffect.fandom.com/wiki/Save_File_Transfer</x:v>
      </x:c>
      <x:c r="S11" s="20" t="str">
        <x:v>Spécification à réaliser. Les champs adaptation, gameplay, visual, animation, audio et implementation décrivent le fan game ; ils ne donnent pas des caractéristiques officielles de l’œuvre.</x:v>
      </x:c>
    </x:row>
    <x:row r="12" ht="68" customHeight="1">
      <x:c r="A12" s="19" t="str">
        <x:v>ME2-CON-BROKER</x:v>
      </x:c>
      <x:c r="B12" s="7" t="str">
        <x:v>Liara après Shadow Broker</x:v>
      </x:c>
      <x:c r="C12" s="15" t="str">
        <x:v>Défini</x:v>
      </x:c>
      <x:c r="D12" s="17" t="str">
        <x:v>Établi</x:v>
      </x:c>
      <x:c r="E12" s="17" t="str">
        <x:v>P1</x:v>
      </x:c>
      <x:c r="F12" s="7" t="str">
        <x:v>Liara prend le rôle du Courtier.</x:v>
      </x:c>
      <x:c r="G12" s="7" t="str">
        <x:v>Après l’extension, changer le rôle et le lieu de contact sans rendre tous les dossiers publics.</x:v>
      </x:c>
      <x:c r="H12" s="7" t="str">
        <x:v>Après l’extension, changer le rôle et le lieu de contact sans rendre tous les dossiers publics.</x:v>
      </x:c>
      <x:c r="I12" s="7" t="str">
        <x:v>Portrait et titre actualisés.</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me2/continuity/broker ; rattacher les ressources et états cités à cet identifiant. Aucun fichier de jeu créé par ce catalogue.</x:v>
      </x:c>
      <x:c r="M12" s="7" t="str"/>
      <x:c r="N12" s="7" t="str">
        <x:v>Le livrable « Liara après Shadow Broker » possède une scène ou un scénario de contrôle ; ses règles proposées, ses conditions et ses retours visuels sont vérifiables séparément.</x:v>
      </x:c>
      <x:c r="O12" s="7" t="str"/>
      <x:c r="P12" s="7" t="str">
        <x:v>Liara après Shadow Broker</x:v>
      </x:c>
      <x:c r="Q12" s="7" t="str">
        <x:v>ME2-SRC-SHADOW</x:v>
      </x:c>
      <x:c r="R12" s="21" t="str">
        <x:v>https://masseffect.fandom.com/wiki/Lair_of_the_Shadow_Broker_%28mission%29</x:v>
      </x:c>
      <x:c r="S12" s="21" t="str">
        <x:v>Spécification à réaliser. Les champs adaptation, gameplay, visual, animation, audio et implementation décrivent le fan game ; ils ne donnent pas des caractéristiques officielles de l’œuvre.</x:v>
      </x:c>
    </x:row>
    <x:row r="13" ht="68" customHeight="1">
      <x:c r="A13" s="18" t="str">
        <x:v>ME2-CON-DAVID</x:v>
      </x:c>
      <x:c r="B13" s="9" t="str">
        <x:v>David après Overlord</x:v>
      </x:c>
      <x:c r="C13" s="15" t="str">
        <x:v>Défini</x:v>
      </x:c>
      <x:c r="D13" s="16" t="str">
        <x:v>Établi</x:v>
      </x:c>
      <x:c r="E13" s="16" t="str">
        <x:v>P1</x:v>
      </x:c>
      <x:c r="F13" s="9" t="str">
        <x:v>Son sort peut changer.</x:v>
      </x:c>
      <x:c r="G13" s="9" t="str">
        <x:v>Exporter décision de protection et réalisation de la mission ; ne pas supposer une même situation dans tous les futurs.</x:v>
      </x:c>
      <x:c r="H13" s="9" t="str">
        <x:v>Exporter décision de protection et réalisation de la mission ; ne pas supposer une même situation dans tous les futurs.</x:v>
      </x:c>
      <x:c r="I13" s="9" t="str">
        <x:v>Dossier personnel à état discret.</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me2/continuity/david ; rattacher les ressources et états cités à cet identifiant. Aucun fichier de jeu créé par ce catalogue.</x:v>
      </x:c>
      <x:c r="M13" s="9" t="str"/>
      <x:c r="N13" s="9" t="str">
        <x:v>Le livrable « David après Overlord » possède une scène ou un scénario de contrôle ; ses règles proposées, ses conditions et ses retours visuels sont vérifiables séparément.</x:v>
      </x:c>
      <x:c r="O13" s="9" t="str"/>
      <x:c r="P13" s="9" t="str">
        <x:v>David après Overlord</x:v>
      </x:c>
      <x:c r="Q13" s="9" t="str">
        <x:v>ME2-SRC-ATLAS</x:v>
      </x:c>
      <x:c r="R13" s="20" t="str">
        <x:v>https://masseffect.fandom.com/wiki/Atlas_Station</x:v>
      </x:c>
      <x:c r="S13" s="20" t="str">
        <x:v>Spécification à réaliser. Les champs adaptation, gameplay, visual, animation, audio et implementation décrivent le fan game ; ils ne donnent pas des caractéristiques officielles de l’œuvre.</x:v>
      </x:c>
    </x:row>
    <x:row r="14" ht="68" customHeight="1">
      <x:c r="A14" s="19" t="str">
        <x:v>ME2-CON-ARRIVAL</x:v>
      </x:c>
      <x:c r="B14" s="7" t="str">
        <x:v>Conséquence du relais Alpha</x:v>
      </x:c>
      <x:c r="C14" s="15" t="str">
        <x:v>Défini</x:v>
      </x:c>
      <x:c r="D14" s="17" t="str">
        <x:v>Établi</x:v>
      </x:c>
      <x:c r="E14" s="17" t="str">
        <x:v>P1</x:v>
      </x:c>
      <x:c r="F14" s="7" t="str">
        <x:v>Bahak est détruit dans Arrival.</x:v>
      </x:c>
      <x:c r="G14" s="7" t="str">
        <x:v>Enregistrer mission faite et conséquence ; ne pas imposer la présence du DLC à une partie originale qui ne l’avait pas.</x:v>
      </x:c>
      <x:c r="H14" s="7" t="str">
        <x:v>Enregistrer mission faite et conséquence ; ne pas imposer la présence du DLC à une partie originale qui ne l’avait pas.</x:v>
      </x:c>
      <x:c r="I14" s="7" t="str">
        <x:v>Carte barrée et compte rendu.</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me2/continuity/arrival ; rattacher les ressources et états cités à cet identifiant. Aucun fichier de jeu créé par ce catalogue.</x:v>
      </x:c>
      <x:c r="M14" s="7" t="str">
        <x:v>Le raccord sans DLC doit être vérifié dans ME3.</x:v>
      </x:c>
      <x:c r="N14" s="7" t="str">
        <x:v>Le livrable « Conséquence du relais Alpha » possède une scène ou un scénario de contrôle ; ses règles proposées, ses conditions et ses retours visuels sont vérifiables séparément.</x:v>
      </x:c>
      <x:c r="O14" s="7" t="str"/>
      <x:c r="P14" s="7" t="str">
        <x:v>Conséquence du relais Alpha</x:v>
      </x:c>
      <x:c r="Q14" s="7" t="str">
        <x:v>ME2-SRC-ARRIVAL</x:v>
      </x:c>
      <x:c r="R14" s="21" t="str">
        <x:v>https://masseffect.fandom.com/wiki/Arrival_%28assignment%29</x:v>
      </x:c>
      <x:c r="S14" s="21" t="str">
        <x:v>Spécification à réaliser. Les champs adaptation, gameplay, visual, animation, audio et implementation décrivent le fan game ; ils ne donnent pas des caractéristiques officielles de l’œuvre.</x:v>
      </x:c>
    </x:row>
    <x:row r="15" ht="68" customHeight="1">
      <x:c r="A15" s="18" t="str">
        <x:v>ME2-CON-KASUMI</x:v>
      </x:c>
      <x:c r="B15" s="9" t="str">
        <x:v>Graybox et mémoire de Kasumi</x:v>
      </x:c>
      <x:c r="C15" s="15" t="str">
        <x:v>Défini</x:v>
      </x:c>
      <x:c r="D15" s="16" t="str">
        <x:v>Établi</x:v>
      </x:c>
      <x:c r="E15" s="16" t="str">
        <x:v>P1</x:v>
      </x:c>
      <x:c r="F15" s="9" t="str">
        <x:v>Conserver ou effacer donne deux états.</x:v>
      </x:c>
      <x:c r="G15" s="9" t="str">
        <x:v>Exporter choix sans fabriquer un partenaire vivant ; dialogues ultérieurs respectent le souvenir.</x:v>
      </x:c>
      <x:c r="H15" s="9" t="str">
        <x:v>Exporter choix sans fabriquer un partenaire vivant ; dialogues ultérieurs respectent le souvenir.</x:v>
      </x:c>
      <x:c r="I15" s="9" t="str">
        <x:v>Icône graybox intact/effacé.</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me2/continuity/kasumi ; rattacher les ressources et états cités à cet identifiant. Aucun fichier de jeu créé par ce catalogue.</x:v>
      </x:c>
      <x:c r="M15" s="9" t="str"/>
      <x:c r="N15" s="9" t="str">
        <x:v>Le livrable « Graybox et mémoire de Kasumi » possède une scène ou un scénario de contrôle ; ses règles proposées, ses conditions et ses retours visuels sont vérifiables séparément.</x:v>
      </x:c>
      <x:c r="O15" s="9" t="str"/>
      <x:c r="P15" s="9" t="str">
        <x:v>Graybox et mémoire de Kasumi</x:v>
      </x:c>
      <x:c r="Q15" s="9" t="str">
        <x:v>ME2-SRC-KASUMI</x:v>
      </x:c>
      <x:c r="R15" s="20" t="str">
        <x:v>https://masseffect.fandom.com/wiki/Kasumi%3A_Stealing_Memory</x:v>
      </x:c>
      <x:c r="S15" s="20" t="str">
        <x:v>Spécification à réaliser. Les champs adaptation, gameplay, visual, animation, audio et implementation décrivent le fan game ; ils ne donnent pas des caractéristiques officielles de l’œuvre.</x:v>
      </x:c>
    </x:row>
    <x:row r="16" ht="68" customHeight="1">
      <x:c r="A16" s="19" t="str">
        <x:v>ME2-CON-ZAEED</x:v>
      </x:c>
      <x:c r="B16" s="7" t="str">
        <x:v>Loyauté et sort de Zaeed</x:v>
      </x:c>
      <x:c r="C16" s="15" t="str">
        <x:v>Défini</x:v>
      </x:c>
      <x:c r="D16" s="17" t="str">
        <x:v>Établi</x:v>
      </x:c>
      <x:c r="E16" s="17" t="str">
        <x:v>P1</x:v>
      </x:c>
      <x:c r="F16" s="7" t="str">
        <x:v>L’arc comporte des variantes.</x:v>
      </x:c>
      <x:c r="G16" s="7" t="str">
        <x:v>Dissocier recrutement, loyauté, Vido et survie finale ; chaque absence a une cause propre.</x:v>
      </x:c>
      <x:c r="H16" s="7" t="str">
        <x:v>Dissocier recrutement, loyauté, Vido et survie finale ; chaque absence a une cause propre.</x:v>
      </x:c>
      <x:c r="I16" s="7" t="str">
        <x:v>Table d’états mercenaire.</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me2/continuity/zaeed ; rattacher les ressources et états cités à cet identifiant. Aucun fichier de jeu créé par ce catalogue.</x:v>
      </x:c>
      <x:c r="M16" s="7" t="str"/>
      <x:c r="N16" s="7" t="str">
        <x:v>Le livrable « Loyauté et sort de Zaeed » possède une scène ou un scénario de contrôle ; ses règles proposées, ses conditions et ses retours visuels sont vérifiables séparément.</x:v>
      </x:c>
      <x:c r="O16" s="7" t="str"/>
      <x:c r="P16" s="7" t="str">
        <x:v>Loyauté et sort de Zaeed</x:v>
      </x:c>
      <x:c r="Q16" s="7" t="str">
        <x:v>ME2-SRC-ZAEED</x:v>
      </x:c>
      <x:c r="R16" s="21" t="str">
        <x:v>https://masseffect.fandom.com/wiki/Zaeed%3A_The_Price_of_Revenge</x:v>
      </x:c>
      <x:c r="S16" s="21" t="str">
        <x:v>Spécification à réaliser. Les champs adaptation, gameplay, visual, animation, audio et implementation décrivent le fan game ; ils ne donnent pas des caractéristiques officielles de l’œuvre.</x:v>
      </x:c>
    </x:row>
    <x:row r="17" ht="68" customHeight="1">
      <x:c r="A17" s="18" t="str">
        <x:v>ME2-CON-LEGENDARY</x:v>
      </x:c>
      <x:c r="B17" s="9" t="str">
        <x:v>Différences de distribution DLC</x:v>
      </x:c>
      <x:c r="C17" s="15" t="str">
        <x:v>Défini</x:v>
      </x:c>
      <x:c r="D17" s="16" t="str">
        <x:v>Établi</x:v>
      </x:c>
      <x:c r="E17" s="16" t="str">
        <x:v>P1</x:v>
      </x:c>
      <x:c r="F17" s="9" t="str">
        <x:v>Legendary intègre les équipements différemment.</x:v>
      </x:c>
      <x:c r="G17" s="9" t="str">
        <x:v>Maintenir deux profils d’acquisition ; ne pas recopier le cadeau immédiat de l’original dans toutes les boutiques.</x:v>
      </x:c>
      <x:c r="H17" s="9" t="str">
        <x:v>Maintenir deux profils d’acquisition ; ne pas recopier le cadeau immédiat de l’original dans toutes les boutiques.</x:v>
      </x:c>
      <x:c r="I17" s="9" t="str">
        <x:v>Étiquette d’édition visible.</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me2/continuity/legendary ; rattacher les ressources et états cités à cet identifiant. Aucun fichier de jeu créé par ce catalogue.</x:v>
      </x:c>
      <x:c r="M17" s="9" t="str"/>
      <x:c r="N17" s="9" t="str">
        <x:v>Le livrable « Différences de distribution DLC » possède une scène ou un scénario de contrôle ; ses règles proposées, ses conditions et ses retours visuels sont vérifiables séparément.</x:v>
      </x:c>
      <x:c r="O17" s="9" t="str"/>
      <x:c r="P17" s="9" t="str">
        <x:v>Différences de distribution DLC</x:v>
      </x:c>
      <x:c r="Q17" s="9" t="str">
        <x:v>ME2-SRC-EA-CAL</x:v>
      </x:c>
      <x:c r="R17" s="20" t="str">
        <x:v>https://www.ea.com/ea-play/news/gameplay-calibrations</x:v>
      </x:c>
      <x:c r="S17" s="20" t="str">
        <x:v>Spécification à réaliser. Les champs adaptation, gameplay, visual, animation, audio et implementation décrivent le fan game ; ils ne donnent pas des caractéristiques officielles de l’œuvre.</x:v>
      </x:c>
    </x:row>
    <x:row r="18" ht="68" customHeight="1">
      <x:c r="A18" s="19" t="str">
        <x:v>ME2-CON-GENESIS</x:v>
      </x:c>
      <x:c r="B18" s="7" t="str">
        <x:v>Genesis comme récapitulatif</x:v>
      </x:c>
      <x:c r="C18" s="15" t="str">
        <x:v>Défini</x:v>
      </x:c>
      <x:c r="D18" s="17" t="str">
        <x:v>Établi</x:v>
      </x:c>
      <x:c r="E18" s="17" t="str">
        <x:v>P1</x:v>
      </x:c>
      <x:c r="F18" s="7" t="str">
        <x:v>Legendary intègre les comics interactifs Genesis.</x:v>
      </x:c>
      <x:c r="G18" s="7" t="str">
        <x:v>Séparer ce récapitulatif d’une mission jouable nouvelle ; profil d’import couvre uniquement les choix réellement proposés.</x:v>
      </x:c>
      <x:c r="H18" s="7" t="str">
        <x:v>Séparer ce récapitulatif d’une mission jouable nouvelle ; profil d’import couvre uniquement les choix réellement proposés.</x:v>
      </x:c>
      <x:c r="I18" s="7" t="str">
        <x:v>Frise d’images et choix résumés.</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me2/continuity/genesis ; rattacher les ressources et états cités à cet identifiant. Aucun fichier de jeu créé par ce catalogue.</x:v>
      </x:c>
      <x:c r="M18" s="7" t="str"/>
      <x:c r="N18" s="7" t="str">
        <x:v>Le livrable « Genesis comme récapitulatif » possède une scène ou un scénario de contrôle ; ses règles proposées, ses conditions et ses retours visuels sont vérifiables séparément.</x:v>
      </x:c>
      <x:c r="O18" s="7" t="str"/>
      <x:c r="P18" s="7" t="str">
        <x:v>Genesis comme récapitulatif</x:v>
      </x:c>
      <x:c r="Q18" s="7" t="str">
        <x:v>ME2-SRC-EA-CAL</x:v>
      </x:c>
      <x:c r="R18" s="21" t="str">
        <x:v>https://www.ea.com/ea-play/news/gameplay-calibrations</x:v>
      </x:c>
      <x:c r="S18" s="21" t="str">
        <x:v>Spécification à réaliser. Les champs adaptation, gameplay, visual, animation, audio et implementation décrivent le fan game ; ils ne donnent pas des caractéristiques officielles de l’œuvre.</x:v>
      </x:c>
    </x:row>
  </x:sheetData>
  <x:conditionalFormatting sqref="D7:D18">
    <x:cfRule type="cellIs" dxfId="100" priority="1" operator="equal">
      <x:formula>"À vérifier"</x:formula>
    </x:cfRule>
    <x:cfRule type="cellIs" dxfId="101" priority="2" operator="equal">
      <x:formula>"Extrapolation"</x:formula>
    </x:cfRule>
  </x:conditionalFormatting>
  <x:conditionalFormatting sqref="C7:C18">
    <x:cfRule type="cellIs" dxfId="102" priority="3" operator="equal">
      <x:formula>"Validé"</x:formula>
    </x:cfRule>
  </x:conditionalFormatting>
  <x:conditionalFormatting sqref="E7:E18">
    <x:cfRule type="cellIs" dxfId="103" priority="4" operator="equal">
      <x:formula>"P0"</x:formula>
    </x:cfRule>
  </x:conditionalFormatting>
  <x:dataValidations count="3">
    <x:dataValidation type="list" sqref="C7:C18">
      <x:formula1>"Défini,Prototype,Intégré,Validé"</x:formula1>
    </x:dataValidation>
    <x:dataValidation type="list" sqref="D7:D18">
      <x:formula1>"Établi,À vérifier,Extrapolation,Coupé attesté,Concept abandonné,Allégation écartée"</x:formula1>
    </x:dataValidation>
    <x:dataValidation type="list" sqref="E7:E18">
      <x:formula1>"P0,P1,P2"</x:formula1>
    </x:dataValidation>
  </x:dataValidations>
  <x:pageMargins left="0.7" right="0.7" top="0.75" bottom="0.75" header="0.3" footer="0.3"/>
  <x:tableParts count="1">
    <x:tablePart xmlns:r="http://schemas.openxmlformats.org/officeDocument/2006/relationships" r:id="Rbb998f5cb92e426f"/>
  </x:tableParts>
</x:worksheet>
</file>

<file path=xl/worksheets/sheet28.xml><?xml version="1.0" encoding="utf-8"?>
<x:worksheet xmlns:x="http://schemas.openxmlformats.org/spreadsheetml/2006/main">
  <x:sheetPr>
    <x:tabColor rgb="FF78929B"/>
  </x:sheetPr>
  <x:sheetViews>
    <x:sheetView showGridLines="0" workbookViewId="0">
      <x:pane ySplit="6" topLeftCell="A7" activePane="bottomLeft" state="frozen"/>
    </x:sheetView>
  </x:sheetViews>
  <x:sheetFormatPr defaultRowHeight="15"/>
  <x:cols>
    <x:col min="1" max="1" width="27" hidden="0" customWidth="1"/>
    <x:col min="2" max="2" width="67" hidden="0" customWidth="1"/>
    <x:col min="3" max="3" width="47" hidden="0" customWidth="1"/>
    <x:col min="4" max="4" width="90" hidden="0" customWidth="1"/>
    <x:col min="5" max="5" width="48" hidden="0" customWidth="1"/>
    <x:col min="6" max="6" width="65" hidden="0" customWidth="1"/>
  </x:cols>
  <x:sheetData>
    <x:row r="1" ht="22" customHeight="1">
      <x:c r="A1" s="2"/>
      <x:c r="B1" s="2"/>
      <x:c r="C1" s="2"/>
      <x:c r="D1" s="2"/>
      <x:c r="E1" s="2"/>
      <x:c r="F1" s="2"/>
    </x:row>
    <x:row r="2" ht="22" customHeight="1">
      <x:c r="A2" s="3" t="str">
        <x:v>Guide du catalogue</x:v>
      </x:c>
      <x:c r="B2" s="2"/>
      <x:c r="C2" s="2"/>
      <x:c r="D2" s="2"/>
      <x:c r="E2" s="2"/>
      <x:c r="F2" s="2"/>
    </x:row>
    <x:row r="3" ht="22" customHeight="1">
      <x:c r="A3" s="4" t="str">
        <x:v>Mass Effect 2</x:v>
      </x:c>
      <x:c r="B3" s="2"/>
      <x:c r="C3" s="2"/>
      <x:c r="D3" s="2"/>
      <x:c r="E3" s="2"/>
      <x:c r="F3" s="2"/>
    </x:row>
    <x:row r="4" ht="22" customHeight="1">
      <x:c r="A4" s="5"/>
      <x:c r="B4" s="5"/>
      <x:c r="C4" s="5"/>
      <x:c r="D4" s="5"/>
      <x:c r="E4" s="5"/>
      <x:c r="F4" s="5"/>
    </x:row>
    <x:row r="5" ht="22" customHeight="1">
      <x:c r="A5" s="2"/>
      <x:c r="B5" s="2"/>
      <x:c r="C5" s="2"/>
      <x:c r="D5" s="2"/>
      <x:c r="E5" s="2"/>
      <x:c r="F5" s="2"/>
    </x:row>
    <x:row r="6" ht="34" customHeight="1">
      <x:c r="A6" s="30" t="str">
        <x:v>Champ</x:v>
      </x:c>
      <x:c r="B6" s="32" t="str">
        <x:v>Définition</x:v>
      </x:c>
      <x:c r="C6" s="2"/>
      <x:c r="D6" s="2"/>
      <x:c r="E6" s="2"/>
      <x:c r="F6" s="2"/>
    </x:row>
    <x:row r="7" ht="30" customHeight="1">
      <x:c r="A7" s="7" t="str">
        <x:v>Œuvre</x:v>
      </x:c>
      <x:c r="B7" s="7" t="str">
        <x:v>Mass Effect 2</x:v>
      </x:c>
      <x:c r="C7" s="2"/>
      <x:c r="D7" s="2"/>
      <x:c r="E7" s="2"/>
      <x:c r="F7" s="2"/>
    </x:row>
    <x:row r="8" ht="30" customHeight="1">
      <x:c r="A8" s="7" t="str">
        <x:v>Support</x:v>
      </x:c>
      <x:c r="B8" s="7" t="str">
        <x:v>Jeu vidéo</x:v>
      </x:c>
      <x:c r="C8" s="2"/>
      <x:c r="D8" s="2"/>
      <x:c r="E8" s="2"/>
      <x:c r="F8" s="2"/>
    </x:row>
    <x:row r="9" ht="82" customHeight="1">
      <x:c r="A9" s="7" t="str">
        <x:v>Périmètre</x:v>
      </x:c>
      <x:c r="B9" s="7" t="str">
        <x:v>Campagne solo ME2 et Legendary Edition ; recrutements, loyautés, affectations N7 et hubs ; Kasumi, Zaeed, Normandy Crash Site, Firewalker, Overlord, Lair of the Shadow Broker et Arrival. Genesis est identifié comme récapitulatif interactif ; aucun mode multijoueur ME2 ajouté au canon.</x:v>
      </x:c>
      <x:c r="C9" s="2"/>
      <x:c r="D9" s="2"/>
      <x:c r="E9" s="2"/>
      <x:c r="F9" s="2"/>
    </x:row>
    <x:row r="10" ht="82" customHeight="1">
      <x:c r="A10" s="7" t="str">
        <x:v>Projet</x:v>
      </x:c>
      <x:c r="B10" s="7" t="str">
        <x:v>670 fiches de préparation couvrant les 26 domaines du schéma. Sources consultées au 22 octobre 2026 ; inventaire de production substantiel, sans prétention d’exhaustivité vérifiée. Prototype partiel : 12 profils sélectionnables et 11 équipements en Chroniques ; le reste demeure documentaire.</x:v>
      </x:c>
      <x:c r="C10" s="2"/>
      <x:c r="D10" s="2"/>
      <x:c r="E10" s="2"/>
      <x:c r="F10" s="2"/>
    </x:row>
    <x:row r="11" ht="124" customHeight="1">
      <x:c r="A11" s="7" t="str">
        <x:v>Références et limites</x:v>
      </x:c>
      <x:c r="B11" s="7" t="str">
        <x:v>Les faits de l’œuvre sont limités au champ description et à leur référence. Toutes les règles ATB, les valeurs de réglage, les découpages d’arènes, les mouvements combinés et les ressources proposées sont des créations d’adaptation. Les variantes de choix sont mutuellement conditionnelles ; aucune partie type ne devient canon universel. Les sources wiki restent secondaires et les intitulés anglais servent de clés de recherche, pas de traduction française officielle.</x:v>
      </x:c>
      <x:c r="C11" s="2"/>
      <x:c r="D11" s="2"/>
      <x:c r="E11" s="2"/>
      <x:c r="F11" s="2"/>
    </x:row>
    <x:row r="12" ht="30" customHeight="1">
      <x:c r="A12" s="7" t="str">
        <x:v>Date de référence</x:v>
      </x:c>
      <x:c r="B12" s="44" t="d">
        <x:v>2026-10-22T12:00:00.000Z</x:v>
      </x:c>
      <x:c r="C12" s="2"/>
      <x:c r="D12" s="2"/>
      <x:c r="E12" s="2"/>
      <x:c r="F12" s="2"/>
    </x:row>
    <x:row r="13" ht="40" customHeight="1">
      <x:c r="A13" s="7" t="str">
        <x:v>Statut Défini</x:v>
      </x:c>
      <x:c r="B13" s="7" t="str">
        <x:v>Fiche de conception à réaliser. Aucun asset ou code supplémentaire n’est prouvé par cette valeur.</x:v>
      </x:c>
      <x:c r="C13" s="2"/>
      <x:c r="D13" s="2"/>
      <x:c r="E13" s="2"/>
      <x:c r="F13" s="2"/>
    </x:row>
    <x:row r="14" ht="40" customHeight="1">
      <x:c r="A14" s="7" t="str">
        <x:v>Établi</x:v>
      </x:c>
      <x:c r="B14" s="7" t="str">
        <x:v>Fait de référence documenté. Les colonnes adaptation, règles, visuel et animation décrivent la production envisagée.</x:v>
      </x:c>
      <x:c r="C14" s="2"/>
      <x:c r="D14" s="2"/>
      <x:c r="E14" s="2"/>
      <x:c r="F14" s="2"/>
    </x:row>
    <x:row r="15" ht="40" customHeight="1">
      <x:c r="A15" s="7" t="str">
        <x:v>À vérifier</x:v>
      </x:c>
      <x:c r="B15" s="7" t="str">
        <x:v>Information partielle, indexée ou nécessitant un contrôle dans l’œuvre originale.</x:v>
      </x:c>
      <x:c r="C15" s="2"/>
      <x:c r="D15" s="2"/>
      <x:c r="E15" s="2"/>
      <x:c r="F15" s="2"/>
    </x:row>
    <x:row r="16" ht="40" customHeight="1">
      <x:c r="A16" s="7" t="str">
        <x:v>Extrapolation</x:v>
      </x:c>
      <x:c r="B16" s="7" t="str">
        <x:v>Création ou interprétation pour le fan game. Ne décrit pas un contenu officiel.</x:v>
      </x:c>
      <x:c r="C16" s="2"/>
      <x:c r="D16" s="2"/>
      <x:c r="E16" s="2"/>
      <x:c r="F16" s="2"/>
    </x:row>
    <x:row r="17" ht="40" customHeight="1">
      <x:c r="A17" s="7" t="str">
        <x:v>Coupé attesté</x:v>
      </x:c>
      <x:c r="B17" s="7" t="str">
        <x:v>Contenu retiré appuyé par une source identifiée. Son état exact peut rester à relever.</x:v>
      </x:c>
      <x:c r="C17" s="2"/>
      <x:c r="D17" s="2"/>
      <x:c r="E17" s="2"/>
      <x:c r="F17" s="2"/>
    </x:row>
    <x:row r="18" ht="40" customHeight="1">
      <x:c r="A18" s="7" t="str">
        <x:v>Concept abandonné</x:v>
      </x:c>
      <x:c r="B18" s="7" t="str">
        <x:v>Piste ou prototype documenté, sans scénario final officiel présumé.</x:v>
      </x:c>
      <x:c r="C18" s="2"/>
      <x:c r="D18" s="2"/>
      <x:c r="E18" s="2"/>
      <x:c r="F18" s="2"/>
    </x:row>
    <x:row r="19" ht="40" customHeight="1">
      <x:c r="A19" s="7" t="str">
        <x:v>Allégation écartée</x:v>
      </x:c>
      <x:c r="B19" s="7" t="str">
        <x:v>Hypothèse exclue de la continuité de production. Motif donné dans la fiche.</x:v>
      </x:c>
      <x:c r="C19" s="2"/>
      <x:c r="D19" s="2"/>
      <x:c r="E19" s="2"/>
      <x:c r="F19" s="2"/>
    </x:row>
    <x:row r="20" ht="40" customHeight="1">
      <x:c r="A20" s="7" t="str">
        <x:v>Priorités</x:v>
      </x:c>
      <x:c r="B20" s="7" t="str">
        <x:v>P0 : dépendance structurante. P1 : production du module. P2 : enrichissement ultérieur.</x:v>
      </x:c>
      <x:c r="C20" s="2"/>
      <x:c r="D20" s="2"/>
      <x:c r="E20" s="2"/>
      <x:c r="F20" s="2"/>
    </x:row>
    <x:row r="21" ht="54" customHeight="1">
      <x:c r="A21" s="7" t="str">
        <x:v>Édition</x:v>
      </x:c>
      <x:c r="B21" s="7" t="str">
        <x:v>Les statuts se modifient dans les cellules ambre. Les compteurs se recalculent. Les modifications Excel ne sont pas réimportées automatiquement.</x:v>
      </x:c>
      <x:c r="C21" s="2"/>
      <x:c r="D21" s="2"/>
      <x:c r="E21" s="2"/>
      <x:c r="F21" s="2"/>
    </x:row>
    <x:row r="22" ht="40" customHeight="1">
      <x:c r="A22" s="7" t="str">
        <x:v>Régénération</x:v>
      </x:c>
      <x:c r="B22" s="7" t="str">
        <x:v>Conserver les décisions approuvées dans le catalogue JSON du dépôt avant de régénérer ce classeur.</x:v>
      </x:c>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34" customHeight="1">
      <x:c r="A26" s="30" t="str">
        <x:v>Source</x:v>
      </x:c>
      <x:c r="B26" s="31" t="str">
        <x:v>Titre</x:v>
      </x:c>
      <x:c r="C26" s="31" t="str">
        <x:v>Type</x:v>
      </x:c>
      <x:c r="D26" s="31" t="str">
        <x:v>URL</x:v>
      </x:c>
      <x:c r="E26" s="31" t="str">
        <x:v>Périmètre</x:v>
      </x:c>
      <x:c r="F26" s="32" t="str">
        <x:v>Accès et limites</x:v>
      </x:c>
    </x:row>
    <x:row r="27" ht="42" customHeight="1">
      <x:c r="A27" s="6" t="str">
        <x:v>ME2-SRC-EA-LE</x:v>
      </x:c>
      <x:c r="B27" s="6" t="str">
        <x:v>Mass Effect Legendary Edition — EA</x:v>
      </x:c>
      <x:c r="C27" s="6" t="str">
        <x:v>source officielle</x:v>
      </x:c>
      <x:c r="D27" s="6" t="str">
        <x:v>https://www.ea.com/fr/games/mass-effect/mass-effect-legendary-edition</x:v>
      </x:c>
      <x:c r="E27" s="6" t="str">
        <x:v>Périmètre de la collection solo et DLC</x:v>
      </x:c>
      <x:c r="F27" s="6" t="str">
        <x:v>Source officielle consultée le 22 octobre 2026 ; portée limitée au sujet annoncé.</x:v>
      </x:c>
    </x:row>
    <x:row r="28" ht="42" customHeight="1">
      <x:c r="A28" s="6" t="str">
        <x:v>ME2-SRC-EA-CAL</x:v>
      </x:c>
      <x:c r="B28" s="6" t="str">
        <x:v>Gameplay Calibrations — BioWare / EA</x:v>
      </x:c>
      <x:c r="C28" s="6" t="str">
        <x:v>source officielle</x:v>
      </x:c>
      <x:c r="D28" s="6" t="str">
        <x:v>https://www.ea.com/ea-play/news/gameplay-calibrations</x:v>
      </x:c>
      <x:c r="E28" s="6" t="str">
        <x:v>Différences Legendary : clips, moralité, intégration des équipements DLC</x:v>
      </x:c>
      <x:c r="F28" s="6" t="str">
        <x:v>Source officielle consultée le 22 octobre 2026 ; portée limitée au sujet annoncé.</x:v>
      </x:c>
    </x:row>
    <x:row r="29" ht="42" customHeight="1">
      <x:c r="A29" s="6" t="str">
        <x:v>ME2-SRC-EA-DLC</x:v>
      </x:c>
      <x:c r="B29" s="6" t="str">
        <x:v>How to download and buy DLC for classic EA games</x:v>
      </x:c>
      <x:c r="C29" s="6" t="str">
        <x:v>source officielle</x:v>
      </x:c>
      <x:c r="D29" s="6" t="str">
        <x:v>https://help.ea.com/en//articles/orders-and-rewards/dlc-for-classic-games/</x:v>
      </x:c>
      <x:c r="E29" s="6" t="str">
        <x:v>Noms des packs et distribution historique</x:v>
      </x:c>
      <x:c r="F29" s="6" t="str">
        <x:v>Source officielle consultée le 22 octobre 2026 ; portée limitée au sujet annoncé.</x:v>
      </x:c>
    </x:row>
    <x:row r="30" ht="54" customHeight="1">
      <x:c r="A30" s="6" t="str">
        <x:v>ME2-SRC-EA-SHADOW</x:v>
      </x:c>
      <x:c r="B30" s="6" t="str">
        <x:v>The Battles Rage On — EA, 7 septembre 2010</x:v>
      </x:c>
      <x:c r="C30" s="6" t="str">
        <x:v>source officielle</x:v>
      </x:c>
      <x:c r="D30" s="6" t="str">
        <x:v>https://news.ea.com/press-releases/press-releases-details/2010/The-Battles-Rage-On-in-New-Downloadable-Content-for-BioWares-Dragon-Age-Origins-and-Mass-Effect-2/default.aspx</x:v>
      </x:c>
      <x:c r="E30" s="6" t="str">
        <x:v>Liara, le Courtier et le centre de renseignements</x:v>
      </x:c>
      <x:c r="F30" s="6" t="str">
        <x:v>Source officielle consultée le 22 octobre 2026 ; portée limitée au sujet annoncé.</x:v>
      </x:c>
    </x:row>
    <x:row r="31" ht="82" customHeight="1">
      <x:c r="A31" s="6" t="str">
        <x:v>ME2-SRC-GUIDE</x:v>
      </x:c>
      <x:c r="B31" s="6" t="str">
        <x:v>Mass Effect 2 Guide</x:v>
      </x:c>
      <x:c r="C31" s="6" t="str">
        <x:v>wiki</x:v>
      </x:c>
      <x:c r="D31" s="6" t="str">
        <x:v>https://masseffect.fandom.com/wiki/Mass_Effect_2_Guide</x:v>
      </x:c>
      <x:c r="E31" s="6" t="str">
        <x:v>Ordre de campagne et disponibilités</x:v>
      </x:c>
      <x:c r="F31" s="6" t="str">
        <x:v>Consulté le 22 octobre 2026 via les résultats indexés du moteur de recherche ; index communautaire secondaire, ouverture directe Fandom limitée par robots/402. Titres et faits brefs paraphrasés ; aucune capture ni validation exhaustive en jeu.</x:v>
      </x:c>
    </x:row>
    <x:row r="32" ht="82" customHeight="1">
      <x:c r="A32" s="6" t="str">
        <x:v>ME2-SRC-MISSIONS</x:v>
      </x:c>
      <x:c r="B32" s="6" t="str">
        <x:v>Missions</x:v>
      </x:c>
      <x:c r="C32" s="6" t="str">
        <x:v>wiki</x:v>
      </x:c>
      <x:c r="D32" s="6" t="str">
        <x:v>https://masseffect.fandom.com/wiki/Missions</x:v>
      </x:c>
      <x:c r="E32" s="6" t="str">
        <x:v>Intitulés des missions ME2</x:v>
      </x:c>
      <x:c r="F32" s="6" t="str">
        <x:v>Consulté le 22 octobre 2026 via les résultats indexés du moteur de recherche ; index communautaire secondaire, ouverture directe Fandom limitée par robots/402. Titres et faits brefs paraphrasés ; aucune capture ni validation exhaustive en jeu.</x:v>
      </x:c>
    </x:row>
    <x:row r="33" ht="82" customHeight="1">
      <x:c r="A33" s="6" t="str">
        <x:v>ME2-SRC-ASSIGN</x:v>
      </x:c>
      <x:c r="B33" s="6" t="str">
        <x:v>Assignments</x:v>
      </x:c>
      <x:c r="C33" s="6" t="str">
        <x:v>wiki</x:v>
      </x:c>
      <x:c r="D33" s="6" t="str">
        <x:v>https://masseffect.fandom.com/wiki/Assignments</x:v>
      </x:c>
      <x:c r="E33" s="6" t="str">
        <x:v>Index des affectations ME2 ; pas les missions coupées</x:v>
      </x:c>
      <x:c r="F33" s="6" t="str">
        <x:v>Consulté le 22 octobre 2026 via les résultats indexés du moteur de recherche ; index communautaire secondaire, ouverture directe Fandom limitée par robots/402. Titres et faits brefs paraphrasés ; aucune capture ni validation exhaustive en jeu.</x:v>
      </x:c>
    </x:row>
    <x:row r="34" ht="82" customHeight="1">
      <x:c r="A34" s="6" t="str">
        <x:v>ME2-SRC-CHAR</x:v>
      </x:c>
      <x:c r="B34" s="6" t="str">
        <x:v>Characters/Mass Effect 2</x:v>
      </x:c>
      <x:c r="C34" s="6" t="str">
        <x:v>wiki</x:v>
      </x:c>
      <x:c r="D34" s="6" t="str">
        <x:v>https://masseffect.fandom.com/wiki/Characters/Mass_Effect_2</x:v>
      </x:c>
      <x:c r="E34" s="6" t="str">
        <x:v>Liste des équipiers et rôles temporaires</x:v>
      </x:c>
      <x:c r="F34" s="6" t="str">
        <x:v>Consulté le 22 octobre 2026 via les résultats indexés du moteur de recherche ; index communautaire secondaire, ouverture directe Fandom limitée par robots/402. Titres et faits brefs paraphrasés ; aucune capture ni validation exhaustive en jeu.</x:v>
      </x:c>
    </x:row>
    <x:row r="35" ht="82" customHeight="1">
      <x:c r="A35" s="6" t="str">
        <x:v>ME2-SRC-SQUAD</x:v>
      </x:c>
      <x:c r="B35" s="6" t="str">
        <x:v>Squad Members Guide (Mass Effect 2)</x:v>
      </x:c>
      <x:c r="C35" s="6" t="str">
        <x:v>wiki</x:v>
      </x:c>
      <x:c r="D35" s="6" t="str">
        <x:v>https://masseffect.fandom.com/wiki/Squad_Members_Guide_%28Mass_Effect_2%29</x:v>
      </x:c>
      <x:c r="E35" s="6" t="str">
        <x:v>Armes et capacités des équipiers</x:v>
      </x:c>
      <x:c r="F35" s="6" t="str">
        <x:v>Consulté le 22 octobre 2026 via les résultats indexés du moteur de recherche ; index communautaire secondaire, ouverture directe Fandom limitée par robots/402. Titres et faits brefs paraphrasés ; aucune capture ni validation exhaustive en jeu.</x:v>
      </x:c>
    </x:row>
    <x:row r="36" ht="82" customHeight="1">
      <x:c r="A36" s="6" t="str">
        <x:v>ME2-SRC-POWERS</x:v>
      </x:c>
      <x:c r="B36" s="6" t="str">
        <x:v>Powers</x:v>
      </x:c>
      <x:c r="C36" s="6" t="str">
        <x:v>wiki</x:v>
      </x:c>
      <x:c r="D36" s="6" t="str">
        <x:v>https://masseffect.fandom.com/wiki/Powers</x:v>
      </x:c>
      <x:c r="E36" s="6" t="str">
        <x:v>Pouvoirs de ME2 et pouvoirs de loyauté</x:v>
      </x:c>
      <x:c r="F36" s="6" t="str">
        <x:v>Consulté le 22 octobre 2026 via les résultats indexés du moteur de recherche ; index communautaire secondaire, ouverture directe Fandom limitée par robots/402. Titres et faits brefs paraphrasés ; aucune capture ni validation exhaustive en jeu.</x:v>
      </x:c>
    </x:row>
    <x:row r="37" ht="82" customHeight="1">
      <x:c r="A37" s="6" t="str">
        <x:v>ME2-SRC-WEAPONS</x:v>
      </x:c>
      <x:c r="B37" s="6" t="str">
        <x:v>Weapons</x:v>
      </x:c>
      <x:c r="C37" s="6" t="str">
        <x:v>wiki</x:v>
      </x:c>
      <x:c r="D37" s="6" t="str">
        <x:v>https://masseffect.fandom.com/wiki/Weapons</x:v>
      </x:c>
      <x:c r="E37" s="6" t="str">
        <x:v>Familles et recharge par clips thermiques</x:v>
      </x:c>
      <x:c r="F37" s="6" t="str">
        <x:v>Consulté le 22 octobre 2026 via les résultats indexés du moteur de recherche ; index communautaire secondaire, ouverture directe Fandom limitée par robots/402. Titres et faits brefs paraphrasés ; aucune capture ni validation exhaustive en jeu.</x:v>
      </x:c>
    </x:row>
    <x:row r="38" ht="82" customHeight="1">
      <x:c r="A38" s="6" t="str">
        <x:v>ME2-SRC-HEAVY</x:v>
      </x:c>
      <x:c r="B38" s="6" t="str">
        <x:v>Heavy Weapons</x:v>
      </x:c>
      <x:c r="C38" s="6" t="str">
        <x:v>wiki</x:v>
      </x:c>
      <x:c r="D38" s="6" t="str">
        <x:v>https://masseffect.fandom.com/wiki/Heavy_Weapons</x:v>
      </x:c>
      <x:c r="E38" s="6" t="str">
        <x:v>Armes lourdes ME2</x:v>
      </x:c>
      <x:c r="F38" s="6" t="str">
        <x:v>Consulté le 22 octobre 2026 via les résultats indexés du moteur de recherche ; index communautaire secondaire, ouverture directe Fandom limitée par robots/402. Titres et faits brefs paraphrasés ; aucune capture ni validation exhaustive en jeu.</x:v>
      </x:c>
    </x:row>
    <x:row r="39" ht="82" customHeight="1">
      <x:c r="A39" s="6" t="str">
        <x:v>ME2-SRC-ARMOR</x:v>
      </x:c>
      <x:c r="B39" s="6" t="str">
        <x:v>Armor Customization</x:v>
      </x:c>
      <x:c r="C39" s="6" t="str">
        <x:v>wiki</x:v>
      </x:c>
      <x:c r="D39" s="6" t="str">
        <x:v>https://masseffect.fandom.com/wiki/Armor_Customization</x:v>
      </x:c>
      <x:c r="E39" s="6" t="str">
        <x:v>Pièces et ensembles ME2</x:v>
      </x:c>
      <x:c r="F39" s="6" t="str">
        <x:v>Consulté le 22 octobre 2026 via les résultats indexés du moteur de recherche ; index communautaire secondaire, ouverture directe Fandom limitée par robots/402. Titres et faits brefs paraphrasés ; aucune capture ni validation exhaustive en jeu.</x:v>
      </x:c>
    </x:row>
    <x:row r="40" ht="82" customHeight="1">
      <x:c r="A40" s="6" t="str">
        <x:v>ME2-SRC-UPGRADE</x:v>
      </x:c>
      <x:c r="B40" s="6" t="str">
        <x:v>Upgrade Guide</x:v>
      </x:c>
      <x:c r="C40" s="6" t="str">
        <x:v>wiki</x:v>
      </x:c>
      <x:c r="D40" s="6" t="str">
        <x:v>https://masseffect.fandom.com/wiki/Upgrade_Guide</x:v>
      </x:c>
      <x:c r="E40" s="6" t="str">
        <x:v>Recherche et améliorations</x:v>
      </x:c>
      <x:c r="F40" s="6" t="str">
        <x:v>Consulté le 22 octobre 2026 via les résultats indexés du moteur de recherche ; index communautaire secondaire, ouverture directe Fandom limitée par robots/402. Titres et faits brefs paraphrasés ; aucune capture ni validation exhaustive en jeu.</x:v>
      </x:c>
    </x:row>
    <x:row r="41" ht="82" customHeight="1">
      <x:c r="A41" s="6" t="str">
        <x:v>ME2-SRC-COMBAT</x:v>
      </x:c>
      <x:c r="B41" s="6" t="str">
        <x:v>Combat (Mass Effect 2)</x:v>
      </x:c>
      <x:c r="C41" s="6" t="str">
        <x:v>wiki</x:v>
      </x:c>
      <x:c r="D41" s="6" t="str">
        <x:v>https://masseffect.fandom.com/wiki/Combat_%28Mass_Effect_2%29</x:v>
      </x:c>
      <x:c r="E41" s="6" t="str">
        <x:v>Base du combat et ordre d’escouade</x:v>
      </x:c>
      <x:c r="F41" s="6" t="str">
        <x:v>Consulté le 22 octobre 2026 via les résultats indexés du moteur de recherche ; index communautaire secondaire, ouverture directe Fandom limitée par robots/402. Titres et faits brefs paraphrasés ; aucune capture ni validation exhaustive en jeu.</x:v>
      </x:c>
    </x:row>
    <x:row r="42" ht="82" customHeight="1">
      <x:c r="A42" s="6" t="str">
        <x:v>ME2-SRC-COLLECTOR</x:v>
      </x:c>
      <x:c r="B42" s="6" t="str">
        <x:v>Collector</x:v>
      </x:c>
      <x:c r="C42" s="6" t="str">
        <x:v>wiki</x:v>
      </x:c>
      <x:c r="D42" s="6" t="str">
        <x:v>https://masseffect.fandom.com/wiki/Collector</x:v>
      </x:c>
      <x:c r="E42" s="6" t="str">
        <x:v>Collecteurs et principaux types</x:v>
      </x:c>
      <x:c r="F42" s="6" t="str">
        <x:v>Consulté le 22 octobre 2026 via les résultats indexés du moteur de recherche ; index communautaire secondaire, ouverture directe Fandom limitée par robots/402. Titres et faits brefs paraphrasés ; aucune capture ni validation exhaustive en jeu.</x:v>
      </x:c>
    </x:row>
    <x:row r="43" ht="82" customHeight="1">
      <x:c r="A43" s="6" t="str">
        <x:v>ME2-SRC-ENEMIES</x:v>
      </x:c>
      <x:c r="B43" s="6" t="str">
        <x:v>Prison Guard — index de bestiaire ME2</x:v>
      </x:c>
      <x:c r="C43" s="6" t="str">
        <x:v>wiki</x:v>
      </x:c>
      <x:c r="D43" s="6" t="str">
        <x:v>https://masseffect.fandom.com/wiki/Prison_Guard</x:v>
      </x:c>
      <x:c r="E43" s="6" t="str">
        <x:v>Index des unités de factions en pied de page</x:v>
      </x:c>
      <x:c r="F43" s="6" t="str">
        <x:v>Consulté le 22 octobre 2026 via les résultats indexés du moteur de recherche ; index communautaire secondaire, ouverture directe Fandom limitée par robots/402. Titres et faits brefs paraphrasés ; aucune capture ni validation exhaustive en jeu.</x:v>
      </x:c>
    </x:row>
    <x:row r="44" ht="82" customHeight="1">
      <x:c r="A44" s="6" t="str">
        <x:v>ME2-SRC-PROF</x:v>
      </x:c>
      <x:c r="B44" s="6" t="str">
        <x:v>Dossier: The Professor</x:v>
      </x:c>
      <x:c r="C44" s="6" t="str">
        <x:v>wiki</x:v>
      </x:c>
      <x:c r="D44" s="6" t="str">
        <x:v>https://masseffect.fandom.com/wiki/Dossier%3A_The_Professor</x:v>
      </x:c>
      <x:c r="E44" s="6" t="str">
        <x:v>Peste d’Omega, ventilation et Mordin</x:v>
      </x:c>
      <x:c r="F44" s="6" t="str">
        <x:v>Consulté le 22 octobre 2026 via les résultats indexés du moteur de recherche ; index communautaire secondaire, ouverture directe Fandom limitée par robots/402. Titres et faits brefs paraphrasés ; aucune capture ni validation exhaustive en jeu.</x:v>
      </x:c>
    </x:row>
    <x:row r="45" ht="82" customHeight="1">
      <x:c r="A45" s="6" t="str">
        <x:v>ME2-SRC-WARLORD</x:v>
      </x:c>
      <x:c r="B45" s="6" t="str">
        <x:v>Dossier: The Warlord</x:v>
      </x:c>
      <x:c r="C45" s="6" t="str">
        <x:v>wiki</x:v>
      </x:c>
      <x:c r="D45" s="6" t="str">
        <x:v>https://masseffect.fandom.com/wiki/Dossier%3A_The_Warlord</x:v>
      </x:c>
      <x:c r="E45" s="6" t="str">
        <x:v>Korlus, Okeer et Grunt</x:v>
      </x:c>
      <x:c r="F45" s="6" t="str">
        <x:v>Consulté le 22 octobre 2026 via les résultats indexés du moteur de recherche ; index communautaire secondaire, ouverture directe Fandom limitée par robots/402. Titres et faits brefs paraphrasés ; aucune capture ni validation exhaustive en jeu.</x:v>
      </x:c>
    </x:row>
    <x:row r="46" ht="82" customHeight="1">
      <x:c r="A46" s="6" t="str">
        <x:v>ME2-SRC-CONVICT</x:v>
      </x:c>
      <x:c r="B46" s="6" t="str">
        <x:v>Dossier: The Convict</x:v>
      </x:c>
      <x:c r="C46" s="6" t="str">
        <x:v>wiki</x:v>
      </x:c>
      <x:c r="D46" s="6" t="str">
        <x:v>https://masseffect.fandom.com/wiki/Dossier%3A_The_Convict</x:v>
      </x:c>
      <x:c r="E46" s="6" t="str">
        <x:v>Purgatory et libération de Jack</x:v>
      </x:c>
      <x:c r="F46" s="6" t="str">
        <x:v>Consulté le 22 octobre 2026 via les résultats indexés du moteur de recherche ; index communautaire secondaire, ouverture directe Fandom limitée par robots/402. Titres et faits brefs paraphrasés ; aucune capture ni validation exhaustive en jeu.</x:v>
      </x:c>
    </x:row>
    <x:row r="47" ht="82" customHeight="1">
      <x:c r="A47" s="6" t="str">
        <x:v>ME2-SRC-ARCHANGEL</x:v>
      </x:c>
      <x:c r="B47" s="6" t="str">
        <x:v>Dossier: Archangel</x:v>
      </x:c>
      <x:c r="C47" s="6" t="str">
        <x:v>wiki</x:v>
      </x:c>
      <x:c r="D47" s="6" t="str">
        <x:v>https://masseffect.fandom.com/wiki/Dossier%3A_Archangel</x:v>
      </x:c>
      <x:c r="E47" s="6" t="str">
        <x:v>Siège de Garrus à Omega</x:v>
      </x:c>
      <x:c r="F47" s="6" t="str">
        <x:v>Consulté le 22 octobre 2026 via les résultats indexés du moteur de recherche ; index communautaire secondaire, ouverture directe Fandom limitée par robots/402. Titres et faits brefs paraphrasés ; aucune capture ni validation exhaustive en jeu.</x:v>
      </x:c>
    </x:row>
    <x:row r="48" ht="82" customHeight="1">
      <x:c r="A48" s="6" t="str">
        <x:v>ME2-SRC-TALI</x:v>
      </x:c>
      <x:c r="B48" s="6" t="str">
        <x:v>Dossier: Tali</x:v>
      </x:c>
      <x:c r="C48" s="6" t="str">
        <x:v>wiki</x:v>
      </x:c>
      <x:c r="D48" s="6" t="str">
        <x:v>https://masseffect.fandom.com/wiki/Dossier%3A_Tali</x:v>
      </x:c>
      <x:c r="E48" s="6" t="str">
        <x:v>Haestrom et radiation solaire</x:v>
      </x:c>
      <x:c r="F48" s="6" t="str">
        <x:v>Consulté le 22 octobre 2026 via les résultats indexés du moteur de recherche ; index communautaire secondaire, ouverture directe Fandom limitée par robots/402. Titres et faits brefs paraphrasés ; aucune capture ni validation exhaustive en jeu.</x:v>
      </x:c>
    </x:row>
    <x:row r="49" ht="82" customHeight="1">
      <x:c r="A49" s="6" t="str">
        <x:v>ME2-SRC-ASSASSIN</x:v>
      </x:c>
      <x:c r="B49" s="6" t="str">
        <x:v>Dossier: The Assassin</x:v>
      </x:c>
      <x:c r="C49" s="6" t="str">
        <x:v>wiki</x:v>
      </x:c>
      <x:c r="D49" s="6" t="str">
        <x:v>https://masseffect.fandom.com/wiki/Dossier%3A_The_Assassin</x:v>
      </x:c>
      <x:c r="E49" s="6" t="str">
        <x:v>Thane et tours Dantius</x:v>
      </x:c>
      <x:c r="F49" s="6" t="str">
        <x:v>Consulté le 22 octobre 2026 via les résultats indexés du moteur de recherche ; index communautaire secondaire, ouverture directe Fandom limitée par robots/402. Titres et faits brefs paraphrasés ; aucune capture ni validation exhaustive en jeu.</x:v>
      </x:c>
    </x:row>
    <x:row r="50" ht="82" customHeight="1">
      <x:c r="A50" s="6" t="str">
        <x:v>ME2-SRC-JUSTICAR</x:v>
      </x:c>
      <x:c r="B50" s="6" t="str">
        <x:v>Dossier: The Justicar</x:v>
      </x:c>
      <x:c r="C50" s="6" t="str">
        <x:v>wiki</x:v>
      </x:c>
      <x:c r="D50" s="6" t="str">
        <x:v>https://masseffect.fandom.com/wiki/Dossier%3A_The_Justicar</x:v>
      </x:c>
      <x:c r="E50" s="6" t="str">
        <x:v>Samara, Illium et enquête</x:v>
      </x:c>
      <x:c r="F50" s="6" t="str">
        <x:v>Consulté le 22 octobre 2026 via les résultats indexés du moteur de recherche ; index communautaire secondaire, ouverture directe Fandom limitée par robots/402. Titres et faits brefs paraphrasés ; aucune capture ni validation exhaustive en jeu.</x:v>
      </x:c>
    </x:row>
    <x:row r="51" ht="82" customHeight="1">
      <x:c r="A51" s="6" t="str">
        <x:v>ME2-SRC-GARRUS</x:v>
      </x:c>
      <x:c r="B51" s="6" t="str">
        <x:v>Garrus: Eye for an Eye</x:v>
      </x:c>
      <x:c r="C51" s="6" t="str">
        <x:v>wiki</x:v>
      </x:c>
      <x:c r="D51" s="6" t="str">
        <x:v>https://masseffect.fandom.com/wiki/Garrus%3A_Eye_for_an_Eye</x:v>
      </x:c>
      <x:c r="E51" s="6" t="str">
        <x:v>Sidonis, Fade et Citadelle</x:v>
      </x:c>
      <x:c r="F51" s="6" t="str">
        <x:v>Consulté le 22 octobre 2026 via les résultats indexés du moteur de recherche ; index communautaire secondaire, ouverture directe Fandom limitée par robots/402. Titres et faits brefs paraphrasés ; aucune capture ni validation exhaustive en jeu.</x:v>
      </x:c>
    </x:row>
    <x:row r="52" ht="82" customHeight="1">
      <x:c r="A52" s="6" t="str">
        <x:v>ME2-SRC-JACK</x:v>
      </x:c>
      <x:c r="B52" s="6" t="str">
        <x:v>Jack: Subject Zero</x:v>
      </x:c>
      <x:c r="C52" s="6" t="str">
        <x:v>wiki</x:v>
      </x:c>
      <x:c r="D52" s="6" t="str">
        <x:v>https://masseffect.fandom.com/wiki/Jack%3A_Subject_Zero</x:v>
      </x:c>
      <x:c r="E52" s="6" t="str">
        <x:v>Retour à Pragia</x:v>
      </x:c>
      <x:c r="F52" s="6" t="str">
        <x:v>Consulté le 22 octobre 2026 via les résultats indexés du moteur de recherche ; index communautaire secondaire, ouverture directe Fandom limitée par robots/402. Titres et faits brefs paraphrasés ; aucune capture ni validation exhaustive en jeu.</x:v>
      </x:c>
    </x:row>
    <x:row r="53" ht="82" customHeight="1">
      <x:c r="A53" s="6" t="str">
        <x:v>ME2-SRC-JACOB</x:v>
      </x:c>
      <x:c r="B53" s="6" t="str">
        <x:v>Jacob: The Gift of Greatness</x:v>
      </x:c>
      <x:c r="C53" s="6" t="str">
        <x:v>wiki</x:v>
      </x:c>
      <x:c r="D53" s="6" t="str">
        <x:v>https://masseffect.fandom.com/wiki/Jacob%3A_The_Gift_of_Greatness</x:v>
      </x:c>
      <x:c r="E53" s="6" t="str">
        <x:v>Hugo Gernsback et Aeia</x:v>
      </x:c>
      <x:c r="F53" s="6" t="str">
        <x:v>Consulté le 22 octobre 2026 via les résultats indexés du moteur de recherche ; index communautaire secondaire, ouverture directe Fandom limitée par robots/402. Titres et faits brefs paraphrasés ; aucune capture ni validation exhaustive en jeu.</x:v>
      </x:c>
    </x:row>
    <x:row r="54" ht="82" customHeight="1">
      <x:c r="A54" s="6" t="str">
        <x:v>ME2-SRC-MIRANDA</x:v>
      </x:c>
      <x:c r="B54" s="6" t="str">
        <x:v>Miranda: The Prodigal</x:v>
      </x:c>
      <x:c r="C54" s="6" t="str">
        <x:v>wiki</x:v>
      </x:c>
      <x:c r="D54" s="6" t="str">
        <x:v>https://masseffect.fandom.com/wiki/Miranda%3A_The_Prodigal</x:v>
      </x:c>
      <x:c r="E54" s="6" t="str">
        <x:v>Niket et Oriana</x:v>
      </x:c>
      <x:c r="F54" s="6" t="str">
        <x:v>Consulté le 22 octobre 2026 via les résultats indexés du moteur de recherche ; index communautaire secondaire, ouverture directe Fandom limitée par robots/402. Titres et faits brefs paraphrasés ; aucune capture ni validation exhaustive en jeu.</x:v>
      </x:c>
    </x:row>
    <x:row r="55" ht="82" customHeight="1">
      <x:c r="A55" s="6" t="str">
        <x:v>ME2-SRC-MORDIN</x:v>
      </x:c>
      <x:c r="B55" s="6" t="str">
        <x:v>Mordin: Old Blood</x:v>
      </x:c>
      <x:c r="C55" s="6" t="str">
        <x:v>wiki</x:v>
      </x:c>
      <x:c r="D55" s="6" t="str">
        <x:v>https://masseffect.fandom.com/wiki/Mordin%3A_Old_Blood</x:v>
      </x:c>
      <x:c r="E55" s="6" t="str">
        <x:v>Maelon et recherches sur le génophage</x:v>
      </x:c>
      <x:c r="F55" s="6" t="str">
        <x:v>Consulté le 22 octobre 2026 via les résultats indexés du moteur de recherche ; index communautaire secondaire, ouverture directe Fandom limitée par robots/402. Titres et faits brefs paraphrasés ; aucune capture ni validation exhaustive en jeu.</x:v>
      </x:c>
    </x:row>
    <x:row r="56" ht="82" customHeight="1">
      <x:c r="A56" s="6" t="str">
        <x:v>ME2-SRC-SAMARA</x:v>
      </x:c>
      <x:c r="B56" s="6" t="str">
        <x:v>Samara: The Ardat-Yakshi</x:v>
      </x:c>
      <x:c r="C56" s="6" t="str">
        <x:v>wiki</x:v>
      </x:c>
      <x:c r="D56" s="6" t="str">
        <x:v>https://masseffect.fandom.com/wiki/Samara%3A_The_Ardat-Yakshi</x:v>
      </x:c>
      <x:c r="E56" s="6" t="str">
        <x:v>Morinth, enquête et substitution</x:v>
      </x:c>
      <x:c r="F56" s="6" t="str">
        <x:v>Consulté le 22 octobre 2026 via les résultats indexés du moteur de recherche ; index communautaire secondaire, ouverture directe Fandom limitée par robots/402. Titres et faits brefs paraphrasés ; aucune capture ni validation exhaustive en jeu.</x:v>
      </x:c>
    </x:row>
    <x:row r="57" ht="82" customHeight="1">
      <x:c r="A57" s="6" t="str">
        <x:v>ME2-SRC-THANE</x:v>
      </x:c>
      <x:c r="B57" s="6" t="str">
        <x:v>Thane: Sins of the Father</x:v>
      </x:c>
      <x:c r="C57" s="6" t="str">
        <x:v>wiki</x:v>
      </x:c>
      <x:c r="D57" s="6" t="str">
        <x:v>https://masseffect.fandom.com/wiki/Thane%3A_Sins_of_the_Father</x:v>
      </x:c>
      <x:c r="E57" s="6" t="str">
        <x:v>Kolyat et filature</x:v>
      </x:c>
      <x:c r="F57" s="6" t="str">
        <x:v>Consulté le 22 octobre 2026 via les résultats indexés du moteur de recherche ; index communautaire secondaire, ouverture directe Fandom limitée par robots/402. Titres et faits brefs paraphrasés ; aucune capture ni validation exhaustive en jeu.</x:v>
      </x:c>
    </x:row>
    <x:row r="58" ht="82" customHeight="1">
      <x:c r="A58" s="6" t="str">
        <x:v>ME2-SRC-TREASON</x:v>
      </x:c>
      <x:c r="B58" s="6" t="str">
        <x:v>Tali: Treason</x:v>
      </x:c>
      <x:c r="C58" s="6" t="str">
        <x:v>wiki</x:v>
      </x:c>
      <x:c r="D58" s="6" t="str">
        <x:v>https://masseffect.fandom.com/wiki/Tali%3A_Treason</x:v>
      </x:c>
      <x:c r="E58" s="6" t="str">
        <x:v>Procès de Tali et amiraux</x:v>
      </x:c>
      <x:c r="F58" s="6" t="str">
        <x:v>Consulté le 22 octobre 2026 via les résultats indexés du moteur de recherche ; index communautaire secondaire, ouverture directe Fandom limitée par robots/402. Titres et faits brefs paraphrasés ; aucune capture ni validation exhaustive en jeu.</x:v>
      </x:c>
    </x:row>
    <x:row r="59" ht="82" customHeight="1">
      <x:c r="A59" s="6" t="str">
        <x:v>ME2-SRC-LEGION</x:v>
      </x:c>
      <x:c r="B59" s="6" t="str">
        <x:v>Legion: A House Divided</x:v>
      </x:c>
      <x:c r="C59" s="6" t="str">
        <x:v>wiki</x:v>
      </x:c>
      <x:c r="D59" s="6" t="str">
        <x:v>https://masseffect.fandom.com/wiki/Legion%3A_A_House_Divided</x:v>
      </x:c>
      <x:c r="E59" s="6" t="str">
        <x:v>Station hérétique et choix des geth</x:v>
      </x:c>
      <x:c r="F59" s="6" t="str">
        <x:v>Consulté le 22 octobre 2026 via les résultats indexés du moteur de recherche ; index communautaire secondaire, ouverture directe Fandom limitée par robots/402. Titres et faits brefs paraphrasés ; aucune capture ni validation exhaustive en jeu.</x:v>
      </x:c>
    </x:row>
    <x:row r="60" ht="82" customHeight="1">
      <x:c r="A60" s="6" t="str">
        <x:v>ME2-SRC-GRUNT</x:v>
      </x:c>
      <x:c r="B60" s="6" t="str">
        <x:v>Grunt: Rite of Passage</x:v>
      </x:c>
      <x:c r="C60" s="6" t="str">
        <x:v>wiki</x:v>
      </x:c>
      <x:c r="D60" s="6" t="str">
        <x:v>https://masseffect.fandom.com/wiki/Grunt%3A_Rite_of_Passage</x:v>
      </x:c>
      <x:c r="E60" s="6" t="str">
        <x:v>Rite krogan et conséquences</x:v>
      </x:c>
      <x:c r="F60" s="6" t="str">
        <x:v>Consulté le 22 octobre 2026 via les résultats indexés du moteur de recherche ; index communautaire secondaire, ouverture directe Fandom limitée par robots/402. Titres et faits brefs paraphrasés ; aucune capture ni validation exhaustive en jeu.</x:v>
      </x:c>
    </x:row>
    <x:row r="61" ht="82" customHeight="1">
      <x:c r="A61" s="6" t="str">
        <x:v>ME2-SRC-KASUMI</x:v>
      </x:c>
      <x:c r="B61" s="6" t="str">
        <x:v>Kasumi: Stealing Memory</x:v>
      </x:c>
      <x:c r="C61" s="6" t="str">
        <x:v>wiki</x:v>
      </x:c>
      <x:c r="D61" s="6" t="str">
        <x:v>https://masseffect.fandom.com/wiki/Kasumi%3A_Stealing_Memory</x:v>
      </x:c>
      <x:c r="E61" s="6" t="str">
        <x:v>Bekenstein et graybox</x:v>
      </x:c>
      <x:c r="F61" s="6" t="str">
        <x:v>Consulté le 22 octobre 2026 via les résultats indexés du moteur de recherche ; index communautaire secondaire, ouverture directe Fandom limitée par robots/402. Titres et faits brefs paraphrasés ; aucune capture ni validation exhaustive en jeu.</x:v>
      </x:c>
    </x:row>
    <x:row r="62" ht="82" customHeight="1">
      <x:c r="A62" s="6" t="str">
        <x:v>ME2-SRC-ZAEED</x:v>
      </x:c>
      <x:c r="B62" s="6" t="str">
        <x:v>Zaeed: The Price of Revenge</x:v>
      </x:c>
      <x:c r="C62" s="6" t="str">
        <x:v>wiki</x:v>
      </x:c>
      <x:c r="D62" s="6" t="str">
        <x:v>https://masseffect.fandom.com/wiki/Zaeed%3A_The_Price_of_Revenge</x:v>
      </x:c>
      <x:c r="E62" s="6" t="str">
        <x:v>Raffinerie et revanche</x:v>
      </x:c>
      <x:c r="F62" s="6" t="str">
        <x:v>Consulté le 22 octobre 2026 via les résultats indexés du moteur de recherche ; index communautaire secondaire, ouverture directe Fandom limitée par robots/402. Titres et faits brefs paraphrasés ; aucune capture ni validation exhaustive en jeu.</x:v>
      </x:c>
    </x:row>
    <x:row r="63" ht="82" customHeight="1">
      <x:c r="A63" s="6" t="str">
        <x:v>ME2-SRC-SHADOW</x:v>
      </x:c>
      <x:c r="B63" s="6" t="str">
        <x:v>Lair of the Shadow Broker (mission)</x:v>
      </x:c>
      <x:c r="C63" s="6" t="str">
        <x:v>wiki</x:v>
      </x:c>
      <x:c r="D63" s="6" t="str">
        <x:v>https://masseffect.fandom.com/wiki/Lair_of_the_Shadow_Broker_%28mission%29</x:v>
      </x:c>
      <x:c r="E63" s="6" t="str">
        <x:v>Illium, Vasir, Hagalaz et yahg</x:v>
      </x:c>
      <x:c r="F63" s="6" t="str">
        <x:v>Consulté le 22 octobre 2026 via les résultats indexés du moteur de recherche ; index communautaire secondaire, ouverture directe Fandom limitée par robots/402. Titres et faits brefs paraphrasés ; aucune capture ni validation exhaustive en jeu.</x:v>
      </x:c>
    </x:row>
    <x:row r="64" ht="82" customHeight="1">
      <x:c r="A64" s="6" t="str">
        <x:v>ME2-SRC-OVERLORD</x:v>
      </x:c>
      <x:c r="B64" s="6" t="str">
        <x:v>Overlord</x:v>
      </x:c>
      <x:c r="C64" s="6" t="str">
        <x:v>wiki</x:v>
      </x:c>
      <x:c r="D64" s="6" t="str">
        <x:v>https://masseffect.fandom.com/wiki/Overlord</x:v>
      </x:c>
      <x:c r="E64" s="6" t="str">
        <x:v>Périmètre de Project Overlord</x:v>
      </x:c>
      <x:c r="F64" s="6" t="str">
        <x:v>Consulté le 22 octobre 2026 via les résultats indexés du moteur de recherche ; index communautaire secondaire, ouverture directe Fandom limitée par robots/402. Titres et faits brefs paraphrasés ; aucune capture ni validation exhaustive en jeu.</x:v>
      </x:c>
    </x:row>
    <x:row r="65" ht="82" customHeight="1">
      <x:c r="A65" s="6" t="str">
        <x:v>ME2-SRC-ATLAS</x:v>
      </x:c>
      <x:c r="B65" s="6" t="str">
        <x:v>Atlas Station</x:v>
      </x:c>
      <x:c r="C65" s="6" t="str">
        <x:v>wiki</x:v>
      </x:c>
      <x:c r="D65" s="6" t="str">
        <x:v>https://masseffect.fandom.com/wiki/Atlas_Station</x:v>
      </x:c>
      <x:c r="E65" s="6" t="str">
        <x:v>David Archer et installations d’Aite</x:v>
      </x:c>
      <x:c r="F65" s="6" t="str">
        <x:v>Consulté le 22 octobre 2026 via les résultats indexés du moteur de recherche ; index communautaire secondaire, ouverture directe Fandom limitée par robots/402. Titres et faits brefs paraphrasés ; aucune capture ni validation exhaustive en jeu.</x:v>
      </x:c>
    </x:row>
    <x:row r="66" ht="82" customHeight="1">
      <x:c r="A66" s="6" t="str">
        <x:v>ME2-SRC-ARRIVAL</x:v>
      </x:c>
      <x:c r="B66" s="6" t="str">
        <x:v>Arrival (assignment)</x:v>
      </x:c>
      <x:c r="C66" s="6" t="str">
        <x:v>wiki</x:v>
      </x:c>
      <x:c r="D66" s="6" t="str">
        <x:v>https://masseffect.fandom.com/wiki/Arrival_%28assignment%29</x:v>
      </x:c>
      <x:c r="E66" s="6" t="str">
        <x:v>Kenson, Aratoht, projet et relais Alpha</x:v>
      </x:c>
      <x:c r="F66" s="6" t="str">
        <x:v>Consulté le 22 octobre 2026 via les résultats indexés du moteur de recherche ; index communautaire secondaire, ouverture directe Fandom limitée par robots/402. Titres et faits brefs paraphrasés ; aucune capture ni validation exhaustive en jeu.</x:v>
      </x:c>
    </x:row>
    <x:row r="67" ht="82" customHeight="1">
      <x:c r="A67" s="6" t="str">
        <x:v>ME2-SRC-FIRE</x:v>
      </x:c>
      <x:c r="B67" s="6" t="str">
        <x:v>Firewalker Pack</x:v>
      </x:c>
      <x:c r="C67" s="6" t="str">
        <x:v>wiki</x:v>
      </x:c>
      <x:c r="D67" s="6" t="str">
        <x:v>https://masseffect.fandom.com/wiki/Firewalker_Pack</x:v>
      </x:c>
      <x:c r="E67" s="6" t="str">
        <x:v>Cinq affectations Hammerhead</x:v>
      </x:c>
      <x:c r="F67" s="6" t="str">
        <x:v>Consulté le 22 octobre 2026 via les résultats indexés du moteur de recherche ; index communautaire secondaire, ouverture directe Fandom limitée par robots/402. Titres et faits brefs paraphrasés ; aucune capture ni validation exhaustive en jeu.</x:v>
      </x:c>
    </x:row>
    <x:row r="68" ht="82" customHeight="1">
      <x:c r="A68" s="6" t="str">
        <x:v>ME2-SRC-FIRE-COLD</x:v>
      </x:c>
      <x:c r="B68" s="6" t="str">
        <x:v>Project Firewalker: Geth Incursion</x:v>
      </x:c>
      <x:c r="C68" s="6" t="str">
        <x:v>wiki</x:v>
      </x:c>
      <x:c r="D68" s="6" t="str">
        <x:v>https://masseffect.fandom.com/wiki/Project_Firewalker%3A_Geth_Incursion</x:v>
      </x:c>
      <x:c r="E68" s="6" t="str">
        <x:v>Lattesh, sondes et gel du moteur</x:v>
      </x:c>
      <x:c r="F68" s="6" t="str">
        <x:v>Consulté le 22 octobre 2026 via les résultats indexés du moteur de recherche ; index communautaire secondaire, ouverture directe Fandom limitée par robots/402. Titres et faits brefs paraphrasés ; aucune capture ni validation exhaustive en jeu.</x:v>
      </x:c>
    </x:row>
    <x:row r="69" ht="82" customHeight="1">
      <x:c r="A69" s="6" t="str">
        <x:v>ME2-SRC-FIRE-START</x:v>
      </x:c>
      <x:c r="B69" s="6" t="str">
        <x:v>Project Firewalker: Rosalie Lost</x:v>
      </x:c>
      <x:c r="C69" s="6" t="str">
        <x:v>wiki</x:v>
      </x:c>
      <x:c r="D69" s="6" t="str">
        <x:v>https://masseffect.fandom.com/wiki/Project_Firewalker%3A_Rosalie_Lost</x:v>
      </x:c>
      <x:c r="E69" s="6" t="str">
        <x:v>Récupération du Hammerhead</x:v>
      </x:c>
      <x:c r="F69" s="6" t="str">
        <x:v>Consulté le 22 octobre 2026 via les résultats indexés du moteur de recherche ; index communautaire secondaire, ouverture directe Fandom limitée par robots/402. Titres et faits brefs paraphrasés ; aucune capture ni validation exhaustive en jeu.</x:v>
      </x:c>
    </x:row>
    <x:row r="70" ht="82" customHeight="1">
      <x:c r="A70" s="6" t="str">
        <x:v>ME2-SRC-INFIL</x:v>
      </x:c>
      <x:c r="B70" s="6" t="str">
        <x:v>Collector Base: Infiltration</x:v>
      </x:c>
      <x:c r="C70" s="6" t="str">
        <x:v>wiki</x:v>
      </x:c>
      <x:c r="D70" s="6" t="str">
        <x:v>https://masseffect.fandom.com/wiki/Collector_Base%3A_Infiltration</x:v>
      </x:c>
      <x:c r="E70" s="6" t="str">
        <x:v>Spécialiste technique et chefs d’équipe</x:v>
      </x:c>
      <x:c r="F70" s="6" t="str">
        <x:v>Consulté le 22 octobre 2026 via les résultats indexés du moteur de recherche ; index communautaire secondaire, ouverture directe Fandom limitée par robots/402. Titres et faits brefs paraphrasés ; aucune capture ni validation exhaustive en jeu.</x:v>
      </x:c>
    </x:row>
    <x:row r="71" ht="82" customHeight="1">
      <x:c r="A71" s="6" t="str">
        <x:v>ME2-SRC-WALK</x:v>
      </x:c>
      <x:c r="B71" s="6" t="str">
        <x:v>Collector Base: The Long Walk</x:v>
      </x:c>
      <x:c r="C71" s="6" t="str">
        <x:v>wiki</x:v>
      </x:c>
      <x:c r="D71" s="6" t="str">
        <x:v>https://masseffect.fandom.com/wiki/Collector_Base%3A_The_Long_Walk</x:v>
      </x:c>
      <x:c r="E71" s="6" t="str">
        <x:v>Bulle biotique et équipage captif</x:v>
      </x:c>
      <x:c r="F71" s="6" t="str">
        <x:v>Consulté le 22 octobre 2026 via les résultats indexés du moteur de recherche ; index communautaire secondaire, ouverture directe Fandom limitée par robots/402. Titres et faits brefs paraphrasés ; aucune capture ni validation exhaustive en jeu.</x:v>
      </x:c>
    </x:row>
    <x:row r="72" ht="82" customHeight="1">
      <x:c r="A72" s="6" t="str">
        <x:v>ME2-SRC-FINAL</x:v>
      </x:c>
      <x:c r="B72" s="6" t="str">
        <x:v>Collector Base: Final Battle</x:v>
      </x:c>
      <x:c r="C72" s="6" t="str">
        <x:v>wiki</x:v>
      </x:c>
      <x:c r="D72" s="6" t="str">
        <x:v>https://masseffect.fandom.com/wiki/Collector_Base%3A_Final_Battle</x:v>
      </x:c>
      <x:c r="E72" s="6" t="str">
        <x:v>Dernière partie de la mission suicide</x:v>
      </x:c>
      <x:c r="F72" s="6" t="str">
        <x:v>Consulté le 22 octobre 2026 via les résultats indexés du moteur de recherche ; index communautaire secondaire, ouverture directe Fandom limitée par robots/402. Titres et faits brefs paraphrasés ; aucune capture ni validation exhaustive en jeu.</x:v>
      </x:c>
    </x:row>
    <x:row r="73" ht="82" customHeight="1">
      <x:c r="A73" s="6" t="str">
        <x:v>ME2-SRC-STORY</x:v>
      </x:c>
      <x:c r="B73" s="6" t="str">
        <x:v>Storyline II</x:v>
      </x:c>
      <x:c r="C73" s="6" t="str">
        <x:v>wiki</x:v>
      </x:c>
      <x:c r="D73" s="6" t="str">
        <x:v>https://masseffect.fandom.com/wiki/Storyline_II</x:v>
      </x:c>
      <x:c r="E73" s="6" t="str">
        <x:v>Chronologie principale et enlèvement de l’équipage</x:v>
      </x:c>
      <x:c r="F73" s="6" t="str">
        <x:v>Consulté le 22 octobre 2026 via les résultats indexés du moteur de recherche ; index communautaire secondaire, ouverture directe Fandom limitée par robots/402. Titres et faits brefs paraphrasés ; aucune capture ni validation exhaustive en jeu.</x:v>
      </x:c>
    </x:row>
    <x:row r="74" ht="82" customHeight="1">
      <x:c r="A74" s="6" t="str">
        <x:v>ME2-SRC-STOP</x:v>
      </x:c>
      <x:c r="B74" s="6" t="str">
        <x:v>Stop the Collectors</x:v>
      </x:c>
      <x:c r="C74" s="6" t="str">
        <x:v>wiki</x:v>
      </x:c>
      <x:c r="D74" s="6" t="str">
        <x:v>https://masseffect.fandom.com/wiki/Stop_the_Collectors</x:v>
      </x:c>
      <x:c r="E74" s="6" t="str">
        <x:v>IFF et point de bascule</x:v>
      </x:c>
      <x:c r="F74" s="6" t="str">
        <x:v>Consulté le 22 octobre 2026 via les résultats indexés du moteur de recherche ; index communautaire secondaire, ouverture directe Fandom limitée par robots/402. Titres et faits brefs paraphrasés ; aucune capture ni validation exhaustive en jeu.</x:v>
      </x:c>
    </x:row>
    <x:row r="75" ht="82" customHeight="1">
      <x:c r="A75" s="6" t="str">
        <x:v>ME2-SRC-FREEDOM</x:v>
      </x:c>
      <x:c r="B75" s="6" t="str">
        <x:v>Freedom’s Progress (mission)</x:v>
      </x:c>
      <x:c r="C75" s="6" t="str">
        <x:v>wiki</x:v>
      </x:c>
      <x:c r="D75" s="6" t="str">
        <x:v>https://masseffect.fandom.com/wiki/Freedom%27s_Progress_%28mission%29</x:v>
      </x:c>
      <x:c r="E75" s="6" t="str">
        <x:v>Veetor et colonie disparue</x:v>
      </x:c>
      <x:c r="F75" s="6" t="str">
        <x:v>Consulté le 22 octobre 2026 via les résultats indexés du moteur de recherche ; index communautaire secondaire, ouverture directe Fandom limitée par robots/402. Titres et faits brefs paraphrasés ; aucune capture ni validation exhaustive en jeu.</x:v>
      </x:c>
    </x:row>
    <x:row r="76" ht="82" customHeight="1">
      <x:c r="A76" s="6" t="str">
        <x:v>ME2-SRC-INTERRUPT</x:v>
      </x:c>
      <x:c r="B76" s="6" t="str">
        <x:v>Interrupt</x:v>
      </x:c>
      <x:c r="C76" s="6" t="str">
        <x:v>wiki</x:v>
      </x:c>
      <x:c r="D76" s="6" t="str">
        <x:v>https://masseffect.fandom.com/wiki/Interrupt</x:v>
      </x:c>
      <x:c r="E76" s="6" t="str">
        <x:v>Interruptions contextuelles ME2</x:v>
      </x:c>
      <x:c r="F76" s="6" t="str">
        <x:v>Consulté le 22 octobre 2026 via les résultats indexés du moteur de recherche ; index communautaire secondaire, ouverture directe Fandom limitée par robots/402. Titres et faits brefs paraphrasés ; aucune capture ni validation exhaustive en jeu.</x:v>
      </x:c>
    </x:row>
    <x:row r="77" ht="82" customHeight="1">
      <x:c r="A77" s="6" t="str">
        <x:v>ME2-SRC-SAVE</x:v>
      </x:c>
      <x:c r="B77" s="6" t="str">
        <x:v>Save File Transfer</x:v>
      </x:c>
      <x:c r="C77" s="6" t="str">
        <x:v>wiki</x:v>
      </x:c>
      <x:c r="D77" s="6" t="str">
        <x:v>https://masseffect.fandom.com/wiki/Save_File_Transfer</x:v>
      </x:c>
      <x:c r="E77" s="6" t="str">
        <x:v>Choix importés et exportables</x:v>
      </x:c>
      <x:c r="F77" s="6" t="str">
        <x:v>Consulté le 22 octobre 2026 via les résultats indexés du moteur de recherche ; index communautaire secondaire, ouverture directe Fandom limitée par robots/402. Titres et faits brefs paraphrasés ; aucune capture ni validation exhaustive en jeu.</x:v>
      </x:c>
    </x:row>
    <x:row r="78" ht="82" customHeight="1">
      <x:c r="A78" s="6" t="str">
        <x:v>ME2-SRC-MERCHANTS</x:v>
      </x:c>
      <x:c r="B78" s="6" t="str">
        <x:v>Merchants Guide</x:v>
      </x:c>
      <x:c r="C78" s="6" t="str">
        <x:v>wiki</x:v>
      </x:c>
      <x:c r="D78" s="6" t="str">
        <x:v>https://masseffect.fandom.com/wiki/Merchants_Guide</x:v>
      </x:c>
      <x:c r="E78" s="6" t="str">
        <x:v>Marchands, remises et hubs</x:v>
      </x:c>
      <x:c r="F78" s="6" t="str">
        <x:v>Consulté le 22 octobre 2026 via les résultats indexés du moteur de recherche ; index communautaire secondaire, ouverture directe Fandom limitée par robots/402. Titres et faits brefs paraphrasés ; aucune capture ni validation exhaustive en jeu.</x:v>
      </x:c>
    </x:row>
    <x:row r="79" ht="82" customHeight="1">
      <x:c r="A79" s="6" t="str">
        <x:v>ME2-SRC-OMEGA</x:v>
      </x:c>
      <x:c r="B79" s="6" t="str">
        <x:v>Omega</x:v>
      </x:c>
      <x:c r="C79" s="6" t="str">
        <x:v>wiki</x:v>
      </x:c>
      <x:c r="D79" s="6" t="str">
        <x:v>https://masseffect.fandom.com/wiki/Omega</x:v>
      </x:c>
      <x:c r="E79" s="6" t="str">
        <x:v>Station et peste</x:v>
      </x:c>
      <x:c r="F79" s="6" t="str">
        <x:v>Consulté le 22 octobre 2026 via les résultats indexés du moteur de recherche ; index communautaire secondaire, ouverture directe Fandom limitée par robots/402. Titres et faits brefs paraphrasés ; aucune capture ni validation exhaustive en jeu.</x:v>
      </x:c>
    </x:row>
    <x:row r="80" ht="82" customHeight="1">
      <x:c r="A80" s="6" t="str">
        <x:v>ME2-SRC-NOSASTRA</x:v>
      </x:c>
      <x:c r="B80" s="6" t="str">
        <x:v>Nos Astra</x:v>
      </x:c>
      <x:c r="C80" s="6" t="str">
        <x:v>wiki</x:v>
      </x:c>
      <x:c r="D80" s="6" t="str">
        <x:v>https://masseffect.fandom.com/wiki/Nos_Astra</x:v>
      </x:c>
      <x:c r="E80" s="6" t="str">
        <x:v>Hub d’Illium et personnages</x:v>
      </x:c>
      <x:c r="F80" s="6" t="str">
        <x:v>Consulté le 22 octobre 2026 via les résultats indexés du moteur de recherche ; index communautaire secondaire, ouverture directe Fandom limitée par robots/402. Titres et faits brefs paraphrasés ; aucune capture ni validation exhaustive en jeu.</x:v>
      </x:c>
    </x:row>
    <x:row r="81" ht="82" customHeight="1">
      <x:c r="A81" s="6" t="str">
        <x:v>ME2-SRC-PRAETORIAN</x:v>
      </x:c>
      <x:c r="B81" s="6" t="str">
        <x:v>Praetorian</x:v>
      </x:c>
      <x:c r="C81" s="6" t="str">
        <x:v>wiki</x:v>
      </x:c>
      <x:c r="D81" s="6" t="str">
        <x:v>https://masseffect.fandom.com/wiki/Praetorian</x:v>
      </x:c>
      <x:c r="E81" s="6" t="str">
        <x:v>Archetype de boss, barrières et poursuite</x:v>
      </x:c>
      <x:c r="F81" s="6" t="str">
        <x:v>Consulté le 22 octobre 2026 via les résultats indexés du moteur de recherche ; index communautaire secondaire, ouverture directe Fandom limitée par robots/402. Titres et faits brefs paraphrasés ; aucune capture ni validation exhaustive en jeu.</x:v>
      </x:c>
    </x:row>
    <x:row r="82" ht="82" customHeight="1">
      <x:c r="A82" s="6" t="str">
        <x:v>ME2-SRC-HORIZON</x:v>
      </x:c>
      <x:c r="B82" s="6" t="str">
        <x:v>Horizon (mission)</x:v>
      </x:c>
      <x:c r="C82" s="6" t="str">
        <x:v>wiki</x:v>
      </x:c>
      <x:c r="D82" s="6" t="str">
        <x:v>https://masseffect.fandom.com/wiki/Horizon_%28mission%29</x:v>
      </x:c>
      <x:c r="E82" s="6" t="str">
        <x:v>Défense coloniale et Praetorian</x:v>
      </x:c>
      <x:c r="F82" s="6" t="str">
        <x:v>Consulté le 22 octobre 2026 via les résultats indexés du moteur de recherche ; index communautaire secondaire, ouverture directe Fandom limitée par robots/402. Titres et faits brefs paraphrasés ; aucune capture ni validation exhaustive en jeu.</x:v>
      </x:c>
    </x:row>
    <x:row r="83" ht="82" customHeight="1">
      <x:c r="A83" s="6" t="str">
        <x:v>ME2-SRC-SHIP</x:v>
      </x:c>
      <x:c r="B83" s="6" t="str">
        <x:v>Collector Ship (mission)</x:v>
      </x:c>
      <x:c r="C83" s="6" t="str">
        <x:v>wiki</x:v>
      </x:c>
      <x:c r="D83" s="6" t="str">
        <x:v>https://masseffect.fandom.com/wiki/Collector_Ship_%28mission%29</x:v>
      </x:c>
      <x:c r="E83" s="6" t="str">
        <x:v>Embuscade et plateformes</x:v>
      </x:c>
      <x:c r="F83" s="6" t="str">
        <x:v>Consulté le 22 octobre 2026 via les résultats indexés du moteur de recherche ; index communautaire secondaire, ouverture directe Fandom limitée par robots/402. Titres et faits brefs paraphrasés ; aucune capture ni validation exhaustive en jeu.</x:v>
      </x:c>
    </x:row>
    <x:row r="84" ht="82" customHeight="1">
      <x:c r="A84" s="6" t="str">
        <x:v>ME2-SRC-CAIN</x:v>
      </x:c>
      <x:c r="B84" s="6" t="str">
        <x:v>M-920 Cain</x:v>
      </x:c>
      <x:c r="C84" s="6" t="str">
        <x:v>wiki</x:v>
      </x:c>
      <x:c r="D84" s="6" t="str">
        <x:v>https://masseffect.fandom.com/wiki/M-920_Cain</x:v>
      </x:c>
      <x:c r="E84" s="6" t="str">
        <x:v>Arme lourde chargée</x:v>
      </x:c>
      <x:c r="F84" s="6" t="str">
        <x:v>Consulté le 22 octobre 2026 via les résultats indexés du moteur de recherche ; index communautaire secondaire, ouverture directe Fandom limitée par robots/402. Titres et faits brefs paraphrasés ; aucune capture ni validation exhaustive en jeu.</x:v>
      </x:c>
    </x:row>
    <x:row r="85" ht="82" customHeight="1">
      <x:c r="A85" s="6" t="str">
        <x:v>ME2-SRC-LOCUST</x:v>
      </x:c>
      <x:c r="B85" s="6" t="str">
        <x:v>M-12 Locust</x:v>
      </x:c>
      <x:c r="C85" s="6" t="str">
        <x:v>wiki</x:v>
      </x:c>
      <x:c r="D85" s="6" t="str">
        <x:v>https://masseffect.fandom.com/wiki/M-12_Locust</x:v>
      </x:c>
      <x:c r="E85" s="6" t="str">
        <x:v>Arme de Kasumi</x:v>
      </x:c>
      <x:c r="F85" s="6" t="str">
        <x:v>Consulté le 22 octobre 2026 via les résultats indexés du moteur de recherche ; index communautaire secondaire, ouverture directe Fandom limitée par robots/402. Titres et faits brefs paraphrasés ; aucune capture ni validation exhaustive en jeu.</x:v>
      </x:c>
    </x:row>
    <x:row r="86" ht="82" customHeight="1">
      <x:c r="A86" s="6" t="str">
        <x:v>ME2-SRC-VINDICATOR</x:v>
      </x:c>
      <x:c r="B86" s="6" t="str">
        <x:v>M-15 Vindicator</x:v>
      </x:c>
      <x:c r="C86" s="6" t="str">
        <x:v>wiki</x:v>
      </x:c>
      <x:c r="D86" s="6" t="str">
        <x:v>https://masseffect.fandom.com/wiki/M-15_Vindicator</x:v>
      </x:c>
      <x:c r="E86" s="6" t="str">
        <x:v>Arme à rafales</x:v>
      </x:c>
      <x:c r="F86" s="6" t="str">
        <x:v>Consulté le 22 octobre 2026 via les résultats indexés du moteur de recherche ; index communautaire secondaire, ouverture directe Fandom limitée par robots/402. Titres et faits brefs paraphrasés ; aucune capture ni validation exhaustive en jeu.</x:v>
      </x:c>
    </x:row>
    <x:row r="87" ht="82" customHeight="1">
      <x:c r="A87" s="6" t="str">
        <x:v>ME2-SRC-GETH-SG</x:v>
      </x:c>
      <x:c r="B87" s="6" t="str">
        <x:v>Geth Plasma Shotgun</x:v>
      </x:c>
      <x:c r="C87" s="6" t="str">
        <x:v>wiki</x:v>
      </x:c>
      <x:c r="D87" s="6" t="str">
        <x:v>https://masseffect.fandom.com/wiki/Geth_Plasma_Shotgun</x:v>
      </x:c>
      <x:c r="E87" s="6" t="str">
        <x:v>Arme geth</x:v>
      </x:c>
      <x:c r="F87" s="6" t="str">
        <x:v>Consulté le 22 octobre 2026 via les résultats indexés du moteur de recherche ; index communautaire secondaire, ouverture directe Fandom limitée par robots/402. Titres et faits brefs paraphrasés ; aucune capture ni validation exhaustive en jeu.</x:v>
      </x:c>
    </x:row>
    <x:row r="88" ht="82" customHeight="1">
      <x:c r="A88" s="6" t="str">
        <x:v>ME2-SRC-N7</x:v>
      </x:c>
      <x:c r="B88" s="6" t="str">
        <x:v>N7 Armor</x:v>
      </x:c>
      <x:c r="C88" s="6" t="str">
        <x:v>wiki</x:v>
      </x:c>
      <x:c r="D88" s="6" t="str">
        <x:v>https://masseffect.fandom.com/wiki/N7_Armor</x:v>
      </x:c>
      <x:c r="E88" s="6" t="str">
        <x:v>Ensemble de base</x:v>
      </x:c>
      <x:c r="F88" s="6" t="str">
        <x:v>Consulté le 22 octobre 2026 via les résultats indexés du moteur de recherche ; index communautaire secondaire, ouverture directe Fandom limitée par robots/402. Titres et faits brefs paraphrasés ; aucune capture ni validation exhaustive en jeu.</x:v>
      </x:c>
    </x:row>
    <x:row r="89" ht="82" customHeight="1">
      <x:c r="A89" s="6" t="str">
        <x:v>ME2-SRC-KESTREL</x:v>
      </x:c>
      <x:c r="B89" s="6" t="str">
        <x:v>Kestrel Armor</x:v>
      </x:c>
      <x:c r="C89" s="6" t="str">
        <x:v>wiki</x:v>
      </x:c>
      <x:c r="D89" s="6" t="str">
        <x:v>https://masseffect.fandom.com/wiki/Kestrel_Armor</x:v>
      </x:c>
      <x:c r="E89" s="6" t="str">
        <x:v>Ensemble personnalisable</x:v>
      </x:c>
      <x:c r="F89" s="6" t="str">
        <x:v>Consulté le 22 octobre 2026 via les résultats indexés du moteur de recherche ; index communautaire secondaire, ouverture directe Fandom limitée par robots/402. Titres et faits brefs paraphrasés ; aucune capture ni validation exhaustive en jeu.</x:v>
      </x:c>
    </x:row>
    <x:row r="90" ht="68" customHeight="1">
      <x:c r="A90" s="6" t="str">
        <x:v>ME2-SRC-MANUAL-FR</x:v>
      </x:c>
      <x:c r="B90" s="6" t="str">
        <x:v>Mass Effect 2 — manuel PC français, EA</x:v>
      </x:c>
      <x:c r="C90" s="6" t="str">
        <x:v>source officielle</x:v>
      </x:c>
      <x:c r="D90" s="6" t="str">
        <x:v>https://eaassets-a.akamaihd.net/eahelp/manuals/mass-effect-2-manuals_PC_fr.pdf</x:v>
      </x:c>
      <x:c r="E90" s="6" t="str">
        <x:v>Cartouches thermiques : dissipateurs amovibles, éjection/remplacement et compteur de tirs, pages imprimées 16–17.</x:v>
      </x:c>
      <x:c r="F90" s="6" t="str">
        <x:v>PDF réellement téléchargé le 23 octobre 2026, HTTP 200, 18 pages, SHA-256 c4d5edbe68f36fc261e6efe9e445711ec6214e38b74b61b3c89edc34ef2965e1. Cette source établit le principe ; capacités par famille et recharge en une action ATB sont des adaptations.</x:v>
      </x:c>
    </x:row>
    <x:row r="91" ht="22" customHeight="1">
      <x:c r="A91" s="2"/>
      <x:c r="B91" s="2"/>
      <x:c r="C91" s="2"/>
      <x:c r="D91" s="2"/>
      <x:c r="E91" s="2"/>
      <x:c r="F91" s="2"/>
    </x:row>
    <x:row r="92" ht="22" customHeight="1">
      <x:c r="A92" s="2"/>
      <x:c r="B92" s="2"/>
      <x:c r="C92" s="2"/>
      <x:c r="D92" s="2"/>
      <x:c r="E92" s="2"/>
      <x:c r="F92" s="2"/>
    </x:row>
    <x:row r="93" ht="22" customHeight="1">
      <x:c r="A93" s="2"/>
      <x:c r="B93" s="2"/>
      <x:c r="C93" s="2"/>
      <x:c r="D93" s="2"/>
      <x:c r="E93" s="2"/>
      <x:c r="F93" s="2"/>
    </x:row>
    <x:row r="94" ht="34" customHeight="1">
      <x:c r="A94" s="30" t="str">
        <x:v>Domaine</x:v>
      </x:c>
      <x:c r="B94" s="31" t="str">
        <x:v>Couverture actuelle</x:v>
      </x:c>
      <x:c r="C94" s="32" t="str">
        <x:v>Travail restant</x:v>
      </x:c>
      <x:c r="D94" s="2"/>
      <x:c r="E94" s="2"/>
      <x:c r="F94" s="2"/>
    </x:row>
    <x:row r="95" ht="68" customHeight="1">
      <x:c r="A95" s="6" t="str">
        <x:v>Campagne et loyautés</x:v>
      </x:c>
      <x:c r="B95" s="6" t="str">
        <x:v>Tous les recrutements majeurs, les douze arcs de loyauté, les étapes du chemin Collecteur et les principaux choix sont détaillés.</x:v>
      </x:c>
      <x:c r="C95" s="6" t="str">
        <x:v>Tables exactes de délais IFF, défense arrière et seuils moraux à rejouer sur versions Original et Legendary ; aucun chiffre canon reconstitué.</x:v>
      </x:c>
      <x:c r="D95" s="2"/>
      <x:c r="E95" s="2"/>
      <x:c r="F95" s="2"/>
    </x:row>
    <x:row r="96" ht="82" customHeight="1">
      <x:c r="A96" s="6" t="str">
        <x:v>Affectations et DLC</x:v>
      </x:c>
      <x:c r="B96" s="6" t="str">
        <x:v>Affectations N7 et hubs ; Kasumi, Zaeed, Crash Site, cinq Firewalker, Overlord, Shadow Broker et Arrival sont couverts. Les alias de journal sont regroupés.</x:v>
      </x:c>
      <x:c r="C96" s="6" t="str">
        <x:v>Recensement en jeu des micro-dialogues, objets secondaires, nouvelles et variantes de visite ; titres français officiels à harmoniser. Aucune exhaustivité de tous les textes revendiquée.</x:v>
      </x:c>
      <x:c r="D96" s="2"/>
      <x:c r="E96" s="2"/>
      <x:c r="F96" s="2"/>
    </x:row>
    <x:row r="97" ht="68" customHeight="1">
      <x:c r="A97" s="6" t="str">
        <x:v>Personnages, ennemis et mouvements</x:v>
      </x:c>
      <x:c r="B97" s="6" t="str">
        <x:v>Équipiers permanents et temporaires, principaux PNJ, factions et archétypes ennemis possèdent des spécifications ; attaques d’adaptation et planches de sprites sont séparées.</x:v>
      </x:c>
      <x:c r="C97" s="6" t="str">
        <x:v>Sous-variantes de chaque mercenaire nommé, animations de toutes les orientations et visages à contrôler sur références visuelles ; spécifications non réalisées.</x:v>
      </x:c>
      <x:c r="D97" s="2"/>
      <x:c r="E97" s="2"/>
      <x:c r="F97" s="2"/>
    </x:row>
    <x:row r="98" ht="68" customHeight="1">
      <x:c r="A98" s="6" t="str">
        <x:v>Armes, équipements et pouvoirs</x:v>
      </x:c>
      <x:c r="B98" s="6" t="str">
        <x:v>Arsenal principal et DLC, ensembles et pièces représentatives, réserves et pouvoirs jouables sont couverts sans statistiques copiées.</x:v>
      </x:c>
      <x:c r="C98" s="6" t="str">
        <x:v>Liste intégrale des petites pièces, apparences alternatives et emplacements de recherche à recouper par édition ; réglages ATB à équilibrer en prototype.</x:v>
      </x:c>
      <x:c r="D98" s="2"/>
      <x:c r="E98" s="2"/>
      <x:c r="F98" s="2"/>
    </x:row>
    <x:row r="99" ht="68" customHeight="1">
      <x:c r="A99" s="6" t="str">
        <x:v>Décors, audio, UI et QA</x:v>
      </x:c>
      <x:c r="B99" s="6" t="str">
        <x:v>Mondes et zones clés, connexions, kits de décor, objets de quête, interfaces, effets, audio original et scénarios de non-régression sont décrits.</x:v>
      </x:c>
      <x:c r="C99" s="6" t="str">
        <x:v>Ni sprite, animation, niveau, son ni test du jeu final produit par ces fiches ; captures visuelles et exécution des scénarios restent à faire.</x:v>
      </x:c>
      <x:c r="D99" s="2"/>
      <x:c r="E99" s="2"/>
      <x:c r="F99" s="2"/>
    </x:row>
    <x:row r="100" ht="82" customHeight="1">
      <x:c r="A100" s="6" t="str">
        <x:v>Sources et périmètre</x:v>
      </x:c>
      <x:c r="B100" s="6" t="str">
        <x:v>Confirmations EA/BioWare pour éditions et DLC ; index et pages spécifiques Fandom pour le détail. Les créations originales sont marquées Extrapolation.</x:v>
      </x:c>
      <x:c r="C100" s="6" t="str">
        <x:v>L’accès direct Fandom a été limité ; les pages ont été consultées sous forme indexée. Les index ne constituent pas une validation primaire de chaque détail. Aucun contenu coupé ni rumeur promu en canon.</x:v>
      </x:c>
      <x:c r="D100" s="2"/>
      <x:c r="E100" s="2"/>
      <x:c r="F100" s="2"/>
    </x:row>
    <x:row r="101" ht="96" customHeight="1">
      <x:c r="A101" s="6" t="str">
        <x:v>Prototype Chroniques indépendant</x:v>
      </x:c>
      <x:c r="B101" s="6" t="str">
        <x:v>12 personnages sélectionnables, 11 équipements utilisables sous restrictions d’œuvre, segment, scène et porteur ; preuves dans implementationPaths et evidence des seules lignes Prototype.</x:v>
      </x:c>
      <x:c r="C101" s="6" t="str">
        <x:v>Campagne complète, dialogues, acquisition canonique, sprites, costumes, animations et statistiques originales à réaliser ou vérifier. Les ateliers sont des essais de préparation ATB, sans progression canonique ni transfert ME1.</x:v>
      </x:c>
      <x:c r="D101" s="2"/>
      <x:c r="E101" s="2"/>
      <x:c r="F101" s="2"/>
    </x:row>
    <x:row r="102" ht="22" customHeight="1">
      <x:c r="A102" s="2"/>
      <x:c r="B102" s="2"/>
      <x:c r="C102" s="2"/>
      <x:c r="D102" s="2"/>
      <x:c r="E102" s="2"/>
      <x:c r="F102" s="2"/>
    </x:row>
    <x:row r="103" ht="22" customHeight="1">
      <x:c r="A103" s="2"/>
      <x:c r="B103" s="2"/>
      <x:c r="C103" s="2"/>
      <x:c r="D103" s="2"/>
      <x:c r="E103" s="2"/>
      <x:c r="F103" s="2"/>
    </x:row>
    <x:row r="104" ht="22" customHeight="1">
      <x:c r="A104" s="2"/>
      <x:c r="B104" s="2"/>
      <x:c r="C104" s="2"/>
      <x:c r="D104" s="2"/>
      <x:c r="E104" s="2"/>
      <x:c r="F104" s="2"/>
    </x:row>
    <x:row r="105" ht="22" customHeight="1">
      <x:c r="A105" s="2"/>
      <x:c r="B105" s="2"/>
      <x:c r="C105" s="2"/>
      <x:c r="D105" s="2"/>
      <x:c r="E105" s="2"/>
      <x:c r="F105" s="2"/>
    </x:row>
    <x:row r="106" ht="22" customHeight="1">
      <x:c r="A106" s="2"/>
      <x:c r="B106" s="2"/>
      <x:c r="C106" s="2"/>
      <x:c r="D106" s="2"/>
      <x:c r="E106" s="2"/>
      <x:c r="F106" s="2"/>
    </x:row>
    <x:row r="107" ht="22" customHeight="1">
      <x:c r="A107" s="2"/>
      <x:c r="B107" s="2"/>
      <x:c r="C107" s="2"/>
      <x:c r="D107" s="2"/>
      <x:c r="E107" s="2"/>
      <x:c r="F107" s="2"/>
    </x:row>
    <x:row r="108" ht="22" customHeight="1">
      <x:c r="A108" s="2"/>
      <x:c r="B108" s="2"/>
      <x:c r="C108" s="2"/>
      <x:c r="D108" s="2"/>
      <x:c r="E108" s="2"/>
      <x:c r="F108" s="2"/>
    </x:row>
    <x:row r="109" ht="22" customHeight="1">
      <x:c r="A109" s="2"/>
      <x:c r="B109" s="2"/>
      <x:c r="C109" s="2"/>
      <x:c r="D109" s="2"/>
      <x:c r="E109" s="2"/>
      <x:c r="F109" s="2"/>
    </x:row>
    <x:row r="110" ht="22" customHeight="1">
      <x:c r="A110" s="2"/>
      <x:c r="B110" s="2"/>
      <x:c r="C110" s="2"/>
      <x:c r="D110" s="2"/>
      <x:c r="E110" s="2"/>
      <x:c r="F110" s="2"/>
    </x:row>
    <x:row r="111" ht="22" customHeight="1">
      <x:c r="A111" s="2"/>
      <x:c r="B111" s="2"/>
      <x:c r="C111" s="2"/>
      <x:c r="D111" s="2"/>
      <x:c r="E111" s="2"/>
      <x:c r="F111" s="2"/>
    </x:row>
    <x:row r="112" ht="22" customHeight="1">
      <x:c r="A112" s="2"/>
      <x:c r="B112" s="2"/>
      <x:c r="C112" s="2"/>
      <x:c r="D112" s="2"/>
      <x:c r="E112" s="2"/>
      <x:c r="F112" s="2"/>
    </x:row>
    <x:row r="113" ht="22" customHeight="1">
      <x:c r="A113" s="2"/>
      <x:c r="B113" s="2"/>
      <x:c r="C113" s="2"/>
      <x:c r="D113" s="2"/>
      <x:c r="E113" s="2"/>
      <x:c r="F113" s="2"/>
    </x:row>
    <x:row r="114" ht="22" customHeight="1">
      <x:c r="A114" s="2"/>
      <x:c r="B114" s="2"/>
      <x:c r="C114" s="2"/>
      <x:c r="D114" s="2"/>
      <x:c r="E114" s="2"/>
      <x:c r="F114" s="2"/>
    </x:row>
    <x:row r="115" ht="22" customHeight="1">
      <x:c r="A115" s="2"/>
      <x:c r="B115" s="2"/>
      <x:c r="C115" s="2"/>
      <x:c r="D115" s="2"/>
      <x:c r="E115" s="2"/>
      <x:c r="F115" s="2"/>
    </x:row>
    <x:row r="116" ht="22" customHeight="1">
      <x:c r="A116" s="2"/>
      <x:c r="B116" s="2"/>
      <x:c r="C116" s="2"/>
      <x:c r="D116" s="2"/>
      <x:c r="E116" s="2"/>
      <x:c r="F116" s="2"/>
    </x:row>
    <x:row r="117" ht="22" customHeight="1">
      <x:c r="A117" s="2"/>
      <x:c r="B117" s="2"/>
      <x:c r="C117" s="2"/>
      <x:c r="D117" s="2"/>
      <x:c r="E117" s="2"/>
      <x:c r="F117" s="2"/>
    </x:row>
    <x:row r="118" ht="22" customHeight="1">
      <x:c r="A118" s="2"/>
      <x:c r="B118" s="2"/>
      <x:c r="C118" s="2"/>
      <x:c r="D118" s="2"/>
      <x:c r="E118" s="2"/>
      <x:c r="F118" s="2"/>
    </x:row>
    <x:row r="119" ht="22" customHeight="1">
      <x:c r="A119" s="2"/>
      <x:c r="B119" s="2"/>
      <x:c r="C119" s="2"/>
      <x:c r="D119" s="2"/>
      <x:c r="E119" s="2"/>
      <x:c r="F119" s="2"/>
    </x:row>
    <x:row r="120" ht="22" customHeight="1">
      <x:c r="A120" s="2"/>
      <x:c r="B120" s="2"/>
      <x:c r="C120" s="2"/>
      <x:c r="D120" s="2"/>
      <x:c r="E120" s="2"/>
      <x:c r="F120" s="2"/>
    </x:row>
    <x:row r="121" ht="22" customHeight="1">
      <x:c r="A121" s="2"/>
      <x:c r="B121" s="2"/>
      <x:c r="C121" s="2"/>
      <x:c r="D121" s="2"/>
      <x:c r="E121" s="2"/>
      <x:c r="F121" s="2"/>
    </x:row>
    <x:row r="122" ht="22" customHeight="1">
      <x:c r="A122" s="2"/>
      <x:c r="B122" s="2"/>
      <x:c r="C122" s="2"/>
      <x:c r="D122" s="2"/>
      <x:c r="E122" s="2"/>
      <x:c r="F122" s="2"/>
    </x:row>
    <x:row r="123" ht="22" customHeight="1">
      <x:c r="A123" s="2"/>
      <x:c r="B123" s="2"/>
      <x:c r="C123" s="2"/>
      <x:c r="D123" s="2"/>
      <x:c r="E123" s="2"/>
      <x:c r="F123" s="2"/>
    </x:row>
    <x:row r="124" ht="22" customHeight="1">
      <x:c r="A124" s="2"/>
      <x:c r="B124" s="2"/>
      <x:c r="C124" s="2"/>
      <x:c r="D124" s="2"/>
      <x:c r="E124" s="2"/>
      <x:c r="F124" s="2"/>
    </x:row>
    <x:row r="125" ht="22" customHeight="1">
      <x:c r="A125" s="2"/>
      <x:c r="B125" s="2"/>
      <x:c r="C125" s="2"/>
      <x:c r="D125" s="2"/>
      <x:c r="E125" s="2"/>
      <x:c r="F125" s="2"/>
    </x:row>
    <x:row r="126" ht="22" customHeight="1">
      <x:c r="A126" s="2"/>
      <x:c r="B126" s="2"/>
      <x:c r="C126" s="2"/>
      <x:c r="D126" s="2"/>
      <x:c r="E126" s="2"/>
      <x:c r="F126" s="2"/>
    </x:row>
    <x:row r="127" ht="22" customHeight="1">
      <x:c r="A127" s="2"/>
      <x:c r="B127" s="2"/>
      <x:c r="C127" s="2"/>
      <x:c r="D127" s="2"/>
      <x:c r="E127" s="2"/>
      <x:c r="F127" s="2"/>
    </x:row>
    <x:row r="128" ht="22" customHeight="1">
      <x:c r="A128" s="2"/>
      <x:c r="B128" s="2"/>
      <x:c r="C128" s="2"/>
      <x:c r="D128" s="2"/>
      <x:c r="E128" s="2"/>
      <x:c r="F128" s="2"/>
    </x:row>
    <x:row r="129" ht="22" customHeight="1">
      <x:c r="A129" s="2"/>
      <x:c r="B129" s="2"/>
      <x:c r="C129" s="2"/>
      <x:c r="D129" s="2"/>
      <x:c r="E129" s="2"/>
      <x:c r="F129" s="2"/>
    </x:row>
    <x:row r="130" ht="22" customHeight="1">
      <x:c r="A130" s="2"/>
      <x:c r="B130" s="2"/>
      <x:c r="C130" s="2"/>
      <x:c r="D130" s="2"/>
      <x:c r="E130" s="2"/>
      <x:c r="F130" s="2"/>
    </x:row>
    <x:row r="131" ht="22" customHeight="1">
      <x:c r="A131" s="2"/>
      <x:c r="B131" s="2"/>
      <x:c r="C131" s="2"/>
      <x:c r="D131" s="2"/>
      <x:c r="E131" s="2"/>
      <x:c r="F131" s="2"/>
    </x:row>
    <x:row r="132" ht="22" customHeight="1">
      <x:c r="A132" s="2"/>
      <x:c r="B132" s="2"/>
      <x:c r="C132" s="2"/>
      <x:c r="D132" s="2"/>
      <x:c r="E132" s="2"/>
      <x:c r="F132" s="2"/>
    </x:row>
    <x:row r="133" ht="22" customHeight="1">
      <x:c r="A133" s="2"/>
      <x:c r="B133" s="2"/>
      <x:c r="C133" s="2"/>
      <x:c r="D133" s="2"/>
      <x:c r="E133" s="2"/>
      <x:c r="F133" s="2"/>
    </x:row>
    <x:row r="134" ht="22" customHeight="1">
      <x:c r="A134" s="2"/>
      <x:c r="B134" s="2"/>
      <x:c r="C134" s="2"/>
      <x:c r="D134" s="2"/>
      <x:c r="E134" s="2"/>
      <x:c r="F134" s="2"/>
    </x:row>
    <x:row r="135" ht="22" customHeight="1">
      <x:c r="A135" s="2"/>
      <x:c r="B135" s="2"/>
      <x:c r="C135" s="2"/>
      <x:c r="D135" s="2"/>
      <x:c r="E135" s="2"/>
      <x:c r="F135" s="2"/>
    </x:row>
    <x:row r="136" ht="22" customHeight="1">
      <x:c r="A136" s="2"/>
      <x:c r="B136" s="2"/>
      <x:c r="C136" s="2"/>
      <x:c r="D136" s="2"/>
      <x:c r="E136" s="2"/>
      <x:c r="F136" s="2"/>
    </x:row>
    <x:row r="137" ht="22" customHeight="1">
      <x:c r="A137" s="2"/>
      <x:c r="B137" s="2"/>
      <x:c r="C137" s="2"/>
      <x:c r="D137" s="2"/>
      <x:c r="E137" s="2"/>
      <x:c r="F137" s="2"/>
    </x:row>
    <x:row r="138" ht="22" customHeight="1">
      <x:c r="A138" s="2"/>
      <x:c r="B138" s="2"/>
      <x:c r="C138" s="2"/>
      <x:c r="D138" s="2"/>
      <x:c r="E138" s="2"/>
      <x:c r="F138" s="2"/>
    </x:row>
    <x:row r="139" ht="22" customHeight="1">
      <x:c r="A139" s="2"/>
      <x:c r="B139" s="2"/>
      <x:c r="C139" s="2"/>
      <x:c r="D139" s="2"/>
      <x:c r="E139" s="2"/>
      <x:c r="F139" s="2"/>
    </x:row>
    <x:row r="140" ht="22" customHeight="1">
      <x:c r="A140" s="2"/>
      <x:c r="B140" s="2"/>
      <x:c r="C140" s="2"/>
      <x:c r="D140" s="2"/>
      <x:c r="E140" s="2"/>
      <x:c r="F140" s="2"/>
    </x:row>
    <x:row r="141" ht="22" customHeight="1">
      <x:c r="A141" s="2"/>
      <x:c r="B141" s="2"/>
      <x:c r="C141" s="2"/>
      <x:c r="D141" s="2"/>
      <x:c r="E141" s="2"/>
      <x:c r="F141" s="2"/>
    </x:row>
    <x:row r="142" ht="22" customHeight="1">
      <x:c r="A142" s="2"/>
      <x:c r="B142" s="2"/>
      <x:c r="C142" s="2"/>
      <x:c r="D142" s="2"/>
      <x:c r="E142" s="2"/>
      <x:c r="F142" s="2"/>
    </x:row>
    <x:row r="143" ht="22" customHeight="1">
      <x:c r="A143" s="2"/>
      <x:c r="B143" s="2"/>
      <x:c r="C143" s="2"/>
      <x:c r="D143" s="2"/>
      <x:c r="E143" s="2"/>
      <x:c r="F143" s="2"/>
    </x:row>
    <x:row r="144" ht="22" customHeight="1">
      <x:c r="A144" s="2"/>
      <x:c r="B144" s="2"/>
      <x:c r="C144" s="2"/>
      <x:c r="D144" s="2"/>
      <x:c r="E144" s="2"/>
      <x:c r="F144" s="2"/>
    </x:row>
    <x:row r="145" ht="22" customHeight="1">
      <x:c r="A145" s="2"/>
      <x:c r="B145" s="2"/>
      <x:c r="C145" s="2"/>
      <x:c r="D145" s="2"/>
      <x:c r="E145" s="2"/>
      <x:c r="F145" s="2"/>
    </x:row>
    <x:row r="146" ht="22" customHeight="1">
      <x:c r="A146" s="2"/>
      <x:c r="B146" s="2"/>
      <x:c r="C146" s="2"/>
      <x:c r="D146" s="2"/>
      <x:c r="E146" s="2"/>
      <x:c r="F146" s="2"/>
    </x:row>
    <x:row r="147" ht="22" customHeight="1">
      <x:c r="A147" s="2"/>
      <x:c r="B147" s="2"/>
      <x:c r="C147" s="2"/>
      <x:c r="D147" s="2"/>
      <x:c r="E147" s="2"/>
      <x:c r="F147" s="2"/>
    </x:row>
    <x:row r="148" ht="22" customHeight="1">
      <x:c r="A148" s="2"/>
      <x:c r="B148" s="2"/>
      <x:c r="C148" s="2"/>
      <x:c r="D148" s="2"/>
      <x:c r="E148" s="2"/>
      <x:c r="F148" s="2"/>
    </x:row>
    <x:row r="149" ht="22" customHeight="1">
      <x:c r="A149" s="2"/>
      <x:c r="B149" s="2"/>
      <x:c r="C149" s="2"/>
      <x:c r="D149" s="2"/>
      <x:c r="E149" s="2"/>
      <x:c r="F149" s="2"/>
    </x:row>
    <x:row r="150" ht="22" customHeight="1">
      <x:c r="A150" s="2"/>
      <x:c r="B150" s="2"/>
      <x:c r="C150" s="2"/>
      <x:c r="D150" s="2"/>
      <x:c r="E150" s="2"/>
      <x:c r="F150" s="2"/>
    </x:row>
    <x:row r="151" ht="22" customHeight="1">
      <x:c r="A151" s="2"/>
      <x:c r="B151" s="2"/>
      <x:c r="C151" s="2"/>
      <x:c r="D151" s="2"/>
      <x:c r="E151" s="2"/>
      <x:c r="F151" s="2"/>
    </x:row>
    <x:row r="152" ht="22" customHeight="1">
      <x:c r="A152" s="2"/>
      <x:c r="B152" s="2"/>
      <x:c r="C152" s="2"/>
      <x:c r="D152" s="2"/>
      <x:c r="E152" s="2"/>
      <x:c r="F152" s="2"/>
    </x:row>
    <x:row r="153" ht="22" customHeight="1">
      <x:c r="A153" s="2"/>
      <x:c r="B153" s="2"/>
      <x:c r="C153" s="2"/>
      <x:c r="D153" s="2"/>
      <x:c r="E153" s="2"/>
      <x:c r="F153" s="2"/>
    </x:row>
    <x:row r="154" ht="22" customHeight="1">
      <x:c r="A154" s="2"/>
      <x:c r="B154" s="2"/>
      <x:c r="C154" s="2"/>
      <x:c r="D154" s="2"/>
      <x:c r="E154" s="2"/>
      <x:c r="F154" s="2"/>
    </x:row>
    <x:row r="155" ht="22" customHeight="1">
      <x:c r="A155" s="2"/>
      <x:c r="B155" s="2"/>
      <x:c r="C155" s="2"/>
      <x:c r="D155" s="2"/>
      <x:c r="E155" s="2"/>
      <x:c r="F155" s="2"/>
    </x:row>
    <x:row r="156" ht="22" customHeight="1">
      <x:c r="A156" s="2"/>
      <x:c r="B156" s="2"/>
      <x:c r="C156" s="2"/>
      <x:c r="D156" s="2"/>
      <x:c r="E156" s="2"/>
      <x:c r="F156" s="2"/>
    </x:row>
    <x:row r="157" ht="22" customHeight="1">
      <x:c r="A157" s="2"/>
      <x:c r="B157" s="2"/>
      <x:c r="C157" s="2"/>
      <x:c r="D157" s="2"/>
      <x:c r="E157" s="2"/>
      <x:c r="F157" s="2"/>
    </x:row>
    <x:row r="158" ht="22" customHeight="1">
      <x:c r="A158" s="2"/>
      <x:c r="B158" s="2"/>
      <x:c r="C158" s="2"/>
      <x:c r="D158" s="2"/>
      <x:c r="E158" s="2"/>
      <x:c r="F158" s="2"/>
    </x:row>
    <x:row r="159" ht="22" customHeight="1">
      <x:c r="A159" s="2"/>
      <x:c r="B159" s="2"/>
      <x:c r="C159" s="2"/>
      <x:c r="D159" s="2"/>
      <x:c r="E159" s="2"/>
      <x:c r="F159" s="2"/>
    </x:row>
    <x:row r="160" ht="22" customHeight="1">
      <x:c r="A160" s="2"/>
      <x:c r="B160" s="2"/>
      <x:c r="C160" s="2"/>
      <x:c r="D160" s="2"/>
      <x:c r="E160" s="2"/>
      <x:c r="F160" s="2"/>
    </x:row>
    <x:row r="161" ht="22" customHeight="1">
      <x:c r="A161" s="2"/>
      <x:c r="B161" s="2"/>
      <x:c r="C161" s="2"/>
      <x:c r="D161" s="2"/>
      <x:c r="E161" s="2"/>
      <x:c r="F161" s="2"/>
    </x:row>
    <x:row r="162" ht="22" customHeight="1">
      <x:c r="A162" s="2"/>
      <x:c r="B162" s="2"/>
      <x:c r="C162" s="2"/>
      <x:c r="D162" s="2"/>
      <x:c r="E162" s="2"/>
      <x:c r="F162" s="2"/>
    </x:row>
    <x:row r="163" ht="22" customHeight="1">
      <x:c r="A163" s="2"/>
      <x:c r="B163" s="2"/>
      <x:c r="C163" s="2"/>
      <x:c r="D163" s="2"/>
      <x:c r="E163" s="2"/>
      <x:c r="F163" s="2"/>
    </x:row>
    <x:row r="164" ht="22" customHeight="1">
      <x:c r="A164" s="2"/>
      <x:c r="B164" s="2"/>
      <x:c r="C164" s="2"/>
      <x:c r="D164" s="2"/>
      <x:c r="E164" s="2"/>
      <x:c r="F164" s="2"/>
    </x:row>
    <x:row r="165" ht="22" customHeight="1">
      <x:c r="A165" s="2"/>
      <x:c r="B165" s="2"/>
      <x:c r="C165" s="2"/>
      <x:c r="D165" s="2"/>
      <x:c r="E165" s="2"/>
      <x:c r="F165" s="2"/>
    </x:row>
    <x:row r="166" ht="22" customHeight="1">
      <x:c r="A166" s="2"/>
      <x:c r="B166" s="2"/>
      <x:c r="C166" s="2"/>
      <x:c r="D166" s="2"/>
      <x:c r="E166" s="2"/>
      <x:c r="F166" s="2"/>
    </x:row>
    <x:row r="167" ht="22" customHeight="1">
      <x:c r="A167" s="2"/>
      <x:c r="B167" s="2"/>
      <x:c r="C167" s="2"/>
      <x:c r="D167" s="2"/>
      <x:c r="E167" s="2"/>
      <x:c r="F167" s="2"/>
    </x:row>
    <x:row r="168" ht="22" customHeight="1">
      <x:c r="A168" s="2"/>
      <x:c r="B168" s="2"/>
      <x:c r="C168" s="2"/>
      <x:c r="D168" s="2"/>
      <x:c r="E168" s="2"/>
      <x:c r="F168" s="2"/>
    </x:row>
    <x:row r="169" ht="22" customHeight="1">
      <x:c r="A169" s="2"/>
      <x:c r="B169" s="2"/>
      <x:c r="C169" s="2"/>
      <x:c r="D169" s="2"/>
      <x:c r="E169" s="2"/>
      <x:c r="F169" s="2"/>
    </x:row>
    <x:row r="170" ht="22" customHeight="1">
      <x:c r="A170" s="2"/>
      <x:c r="B170" s="2"/>
      <x:c r="C170" s="2"/>
      <x:c r="D170" s="2"/>
      <x:c r="E170" s="2"/>
      <x:c r="F170" s="2"/>
    </x:row>
    <x:row r="171" ht="22" customHeight="1">
      <x:c r="A171" s="2"/>
      <x:c r="B171" s="2"/>
      <x:c r="C171" s="2"/>
      <x:c r="D171" s="2"/>
      <x:c r="E171" s="2"/>
      <x:c r="F171" s="2"/>
    </x:row>
  </x:sheetData>
  <x:pageMargins left="0.7" right="0.7" top="0.75" bottom="0.75" header="0.3" footer="0.3"/>
</x:worksheet>
</file>