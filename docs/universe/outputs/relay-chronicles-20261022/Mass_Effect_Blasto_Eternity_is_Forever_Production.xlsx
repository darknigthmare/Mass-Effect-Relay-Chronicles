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a8bd1955d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b899499d6c448c"/>
    <x:sheet xmlns:r="http://schemas.openxmlformats.org/officeDocument/2006/relationships" name="Personnages" sheetId="2" r:id="R5dd073179a70452d"/>
    <x:sheet xmlns:r="http://schemas.openxmlformats.org/officeDocument/2006/relationships" name="PNJ" sheetId="3" r:id="R861df397d30d47b7"/>
    <x:sheet xmlns:r="http://schemas.openxmlformats.org/officeDocument/2006/relationships" name="Especes_factions" sheetId="4" r:id="Rd211feadc40349f6"/>
    <x:sheet xmlns:r="http://schemas.openxmlformats.org/officeDocument/2006/relationships" name="Mondes" sheetId="5" r:id="R18e54cd71c6a4cea"/>
    <x:sheet xmlns:r="http://schemas.openxmlformats.org/officeDocument/2006/relationships" name="Zones" sheetId="6" r:id="Rf4b977378a76442a"/>
    <x:sheet xmlns:r="http://schemas.openxmlformats.org/officeDocument/2006/relationships" name="Liaisons" sheetId="7" r:id="R636445fdb3a5471c"/>
    <x:sheet xmlns:r="http://schemas.openxmlformats.org/officeDocument/2006/relationships" name="Decors" sheetId="8" r:id="R709782dcb6114fa9"/>
    <x:sheet xmlns:r="http://schemas.openxmlformats.org/officeDocument/2006/relationships" name="Props" sheetId="9" r:id="Rfe0c1a2197d04272"/>
    <x:sheet xmlns:r="http://schemas.openxmlformats.org/officeDocument/2006/relationships" name="Ennemis_boss" sheetId="10" r:id="R192de6ffeb9b43e8"/>
    <x:sheet xmlns:r="http://schemas.openxmlformats.org/officeDocument/2006/relationships" name="Missions" sheetId="11" r:id="Rbd34de54a35345b7"/>
    <x:sheet xmlns:r="http://schemas.openxmlformats.org/officeDocument/2006/relationships" name="Secondaires_DLC" sheetId="12" r:id="R99e04920c3804ac5"/>
    <x:sheet xmlns:r="http://schemas.openxmlformats.org/officeDocument/2006/relationships" name="Choix_relations" sheetId="13" r:id="R9cfda554118e4221"/>
    <x:sheet xmlns:r="http://schemas.openxmlformats.org/officeDocument/2006/relationships" name="Dialogues" sheetId="14" r:id="Re0379be0d51f4aef"/>
    <x:sheet xmlns:r="http://schemas.openxmlformats.org/officeDocument/2006/relationships" name="Cinematiques" sheetId="15" r:id="R895061216baa45a1"/>
    <x:sheet xmlns:r="http://schemas.openxmlformats.org/officeDocument/2006/relationships" name="Armes" sheetId="16" r:id="Rf8ce6192dca342ac"/>
    <x:sheet xmlns:r="http://schemas.openxmlformats.org/officeDocument/2006/relationships" name="Armures_equipement" sheetId="17" r:id="R2ff43648df964c00"/>
    <x:sheet xmlns:r="http://schemas.openxmlformats.org/officeDocument/2006/relationships" name="Pouvoirs" sheetId="18" r:id="R4ab7fe936b134c60"/>
    <x:sheet xmlns:r="http://schemas.openxmlformats.org/officeDocument/2006/relationships" name="Movesets_allies" sheetId="19" r:id="R399844adcf6440dc"/>
    <x:sheet xmlns:r="http://schemas.openxmlformats.org/officeDocument/2006/relationships" name="Movesets_ennemis" sheetId="20" r:id="R628628d04e124952"/>
    <x:sheet xmlns:r="http://schemas.openxmlformats.org/officeDocument/2006/relationships" name="Animations" sheetId="21" r:id="Rf051fabaa2ef42a3"/>
    <x:sheet xmlns:r="http://schemas.openxmlformats.org/officeDocument/2006/relationships" name="Sprites" sheetId="22" r:id="R2e2ff556d2944836"/>
    <x:sheet xmlns:r="http://schemas.openxmlformats.org/officeDocument/2006/relationships" name="VFX" sheetId="23" r:id="R3b9a9a392c9a4b7a"/>
    <x:sheet xmlns:r="http://schemas.openxmlformats.org/officeDocument/2006/relationships" name="Audio" sheetId="24" r:id="Rfef747ac45474001"/>
    <x:sheet xmlns:r="http://schemas.openxmlformats.org/officeDocument/2006/relationships" name="UI_systemes" sheetId="25" r:id="R171e0fdf5ab54360"/>
    <x:sheet xmlns:r="http://schemas.openxmlformats.org/officeDocument/2006/relationships" name="QA" sheetId="26" r:id="Rebdafaeb66944f44"/>
    <x:sheet xmlns:r="http://schemas.openxmlformats.org/officeDocument/2006/relationships" name="Continuite" sheetId="27" r:id="Ra3ff5d8606d94c95"/>
    <x:sheet xmlns:r="http://schemas.openxmlformats.org/officeDocument/2006/relationships" name="Guide" sheetId="28" r:id="Rafd1e5a74992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804d4ea324beb" /><Relationship Type="http://schemas.openxmlformats.org/officeDocument/2006/relationships/theme" Target="/xl/theme/theme1.xml" Id="R5823939350484975" /><Relationship Type="http://schemas.openxmlformats.org/officeDocument/2006/relationships/sharedStrings" Target="/xl/sharedStrings.xml" Id="R252ef070703644a3" /><Relationship Type="http://schemas.openxmlformats.org/officeDocument/2006/relationships/worksheet" Target="/xl/worksheets/sheet1.xml" Id="R88b899499d6c448c" /><Relationship Type="http://schemas.openxmlformats.org/officeDocument/2006/relationships/worksheet" Target="/xl/worksheets/sheet2.xml" Id="R5dd073179a70452d" /><Relationship Type="http://schemas.openxmlformats.org/officeDocument/2006/relationships/worksheet" Target="/xl/worksheets/sheet3.xml" Id="R861df397d30d47b7" /><Relationship Type="http://schemas.openxmlformats.org/officeDocument/2006/relationships/worksheet" Target="/xl/worksheets/sheet4.xml" Id="Rd211feadc40349f6" /><Relationship Type="http://schemas.openxmlformats.org/officeDocument/2006/relationships/worksheet" Target="/xl/worksheets/sheet5.xml" Id="R18e54cd71c6a4cea" /><Relationship Type="http://schemas.openxmlformats.org/officeDocument/2006/relationships/worksheet" Target="/xl/worksheets/sheet6.xml" Id="Rf4b977378a76442a" /><Relationship Type="http://schemas.openxmlformats.org/officeDocument/2006/relationships/worksheet" Target="/xl/worksheets/sheet7.xml" Id="R636445fdb3a5471c" /><Relationship Type="http://schemas.openxmlformats.org/officeDocument/2006/relationships/worksheet" Target="/xl/worksheets/sheet8.xml" Id="R709782dcb6114fa9" /><Relationship Type="http://schemas.openxmlformats.org/officeDocument/2006/relationships/worksheet" Target="/xl/worksheets/sheet9.xml" Id="Rfe0c1a2197d04272" /><Relationship Type="http://schemas.openxmlformats.org/officeDocument/2006/relationships/worksheet" Target="/xl/worksheets/sheet10.xml" Id="R192de6ffeb9b43e8" /><Relationship Type="http://schemas.openxmlformats.org/officeDocument/2006/relationships/worksheet" Target="/xl/worksheets/sheet11.xml" Id="Rbd34de54a35345b7" /><Relationship Type="http://schemas.openxmlformats.org/officeDocument/2006/relationships/worksheet" Target="/xl/worksheets/sheet12.xml" Id="R99e04920c3804ac5" /><Relationship Type="http://schemas.openxmlformats.org/officeDocument/2006/relationships/worksheet" Target="/xl/worksheets/sheet13.xml" Id="R9cfda554118e4221" /><Relationship Type="http://schemas.openxmlformats.org/officeDocument/2006/relationships/worksheet" Target="/xl/worksheets/sheet14.xml" Id="Re0379be0d51f4aef" /><Relationship Type="http://schemas.openxmlformats.org/officeDocument/2006/relationships/worksheet" Target="/xl/worksheets/sheet15.xml" Id="R895061216baa45a1" /><Relationship Type="http://schemas.openxmlformats.org/officeDocument/2006/relationships/worksheet" Target="/xl/worksheets/sheet16.xml" Id="Rf8ce6192dca342ac" /><Relationship Type="http://schemas.openxmlformats.org/officeDocument/2006/relationships/worksheet" Target="/xl/worksheets/sheet17.xml" Id="R2ff43648df964c00" /><Relationship Type="http://schemas.openxmlformats.org/officeDocument/2006/relationships/worksheet" Target="/xl/worksheets/sheet18.xml" Id="R4ab7fe936b134c60" /><Relationship Type="http://schemas.openxmlformats.org/officeDocument/2006/relationships/worksheet" Target="/xl/worksheets/sheet19.xml" Id="R399844adcf6440dc" /><Relationship Type="http://schemas.openxmlformats.org/officeDocument/2006/relationships/worksheet" Target="/xl/worksheets/sheet20.xml" Id="R628628d04e124952" /><Relationship Type="http://schemas.openxmlformats.org/officeDocument/2006/relationships/worksheet" Target="/xl/worksheets/sheet21.xml" Id="Rf051fabaa2ef42a3" /><Relationship Type="http://schemas.openxmlformats.org/officeDocument/2006/relationships/worksheet" Target="/xl/worksheets/sheet22.xml" Id="R2e2ff556d2944836" /><Relationship Type="http://schemas.openxmlformats.org/officeDocument/2006/relationships/worksheet" Target="/xl/worksheets/sheet23.xml" Id="R3b9a9a392c9a4b7a" /><Relationship Type="http://schemas.openxmlformats.org/officeDocument/2006/relationships/worksheet" Target="/xl/worksheets/sheet24.xml" Id="Rfef747ac45474001" /><Relationship Type="http://schemas.openxmlformats.org/officeDocument/2006/relationships/worksheet" Target="/xl/worksheets/sheet25.xml" Id="R171e0fdf5ab54360" /><Relationship Type="http://schemas.openxmlformats.org/officeDocument/2006/relationships/worksheet" Target="/xl/worksheets/sheet26.xml" Id="Rebdafaeb66944f44" /><Relationship Type="http://schemas.openxmlformats.org/officeDocument/2006/relationships/worksheet" Target="/xl/worksheets/sheet27.xml" Id="Ra3ff5d8606d94c95" /><Relationship Type="http://schemas.openxmlformats.org/officeDocument/2006/relationships/worksheet" Target="/xl/worksheets/sheet28.xml" Id="Rafd1e5a7499243cf" /></Relationships>
</file>

<file path=xl/tables/table1.xml><?xml version="1.0" encoding="utf-8"?>
<x:table xmlns:x="http://schemas.openxmlformats.org/spreadsheetml/2006/main" id="1" name="BLA_characters" displayName="BLA_character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A_npcs" displayName="BLA_npc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A_lore" displayName="BLA_lore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LA_worlds" displayName="BLA_world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LA_zones" displayName="BLA_zon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LA_links" displayName="BLA_link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LA_scenery" displayName="BLA_scener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LA_props" displayName="BLA_prop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LA_enemies" displayName="BLA_enemi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LA_main_quests" displayName="BLA_main_quest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LA_side_quests" displayName="BLA_side_quest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LA_choices" displayName="BLA_choic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LA_dialogues" displayName="BLA_dialogu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LA_cinematics" displayName="BLA_cinematic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LA_weapons" displayName="BLA_weapon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LA_equipment" displayName="BLA_equipment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LA_powers" displayName="BLA_pow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LA_ally_moves" displayName="BLA_ally_mov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BLA_enemy_moves" displayName="BLA_enem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BLA_animations" displayName="BLA_animation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BLA_sprites" displayName="BLA_sprit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BLA_vfx" displayName="BLA_vfx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BLA_audio" displayName="BLA_audio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LA_systems" displayName="BLA_system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BLA_qa" displayName="BLA_qa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BLA_continuity" displayName="BLA_continuit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e434d9cb7041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28e51b47f4e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344ac60414e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b3283ddf4f46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28222557aa42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13034a89974f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69a954815843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e1b768ac714d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3bd3a315c540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4f092788354d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1e9b14ec3641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4bc3a6b3f2548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fc9db3d5ea44d6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0e2561b7ebb436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87d38521b7c4e9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5cd70417a934c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4a6087b7084425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bf29036f3b2449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09bcbcb2a5544cc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deedb0ce99a409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9c4cb6548e364f3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f6edca0bec8a465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031c9c8cc7a2433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0fafdb5f5da44f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4e390c1841c41b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0aafe738aa83488f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Blasto: Eternity is Forever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82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9</x:v>
      </x:c>
      <x:c r="I5" s="2"/>
      <x:c r="J5" s="2" t="str">
        <x:v>Extrapolations</x:v>
      </x:c>
      <x:c r="K5" s="33" t="n">
        <x:f>SUM(I10:I35)</x:f>
        <x:v>67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30" t="str">
        <x:v>Domaine</x:v>
      </x:c>
      <x:c r="B9" s="31" t="str">
        <x:v>Total</x:v>
      </x:c>
      <x:c r="C9" s="31" t="str">
        <x:v>Défini</x:v>
      </x:c>
      <x:c r="D9" s="31" t="str">
        <x:v>Prototype</x:v>
      </x:c>
      <x:c r="E9" s="31" t="str">
        <x:v>Intégré</x:v>
      </x:c>
      <x:c r="F9" s="31" t="str">
        <x:v>Validé</x:v>
      </x:c>
      <x:c r="G9" s="31" t="str">
        <x:v>Établi</x:v>
      </x:c>
      <x:c r="H9" s="31" t="str">
        <x:v>À vérifier</x:v>
      </x:c>
      <x:c r="I9" s="31" t="str">
        <x:v>Extrapolation</x:v>
      </x:c>
      <x:c r="J9" s="31" t="str">
        <x:v>Coupé attesté</x:v>
      </x:c>
      <x:c r="K9" s="31" t="str">
        <x:v>Concept abandonné</x:v>
      </x:c>
      <x:c r="L9" s="31" t="str">
        <x:v>Allégation écartée</x:v>
      </x:c>
      <x:c r="M9" s="32" t="str">
        <x:v>Priorité P0</x:v>
      </x:c>
    </x:row>
    <x:row r="10" ht="22" customHeight="1">
      <x:c r="A10" s="35" t="str">
        <x:v>Personnages</x:v>
      </x:c>
      <x:c r="B10" s="39" t="n">
        <x:f>COUNTA('Personnages'!$A$7:$A$9)</x:f>
        <x:v>3</x:v>
      </x:c>
      <x:c r="C10" s="39" t="n">
        <x:f>COUNTIFS('Personnages'!$C$7:$C$9,"Défini")</x:f>
        <x:v>3</x:v>
      </x:c>
      <x:c r="D10" s="39" t="n">
        <x:f>COUNTIFS('Personnages'!$C$7:$C$9,"Prototype")</x:f>
        <x:v>0</x:v>
      </x:c>
      <x:c r="E10" s="39" t="n">
        <x:f>COUNTIFS('Personnages'!$C$7:$C$9,"Intégré")</x:f>
        <x:v>0</x:v>
      </x:c>
      <x:c r="F10" s="39" t="n">
        <x:f>COUNTIFS('Personnages'!$C$7:$C$9,"Validé")</x:f>
        <x:v>0</x:v>
      </x:c>
      <x:c r="G10" s="39" t="n">
        <x:f>COUNTIFS('Personnages'!$D$7:$D$9,"Établi")</x:f>
        <x:v>2</x:v>
      </x:c>
      <x:c r="H10" s="39" t="n">
        <x:f>COUNTIFS('Personnages'!$D$7:$D$9,"À vérifier")</x:f>
        <x:v>1</x:v>
      </x:c>
      <x:c r="I10" s="39" t="n">
        <x:f>COUNTIFS('Personnages'!$D$7:$D$9,"Extrapolation")</x:f>
        <x:v>0</x:v>
      </x:c>
      <x:c r="J10" s="39" t="n">
        <x:f>COUNTIFS('Personnages'!$D$7:$D$9,"Coupé attesté")</x:f>
        <x:v>0</x:v>
      </x:c>
      <x:c r="K10" s="39" t="n">
        <x:f>COUNTIFS('Personnages'!$D$7:$D$9,"Concept abandonné")</x:f>
        <x:v>0</x:v>
      </x:c>
      <x:c r="L10" s="39" t="n">
        <x:f>COUNTIFS('Personnages'!$D$7:$D$9,"Allégation écartée")</x:f>
        <x:v>0</x:v>
      </x:c>
      <x:c r="M10" s="39" t="n">
        <x:f>COUNTIFS('Personnages'!$E$7:$E$9,"P0")</x:f>
        <x:v>0</x:v>
      </x:c>
    </x:row>
    <x:row r="11" ht="22" customHeight="1">
      <x:c r="A11" s="2" t="str">
        <x:v>PNJ</x:v>
      </x:c>
      <x:c r="B11" s="40" t="n">
        <x:f>COUNTA('PNJ'!$A$7:$A$7)</x:f>
        <x:v>1</x:v>
      </x:c>
      <x:c r="C11" s="40" t="n">
        <x:f>COUNTIFS('PNJ'!$C$7:$C$7,"Défini")</x:f>
        <x:v>1</x:v>
      </x:c>
      <x:c r="D11" s="40" t="n">
        <x:f>COUNTIFS('PNJ'!$C$7:$C$7,"Prototype")</x:f>
        <x:v>0</x:v>
      </x:c>
      <x:c r="E11" s="40" t="n">
        <x:f>COUNTIFS('PNJ'!$C$7:$C$7,"Intégré")</x:f>
        <x:v>0</x:v>
      </x:c>
      <x:c r="F11" s="40" t="n">
        <x:f>COUNTIFS('PNJ'!$C$7:$C$7,"Validé")</x:f>
        <x:v>0</x:v>
      </x:c>
      <x:c r="G11" s="40" t="n">
        <x:f>COUNTIFS('PNJ'!$D$7:$D$7,"Établi")</x:f>
        <x:v>0</x:v>
      </x:c>
      <x:c r="H11" s="40" t="n">
        <x:f>COUNTIFS('PNJ'!$D$7:$D$7,"À vérifier")</x:f>
        <x:v>1</x:v>
      </x:c>
      <x:c r="I11" s="40" t="n">
        <x:f>COUNTIFS('PNJ'!$D$7:$D$7,"Extrapolation")</x:f>
        <x:v>0</x:v>
      </x:c>
      <x:c r="J11" s="40" t="n">
        <x:f>COUNTIFS('PNJ'!$D$7:$D$7,"Coupé attesté")</x:f>
        <x:v>0</x:v>
      </x:c>
      <x:c r="K11" s="40" t="n">
        <x:f>COUNTIFS('PNJ'!$D$7:$D$7,"Concept abandonné")</x:f>
        <x:v>0</x:v>
      </x:c>
      <x:c r="L11" s="40" t="n">
        <x:f>COUNTIFS('PNJ'!$D$7:$D$7,"Allégation écartée")</x:f>
        <x:v>0</x:v>
      </x:c>
      <x:c r="M11" s="40" t="n">
        <x:f>COUNTIFS('PNJ'!$E$7:$E$7,"P0")</x:f>
        <x:v>0</x:v>
      </x:c>
    </x:row>
    <x:row r="12" ht="22" customHeight="1">
      <x:c r="A12" s="35" t="str">
        <x:v>Espèces et factions</x:v>
      </x:c>
      <x:c r="B12" s="39" t="n">
        <x:f>COUNTA('Especes_factions'!$A$7:$A$13)</x:f>
        <x:v>7</x:v>
      </x:c>
      <x:c r="C12" s="39" t="n">
        <x:f>COUNTIFS('Especes_factions'!$C$7:$C$13,"Défini")</x:f>
        <x:v>7</x:v>
      </x:c>
      <x:c r="D12" s="39" t="n">
        <x:f>COUNTIFS('Especes_factions'!$C$7:$C$13,"Prototype")</x:f>
        <x:v>0</x:v>
      </x:c>
      <x:c r="E12" s="39" t="n">
        <x:f>COUNTIFS('Especes_factions'!$C$7:$C$13,"Intégré")</x:f>
        <x:v>0</x:v>
      </x:c>
      <x:c r="F12" s="39" t="n">
        <x:f>COUNTIFS('Especes_factions'!$C$7:$C$13,"Validé")</x:f>
        <x:v>0</x:v>
      </x:c>
      <x:c r="G12" s="39" t="n">
        <x:f>COUNTIFS('Especes_factions'!$D$7:$D$13,"Établi")</x:f>
        <x:v>3</x:v>
      </x:c>
      <x:c r="H12" s="39" t="n">
        <x:f>COUNTIFS('Especes_factions'!$D$7:$D$13,"À vérifier")</x:f>
        <x:v>4</x:v>
      </x:c>
      <x:c r="I12" s="39" t="n">
        <x:f>COUNTIFS('Especes_factions'!$D$7:$D$13,"Extrapolation")</x:f>
        <x:v>0</x:v>
      </x:c>
      <x:c r="J12" s="39" t="n">
        <x:f>COUNTIFS('Especes_factions'!$D$7:$D$13,"Coupé attesté")</x:f>
        <x:v>0</x:v>
      </x:c>
      <x:c r="K12" s="39" t="n">
        <x:f>COUNTIFS('Especes_factions'!$D$7:$D$13,"Concept abandonné")</x:f>
        <x:v>0</x:v>
      </x:c>
      <x:c r="L12" s="39" t="n">
        <x:f>COUNTIFS('Especes_factions'!$D$7:$D$13,"Allégation écartée")</x:f>
        <x:v>0</x:v>
      </x:c>
      <x:c r="M12" s="39" t="n">
        <x:f>COUNTIFS('Especes_factions'!$E$7:$E$13,"P0")</x:f>
        <x:v>3</x:v>
      </x:c>
    </x:row>
    <x:row r="13" ht="22" customHeight="1">
      <x:c r="A13" s="2" t="str">
        <x:v>Mondes</x:v>
      </x:c>
      <x:c r="B13" s="40" t="n">
        <x:f>COUNTA('Mondes'!$A$7:$A$8)</x:f>
        <x:v>2</x:v>
      </x:c>
      <x:c r="C13" s="40" t="n">
        <x:f>COUNTIFS('Mondes'!$C$7:$C$8,"Défini")</x:f>
        <x:v>2</x:v>
      </x:c>
      <x:c r="D13" s="40" t="n">
        <x:f>COUNTIFS('Mondes'!$C$7:$C$8,"Prototype")</x:f>
        <x:v>0</x:v>
      </x:c>
      <x:c r="E13" s="40" t="n">
        <x:f>COUNTIFS('Mondes'!$C$7:$C$8,"Intégré")</x:f>
        <x:v>0</x:v>
      </x:c>
      <x:c r="F13" s="40" t="n">
        <x:f>COUNTIFS('Mondes'!$C$7:$C$8,"Validé")</x:f>
        <x:v>0</x:v>
      </x:c>
      <x:c r="G13" s="40" t="n">
        <x:f>COUNTIFS('Mondes'!$D$7:$D$8,"Établi")</x:f>
        <x:v>1</x:v>
      </x:c>
      <x:c r="H13" s="40" t="n">
        <x:f>COUNTIFS('Mondes'!$D$7:$D$8,"À vérifier")</x:f>
        <x:v>1</x:v>
      </x:c>
      <x:c r="I13" s="40" t="n">
        <x:f>COUNTIFS('Mondes'!$D$7:$D$8,"Extrapolation")</x:f>
        <x:v>0</x:v>
      </x:c>
      <x:c r="J13" s="40" t="n">
        <x:f>COUNTIFS('Mondes'!$D$7:$D$8,"Coupé attesté")</x:f>
        <x:v>0</x:v>
      </x:c>
      <x:c r="K13" s="40" t="n">
        <x:f>COUNTIFS('Mondes'!$D$7:$D$8,"Concept abandonné")</x:f>
        <x:v>0</x:v>
      </x:c>
      <x:c r="L13" s="40" t="n">
        <x:f>COUNTIFS('Mondes'!$D$7:$D$8,"Allégation écartée")</x:f>
        <x:v>0</x:v>
      </x:c>
      <x:c r="M13" s="40" t="n">
        <x:f>COUNTIFS('Mondes'!$E$7:$E$8,"P0")</x:f>
        <x:v>0</x:v>
      </x:c>
    </x:row>
    <x:row r="14" ht="22" customHeight="1">
      <x:c r="A14" s="35" t="str">
        <x:v>Zones</x:v>
      </x:c>
      <x:c r="B14" s="39" t="n">
        <x:f>COUNTA('Zones'!$A$7:$A$8)</x:f>
        <x:v>2</x:v>
      </x:c>
      <x:c r="C14" s="39" t="n">
        <x:f>COUNTIFS('Zones'!$C$7:$C$8,"Défini")</x:f>
        <x:v>2</x:v>
      </x:c>
      <x:c r="D14" s="39" t="n">
        <x:f>COUNTIFS('Zones'!$C$7:$C$8,"Prototype")</x:f>
        <x:v>0</x:v>
      </x:c>
      <x:c r="E14" s="39" t="n">
        <x:f>COUNTIFS('Zones'!$C$7:$C$8,"Intégré")</x:f>
        <x:v>0</x:v>
      </x:c>
      <x:c r="F14" s="39" t="n">
        <x:f>COUNTIFS('Zones'!$C$7:$C$8,"Validé")</x:f>
        <x:v>0</x:v>
      </x:c>
      <x:c r="G14" s="39" t="n">
        <x:f>COUNTIFS('Zones'!$D$7:$D$8,"Établi")</x:f>
        <x:v>0</x:v>
      </x:c>
      <x:c r="H14" s="39" t="n">
        <x:f>COUNTIFS('Zones'!$D$7:$D$8,"À vérifier")</x:f>
        <x:v>0</x:v>
      </x:c>
      <x:c r="I14" s="39" t="n">
        <x:f>COUNTIFS('Zones'!$D$7:$D$8,"Extrapolation")</x:f>
        <x:v>2</x:v>
      </x:c>
      <x:c r="J14" s="39" t="n">
        <x:f>COUNTIFS('Zones'!$D$7:$D$8,"Coupé attesté")</x:f>
        <x:v>0</x:v>
      </x:c>
      <x:c r="K14" s="39" t="n">
        <x:f>COUNTIFS('Zones'!$D$7:$D$8,"Concept abandonné")</x:f>
        <x:v>0</x:v>
      </x:c>
      <x:c r="L14" s="39" t="n">
        <x:f>COUNTIFS('Zones'!$D$7:$D$8,"Allégation écartée")</x:f>
        <x:v>0</x:v>
      </x:c>
      <x:c r="M14" s="39" t="n">
        <x:f>COUNTIFS('Zones'!$E$7:$E$8,"P0")</x:f>
        <x:v>0</x:v>
      </x:c>
    </x:row>
    <x:row r="15" ht="22" customHeight="1">
      <x:c r="A15" s="2" t="str">
        <x:v>Liaisons</x:v>
      </x:c>
      <x:c r="B15" s="40" t="n">
        <x:f>COUNTA('Liaisons'!$A$7:$A$8)</x:f>
        <x:v>2</x:v>
      </x:c>
      <x:c r="C15" s="40" t="n">
        <x:f>COUNTIFS('Liaisons'!$C$7:$C$8,"Défini")</x:f>
        <x:v>2</x:v>
      </x:c>
      <x:c r="D15" s="40" t="n">
        <x:f>COUNTIFS('Liaisons'!$C$7:$C$8,"Prototype")</x:f>
        <x:v>0</x:v>
      </x:c>
      <x:c r="E15" s="40" t="n">
        <x:f>COUNTIFS('Liaisons'!$C$7:$C$8,"Intégré")</x:f>
        <x:v>0</x:v>
      </x:c>
      <x:c r="F15" s="40" t="n">
        <x:f>COUNTIFS('Liaisons'!$C$7:$C$8,"Validé")</x:f>
        <x:v>0</x:v>
      </x:c>
      <x:c r="G15" s="40" t="n">
        <x:f>COUNTIFS('Liaisons'!$D$7:$D$8,"Établi")</x:f>
        <x:v>0</x:v>
      </x:c>
      <x:c r="H15" s="40" t="n">
        <x:f>COUNTIFS('Liaisons'!$D$7:$D$8,"À vérifier")</x:f>
        <x:v>0</x:v>
      </x:c>
      <x:c r="I15" s="40" t="n">
        <x:f>COUNTIFS('Liaisons'!$D$7:$D$8,"Extrapolation")</x:f>
        <x:v>2</x:v>
      </x:c>
      <x:c r="J15" s="40" t="n">
        <x:f>COUNTIFS('Liaisons'!$D$7:$D$8,"Coupé attesté")</x:f>
        <x:v>0</x:v>
      </x:c>
      <x:c r="K15" s="40" t="n">
        <x:f>COUNTIFS('Liaisons'!$D$7:$D$8,"Concept abandonné")</x:f>
        <x:v>0</x:v>
      </x:c>
      <x:c r="L15" s="40" t="n">
        <x:f>COUNTIFS('Liaisons'!$D$7:$D$8,"Allégation écartée")</x:f>
        <x:v>0</x:v>
      </x:c>
      <x:c r="M15" s="40" t="n">
        <x:f>COUNTIFS('Liaisons'!$E$7:$E$8,"P0")</x:f>
        <x:v>0</x:v>
      </x:c>
    </x:row>
    <x:row r="16" ht="22" customHeight="1">
      <x:c r="A16" s="35" t="str">
        <x:v>Décors</x:v>
      </x:c>
      <x:c r="B16" s="39" t="n">
        <x:f>COUNTA('Decors'!$A$7:$A$8)</x:f>
        <x:v>2</x:v>
      </x:c>
      <x:c r="C16" s="39" t="n">
        <x:f>COUNTIFS('Decors'!$C$7:$C$8,"Défini")</x:f>
        <x:v>2</x:v>
      </x:c>
      <x:c r="D16" s="39" t="n">
        <x:f>COUNTIFS('Decors'!$C$7:$C$8,"Prototype")</x:f>
        <x:v>0</x:v>
      </x:c>
      <x:c r="E16" s="39" t="n">
        <x:f>COUNTIFS('Decors'!$C$7:$C$8,"Intégré")</x:f>
        <x:v>0</x:v>
      </x:c>
      <x:c r="F16" s="39" t="n">
        <x:f>COUNTIFS('Decors'!$C$7:$C$8,"Validé")</x:f>
        <x:v>0</x:v>
      </x:c>
      <x:c r="G16" s="39" t="n">
        <x:f>COUNTIFS('Decors'!$D$7:$D$8,"Établi")</x:f>
        <x:v>0</x:v>
      </x:c>
      <x:c r="H16" s="39" t="n">
        <x:f>COUNTIFS('Decors'!$D$7:$D$8,"À vérifier")</x:f>
        <x:v>0</x:v>
      </x:c>
      <x:c r="I16" s="39" t="n">
        <x:f>COUNTIFS('Decors'!$D$7:$D$8,"Extrapolation")</x:f>
        <x:v>2</x:v>
      </x:c>
      <x:c r="J16" s="39" t="n">
        <x:f>COUNTIFS('Decors'!$D$7:$D$8,"Coupé attesté")</x:f>
        <x:v>0</x:v>
      </x:c>
      <x:c r="K16" s="39" t="n">
        <x:f>COUNTIFS('Decors'!$D$7:$D$8,"Concept abandonné")</x:f>
        <x:v>0</x:v>
      </x:c>
      <x:c r="L16" s="39" t="n">
        <x:f>COUNTIFS('Decors'!$D$7:$D$8,"Allégation écartée")</x:f>
        <x:v>0</x:v>
      </x:c>
      <x:c r="M16" s="39" t="n">
        <x:f>COUNTIFS('Decors'!$E$7:$E$8,"P0")</x:f>
        <x:v>0</x:v>
      </x:c>
    </x:row>
    <x:row r="17" ht="22" customHeight="1">
      <x:c r="A17" s="2" t="str">
        <x:v>Props</x:v>
      </x:c>
      <x:c r="B17" s="40" t="n">
        <x:f>COUNTA('Props'!$A$7:$A$10)</x:f>
        <x:v>4</x:v>
      </x:c>
      <x:c r="C17" s="40" t="n">
        <x:f>COUNTIFS('Props'!$C$7:$C$10,"Défini")</x:f>
        <x:v>4</x:v>
      </x:c>
      <x:c r="D17" s="40" t="n">
        <x:f>COUNTIFS('Props'!$C$7:$C$10,"Prototype")</x:f>
        <x:v>0</x:v>
      </x:c>
      <x:c r="E17" s="40" t="n">
        <x:f>COUNTIFS('Props'!$C$7:$C$10,"Intégré")</x:f>
        <x:v>0</x:v>
      </x:c>
      <x:c r="F17" s="40" t="n">
        <x:f>COUNTIFS('Props'!$C$7:$C$10,"Validé")</x:f>
        <x:v>0</x:v>
      </x:c>
      <x:c r="G17" s="40" t="n">
        <x:f>COUNTIFS('Props'!$D$7:$D$10,"Établi")</x:f>
        <x:v>0</x:v>
      </x:c>
      <x:c r="H17" s="40" t="n">
        <x:f>COUNTIFS('Props'!$D$7:$D$10,"À vérifier")</x:f>
        <x:v>0</x:v>
      </x:c>
      <x:c r="I17" s="40" t="n">
        <x:f>COUNTIFS('Props'!$D$7:$D$10,"Extrapolation")</x:f>
        <x:v>4</x:v>
      </x:c>
      <x:c r="J17" s="40" t="n">
        <x:f>COUNTIFS('Props'!$D$7:$D$10,"Coupé attesté")</x:f>
        <x:v>0</x:v>
      </x:c>
      <x:c r="K17" s="40" t="n">
        <x:f>COUNTIFS('Props'!$D$7:$D$10,"Concept abandonné")</x:f>
        <x:v>0</x:v>
      </x:c>
      <x:c r="L17" s="40" t="n">
        <x:f>COUNTIFS('Props'!$D$7:$D$10,"Allégation écartée")</x:f>
        <x:v>0</x:v>
      </x:c>
      <x:c r="M17" s="40" t="n">
        <x:f>COUNTIFS('Props'!$E$7:$E$10,"P0")</x:f>
        <x:v>0</x:v>
      </x:c>
    </x:row>
    <x:row r="18" ht="22" customHeight="1">
      <x:c r="A18" s="35" t="str">
        <x:v>Ennemis et boss</x:v>
      </x:c>
      <x:c r="B18" s="39" t="n">
        <x:f>COUNTA('Ennemis_boss'!$A$7:$A$8)</x:f>
        <x:v>2</x:v>
      </x:c>
      <x:c r="C18" s="39" t="n">
        <x:f>COUNTIFS('Ennemis_boss'!$C$7:$C$8,"Défini")</x:f>
        <x:v>2</x:v>
      </x:c>
      <x:c r="D18" s="39" t="n">
        <x:f>COUNTIFS('Ennemis_boss'!$C$7:$C$8,"Prototype")</x:f>
        <x:v>0</x:v>
      </x:c>
      <x:c r="E18" s="39" t="n">
        <x:f>COUNTIFS('Ennemis_boss'!$C$7:$C$8,"Intégré")</x:f>
        <x:v>0</x:v>
      </x:c>
      <x:c r="F18" s="39" t="n">
        <x:f>COUNTIFS('Ennemis_boss'!$C$7:$C$8,"Validé")</x:f>
        <x:v>0</x:v>
      </x:c>
      <x:c r="G18" s="39" t="n">
        <x:f>COUNTIFS('Ennemis_boss'!$D$7:$D$8,"Établi")</x:f>
        <x:v>0</x:v>
      </x:c>
      <x:c r="H18" s="39" t="n">
        <x:f>COUNTIFS('Ennemis_boss'!$D$7:$D$8,"À vérifier")</x:f>
        <x:v>2</x:v>
      </x:c>
      <x:c r="I18" s="39" t="n">
        <x:f>COUNTIFS('Ennemis_boss'!$D$7:$D$8,"Extrapolation")</x:f>
        <x:v>0</x:v>
      </x:c>
      <x:c r="J18" s="39" t="n">
        <x:f>COUNTIFS('Ennemis_boss'!$D$7:$D$8,"Coupé attesté")</x:f>
        <x:v>0</x:v>
      </x:c>
      <x:c r="K18" s="39" t="n">
        <x:f>COUNTIFS('Ennemis_boss'!$D$7:$D$8,"Concept abandonné")</x:f>
        <x:v>0</x:v>
      </x:c>
      <x:c r="L18" s="39" t="n">
        <x:f>COUNTIFS('Ennemis_boss'!$D$7:$D$8,"Allégation écartée")</x:f>
        <x:v>0</x:v>
      </x:c>
      <x:c r="M18" s="39" t="n">
        <x:f>COUNTIFS('Ennemis_boss'!$E$7:$E$8,"P0")</x:f>
        <x:v>0</x:v>
      </x:c>
    </x:row>
    <x:row r="19" ht="22" customHeight="1">
      <x:c r="A19" s="2" t="str">
        <x:v>Missions</x:v>
      </x:c>
      <x:c r="B19" s="40" t="n">
        <x:f>COUNTA('Missions'!$A$7:$A$10)</x:f>
        <x:v>4</x:v>
      </x:c>
      <x:c r="C19" s="40" t="n">
        <x:f>COUNTIFS('Missions'!$C$7:$C$10,"Défini")</x:f>
        <x:v>4</x:v>
      </x:c>
      <x:c r="D19" s="40" t="n">
        <x:f>COUNTIFS('Missions'!$C$7:$C$10,"Prototype")</x:f>
        <x:v>0</x:v>
      </x:c>
      <x:c r="E19" s="40" t="n">
        <x:f>COUNTIFS('Missions'!$C$7:$C$10,"Intégré")</x:f>
        <x:v>0</x:v>
      </x:c>
      <x:c r="F19" s="40" t="n">
        <x:f>COUNTIFS('Missions'!$C$7:$C$10,"Validé")</x:f>
        <x:v>0</x:v>
      </x:c>
      <x:c r="G19" s="40" t="n">
        <x:f>COUNTIFS('Missions'!$D$7:$D$10,"Établi")</x:f>
        <x:v>0</x:v>
      </x:c>
      <x:c r="H19" s="40" t="n">
        <x:f>COUNTIFS('Missions'!$D$7:$D$10,"À vérifier")</x:f>
        <x:v>0</x:v>
      </x:c>
      <x:c r="I19" s="40" t="n">
        <x:f>COUNTIFS('Missions'!$D$7:$D$10,"Extrapolation")</x:f>
        <x:v>4</x:v>
      </x:c>
      <x:c r="J19" s="40" t="n">
        <x:f>COUNTIFS('Missions'!$D$7:$D$10,"Coupé attesté")</x:f>
        <x:v>0</x:v>
      </x:c>
      <x:c r="K19" s="40" t="n">
        <x:f>COUNTIFS('Missions'!$D$7:$D$10,"Concept abandonné")</x:f>
        <x:v>0</x:v>
      </x:c>
      <x:c r="L19" s="40" t="n">
        <x:f>COUNTIFS('Missions'!$D$7:$D$10,"Allégation écartée")</x:f>
        <x:v>0</x:v>
      </x:c>
      <x:c r="M19" s="40" t="n">
        <x:f>COUNTIFS('Missions'!$E$7:$E$10,"P0")</x:f>
        <x:v>4</x:v>
      </x:c>
    </x:row>
    <x:row r="20" ht="22" customHeight="1">
      <x:c r="A20" s="35" t="str">
        <x:v>Secondaires et DLC</x:v>
      </x:c>
      <x:c r="B20" s="39" t="n">
        <x:f>COUNTA('Secondaires_DLC'!$A$7:$A$10)</x:f>
        <x:v>4</x:v>
      </x:c>
      <x:c r="C20" s="39" t="n">
        <x:f>COUNTIFS('Secondaires_DLC'!$C$7:$C$10,"Défini")</x:f>
        <x:v>4</x:v>
      </x:c>
      <x:c r="D20" s="39" t="n">
        <x:f>COUNTIFS('Secondaires_DLC'!$C$7:$C$10,"Prototype")</x:f>
        <x:v>0</x:v>
      </x:c>
      <x:c r="E20" s="39" t="n">
        <x:f>COUNTIFS('Secondaires_DLC'!$C$7:$C$10,"Intégré")</x:f>
        <x:v>0</x:v>
      </x:c>
      <x:c r="F20" s="39" t="n">
        <x:f>COUNTIFS('Secondaires_DLC'!$C$7:$C$10,"Validé")</x:f>
        <x:v>0</x:v>
      </x:c>
      <x:c r="G20" s="39" t="n">
        <x:f>COUNTIFS('Secondaires_DLC'!$D$7:$D$10,"Établi")</x:f>
        <x:v>0</x:v>
      </x:c>
      <x:c r="H20" s="39" t="n">
        <x:f>COUNTIFS('Secondaires_DLC'!$D$7:$D$10,"À vérifier")</x:f>
        <x:v>0</x:v>
      </x:c>
      <x:c r="I20" s="39" t="n">
        <x:f>COUNTIFS('Secondaires_DLC'!$D$7:$D$10,"Extrapolation")</x:f>
        <x:v>4</x:v>
      </x:c>
      <x:c r="J20" s="39" t="n">
        <x:f>COUNTIFS('Secondaires_DLC'!$D$7:$D$10,"Coupé attesté")</x:f>
        <x:v>0</x:v>
      </x:c>
      <x:c r="K20" s="39" t="n">
        <x:f>COUNTIFS('Secondaires_DLC'!$D$7:$D$10,"Concept abandonné")</x:f>
        <x:v>0</x:v>
      </x:c>
      <x:c r="L20" s="39" t="n">
        <x:f>COUNTIFS('Secondaires_DLC'!$D$7:$D$10,"Allégation écartée")</x:f>
        <x:v>0</x:v>
      </x:c>
      <x:c r="M20" s="39" t="n">
        <x:f>COUNTIFS('Secondaires_DLC'!$E$7:$E$10,"P0")</x:f>
        <x:v>0</x:v>
      </x:c>
    </x:row>
    <x:row r="21" ht="22" customHeight="1">
      <x:c r="A21" s="2" t="str">
        <x:v>Choix et relations</x:v>
      </x:c>
      <x:c r="B21" s="40" t="n">
        <x:f>COUNTA('Choix_relations'!$A$7:$A$10)</x:f>
        <x:v>4</x:v>
      </x:c>
      <x:c r="C21" s="40" t="n">
        <x:f>COUNTIFS('Choix_relations'!$C$7:$C$10,"Défini")</x:f>
        <x:v>4</x:v>
      </x:c>
      <x:c r="D21" s="40" t="n">
        <x:f>COUNTIFS('Choix_relations'!$C$7:$C$10,"Prototype")</x:f>
        <x:v>0</x:v>
      </x:c>
      <x:c r="E21" s="40" t="n">
        <x:f>COUNTIFS('Choix_relations'!$C$7:$C$10,"Intégré")</x:f>
        <x:v>0</x:v>
      </x:c>
      <x:c r="F21" s="40" t="n">
        <x:f>COUNTIFS('Choix_relations'!$C$7:$C$10,"Validé")</x:f>
        <x:v>0</x:v>
      </x:c>
      <x:c r="G21" s="40" t="n">
        <x:f>COUNTIFS('Choix_relations'!$D$7:$D$10,"Établi")</x:f>
        <x:v>0</x:v>
      </x:c>
      <x:c r="H21" s="40" t="n">
        <x:f>COUNTIFS('Choix_relations'!$D$7:$D$10,"À vérifier")</x:f>
        <x:v>0</x:v>
      </x:c>
      <x:c r="I21" s="40" t="n">
        <x:f>COUNTIFS('Choix_relations'!$D$7:$D$10,"Extrapolation")</x:f>
        <x:v>4</x:v>
      </x:c>
      <x:c r="J21" s="40" t="n">
        <x:f>COUNTIFS('Choix_relations'!$D$7:$D$10,"Coupé attesté")</x:f>
        <x:v>0</x:v>
      </x:c>
      <x:c r="K21" s="40" t="n">
        <x:f>COUNTIFS('Choix_relations'!$D$7:$D$10,"Concept abandonné")</x:f>
        <x:v>0</x:v>
      </x:c>
      <x:c r="L21" s="40" t="n">
        <x:f>COUNTIFS('Choix_relations'!$D$7:$D$10,"Allégation écartée")</x:f>
        <x:v>0</x:v>
      </x:c>
      <x:c r="M21" s="40" t="n">
        <x:f>COUNTIFS('Choix_relations'!$E$7:$E$10,"P0")</x:f>
        <x:v>0</x:v>
      </x:c>
    </x:row>
    <x:row r="22" ht="22" customHeight="1">
      <x:c r="A22" s="35" t="str">
        <x:v>Dialogues</x:v>
      </x:c>
      <x:c r="B22" s="39" t="n">
        <x:f>COUNTA('Dialogues'!$A$7:$A$10)</x:f>
        <x:v>4</x:v>
      </x:c>
      <x:c r="C22" s="39" t="n">
        <x:f>COUNTIFS('Dialogues'!$C$7:$C$10,"Défini")</x:f>
        <x:v>4</x:v>
      </x:c>
      <x:c r="D22" s="39" t="n">
        <x:f>COUNTIFS('Dialogues'!$C$7:$C$10,"Prototype")</x:f>
        <x:v>0</x:v>
      </x:c>
      <x:c r="E22" s="39" t="n">
        <x:f>COUNTIFS('Dialogues'!$C$7:$C$10,"Intégré")</x:f>
        <x:v>0</x:v>
      </x:c>
      <x:c r="F22" s="39" t="n">
        <x:f>COUNTIFS('Dialogues'!$C$7:$C$10,"Validé")</x:f>
        <x:v>0</x:v>
      </x:c>
      <x:c r="G22" s="39" t="n">
        <x:f>COUNTIFS('Dialogues'!$D$7:$D$10,"Établi")</x:f>
        <x:v>0</x:v>
      </x:c>
      <x:c r="H22" s="39" t="n">
        <x:f>COUNTIFS('Dialogues'!$D$7:$D$10,"À vérifier")</x:f>
        <x:v>0</x:v>
      </x:c>
      <x:c r="I22" s="39" t="n">
        <x:f>COUNTIFS('Dialogues'!$D$7:$D$10,"Extrapolation")</x:f>
        <x:v>4</x:v>
      </x:c>
      <x:c r="J22" s="39" t="n">
        <x:f>COUNTIFS('Dialogues'!$D$7:$D$10,"Coupé attesté")</x:f>
        <x:v>0</x:v>
      </x:c>
      <x:c r="K22" s="39" t="n">
        <x:f>COUNTIFS('Dialogues'!$D$7:$D$10,"Concept abandonné")</x:f>
        <x:v>0</x:v>
      </x:c>
      <x:c r="L22" s="39" t="n">
        <x:f>COUNTIFS('Dialogues'!$D$7:$D$10,"Allégation écartée")</x:f>
        <x:v>0</x:v>
      </x:c>
      <x:c r="M22" s="39" t="n">
        <x:f>COUNTIFS('Dialogues'!$E$7:$E$10,"P0")</x:f>
        <x:v>0</x:v>
      </x:c>
    </x:row>
    <x:row r="23" ht="22" customHeight="1">
      <x:c r="A23" s="2" t="str">
        <x:v>Cinématiques</x:v>
      </x:c>
      <x:c r="B23" s="40" t="n">
        <x:f>COUNTA('Cinematiques'!$A$7:$A$10)</x:f>
        <x:v>4</x:v>
      </x:c>
      <x:c r="C23" s="40" t="n">
        <x:f>COUNTIFS('Cinematiques'!$C$7:$C$10,"Défini")</x:f>
        <x:v>4</x:v>
      </x:c>
      <x:c r="D23" s="40" t="n">
        <x:f>COUNTIFS('Cinematiques'!$C$7:$C$10,"Prototype")</x:f>
        <x:v>0</x:v>
      </x:c>
      <x:c r="E23" s="40" t="n">
        <x:f>COUNTIFS('Cinematiques'!$C$7:$C$10,"Intégré")</x:f>
        <x:v>0</x:v>
      </x:c>
      <x:c r="F23" s="40" t="n">
        <x:f>COUNTIFS('Cinematiques'!$C$7:$C$10,"Validé")</x:f>
        <x:v>0</x:v>
      </x:c>
      <x:c r="G23" s="40" t="n">
        <x:f>COUNTIFS('Cinematiques'!$D$7:$D$10,"Établi")</x:f>
        <x:v>0</x:v>
      </x:c>
      <x:c r="H23" s="40" t="n">
        <x:f>COUNTIFS('Cinematiques'!$D$7:$D$10,"À vérifier")</x:f>
        <x:v>0</x:v>
      </x:c>
      <x:c r="I23" s="40" t="n">
        <x:f>COUNTIFS('Cinematiques'!$D$7:$D$10,"Extrapolation")</x:f>
        <x:v>4</x:v>
      </x:c>
      <x:c r="J23" s="40" t="n">
        <x:f>COUNTIFS('Cinematiques'!$D$7:$D$10,"Coupé attesté")</x:f>
        <x:v>0</x:v>
      </x:c>
      <x:c r="K23" s="40" t="n">
        <x:f>COUNTIFS('Cinematiques'!$D$7:$D$10,"Concept abandonné")</x:f>
        <x:v>0</x:v>
      </x:c>
      <x:c r="L23" s="40" t="n">
        <x:f>COUNTIFS('Cinematiques'!$D$7:$D$10,"Allégation écartée")</x:f>
        <x:v>0</x:v>
      </x:c>
      <x:c r="M23" s="40" t="n">
        <x:f>COUNTIFS('Cinematiques'!$E$7:$E$10,"P0")</x:f>
        <x:v>0</x:v>
      </x:c>
    </x:row>
    <x:row r="24" ht="22" customHeight="1">
      <x:c r="A24" s="35" t="str">
        <x:v>Armes</x:v>
      </x:c>
      <x:c r="B24" s="39" t="n">
        <x:f>COUNTA('Armes'!$A$7:$A$8)</x:f>
        <x:v>2</x:v>
      </x:c>
      <x:c r="C24" s="39" t="n">
        <x:f>COUNTIFS('Armes'!$C$7:$C$8,"Défini")</x:f>
        <x:v>2</x:v>
      </x:c>
      <x:c r="D24" s="39" t="n">
        <x:f>COUNTIFS('Armes'!$C$7:$C$8,"Prototype")</x:f>
        <x:v>0</x:v>
      </x:c>
      <x:c r="E24" s="39" t="n">
        <x:f>COUNTIFS('Armes'!$C$7:$C$8,"Intégré")</x:f>
        <x:v>0</x:v>
      </x:c>
      <x:c r="F24" s="39" t="n">
        <x:f>COUNTIFS('Armes'!$C$7:$C$8,"Validé")</x:f>
        <x:v>0</x:v>
      </x:c>
      <x:c r="G24" s="39" t="n">
        <x:f>COUNTIFS('Armes'!$D$7:$D$8,"Établi")</x:f>
        <x:v>0</x:v>
      </x:c>
      <x:c r="H24" s="39" t="n">
        <x:f>COUNTIFS('Armes'!$D$7:$D$8,"À vérifier")</x:f>
        <x:v>0</x:v>
      </x:c>
      <x:c r="I24" s="39" t="n">
        <x:f>COUNTIFS('Armes'!$D$7:$D$8,"Extrapolation")</x:f>
        <x:v>2</x:v>
      </x:c>
      <x:c r="J24" s="39" t="n">
        <x:f>COUNTIFS('Armes'!$D$7:$D$8,"Coupé attesté")</x:f>
        <x:v>0</x:v>
      </x:c>
      <x:c r="K24" s="39" t="n">
        <x:f>COUNTIFS('Armes'!$D$7:$D$8,"Concept abandonné")</x:f>
        <x:v>0</x:v>
      </x:c>
      <x:c r="L24" s="39" t="n">
        <x:f>COUNTIFS('Armes'!$D$7:$D$8,"Allégation écartée")</x:f>
        <x:v>0</x:v>
      </x:c>
      <x:c r="M24" s="39" t="n">
        <x:f>COUNTIFS('Armes'!$E$7:$E$8,"P0")</x:f>
        <x:v>0</x:v>
      </x:c>
    </x:row>
    <x:row r="25" ht="22" customHeight="1">
      <x:c r="A25" s="2" t="str">
        <x:v>Armures et équipement</x:v>
      </x:c>
      <x:c r="B25" s="40" t="n">
        <x:f>COUNTA('Armures_equipement'!$A$7:$A$7)</x:f>
        <x:v>1</x:v>
      </x:c>
      <x:c r="C25" s="40" t="n">
        <x:f>COUNTIFS('Armures_equipement'!$C$7:$C$7,"Défini")</x:f>
        <x:v>1</x:v>
      </x:c>
      <x:c r="D25" s="40" t="n">
        <x:f>COUNTIFS('Armures_equipement'!$C$7:$C$7,"Prototype")</x:f>
        <x:v>0</x:v>
      </x:c>
      <x:c r="E25" s="40" t="n">
        <x:f>COUNTIFS('Armures_equipement'!$C$7:$C$7,"Intégré")</x:f>
        <x:v>0</x:v>
      </x:c>
      <x:c r="F25" s="40" t="n">
        <x:f>COUNTIFS('Armures_equipement'!$C$7:$C$7,"Validé")</x:f>
        <x:v>0</x:v>
      </x:c>
      <x:c r="G25" s="40" t="n">
        <x:f>COUNTIFS('Armures_equipement'!$D$7:$D$7,"Établi")</x:f>
        <x:v>0</x:v>
      </x:c>
      <x:c r="H25" s="40" t="n">
        <x:f>COUNTIFS('Armures_equipement'!$D$7:$D$7,"À vérifier")</x:f>
        <x:v>0</x:v>
      </x:c>
      <x:c r="I25" s="40" t="n">
        <x:f>COUNTIFS('Armures_equipement'!$D$7:$D$7,"Extrapolation")</x:f>
        <x:v>1</x:v>
      </x:c>
      <x:c r="J25" s="40" t="n">
        <x:f>COUNTIFS('Armures_equipement'!$D$7:$D$7,"Coupé attesté")</x:f>
        <x:v>0</x:v>
      </x:c>
      <x:c r="K25" s="40" t="n">
        <x:f>COUNTIFS('Armures_equipement'!$D$7:$D$7,"Concept abandonné")</x:f>
        <x:v>0</x:v>
      </x:c>
      <x:c r="L25" s="40" t="n">
        <x:f>COUNTIFS('Armures_equipement'!$D$7:$D$7,"Allégation écartée")</x:f>
        <x:v>0</x:v>
      </x:c>
      <x:c r="M25" s="40" t="n">
        <x:f>COUNTIFS('Armures_equipement'!$E$7:$E$7,"P0")</x:f>
        <x:v>0</x:v>
      </x:c>
    </x:row>
    <x:row r="26" ht="22" customHeight="1">
      <x:c r="A26" s="35" t="str">
        <x:v>Pouvoirs</x:v>
      </x:c>
      <x:c r="B26" s="39" t="n">
        <x:f>COUNTA('Pouvoirs'!$A$7:$A$7)</x:f>
        <x:v>1</x:v>
      </x:c>
      <x:c r="C26" s="39" t="n">
        <x:f>COUNTIFS('Pouvoirs'!$C$7:$C$7,"Défini")</x:f>
        <x:v>1</x:v>
      </x:c>
      <x:c r="D26" s="39" t="n">
        <x:f>COUNTIFS('Pouvoirs'!$C$7:$C$7,"Prototype")</x:f>
        <x:v>0</x:v>
      </x:c>
      <x:c r="E26" s="39" t="n">
        <x:f>COUNTIFS('Pouvoirs'!$C$7:$C$7,"Intégré")</x:f>
        <x:v>0</x:v>
      </x:c>
      <x:c r="F26" s="39" t="n">
        <x:f>COUNTIFS('Pouvoirs'!$C$7:$C$7,"Validé")</x:f>
        <x:v>0</x:v>
      </x:c>
      <x:c r="G26" s="39" t="n">
        <x:f>COUNTIFS('Pouvoirs'!$D$7:$D$7,"Établi")</x:f>
        <x:v>0</x:v>
      </x:c>
      <x:c r="H26" s="39" t="n">
        <x:f>COUNTIFS('Pouvoirs'!$D$7:$D$7,"À vérifier")</x:f>
        <x:v>0</x:v>
      </x:c>
      <x:c r="I26" s="39" t="n">
        <x:f>COUNTIFS('Pouvoirs'!$D$7:$D$7,"Extrapolation")</x:f>
        <x:v>1</x:v>
      </x:c>
      <x:c r="J26" s="39" t="n">
        <x:f>COUNTIFS('Pouvoirs'!$D$7:$D$7,"Coupé attesté")</x:f>
        <x:v>0</x:v>
      </x:c>
      <x:c r="K26" s="39" t="n">
        <x:f>COUNTIFS('Pouvoirs'!$D$7:$D$7,"Concept abandonné")</x:f>
        <x:v>0</x:v>
      </x:c>
      <x:c r="L26" s="39" t="n">
        <x:f>COUNTIFS('Pouvoirs'!$D$7:$D$7,"Allégation écartée")</x:f>
        <x:v>0</x:v>
      </x:c>
      <x:c r="M26" s="39" t="n">
        <x:f>COUNTIFS('Pouvoirs'!$E$7:$E$7,"P0")</x:f>
        <x:v>0</x:v>
      </x:c>
    </x:row>
    <x:row r="27" ht="22" customHeight="1">
      <x:c r="A27" s="2" t="str">
        <x:v>Movesets alliés</x:v>
      </x:c>
      <x:c r="B27" s="40" t="n">
        <x:f>COUNTA('Movesets_allies'!$A$7:$A$8)</x:f>
        <x:v>2</x:v>
      </x:c>
      <x:c r="C27" s="40" t="n">
        <x:f>COUNTIFS('Movesets_allies'!$C$7:$C$8,"Défini")</x:f>
        <x:v>2</x:v>
      </x:c>
      <x:c r="D27" s="40" t="n">
        <x:f>COUNTIFS('Movesets_allies'!$C$7:$C$8,"Prototype")</x:f>
        <x:v>0</x:v>
      </x:c>
      <x:c r="E27" s="40" t="n">
        <x:f>COUNTIFS('Movesets_allies'!$C$7:$C$8,"Intégré")</x:f>
        <x:v>0</x:v>
      </x:c>
      <x:c r="F27" s="40" t="n">
        <x:f>COUNTIFS('Movesets_allies'!$C$7:$C$8,"Validé")</x:f>
        <x:v>0</x:v>
      </x:c>
      <x:c r="G27" s="40" t="n">
        <x:f>COUNTIFS('Movesets_allies'!$D$7:$D$8,"Établi")</x:f>
        <x:v>0</x:v>
      </x:c>
      <x:c r="H27" s="40" t="n">
        <x:f>COUNTIFS('Movesets_allies'!$D$7:$D$8,"À vérifier")</x:f>
        <x:v>0</x:v>
      </x:c>
      <x:c r="I27" s="40" t="n">
        <x:f>COUNTIFS('Movesets_allies'!$D$7:$D$8,"Extrapolation")</x:f>
        <x:v>2</x:v>
      </x:c>
      <x:c r="J27" s="40" t="n">
        <x:f>COUNTIFS('Movesets_allies'!$D$7:$D$8,"Coupé attesté")</x:f>
        <x:v>0</x:v>
      </x:c>
      <x:c r="K27" s="40" t="n">
        <x:f>COUNTIFS('Movesets_allies'!$D$7:$D$8,"Concept abandonné")</x:f>
        <x:v>0</x:v>
      </x:c>
      <x:c r="L27" s="40" t="n">
        <x:f>COUNTIFS('Movesets_allies'!$D$7:$D$8,"Allégation écartée")</x:f>
        <x:v>0</x:v>
      </x:c>
      <x:c r="M27" s="40" t="n">
        <x:f>COUNTIFS('Movesets_allies'!$E$7:$E$8,"P0")</x:f>
        <x:v>0</x:v>
      </x:c>
    </x:row>
    <x:row r="28" ht="22" customHeight="1">
      <x:c r="A28" s="35" t="str">
        <x:v>Movesets ennemis</x:v>
      </x:c>
      <x:c r="B28" s="39" t="n">
        <x:f>COUNTA('Movesets_ennemis'!$A$7:$A$10)</x:f>
        <x:v>4</x:v>
      </x:c>
      <x:c r="C28" s="39" t="n">
        <x:f>COUNTIFS('Movesets_ennemis'!$C$7:$C$10,"Défini")</x:f>
        <x:v>4</x:v>
      </x:c>
      <x:c r="D28" s="39" t="n">
        <x:f>COUNTIFS('Movesets_ennemis'!$C$7:$C$10,"Prototype")</x:f>
        <x:v>0</x:v>
      </x:c>
      <x:c r="E28" s="39" t="n">
        <x:f>COUNTIFS('Movesets_ennemis'!$C$7:$C$10,"Intégré")</x:f>
        <x:v>0</x:v>
      </x:c>
      <x:c r="F28" s="39" t="n">
        <x:f>COUNTIFS('Movesets_ennemis'!$C$7:$C$10,"Validé")</x:f>
        <x:v>0</x:v>
      </x:c>
      <x:c r="G28" s="39" t="n">
        <x:f>COUNTIFS('Movesets_ennemis'!$D$7:$D$10,"Établi")</x:f>
        <x:v>0</x:v>
      </x:c>
      <x:c r="H28" s="39" t="n">
        <x:f>COUNTIFS('Movesets_ennemis'!$D$7:$D$10,"À vérifier")</x:f>
        <x:v>0</x:v>
      </x:c>
      <x:c r="I28" s="39" t="n">
        <x:f>COUNTIFS('Movesets_ennemis'!$D$7:$D$10,"Extrapolation")</x:f>
        <x:v>4</x:v>
      </x:c>
      <x:c r="J28" s="39" t="n">
        <x:f>COUNTIFS('Movesets_ennemis'!$D$7:$D$10,"Coupé attesté")</x:f>
        <x:v>0</x:v>
      </x:c>
      <x:c r="K28" s="39" t="n">
        <x:f>COUNTIFS('Movesets_ennemis'!$D$7:$D$10,"Concept abandonné")</x:f>
        <x:v>0</x:v>
      </x:c>
      <x:c r="L28" s="39" t="n">
        <x:f>COUNTIFS('Movesets_ennemis'!$D$7:$D$10,"Allégation écartée")</x:f>
        <x:v>0</x:v>
      </x:c>
      <x:c r="M28" s="39" t="n">
        <x:f>COUNTIFS('Movesets_ennemis'!$E$7:$E$10,"P0")</x:f>
        <x:v>0</x:v>
      </x:c>
    </x:row>
    <x:row r="29" ht="22" customHeight="1">
      <x:c r="A29" s="2" t="str">
        <x:v>Animations</x:v>
      </x:c>
      <x:c r="B29" s="40" t="n">
        <x:f>COUNTA('Animations'!$A$7:$A$10)</x:f>
        <x:v>4</x:v>
      </x:c>
      <x:c r="C29" s="40" t="n">
        <x:f>COUNTIFS('Animations'!$C$7:$C$10,"Défini")</x:f>
        <x:v>4</x:v>
      </x:c>
      <x:c r="D29" s="40" t="n">
        <x:f>COUNTIFS('Animations'!$C$7:$C$10,"Prototype")</x:f>
        <x:v>0</x:v>
      </x:c>
      <x:c r="E29" s="40" t="n">
        <x:f>COUNTIFS('Animations'!$C$7:$C$10,"Intégré")</x:f>
        <x:v>0</x:v>
      </x:c>
      <x:c r="F29" s="40" t="n">
        <x:f>COUNTIFS('Animations'!$C$7:$C$10,"Validé")</x:f>
        <x:v>0</x:v>
      </x:c>
      <x:c r="G29" s="40" t="n">
        <x:f>COUNTIFS('Animations'!$D$7:$D$10,"Établi")</x:f>
        <x:v>0</x:v>
      </x:c>
      <x:c r="H29" s="40" t="n">
        <x:f>COUNTIFS('Animations'!$D$7:$D$10,"À vérifier")</x:f>
        <x:v>0</x:v>
      </x:c>
      <x:c r="I29" s="40" t="n">
        <x:f>COUNTIFS('Animations'!$D$7:$D$10,"Extrapolation")</x:f>
        <x:v>4</x:v>
      </x:c>
      <x:c r="J29" s="40" t="n">
        <x:f>COUNTIFS('Animations'!$D$7:$D$10,"Coupé attesté")</x:f>
        <x:v>0</x:v>
      </x:c>
      <x:c r="K29" s="40" t="n">
        <x:f>COUNTIFS('Animations'!$D$7:$D$10,"Concept abandonné")</x:f>
        <x:v>0</x:v>
      </x:c>
      <x:c r="L29" s="40" t="n">
        <x:f>COUNTIFS('Animations'!$D$7:$D$10,"Allégation écartée")</x:f>
        <x:v>0</x:v>
      </x:c>
      <x:c r="M29" s="40" t="n">
        <x:f>COUNTIFS('Animations'!$E$7:$E$10,"P0")</x:f>
        <x:v>0</x:v>
      </x:c>
    </x:row>
    <x:row r="30" ht="22" customHeight="1">
      <x:c r="A30" s="35" t="str">
        <x:v>Sprites</x:v>
      </x:c>
      <x:c r="B30" s="39" t="n">
        <x:f>COUNTA('Sprites'!$A$7:$A$10)</x:f>
        <x:v>4</x:v>
      </x:c>
      <x:c r="C30" s="39" t="n">
        <x:f>COUNTIFS('Sprites'!$C$7:$C$10,"Défini")</x:f>
        <x:v>4</x:v>
      </x:c>
      <x:c r="D30" s="39" t="n">
        <x:f>COUNTIFS('Sprites'!$C$7:$C$10,"Prototype")</x:f>
        <x:v>0</x:v>
      </x:c>
      <x:c r="E30" s="39" t="n">
        <x:f>COUNTIFS('Sprites'!$C$7:$C$10,"Intégré")</x:f>
        <x:v>0</x:v>
      </x:c>
      <x:c r="F30" s="39" t="n">
        <x:f>COUNTIFS('Sprites'!$C$7:$C$10,"Validé")</x:f>
        <x:v>0</x:v>
      </x:c>
      <x:c r="G30" s="39" t="n">
        <x:f>COUNTIFS('Sprites'!$D$7:$D$10,"Établi")</x:f>
        <x:v>0</x:v>
      </x:c>
      <x:c r="H30" s="39" t="n">
        <x:f>COUNTIFS('Sprites'!$D$7:$D$10,"À vérifier")</x:f>
        <x:v>0</x:v>
      </x:c>
      <x:c r="I30" s="39" t="n">
        <x:f>COUNTIFS('Sprites'!$D$7:$D$10,"Extrapolation")</x:f>
        <x:v>4</x:v>
      </x:c>
      <x:c r="J30" s="39" t="n">
        <x:f>COUNTIFS('Sprites'!$D$7:$D$10,"Coupé attesté")</x:f>
        <x:v>0</x:v>
      </x:c>
      <x:c r="K30" s="39" t="n">
        <x:f>COUNTIFS('Sprites'!$D$7:$D$10,"Concept abandonné")</x:f>
        <x:v>0</x:v>
      </x:c>
      <x:c r="L30" s="39" t="n">
        <x:f>COUNTIFS('Sprites'!$D$7:$D$10,"Allégation écartée")</x:f>
        <x:v>0</x:v>
      </x:c>
      <x:c r="M30" s="39" t="n">
        <x:f>COUNTIFS('Sprites'!$E$7:$E$10,"P0")</x:f>
        <x:v>0</x:v>
      </x:c>
    </x:row>
    <x:row r="31" ht="22" customHeight="1">
      <x:c r="A31" s="2" t="str">
        <x:v>VFX</x:v>
      </x:c>
      <x:c r="B31" s="40" t="n">
        <x:f>COUNTA('VFX'!$A$7:$A$10)</x:f>
        <x:v>4</x:v>
      </x:c>
      <x:c r="C31" s="40" t="n">
        <x:f>COUNTIFS('VFX'!$C$7:$C$10,"Défini")</x:f>
        <x:v>4</x:v>
      </x:c>
      <x:c r="D31" s="40" t="n">
        <x:f>COUNTIFS('VFX'!$C$7:$C$10,"Prototype")</x:f>
        <x:v>0</x:v>
      </x:c>
      <x:c r="E31" s="40" t="n">
        <x:f>COUNTIFS('VFX'!$C$7:$C$10,"Intégré")</x:f>
        <x:v>0</x:v>
      </x:c>
      <x:c r="F31" s="40" t="n">
        <x:f>COUNTIFS('VFX'!$C$7:$C$10,"Validé")</x:f>
        <x:v>0</x:v>
      </x:c>
      <x:c r="G31" s="40" t="n">
        <x:f>COUNTIFS('VFX'!$D$7:$D$10,"Établi")</x:f>
        <x:v>0</x:v>
      </x:c>
      <x:c r="H31" s="40" t="n">
        <x:f>COUNTIFS('VFX'!$D$7:$D$10,"À vérifier")</x:f>
        <x:v>0</x:v>
      </x:c>
      <x:c r="I31" s="40" t="n">
        <x:f>COUNTIFS('VFX'!$D$7:$D$10,"Extrapolation")</x:f>
        <x:v>4</x:v>
      </x:c>
      <x:c r="J31" s="40" t="n">
        <x:f>COUNTIFS('VFX'!$D$7:$D$10,"Coupé attesté")</x:f>
        <x:v>0</x:v>
      </x:c>
      <x:c r="K31" s="40" t="n">
        <x:f>COUNTIFS('VFX'!$D$7:$D$10,"Concept abandonné")</x:f>
        <x:v>0</x:v>
      </x:c>
      <x:c r="L31" s="40" t="n">
        <x:f>COUNTIFS('VFX'!$D$7:$D$10,"Allégation écartée")</x:f>
        <x:v>0</x:v>
      </x:c>
      <x:c r="M31" s="40" t="n">
        <x:f>COUNTIFS('VFX'!$E$7:$E$10,"P0")</x:f>
        <x:v>0</x:v>
      </x:c>
    </x:row>
    <x:row r="32" ht="22" customHeight="1">
      <x:c r="A32" s="35" t="str">
        <x:v>Audio</x:v>
      </x:c>
      <x:c r="B32" s="39" t="n">
        <x:f>COUNTA('Audio'!$A$7:$A$8)</x:f>
        <x:v>2</x:v>
      </x:c>
      <x:c r="C32" s="39" t="n">
        <x:f>COUNTIFS('Audio'!$C$7:$C$8,"Défini")</x:f>
        <x:v>2</x:v>
      </x:c>
      <x:c r="D32" s="39" t="n">
        <x:f>COUNTIFS('Audio'!$C$7:$C$8,"Prototype")</x:f>
        <x:v>0</x:v>
      </x:c>
      <x:c r="E32" s="39" t="n">
        <x:f>COUNTIFS('Audio'!$C$7:$C$8,"Intégré")</x:f>
        <x:v>0</x:v>
      </x:c>
      <x:c r="F32" s="39" t="n">
        <x:f>COUNTIFS('Audio'!$C$7:$C$8,"Validé")</x:f>
        <x:v>0</x:v>
      </x:c>
      <x:c r="G32" s="39" t="n">
        <x:f>COUNTIFS('Audio'!$D$7:$D$8,"Établi")</x:f>
        <x:v>0</x:v>
      </x:c>
      <x:c r="H32" s="39" t="n">
        <x:f>COUNTIFS('Audio'!$D$7:$D$8,"À vérifier")</x:f>
        <x:v>0</x:v>
      </x:c>
      <x:c r="I32" s="39" t="n">
        <x:f>COUNTIFS('Audio'!$D$7:$D$8,"Extrapolation")</x:f>
        <x:v>2</x:v>
      </x:c>
      <x:c r="J32" s="39" t="n">
        <x:f>COUNTIFS('Audio'!$D$7:$D$8,"Coupé attesté")</x:f>
        <x:v>0</x:v>
      </x:c>
      <x:c r="K32" s="39" t="n">
        <x:f>COUNTIFS('Audio'!$D$7:$D$8,"Concept abandonné")</x:f>
        <x:v>0</x:v>
      </x:c>
      <x:c r="L32" s="39" t="n">
        <x:f>COUNTIFS('Audio'!$D$7:$D$8,"Allégation écartée")</x:f>
        <x:v>0</x:v>
      </x:c>
      <x:c r="M32" s="39" t="n">
        <x:f>COUNTIFS('Audio'!$E$7:$E$8,"P0")</x:f>
        <x:v>0</x:v>
      </x:c>
    </x:row>
    <x:row r="33" ht="22" customHeight="1">
      <x:c r="A33" s="2" t="str">
        <x:v>Systèmes et UI</x:v>
      </x:c>
      <x:c r="B33" s="40" t="n">
        <x:f>COUNTA('UI_systemes'!$A$7:$A$10)</x:f>
        <x:v>4</x:v>
      </x:c>
      <x:c r="C33" s="40" t="n">
        <x:f>COUNTIFS('UI_systemes'!$C$7:$C$10,"Défini")</x:f>
        <x:v>4</x:v>
      </x:c>
      <x:c r="D33" s="40" t="n">
        <x:f>COUNTIFS('UI_systemes'!$C$7:$C$10,"Prototype")</x:f>
        <x:v>0</x:v>
      </x:c>
      <x:c r="E33" s="40" t="n">
        <x:f>COUNTIFS('UI_systemes'!$C$7:$C$10,"Intégré")</x:f>
        <x:v>0</x:v>
      </x:c>
      <x:c r="F33" s="40" t="n">
        <x:f>COUNTIFS('UI_systemes'!$C$7:$C$10,"Validé")</x:f>
        <x:v>0</x:v>
      </x:c>
      <x:c r="G33" s="40" t="n">
        <x:f>COUNTIFS('UI_systemes'!$D$7:$D$10,"Établi")</x:f>
        <x:v>0</x:v>
      </x:c>
      <x:c r="H33" s="40" t="n">
        <x:f>COUNTIFS('UI_systemes'!$D$7:$D$10,"À vérifier")</x:f>
        <x:v>0</x:v>
      </x:c>
      <x:c r="I33" s="40" t="n">
        <x:f>COUNTIFS('UI_systemes'!$D$7:$D$10,"Extrapolation")</x:f>
        <x:v>4</x:v>
      </x:c>
      <x:c r="J33" s="40" t="n">
        <x:f>COUNTIFS('UI_systemes'!$D$7:$D$10,"Coupé attesté")</x:f>
        <x:v>0</x:v>
      </x:c>
      <x:c r="K33" s="40" t="n">
        <x:f>COUNTIFS('UI_systemes'!$D$7:$D$10,"Concept abandonné")</x:f>
        <x:v>0</x:v>
      </x:c>
      <x:c r="L33" s="40" t="n">
        <x:f>COUNTIFS('UI_systemes'!$D$7:$D$10,"Allégation écartée")</x:f>
        <x:v>0</x:v>
      </x:c>
      <x:c r="M33" s="40" t="n">
        <x:f>COUNTIFS('UI_systemes'!$E$7:$E$10,"P0")</x:f>
        <x:v>0</x:v>
      </x:c>
    </x:row>
    <x:row r="34" ht="22" customHeight="1">
      <x:c r="A34" s="35" t="str">
        <x:v>QA</x:v>
      </x:c>
      <x:c r="B34" s="39" t="n">
        <x:f>COUNTA('QA'!$A$7:$A$13)</x:f>
        <x:v>7</x:v>
      </x:c>
      <x:c r="C34" s="39" t="n">
        <x:f>COUNTIFS('QA'!$C$7:$C$13,"Défini")</x:f>
        <x:v>7</x:v>
      </x:c>
      <x:c r="D34" s="39" t="n">
        <x:f>COUNTIFS('QA'!$C$7:$C$13,"Prototype")</x:f>
        <x:v>0</x:v>
      </x:c>
      <x:c r="E34" s="39" t="n">
        <x:f>COUNTIFS('QA'!$C$7:$C$13,"Intégré")</x:f>
        <x:v>0</x:v>
      </x:c>
      <x:c r="F34" s="39" t="n">
        <x:f>COUNTIFS('QA'!$C$7:$C$13,"Validé")</x:f>
        <x:v>0</x:v>
      </x:c>
      <x:c r="G34" s="39" t="n">
        <x:f>COUNTIFS('QA'!$D$7:$D$13,"Établi")</x:f>
        <x:v>0</x:v>
      </x:c>
      <x:c r="H34" s="39" t="n">
        <x:f>COUNTIFS('QA'!$D$7:$D$13,"À vérifier")</x:f>
        <x:v>0</x:v>
      </x:c>
      <x:c r="I34" s="39" t="n">
        <x:f>COUNTIFS('QA'!$D$7:$D$13,"Extrapolation")</x:f>
        <x:v>7</x:v>
      </x:c>
      <x:c r="J34" s="39" t="n">
        <x:f>COUNTIFS('QA'!$D$7:$D$13,"Coupé attesté")</x:f>
        <x:v>0</x:v>
      </x:c>
      <x:c r="K34" s="39" t="n">
        <x:f>COUNTIFS('QA'!$D$7:$D$13,"Concept abandonné")</x:f>
        <x:v>0</x:v>
      </x:c>
      <x:c r="L34" s="39" t="n">
        <x:f>COUNTIFS('QA'!$D$7:$D$13,"Allégation écartée")</x:f>
        <x:v>0</x:v>
      </x:c>
      <x:c r="M34" s="39" t="n">
        <x:f>COUNTIFS('QA'!$E$7:$E$13,"P0")</x:f>
        <x:v>7</x:v>
      </x:c>
    </x:row>
    <x:row r="35" ht="22" customHeight="1">
      <x:c r="A35" s="2" t="str">
        <x:v>Continuité</x:v>
      </x:c>
      <x:c r="B35" s="40" t="n">
        <x:f>COUNTA('Continuite'!$A$7:$A$8)</x:f>
        <x:v>2</x:v>
      </x:c>
      <x:c r="C35" s="40" t="n">
        <x:f>COUNTIFS('Continuite'!$C$7:$C$8,"Défini")</x:f>
        <x:v>2</x:v>
      </x:c>
      <x:c r="D35" s="40" t="n">
        <x:f>COUNTIFS('Continuite'!$C$7:$C$8,"Prototype")</x:f>
        <x:v>0</x:v>
      </x:c>
      <x:c r="E35" s="40" t="n">
        <x:f>COUNTIFS('Continuite'!$C$7:$C$8,"Intégré")</x:f>
        <x:v>0</x:v>
      </x:c>
      <x:c r="F35" s="40" t="n">
        <x:f>COUNTIFS('Continuite'!$C$7:$C$8,"Validé")</x:f>
        <x:v>0</x:v>
      </x:c>
      <x:c r="G35" s="40" t="n">
        <x:f>COUNTIFS('Continuite'!$D$7:$D$8,"Établi")</x:f>
        <x:v>0</x:v>
      </x:c>
      <x:c r="H35" s="40" t="n">
        <x:f>COUNTIFS('Continuite'!$D$7:$D$8,"À vérifier")</x:f>
        <x:v>0</x:v>
      </x:c>
      <x:c r="I35" s="40" t="n">
        <x:f>COUNTIFS('Continuite'!$D$7:$D$8,"Extrapolation")</x:f>
        <x:v>2</x:v>
      </x:c>
      <x:c r="J35" s="40" t="n">
        <x:f>COUNTIFS('Continuite'!$D$7:$D$8,"Coupé attesté")</x:f>
        <x:v>0</x:v>
      </x:c>
      <x:c r="K35" s="40" t="n">
        <x:f>COUNTIFS('Continuite'!$D$7:$D$8,"Concept abandonné")</x:f>
        <x:v>0</x:v>
      </x:c>
      <x:c r="L35" s="40" t="n">
        <x:f>COUNTIFS('Continuite'!$D$7:$D$8,"Allégation écartée")</x:f>
        <x:v>0</x:v>
      </x:c>
      <x:c r="M35" s="40" t="n">
        <x:f>COUNTIFS('Continuite'!$E$7:$E$8,"P0")</x:f>
        <x:v>0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23" t="str">
        <x:v>TOTAL</x:v>
      </x:c>
      <x:c r="B37" s="41" t="n">
        <x:f>SUM(B10:B35)</x:f>
        <x:v>82</x:v>
      </x:c>
      <x:c r="C37" s="41" t="n">
        <x:f>SUM(C10:C35)</x:f>
        <x:v>82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6</x:v>
      </x:c>
      <x:c r="H37" s="41" t="n">
        <x:f>SUM(H10:H35)</x:f>
        <x:v>9</x:v>
      </x:c>
      <x:c r="I37" s="41" t="n">
        <x:f>SUM(I10:I35)</x:f>
        <x:v>67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14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2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BLA-ACT-BLASTO</x:v>
      </x:c>
      <x:c r="B7" s="9" t="str">
        <x:v>Blasto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Blasto est le héros de la mission annoncée par l’éditeur.</x:v>
      </x:c>
      <x:c r="G7" s="9" t="str">
        <x:v>Héros de film au style exagéré; mobilité de tentacules lisible en sprite.</x:v>
      </x:c>
      <x:c r="H7" s="9" t="str">
        <x:v>Rôle narratif; aucune statistique officielle déduite.</x:v>
      </x:c>
      <x:c r="I7" s="9" t="str">
        <x:v>Direction proposée : Corps hanari flottant, tentacules espacés et accessoires d’action proposés; référence exacte à contrôler. Vérifier le costume sur l'édition autorisée avant peinture finale.</x:v>
      </x:c>
      <x:c r="J7" s="9" t="str">
        <x:v>Flottement, gestes multiples successifs plutôt que superposés, pose héroïque et immobilisation.</x:v>
      </x:c>
      <x:c r="K7" s="9" t="str">
        <x:v>Interprétation originale; sous-titres attribués au locuteur et aucune reprise des voix du jeu.</x:v>
      </x:c>
      <x:c r="L7" s="9" t="str">
        <x:v>Livrable proposé : spécification BLA/characters/act-blasto; brancher au registre de contenu de l'œuvre seulement après production.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Blasto possède une fiche de référence séparant rôle attesté, silhouette à contrôler et commandes proposées.</x:v>
      </x:c>
      <x:c r="O7" s="9" t="str"/>
      <x:c r="P7" s="9" t="str">
        <x:v>Blasto: Eternity is Forever, récit autonome</x:v>
      </x:c>
      <x:c r="Q7" s="9" t="str">
        <x:v>BLA-S-BOOK</x:v>
      </x:c>
      <x:c r="R7" s="20" t="str">
        <x:v>https://books.google.com/books?id=b3OjCgAAQBAJ</x:v>
      </x:c>
      <x:c r="S7" s="20" t="str">
        <x:v>Le rôle dans la source ne prouve ni recrutement jouable ni disponibilité permanente.</x:v>
      </x:c>
    </x:row>
    <x:row r="8" ht="68" customHeight="1">
      <x:c r="A8" s="19" t="str">
        <x:v>BLA-ACT-CERULEAN</x:v>
      </x:c>
      <x:c r="B8" s="7" t="str">
        <x:v>Cerulean Star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Cerulean Star accompagne Blasto dans la mission.</x:v>
      </x:c>
      <x:c r="G8" s="7" t="str">
        <x:v>Partenaire active; accès techniques et sauvetage de scène sans rôle purement décoratif.</x:v>
      </x:c>
      <x:c r="H8" s="7" t="str">
        <x:v>Rôle narratif; aucune statistique officielle déduite.</x:v>
      </x:c>
      <x:c r="I8" s="7" t="str">
        <x:v>Direction proposée : Asari de cinéma, costume fonctionnel et accents bleu profond à contrôler. Vérifier le costume sur l'édition autorisée avant peinture finale.</x:v>
      </x:c>
      <x:c r="J8" s="7" t="str">
        <x:v>Inspection de console, esquive, coup bref et reprise en garde.</x:v>
      </x:c>
      <x:c r="K8" s="7" t="str">
        <x:v>Interprétation originale; sous-titres attribués au locuteur et aucune reprise des voix du jeu.</x:v>
      </x:c>
      <x:c r="L8" s="7" t="str">
        <x:v>Livrable proposé : spécification BLA/characters/act-cerulean; brancher au registre de contenu de l'œuvre seulement après production.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Cerulean Star possède une fiche de référence séparant rôle attesté, silhouette à contrôler et commandes proposées.</x:v>
      </x:c>
      <x:c r="O8" s="7" t="str"/>
      <x:c r="P8" s="7" t="str">
        <x:v>Blasto: Eternity is Forever, récit autonome</x:v>
      </x:c>
      <x:c r="Q8" s="7" t="str">
        <x:v>BLA-S-BOOK</x:v>
      </x:c>
      <x:c r="R8" s="21" t="str">
        <x:v>https://books.google.com/books?id=b3OjCgAAQBAJ</x:v>
      </x:c>
      <x:c r="S8" s="21" t="str">
        <x:v>Le rôle dans la source ne prouve ni recrutement jouable ni disponibilité permanente.</x:v>
      </x:c>
    </x:row>
    <x:row r="9" ht="68" customHeight="1">
      <x:c r="A9" s="18" t="str">
        <x:v>BLA-ACT-KRONUS</x:v>
      </x:c>
      <x:c r="B9" s="9" t="str">
        <x:v>Kronus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Kronus est l’antagoniste scientifique du récit de film.</x:v>
      </x:c>
      <x:c r="G9" s="9" t="str">
        <x:v>Boss local de mise en scène; arrogance et dispositif à contre-mesures.</x:v>
      </x:c>
      <x:c r="H9" s="9" t="str">
        <x:v>Rôle narratif; aucune statistique officielle déduite.</x:v>
      </x:c>
      <x:c r="I9" s="9" t="str">
        <x:v>Direction proposée : Krogan avec équipement de contrôle à vérifier; silhouette massive et geste ample. Vérifier le costume sur l'édition autorisée avant peinture finale.</x:v>
      </x:c>
      <x:c r="J9" s="9" t="str">
        <x:v>Présentation, activation d’un dispositif et recul théâtral.</x:v>
      </x:c>
      <x:c r="K9" s="9" t="str">
        <x:v>Interprétation originale; sous-titres attribués au locuteur et aucune reprise des voix du jeu.</x:v>
      </x:c>
      <x:c r="L9" s="9" t="str">
        <x:v>Livrable proposé : spécification BLA/characters/act-kronus; brancher au registre de contenu de l'œuvre seulement après production.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Kronus possède une fiche de référence séparant rôle attesté, silhouette à contrôler et commandes proposées.</x:v>
      </x:c>
      <x:c r="O9" s="9" t="str"/>
      <x:c r="P9" s="9" t="str">
        <x:v>Blasto: Eternity is Forever, récit autonome</x:v>
      </x:c>
      <x:c r="Q9" s="9" t="str">
        <x:v>BLA-S-WIKI</x:v>
      </x:c>
      <x:c r="R9" s="20" t="str">
        <x:v>https://masseffect.fandom.com/wiki/Mass_Effect%3A_Blasto%3A_Eternity_is_Forever</x:v>
      </x:c>
      <x:c r="S9" s="20" t="str">
        <x:v>Le rôle dans la source ne prouve ni recrutement jouable ni disponibilité permanente.</x:v>
      </x:c>
    </x:row>
  </x:sheetData>
  <x:conditionalFormatting sqref="D7:D9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9">
    <x:cfRule type="cellIs" dxfId="2" priority="3" operator="equal">
      <x:formula>"Validé"</x:formula>
    </x:cfRule>
  </x:conditionalFormatting>
  <x:conditionalFormatting sqref="E7:E9">
    <x:cfRule type="cellIs" dxfId="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e434d9cb7041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2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BLA-ACT-HANDLER</x:v>
      </x:c>
      <x:c r="B7" s="9" t="str">
        <x:v>Interlocuteur turien de Blasto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Le wiki décrit un donneur de mission turien.</x:v>
      </x:c>
      <x:c r="G7" s="9" t="str">
        <x:v>Briefing de cinéma; aucun nom propre inventé.</x:v>
      </x:c>
      <x:c r="H7" s="9" t="str">
        <x:v>Rôle narratif; aucune statistique officielle déduite.</x:v>
      </x:c>
      <x:c r="I7" s="9" t="str">
        <x:v>Direction proposée : Tenue institutionnelle stylisée et fond de bureau dépouillé. Vérifier le costume sur l'édition autorisée avant peinture finale.</x:v>
      </x:c>
      <x:c r="J7" s="9" t="str">
        <x:v>Remise de dossier et geste de conclusion.</x:v>
      </x:c>
      <x:c r="K7" s="9" t="str">
        <x:v>Interprétation originale; sous-titres attribués au locuteur et aucune reprise des voix du jeu.</x:v>
      </x:c>
      <x:c r="L7" s="9" t="str">
        <x:v>Livrable proposé : spécification BLA/npcs/act-handler; brancher au registre de contenu de l'œuvre seulement après production.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Interlocuteur turien de Blasto possède une fiche de référence séparant rôle attesté, silhouette à contrôler et commandes proposées.</x:v>
      </x:c>
      <x:c r="O7" s="9" t="str"/>
      <x:c r="P7" s="9" t="str">
        <x:v>Blasto: Eternity is Forever, récit autonome</x:v>
      </x:c>
      <x:c r="Q7" s="9" t="str">
        <x:v>BLA-S-WIKI</x:v>
      </x:c>
      <x:c r="R7" s="20" t="str">
        <x:v>https://masseffect.fandom.com/wiki/Mass_Effect%3A_Blasto%3A_Eternity_is_Forever</x:v>
      </x:c>
      <x:c r="S7" s="20" t="str">
        <x:v>Le rôle dans la source ne prouve ni recrutement jouable ni disponibilité permanente.</x:v>
      </x:c>
    </x:row>
  </x:sheetData>
  <x:conditionalFormatting sqref="D7:D7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7">
    <x:cfRule type="cellIs" dxfId="6" priority="3" operator="equal">
      <x:formula>"Validé"</x:formula>
    </x:cfRule>
  </x:conditionalFormatting>
  <x:conditionalFormatting sqref="E7:E7">
    <x:cfRule type="cellIs" dxfId="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28e51b47f4e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2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BLA-REF-SCOPE</x:v>
      </x:c>
      <x:c r="B7" s="9" t="str">
        <x:v>Blasto et Cerulean Star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La notice éditeur présente Blasto en mission sur Virmire avec Cerulean Star.</x:v>
      </x:c>
      <x:c r="G7" s="9" t="str">
        <x:v>Conserver cet ancrage dans les données éditoriales; les variantes de jeu restent dans un espace séparé.</x:v>
      </x:c>
      <x:c r="H7" s="9" t="str"/>
      <x:c r="I7" s="9" t="str"/>
      <x:c r="J7" s="9" t="str"/>
      <x:c r="K7" s="9" t="str"/>
      <x:c r="L7" s="9" t="str">
        <x:v>Livrable proposé : spécification BLA/lore/ref-scope; brancher au registre de contenu de l'œuvre seulement après production.</x:v>
      </x:c>
      <x:c r="M7" s="9" t="str">
        <x:v>Vérifier toute précision non contenue dans cette notice avant de la déclarer canon.</x:v>
      </x:c>
      <x:c r="N7" s="9" t="str">
        <x:v>Le dossier cite la source BOOK et distingue cette information de toute règle de gameplay.</x:v>
      </x:c>
      <x:c r="O7" s="9" t="str"/>
      <x:c r="P7" s="9" t="str">
        <x:v>Blasto: Eternity is Forever, récit autonome</x:v>
      </x:c>
      <x:c r="Q7" s="9" t="str">
        <x:v>BLA-S-BOOK</x:v>
      </x:c>
      <x:c r="R7" s="20" t="str">
        <x:v>https://books.google.com/books?id=b3OjCgAAQBAJ</x:v>
      </x:c>
      <x:c r="S7" s="20" t="str">
        <x:v>Fait résumé brièvement; aucun dialogue ni découpage intégral du comic reproduit.</x:v>
      </x:c>
    </x:row>
    <x:row r="8" ht="54" customHeight="1">
      <x:c r="A8" s="19" t="str">
        <x:v>BLA-REF-FICTION</x:v>
      </x:c>
      <x:c r="B8" s="7" t="str">
        <x:v>Fiction à l’intérieur de l’univers</x:v>
      </x:c>
      <x:c r="C8" s="15" t="str">
        <x:v>Défini</x:v>
      </x:c>
      <x:c r="D8" s="17" t="str">
        <x:v>À vérifier</x:v>
      </x:c>
      <x:c r="E8" s="17" t="str">
        <x:v>P0</x:v>
      </x:c>
      <x:c r="F8" s="7" t="str">
        <x:v>Le wiki identifie Blasto comme un hanari Spectre fictif des films de l’univers.</x:v>
      </x:c>
      <x:c r="G8" s="7" t="str">
        <x:v>Écran d’ouverture, journal et menus conservent le label film.</x:v>
      </x:c>
      <x:c r="H8" s="7" t="str"/>
      <x:c r="I8" s="7" t="str"/>
      <x:c r="J8" s="7" t="str"/>
      <x:c r="K8" s="7" t="str"/>
      <x:c r="L8" s="7" t="str">
        <x:v>Livrable proposé : spécification BLA/lore/ref-fiction; brancher au registre de contenu de l'œuvre seulement après production.</x:v>
      </x:c>
      <x:c r="M8" s="7" t="str">
        <x:v>Vérifier toute précision non contenue dans cette notice avant de la déclarer canon.</x:v>
      </x:c>
      <x:c r="N8" s="7" t="str">
        <x:v>Le dossier cite la source WIKI et distingue cette information de toute règle de gameplay.</x:v>
      </x:c>
      <x:c r="O8" s="7" t="str"/>
      <x:c r="P8" s="7" t="str">
        <x:v>Blasto: Eternity is Forever, récit autonome</x:v>
      </x:c>
      <x:c r="Q8" s="7" t="str">
        <x:v>BLA-S-WIKI</x:v>
      </x:c>
      <x:c r="R8" s="21" t="str">
        <x:v>https://masseffect.fandom.com/wiki/Mass_Effect%3A_Blasto%3A_Eternity_is_Forever</x:v>
      </x:c>
      <x:c r="S8" s="21" t="str">
        <x:v>Fait résumé brièvement; aucun dialogue ni découpage intégral du comic reproduit.</x:v>
      </x:c>
    </x:row>
    <x:row r="9" ht="54" customHeight="1">
      <x:c r="A9" s="18" t="str">
        <x:v>BLA-REF-KRONUS</x:v>
      </x:c>
      <x:c r="B9" s="9" t="str">
        <x:v>Antagoniste du film</x:v>
      </x:c>
      <x:c r="C9" s="15" t="str">
        <x:v>Défini</x:v>
      </x:c>
      <x:c r="D9" s="16" t="str">
        <x:v>À vérifier</x:v>
      </x:c>
      <x:c r="E9" s="16" t="str">
        <x:v>P0</x:v>
      </x:c>
      <x:c r="F9" s="9" t="str">
        <x:v>Le wiki décrit Kronus, scientifique krogan associé à un dispositif temporel.</x:v>
      </x:c>
      <x:c r="G9" s="9" t="str">
        <x:v>Limiter cette technologie aux règles de cette fiction et du prototype.</x:v>
      </x:c>
      <x:c r="H9" s="9" t="str"/>
      <x:c r="I9" s="9" t="str"/>
      <x:c r="J9" s="9" t="str"/>
      <x:c r="K9" s="9" t="str"/>
      <x:c r="L9" s="9" t="str">
        <x:v>Livrable proposé : spécification BLA/lore/ref-kronus; brancher au registre de contenu de l'œuvre seulement après production.</x:v>
      </x:c>
      <x:c r="M9" s="9" t="str">
        <x:v>Vérifier toute précision non contenue dans cette notice avant de la déclarer canon.</x:v>
      </x:c>
      <x:c r="N9" s="9" t="str">
        <x:v>Le dossier cite la source WIKI et distingue cette information de toute règle de gameplay.</x:v>
      </x:c>
      <x:c r="O9" s="9" t="str"/>
      <x:c r="P9" s="9" t="str">
        <x:v>Blasto: Eternity is Forever, récit autonome</x:v>
      </x:c>
      <x:c r="Q9" s="9" t="str">
        <x:v>BLA-S-WIKI</x:v>
      </x:c>
      <x:c r="R9" s="20" t="str">
        <x:v>https://masseffect.fandom.com/wiki/Mass_Effect%3A_Blasto%3A_Eternity_is_Forever</x:v>
      </x:c>
      <x:c r="S9" s="20" t="str">
        <x:v>Fait résumé brièvement; aucun dialogue ni découpage intégral du comic reproduit.</x:v>
      </x:c>
    </x:row>
    <x:row r="10" ht="54" customHeight="1">
      <x:c r="A10" s="19" t="str">
        <x:v>BLA-SC-BRIEF-REF</x:v>
      </x:c>
      <x:c r="B10" s="7" t="str">
        <x:v>Briefing du duo de cinéma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La mission annoncée réunit Blasto et Cerulean Star. </x:v>
      </x:c>
      <x:c r="G10" s="7" t="str">
        <x:v>Ancrage du module; les intitulés de quêtes et options ci-dessous sont des créations de production.</x:v>
      </x:c>
      <x:c r="H10" s="7" t="str"/>
      <x:c r="I10" s="7" t="str"/>
      <x:c r="J10" s="7" t="str"/>
      <x:c r="K10" s="7" t="str"/>
      <x:c r="L10" s="7" t="str">
        <x:v>Livrable proposé : spécification BLA/lore/sc-brief-ref; brancher au registre de contenu de l'œuvre seulement après production.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L’ancrage reste bref et son numéro/segment est identifiable dans les sources; les détails non confirmés portent À vérifier.</x:v>
      </x:c>
      <x:c r="O10" s="7" t="str"/>
      <x:c r="P10" s="7" t="str">
        <x:v>Blasto: Eternity is Forever, récit autonome</x:v>
      </x:c>
      <x:c r="Q10" s="7" t="str">
        <x:v>BLA-S-BOOK</x:v>
      </x:c>
      <x:c r="R10" s="21" t="str">
        <x:v>https://books.google.com/books?id=b3OjCgAAQBAJ</x:v>
      </x:c>
      <x:c r="S10" s="21" t="str">
        <x:v>Ne remplace pas la lecture du numéro.</x:v>
      </x:c>
    </x:row>
    <x:row r="11" ht="54" customHeight="1">
      <x:c r="A11" s="18" t="str">
        <x:v>BLA-SC-ISLAND-REF</x:v>
      </x:c>
      <x:c r="B11" s="9" t="str">
        <x:v>Approche de l’installation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Le duo de film se rend sur Virmire. </x:v>
      </x:c>
      <x:c r="G11" s="9" t="str">
        <x:v>Ancrage du module; les intitulés de quêtes et options ci-dessous sont des créations de production.</x:v>
      </x:c>
      <x:c r="H11" s="9" t="str"/>
      <x:c r="I11" s="9" t="str"/>
      <x:c r="J11" s="9" t="str"/>
      <x:c r="K11" s="9" t="str"/>
      <x:c r="L11" s="9" t="str">
        <x:v>Livrable proposé : spécification BLA/lore/sc-island-ref; brancher au registre de contenu de l'œuvre seulement après production.</x:v>
      </x:c>
      <x:c r="M11" s="9" t="str">
        <x:v>Conserver un marquage permanent de fiction diégétique. Les objets, statistiques et effets du film ne sont pas exportables vers la campagne principale.</x:v>
      </x:c>
      <x:c r="N11" s="9" t="str">
        <x:v>L’ancrage reste bref et son numéro/segment est identifiable dans les sources; les détails non confirmés portent À vérifier.</x:v>
      </x:c>
      <x:c r="O11" s="9" t="str"/>
      <x:c r="P11" s="9" t="str">
        <x:v>Blasto: Eternity is Forever, récit autonome</x:v>
      </x:c>
      <x:c r="Q11" s="9" t="str">
        <x:v>BLA-S-BOOK</x:v>
      </x:c>
      <x:c r="R11" s="20" t="str">
        <x:v>https://books.google.com/books?id=b3OjCgAAQBAJ</x:v>
      </x:c>
      <x:c r="S11" s="20" t="str">
        <x:v>Ne remplace pas la lecture du numéro.</x:v>
      </x:c>
    </x:row>
    <x:row r="12" ht="54" customHeight="1">
      <x:c r="A12" s="19" t="str">
        <x:v>BLA-SC-TIME-REF</x:v>
      </x:c>
      <x:c r="B12" s="7" t="str">
        <x:v>Dispositif temporel de film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Le récit de film rapporte une immobilisation de Blasto liée au dispositif de Kronus. </x:v>
      </x:c>
      <x:c r="G12" s="7" t="str">
        <x:v>Ancrage du module; les intitulés de quêtes et options ci-dessous sont des créations de production.</x:v>
      </x:c>
      <x:c r="H12" s="7" t="str"/>
      <x:c r="I12" s="7" t="str"/>
      <x:c r="J12" s="7" t="str"/>
      <x:c r="K12" s="7" t="str"/>
      <x:c r="L12" s="7" t="str">
        <x:v>Livrable proposé : spécification BLA/lore/sc-time-ref; brancher au registre de contenu de l'œuvre seulement après production.</x:v>
      </x:c>
      <x:c r="M12" s="7" t="str">
        <x:v>Conserver un marquage permanent de fiction diégétique. Les objets, statistiques et effets du film ne sont pas exportables vers la campagne principale.</x:v>
      </x:c>
      <x:c r="N12" s="7" t="str">
        <x:v>L’ancrage reste bref et son numéro/segment est identifiable dans les sources; les détails non confirmés portent À vérifier.</x:v>
      </x:c>
      <x:c r="O12" s="7" t="str"/>
      <x:c r="P12" s="7" t="str">
        <x:v>Blasto: Eternity is Forever, récit autonome</x:v>
      </x:c>
      <x:c r="Q12" s="7" t="str">
        <x:v>BLA-S-WIKI</x:v>
      </x:c>
      <x:c r="R12" s="21" t="str">
        <x:v>https://masseffect.fandom.com/wiki/Mass_Effect%3A_Blasto%3A_Eternity_is_Forever</x:v>
      </x:c>
      <x:c r="S12" s="21" t="str">
        <x:v>Ne remplace pas la lecture du numéro.</x:v>
      </x:c>
    </x:row>
    <x:row r="13" ht="54" customHeight="1">
      <x:c r="A13" s="18" t="str">
        <x:v>BLA-SC-ESCAPE-REF</x:v>
      </x:c>
      <x:c r="B13" s="9" t="str">
        <x:v>Sortie de film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Le récit rapporté se termine par la fuite du duo hors de l’installation. </x:v>
      </x:c>
      <x:c r="G13" s="9" t="str">
        <x:v>Ancrage du module; les intitulés de quêtes et options ci-dessous sont des créations de production.</x:v>
      </x:c>
      <x:c r="H13" s="9" t="str"/>
      <x:c r="I13" s="9" t="str"/>
      <x:c r="J13" s="9" t="str"/>
      <x:c r="K13" s="9" t="str"/>
      <x:c r="L13" s="9" t="str">
        <x:v>Livrable proposé : spécification BLA/lore/sc-escape-ref; brancher au registre de contenu de l'œuvre seulement après production.</x:v>
      </x:c>
      <x:c r="M13" s="9" t="str">
        <x:v>Conserver un marquage permanent de fiction diégétique. Les objets, statistiques et effets du film ne sont pas exportables vers la campagne principale.</x:v>
      </x:c>
      <x:c r="N13" s="9" t="str">
        <x:v>L’ancrage reste bref et son numéro/segment est identifiable dans les sources; les détails non confirmés portent À vérifier.</x:v>
      </x:c>
      <x:c r="O13" s="9" t="str"/>
      <x:c r="P13" s="9" t="str">
        <x:v>Blasto: Eternity is Forever, récit autonome</x:v>
      </x:c>
      <x:c r="Q13" s="9" t="str">
        <x:v>BLA-S-WIKI</x:v>
      </x:c>
      <x:c r="R13" s="20" t="str">
        <x:v>https://masseffect.fandom.com/wiki/Mass_Effect%3A_Blasto%3A_Eternity_is_Forever</x:v>
      </x:c>
      <x:c r="S13" s="20" t="str">
        <x:v>Ne remplace pas la lecture du numéro.</x:v>
      </x:c>
    </x:row>
  </x:sheetData>
  <x:conditionalFormatting sqref="D7:D13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13">
    <x:cfRule type="cellIs" dxfId="10" priority="3" operator="equal">
      <x:formula>"Validé"</x:formula>
    </x:cfRule>
  </x:conditionalFormatting>
  <x:conditionalFormatting sqref="E7:E13">
    <x:cfRule type="cellIs" dxfId="11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b344ac60414e7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2" hidden="0" customWidth="1"/>
    <x:col min="19" max="19" width="9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BLA-WRL-CITADEL</x:v>
      </x:c>
      <x:c r="B7" s="9" t="str">
        <x:v>Citadelle de cinéma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Le récit rapporté place le briefing de Blasto sur la Citadelle.</x:v>
      </x:c>
      <x:c r="G7" s="9" t="str">
        <x:v>Décor de film volontairement stylisé.</x:v>
      </x:c>
      <x:c r="H7" s="9" t="str"/>
      <x:c r="I7" s="9" t="str">
        <x:v>Lignes élégantes, éclairage accentué et arrière-plan peu chargé.</x:v>
      </x:c>
      <x:c r="J7" s="9" t="str"/>
      <x:c r="K7" s="9" t="str"/>
      <x:c r="L7" s="9" t="str">
        <x:v>Livrable proposé : spécification BLA/worlds/wrl-citadel; brancher au registre de contenu de l'œuvre seulement après production.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nom Citadelle de cinéma et sa fonction sont sourcés; les dimensions, chemins et interactions restent explicitement proposés.</x:v>
      </x:c>
      <x:c r="O7" s="9" t="str"/>
      <x:c r="P7" s="9" t="str">
        <x:v>Blasto: Eternity is Forever, récit autonome</x:v>
      </x:c>
      <x:c r="Q7" s="9" t="str">
        <x:v>BLA-S-WIKI</x:v>
      </x:c>
      <x:c r="R7" s="20" t="str">
        <x:v>https://masseffect.fandom.com/wiki/Mass_Effect%3A_Blasto%3A_Eternity_is_Forever</x:v>
      </x:c>
      <x:c r="S7" s="20" t="str">
        <x:v>La géométrie jouable ci-dessous est originale et ne prétend pas reconstituer une carte officielle.</x:v>
      </x:c>
    </x:row>
    <x:row r="8" ht="54" customHeight="1">
      <x:c r="A8" s="19" t="str">
        <x:v>BLA-WRL-VIRMIRE</x:v>
      </x:c>
      <x:c r="B8" s="7" t="str">
        <x:v>Virmire de cinéma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L’éditeur situe la mission du duo sur Virmire.</x:v>
      </x:c>
      <x:c r="G8" s="7" t="str">
        <x:v>Île et installation de film, séparées du Virmire de la campagne.</x:v>
      </x:c>
      <x:c r="H8" s="7" t="str"/>
      <x:c r="I8" s="7" t="str">
        <x:v>Tropical stylisé, métal brillant et lumière très contrastée.</x:v>
      </x:c>
      <x:c r="J8" s="7" t="str"/>
      <x:c r="K8" s="7" t="str"/>
      <x:c r="L8" s="7" t="str">
        <x:v>Livrable proposé : spécification BLA/worlds/wrl-virmire; brancher au registre de contenu de l'œuvre seulement après production.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nom Virmire de cinéma et sa fonction sont sourcés; les dimensions, chemins et interactions restent explicitement proposés.</x:v>
      </x:c>
      <x:c r="O8" s="7" t="str"/>
      <x:c r="P8" s="7" t="str">
        <x:v>Blasto: Eternity is Forever, récit autonome</x:v>
      </x:c>
      <x:c r="Q8" s="7" t="str">
        <x:v>BLA-S-BOOK</x:v>
      </x:c>
      <x:c r="R8" s="21" t="str">
        <x:v>https://books.google.com/books?id=b3OjCgAAQBAJ</x:v>
      </x:c>
      <x:c r="S8" s="21" t="str">
        <x:v>La géométrie jouable ci-dessous est originale et ne prétend pas reconstituer une carte officielle.</x:v>
      </x:c>
    </x:row>
  </x:sheetData>
  <x:conditionalFormatting sqref="D7:D8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8">
    <x:cfRule type="cellIs" dxfId="14" priority="3" operator="equal">
      <x:formula>"Validé"</x:formula>
    </x:cfRule>
  </x:conditionalFormatting>
  <x:conditionalFormatting sqref="E7:E8">
    <x:cfRule type="cellIs" dxfId="1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3283ddf4f468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BLA-ZONE-CITADEL</x:v>
      </x:c>
      <x:c r="B7" s="9" t="str">
        <x:v>Citadelle de cinéma — espace jouable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Bureau compact et sortie unique vers le carton de mission.</x:v>
      </x:c>
      <x:c r="G7" s="9" t="str">
        <x:v>Décor de film volontairement stylisé.</x:v>
      </x:c>
      <x:c r="H7" s="9" t="str">
        <x:v>Pas de combat obligatoire dans le bureau.</x:v>
      </x:c>
      <x:c r="I7" s="9" t="str">
        <x:v>Lignes élégantes, éclairage accentué et arrière-plan peu chargé.</x:v>
      </x:c>
      <x:c r="J7" s="9" t="str">
        <x:v>Garder les trajectoires de sprites sur le sol navigable; traversées de premier plan traitées par masques.</x:v>
      </x:c>
      <x:c r="K7" s="9" t="str"/>
      <x:c r="L7" s="9" t="str">
        <x:v>Scène 3D prévue bla/zones/citadel; volumes de navigation, ancrages d'actions et caméras fixes séparés.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blocage de Citadelle de cinéma permet un parcours aller-retour sans caméra aveugle; chaque danger annoncé possède une sortie lisible.</x:v>
      </x:c>
      <x:c r="O7" s="9" t="str">
        <x:v>BLA-WRL-CITADEL</x:v>
      </x:c>
      <x:c r="P7" s="9" t="str">
        <x:v>Plan original, dimensions à prototyper.</x:v>
      </x:c>
      <x:c r="Q7" s="9" t="str"/>
      <x:c r="R7" s="20" t="str"/>
      <x:c r="S7" s="20" t="str"/>
    </x:row>
    <x:row r="8" ht="54" customHeight="1">
      <x:c r="A8" s="19" t="str">
        <x:v>BLA-ZONE-VIRMIRE</x:v>
      </x:c>
      <x:c r="B8" s="7" t="str">
        <x:v>Virmire de cinéma — espace jouable proposé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Approche d’île, couloir de laboratoire, salle de dispositif et sortie littorale.</x:v>
      </x:c>
      <x:c r="G8" s="7" t="str">
        <x:v>Île et installation de film, séparées du Virmire de la campagne.</x:v>
      </x:c>
      <x:c r="H8" s="7" t="str">
        <x:v>Dispositif temporel local et compte à rebours de spectacle avec pause accessible.</x:v>
      </x:c>
      <x:c r="I8" s="7" t="str">
        <x:v>Tropical stylisé, métal brillant et lumière très contrastée.</x:v>
      </x:c>
      <x:c r="J8" s="7" t="str">
        <x:v>Garder les trajectoires de sprites sur le sol navigable; traversées de premier plan traitées par masques.</x:v>
      </x:c>
      <x:c r="K8" s="7" t="str"/>
      <x:c r="L8" s="7" t="str">
        <x:v>Scène 3D prévue bla/zones/virmire; volumes de navigation, ancrages d'actions et caméras fixes séparés.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blocage de Virmire de cinéma permet un parcours aller-retour sans caméra aveugle; chaque danger annoncé possède une sortie lisible.</x:v>
      </x:c>
      <x:c r="O8" s="7" t="str">
        <x:v>BLA-WRL-VIRMIRE</x:v>
      </x:c>
      <x:c r="P8" s="7" t="str">
        <x:v>Plan original, dimensions à prototyper.</x:v>
      </x:c>
      <x:c r="Q8" s="7" t="str"/>
      <x:c r="R8" s="21" t="str"/>
      <x:c r="S8" s="21" t="str"/>
    </x:row>
  </x:sheetData>
  <x:conditionalFormatting sqref="D7:D8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8">
    <x:cfRule type="cellIs" dxfId="18" priority="3" operator="equal">
      <x:formula>"Validé"</x:formula>
    </x:cfRule>
  </x:conditionalFormatting>
  <x:conditionalFormatting sqref="E7:E8">
    <x:cfRule type="cellIs" dxfId="1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28222557aa424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BLA-LINK-CITADEL</x:v>
      </x:c>
      <x:c r="B7" s="9" t="str">
        <x:v>Citadelle de cinéma — accès et sortie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Briefing → voyage elliptique; aucune carte de la Citadelle réelle déduite.</x:v>
      </x:c>
      <x:c r="G7" s="9" t="str">
        <x:v>Conserver les raccords nécessaires au parcours sans inventer une route galactique officielle.</x:v>
      </x:c>
      <x:c r="H7" s="9" t="str">
        <x:v>Prévisualiser la destination; déclenchement sur confirmation hors combat; conserver objectifs et objets de mission au retour.</x:v>
      </x:c>
      <x:c r="I7" s="9" t="str">
        <x:v>Marquage de direction doublé d’un nom de destination; pas de code fondé sur une seule couleur.</x:v>
      </x:c>
      <x:c r="J7" s="9" t="str"/>
      <x:c r="K7" s="9" t="str"/>
      <x:c r="L7" s="9" t="str">
        <x:v>Liaison proposée BLA/CITADEL; sauvegarder zone, point d'entrée et version de chapitre.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Entrer, ressortir et recharger au seuil restitue le même état du chapitre; aucun accès ne court-circuite sa conclusion fixée.</x:v>
      </x:c>
      <x:c r="O7" s="9" t="str">
        <x:v>BLA-ZONE-CITADEL</x:v>
      </x:c>
      <x:c r="P7" s="9" t="str">
        <x:v>Raccord de gameplay original; ordre narratif selon les ancrages sourcés.</x:v>
      </x:c>
      <x:c r="Q7" s="9" t="str"/>
      <x:c r="R7" s="20" t="str"/>
      <x:c r="S7" s="20" t="str"/>
    </x:row>
    <x:row r="8" ht="54" customHeight="1">
      <x:c r="A8" s="19" t="str">
        <x:v>BLA-LINK-VIRMIRE</x:v>
      </x:c>
      <x:c r="B8" s="7" t="str">
        <x:v>Virmire de cinéma — accès et sortie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Transitions en cartons de film; aucune confirmation de l’état réel de la planète.</x:v>
      </x:c>
      <x:c r="G8" s="7" t="str">
        <x:v>Conserver les raccords nécessaires au parcours sans inventer une route galactique officielle.</x:v>
      </x:c>
      <x:c r="H8" s="7" t="str">
        <x:v>Prévisualiser la destination; déclenchement sur confirmation hors combat; conserver objectifs et objets de mission au retour.</x:v>
      </x:c>
      <x:c r="I8" s="7" t="str">
        <x:v>Marquage de direction doublé d’un nom de destination; pas de code fondé sur une seule couleur.</x:v>
      </x:c>
      <x:c r="J8" s="7" t="str"/>
      <x:c r="K8" s="7" t="str"/>
      <x:c r="L8" s="7" t="str">
        <x:v>Liaison proposée BLA/VIRMIRE; sauvegarder zone, point d'entrée et version de chapitre.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Entrer, ressortir et recharger au seuil restitue le même état du chapitre; aucun accès ne court-circuite sa conclusion fixée.</x:v>
      </x:c>
      <x:c r="O8" s="7" t="str">
        <x:v>BLA-ZONE-VIRMIRE</x:v>
      </x:c>
      <x:c r="P8" s="7" t="str">
        <x:v>Raccord de gameplay original; ordre narratif selon les ancrages sourcés.</x:v>
      </x:c>
      <x:c r="Q8" s="7" t="str"/>
      <x:c r="R8" s="21" t="str"/>
      <x:c r="S8" s="21" t="str"/>
    </x:row>
  </x:sheetData>
  <x:conditionalFormatting sqref="D7:D8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8">
    <x:cfRule type="cellIs" dxfId="22" priority="3" operator="equal">
      <x:formula>"Validé"</x:formula>
    </x:cfRule>
  </x:conditionalFormatting>
  <x:conditionalFormatting sqref="E7:E8">
    <x:cfRule type="cellIs" dxfId="2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3034a89974f9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BLA-SET-CITADEL</x:v>
      </x:c>
      <x:c r="B7" s="9" t="str">
        <x:v>Citadelle de cinéma — décor et repère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Grande baie symbolique de la station.</x:v>
      </x:c>
      <x:c r="G7" s="9" t="str">
        <x:v>Décor de film volontairement stylisé.</x:v>
      </x:c>
      <x:c r="H7" s="9" t="str"/>
      <x:c r="I7" s="9" t="str">
        <x:v>Lignes élégantes, éclairage accentué et arrière-plan peu chargé. Séparer gros volumes, surfaces de parcours et petits accessoires; réserver le contraste maximal aux éléments utilisables.</x:v>
      </x:c>
      <x:c r="J7" s="9" t="str">
        <x:v>Seuls les éléments mobiles nécessaires à la lecture du lieu ont une boucle; les lumières restent stables en mode confort.</x:v>
      </x:c>
      <x:c r="K7" s="9" t="str"/>
      <x:c r="L7" s="9" t="str">
        <x:v>Kit modulaire prévu bla/sets/citadel; collisions simples et matériau de repère distinct.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repère décrit reste visible depuis l'entrée et depuis le retour; aucune décoration ne masque un signal d'interaction.</x:v>
      </x:c>
      <x:c r="O7" s="9" t="str">
        <x:v>BLA-ZONE-CITADEL</x:v>
      </x:c>
      <x:c r="P7" s="9" t="str">
        <x:v>Direction artistique originale, matériaux à confronter aux planches.</x:v>
      </x:c>
      <x:c r="Q7" s="9" t="str"/>
      <x:c r="R7" s="20" t="str"/>
      <x:c r="S7" s="20" t="str"/>
    </x:row>
    <x:row r="8" ht="68" customHeight="1">
      <x:c r="A8" s="19" t="str">
        <x:v>BLA-SET-VIRMIRE</x:v>
      </x:c>
      <x:c r="B8" s="7" t="str">
        <x:v>Virmire de cinéma — décor et repère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Silhouette de l’installation au-dessus de l’eau.</x:v>
      </x:c>
      <x:c r="G8" s="7" t="str">
        <x:v>Île et installation de film, séparées du Virmire de la campagne.</x:v>
      </x:c>
      <x:c r="H8" s="7" t="str"/>
      <x:c r="I8" s="7" t="str">
        <x:v>Tropical stylisé, métal brillant et lumière très contrastée. Séparer gros volumes, surfaces de parcours et petits accessoires; réserver le contraste maximal aux éléments utilisables.</x:v>
      </x:c>
      <x:c r="J8" s="7" t="str">
        <x:v>Seuls les éléments mobiles nécessaires à la lecture du lieu ont une boucle; les lumières restent stables en mode confort.</x:v>
      </x:c>
      <x:c r="K8" s="7" t="str"/>
      <x:c r="L8" s="7" t="str">
        <x:v>Kit modulaire prévu bla/sets/virmire; collisions simples et matériau de repère distinct.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repère décrit reste visible depuis l'entrée et depuis le retour; aucune décoration ne masque un signal d'interaction.</x:v>
      </x:c>
      <x:c r="O8" s="7" t="str">
        <x:v>BLA-ZONE-VIRMIRE</x:v>
      </x:c>
      <x:c r="P8" s="7" t="str">
        <x:v>Direction artistique originale, matériaux à confronter aux planches.</x:v>
      </x:c>
      <x:c r="Q8" s="7" t="str"/>
      <x:c r="R8" s="21" t="str"/>
      <x:c r="S8" s="21" t="str"/>
    </x:row>
  </x:sheetData>
  <x:conditionalFormatting sqref="D7:D8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8">
    <x:cfRule type="cellIs" dxfId="26" priority="3" operator="equal">
      <x:formula>"Validé"</x:formula>
    </x:cfRule>
  </x:conditionalFormatting>
  <x:conditionalFormatting sqref="E7:E8">
    <x:cfRule type="cellIs" dxfId="2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69a954815843c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BLA-SC-BRIEF-PROP</x:v>
      </x:c>
      <x:c r="B7" s="9" t="str">
        <x:v>Dossier de tournage diégétique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Interface de mission de film proposée.</x:v>
      </x:c>
      <x:c r="G7" s="9" t="str">
        <x:v>Marquer la séparation avec la campagne.</x:v>
      </x:c>
      <x:c r="H7" s="9" t="str">
        <x:v>Le dossier est rangé sous bonus/film et non journal principal.</x:v>
      </x:c>
      <x:c r="I7" s="9" t="str">
        <x:v>Bord de pellicule stylisé sans effet gênant.</x:v>
      </x:c>
      <x:c r="J7" s="9" t="str">
        <x:v>État repos, sélection, utilisation et remise en place; l’objet conserve son pivot entre ces états.</x:v>
      </x:c>
      <x:c r="K7" s="9" t="str">
        <x:v>Bruit de manipulation original et confirmation visible.</x:v>
      </x:c>
      <x:c r="L7" s="9" t="str">
        <x:v>Objet proposé BLA/BRIEF/prop; composant inspectable distinct du déclencheur narratif.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L’objet possède un état visible avant et après interaction; il ne peut pas être perdu ni dupliqué par rechargement.</x:v>
      </x:c>
      <x:c r="O7" s="9" t="str">
        <x:v>BLA-SC-BRIEF-MAIN</x:v>
      </x:c>
      <x:c r="P7" s="9" t="str">
        <x:v>Accessoire ou interaction de production proposé; ne vaut pas relevé exhaustif de la planche.</x:v>
      </x:c>
      <x:c r="Q7" s="9" t="str"/>
      <x:c r="R7" s="20" t="str"/>
      <x:c r="S7" s="20" t="str"/>
    </x:row>
    <x:row r="8" ht="54" customHeight="1">
      <x:c r="A8" s="19" t="str">
        <x:v>BLA-SC-ISLAND-PROP</x:v>
      </x:c>
      <x:c r="B8" s="7" t="str">
        <x:v>Balise de site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Accessoire de mission proposé.</x:v>
      </x:c>
      <x:c r="G8" s="7" t="str">
        <x:v>Rendre l’objectif visible dans le décor tropical.</x:v>
      </x:c>
      <x:c r="H8" s="7" t="str">
        <x:v>Scanner révèle seulement l’entrée prévue.</x:v>
      </x:c>
      <x:c r="I8" s="7" t="str">
        <x:v>Antenne courte et lumière fixe.</x:v>
      </x:c>
      <x:c r="J8" s="7" t="str">
        <x:v>État repos, sélection, utilisation et remise en place; l’objet conserve son pivot entre ces états.</x:v>
      </x:c>
      <x:c r="K8" s="7" t="str">
        <x:v>Bruit de manipulation original et confirmation visible.</x:v>
      </x:c>
      <x:c r="L8" s="7" t="str">
        <x:v>Objet proposé BLA/ISLAND/prop; composant inspectable distinct du déclencheur narratif.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L’objet possède un état visible avant et après interaction; il ne peut pas être perdu ni dupliqué par rechargement.</x:v>
      </x:c>
      <x:c r="O8" s="7" t="str">
        <x:v>BLA-SC-ISLAND-MAIN</x:v>
      </x:c>
      <x:c r="P8" s="7" t="str">
        <x:v>Accessoire ou interaction de production proposé; ne vaut pas relevé exhaustif de la planche.</x:v>
      </x:c>
      <x:c r="Q8" s="7" t="str"/>
      <x:c r="R8" s="21" t="str"/>
      <x:c r="S8" s="21" t="str"/>
    </x:row>
    <x:row r="9" ht="54" customHeight="1">
      <x:c r="A9" s="18" t="str">
        <x:v>BLA-SC-TIME-PROP</x:v>
      </x:c>
      <x:c r="B9" s="9" t="str">
        <x:v>Commande temporelle de cinéma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Accessoire fictif local.</x:v>
      </x:c>
      <x:c r="G9" s="9" t="str">
        <x:v>Donner une cible d’interaction claire.</x:v>
      </x:c>
      <x:c r="H9" s="9" t="str">
        <x:v>Activation dans cette scène seulement; objet retiré en fin de module.</x:v>
      </x:c>
      <x:c r="I9" s="9" t="str">
        <x:v>Gant/console à décider après référence; icône temps explicite.</x:v>
      </x:c>
      <x:c r="J9" s="9" t="str">
        <x:v>État repos, sélection, utilisation et remise en place; l’objet conserve son pivot entre ces états.</x:v>
      </x:c>
      <x:c r="K9" s="9" t="str">
        <x:v>Bruit de manipulation original et confirmation visible.</x:v>
      </x:c>
      <x:c r="L9" s="9" t="str">
        <x:v>Objet proposé BLA/TIME/prop; composant inspectable distinct du déclencheur narratif.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L’objet possède un état visible avant et après interaction; il ne peut pas être perdu ni dupliqué par rechargement.</x:v>
      </x:c>
      <x:c r="O9" s="9" t="str">
        <x:v>BLA-SC-TIME-MAIN</x:v>
      </x:c>
      <x:c r="P9" s="9" t="str">
        <x:v>Accessoire ou interaction de production proposé; ne vaut pas relevé exhaustif de la planche.</x:v>
      </x:c>
      <x:c r="Q9" s="9" t="str"/>
      <x:c r="R9" s="20" t="str"/>
      <x:c r="S9" s="20" t="str"/>
    </x:row>
    <x:row r="10" ht="54" customHeight="1">
      <x:c r="A10" s="19" t="str">
        <x:v>BLA-SC-ESCAPE-PROP</x:v>
      </x:c>
      <x:c r="B10" s="7" t="str">
        <x:v>Repère de sortie du film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Balisage original de trajet.</x:v>
      </x:c>
      <x:c r="G10" s="7" t="str">
        <x:v>Garantir une sortie lisible malgré le spectacle.</x:v>
      </x:c>
      <x:c r="H10" s="7" t="str">
        <x:v>Le marqueur reste visible pendant les effets de fond.</x:v>
      </x:c>
      <x:c r="I10" s="7" t="str">
        <x:v>Fanion lumineux et nom sortie.</x:v>
      </x:c>
      <x:c r="J10" s="7" t="str">
        <x:v>État repos, sélection, utilisation et remise en place; l’objet conserve son pivot entre ces états.</x:v>
      </x:c>
      <x:c r="K10" s="7" t="str">
        <x:v>Bruit de manipulation original et confirmation visible.</x:v>
      </x:c>
      <x:c r="L10" s="7" t="str">
        <x:v>Objet proposé BLA/ESCAPE/prop; composant inspectable distinct du déclencheur narratif.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L’objet possède un état visible avant et après interaction; il ne peut pas être perdu ni dupliqué par rechargement.</x:v>
      </x:c>
      <x:c r="O10" s="7" t="str">
        <x:v>BLA-SC-ESCAPE-MAIN</x:v>
      </x:c>
      <x:c r="P10" s="7" t="str">
        <x:v>Accessoire ou interaction de production proposé; ne vaut pas relevé exhaustif de la planche.</x:v>
      </x:c>
      <x:c r="Q10" s="7" t="str"/>
      <x:c r="R10" s="21" t="str"/>
      <x:c r="S10" s="21" t="str"/>
    </x:row>
  </x:sheetData>
  <x:conditionalFormatting sqref="D7:D10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10">
    <x:cfRule type="cellIs" dxfId="30" priority="3" operator="equal">
      <x:formula>"Validé"</x:formula>
    </x:cfRule>
  </x:conditionalFormatting>
  <x:conditionalFormatting sqref="E7:E10">
    <x:cfRule type="cellIs" dxfId="3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1b768ac714d2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2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BLA-EN-GUARDS</x:v>
      </x:c>
      <x:c r="B7" s="9" t="str">
        <x:v>Gardes de Kronus — fiction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Le wiki décrit des gardes krogan dans l’installation du film.</x:v>
      </x:c>
      <x:c r="G7" s="9" t="str">
        <x:v>Opposition d’action volontairement stylisée.</x:v>
      </x:c>
      <x:c r="H7" s="9" t="str">
        <x:v>Profil proposé : Couverture et charge brève dans le film seulement.</x:v>
      </x:c>
      <x:c r="I7" s="9" t="str">
        <x:v>Silhouette proposée : Krogans aux silhouettes lisibles, costumes à contrôler; pas une nouvelle faction réelle.</x:v>
      </x:c>
      <x:c r="J7" s="9" t="str">
        <x:v>Pose d’anticipation exagérée et récupération visible.</x:v>
      </x:c>
      <x:c r="K7" s="9" t="str">
        <x:v>Impacts originaux au ton cinéma.</x:v>
      </x:c>
      <x:c r="L7" s="9" t="str">
        <x:v>Livrable proposé : spécification BLA/enemies/en-guards; brancher au registre de contenu de l'œuvre seulement après production.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Gardes de Kronus — fiction a une silhouette distincte, un comportement télégraphié et une contre-mesure documentée; aucune valeur n'est annoncée comme statistique officielle.</x:v>
      </x:c>
      <x:c r="O7" s="9" t="str"/>
      <x:c r="P7" s="9" t="str">
        <x:v>Blasto: Eternity is Forever, récit autonome</x:v>
      </x:c>
      <x:c r="Q7" s="9" t="str">
        <x:v>BLA-S-WIKI</x:v>
      </x:c>
      <x:c r="R7" s="20" t="str">
        <x:v>https://masseffect.fandom.com/wiki/Mass_Effect%3A_Blasto%3A_Eternity_is_Forever</x:v>
      </x:c>
      <x:c r="S7" s="20" t="str">
        <x:v>L’adversaire ou groupe est attesté selon la source; le combat ATB et ses réglages sont entièrement proposés.</x:v>
      </x:c>
    </x:row>
    <x:row r="8" ht="68" customHeight="1">
      <x:c r="A8" s="19" t="str">
        <x:v>BLA-EN-KRONUS-FIGHT</x:v>
      </x:c>
      <x:c r="B8" s="7" t="str">
        <x:v>Kronus — boss de film proposé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Kronus et son dispositif appartiennent à la fiction de Blasto.</x:v>
      </x:c>
      <x:c r="G8" s="7" t="str">
        <x:v>Boss à gimmick local, pas technologie globale.</x:v>
      </x:c>
      <x:c r="H8" s="7" t="str">
        <x:v>Profil proposé : Phases annoncées : contrôle, exposition, repli; le scénario conserve la libération de Blasto par sa partenaire.</x:v>
      </x:c>
      <x:c r="I8" s="7" t="str">
        <x:v>Silhouette proposée : Krogan massif et accessoire temporel lisible.</x:v>
      </x:c>
      <x:c r="J8" s="7" t="str">
        <x:v>Activation ample, rire visuel sans réplique copiée et recul.</x:v>
      </x:c>
      <x:c r="K8" s="7" t="str">
        <x:v>Signal de dispositif distinct des tirs.</x:v>
      </x:c>
      <x:c r="L8" s="7" t="str">
        <x:v>Livrable proposé : spécification BLA/enemies/en-kronus-fight; brancher au registre de contenu de l'œuvre seulement après production.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Kronus — boss de film proposé a une silhouette distincte, un comportement télégraphié et une contre-mesure documentée; aucune valeur n'est annoncée comme statistique officielle.</x:v>
      </x:c>
      <x:c r="O8" s="7" t="str"/>
      <x:c r="P8" s="7" t="str">
        <x:v>Blasto: Eternity is Forever, récit autonome</x:v>
      </x:c>
      <x:c r="Q8" s="7" t="str">
        <x:v>BLA-S-WIKI</x:v>
      </x:c>
      <x:c r="R8" s="21" t="str">
        <x:v>https://masseffect.fandom.com/wiki/Mass_Effect%3A_Blasto%3A_Eternity_is_Forever</x:v>
      </x:c>
      <x:c r="S8" s="21" t="str">
        <x:v>L’adversaire ou groupe est attesté selon la source; le combat ATB et ses réglages sont entièrement proposés.</x:v>
      </x:c>
    </x:row>
  </x:sheetData>
  <x:conditionalFormatting sqref="D7:D8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8">
    <x:cfRule type="cellIs" dxfId="34" priority="3" operator="equal">
      <x:formula>"Validé"</x:formula>
    </x:cfRule>
  </x:conditionalFormatting>
  <x:conditionalFormatting sqref="E7:E8">
    <x:cfRule type="cellIs" dxfId="3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3bd3a315c5403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BLA-SC-BRIEF-MAIN</x:v>
      </x:c>
      <x:c r="B7" s="9" t="str">
        <x:v>Briefing du duo de cinéma — objectif jouable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Présenter le duo et le cadre fictionnel avant le départ.</x:v>
      </x:c>
      <x:c r="G7" s="9" t="str">
        <x:v>Carton film → briefing → présentation de la partenaire → destination.</x:v>
      </x:c>
      <x:c r="H7" s="9" t="str">
        <x:v>Aucun choix ne recrute les héros dans la campagne réelle; les réponses changent seulement le ton de la scène.</x:v>
      </x:c>
      <x:c r="I7" s="9" t="str">
        <x:v>Bureau clair, dossier central et badge permanent film.</x:v>
      </x:c>
      <x:c r="J7" s="9" t="str">
        <x:v>Entrée prudente, geste d'inspection et retour au contrôle pour « Briefing du duo de cinéma »; poser les sprites avant tout changement de caméra.</x:v>
      </x:c>
      <x:c r="K7" s="9" t="str">
        <x:v>Thème d’aventure original avec une ponctuation humoristique.</x:v>
      </x:c>
      <x:c r="L7" s="9" t="str">
        <x:v>Graphe proposé BLA/quests/BRIEF: entrée → objectif actif → résolution → raccord; conditions terminales séparées des points facultatifs.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L'objectif « Briefing du duo de cinéma » atteint son raccord annoncé après chaque méthode; sauvegarde, rechargement et saut de scène n'en changent ni le groupe ni les informations acquises.</x:v>
      </x:c>
      <x:c r="O7" s="9" t="str">
        <x:v>BLA-SC-BRIEF-REF</x:v>
      </x:c>
      <x:c r="P7" s="9" t="str">
        <x:v>Conception originale rattachée à Blasto: Eternity is Forever, récit autonome</x:v>
      </x:c>
      <x:c r="Q7" s="9" t="str"/>
      <x:c r="R7" s="20" t="str"/>
      <x:c r="S7" s="20" t="str"/>
    </x:row>
    <x:row r="8" ht="68" customHeight="1">
      <x:c r="A8" s="19" t="str">
        <x:v>BLA-SC-ISLAND-MAIN</x:v>
      </x:c>
      <x:c r="B8" s="7" t="str">
        <x:v>Approche de l’installation — objectif jouable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Franchir une approche tropicale stylisée et atteindre l’entrée.</x:v>
      </x:c>
      <x:c r="G8" s="7" t="str">
        <x:v>Arrivée → observation du site → patrouille proposée → accès.</x:v>
      </x:c>
      <x:c r="H8" s="7" t="str">
        <x:v>Les obstacles sont ceux du prototype de film; ne pas transposer les résultats à la carte de ME1.</x:v>
      </x:c>
      <x:c r="I8" s="7" t="str">
        <x:v>Eau claire, rochers et façade de laboratoire à silhouette simple.</x:v>
      </x:c>
      <x:c r="J8" s="7" t="str">
        <x:v>Entrée prudente, geste d'inspection et retour au contrôle pour « Approche de l’installation »; poser les sprites avant tout changement de caméra.</x:v>
      </x:c>
      <x:c r="K8" s="7" t="str">
        <x:v>Vagues et motif léger de suspense original.</x:v>
      </x:c>
      <x:c r="L8" s="7" t="str">
        <x:v>Graphe proposé BLA/quests/ISLAND: entrée → objectif actif → résolution → raccord; conditions terminales séparées des points facultatifs.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L'objectif « Approche de l’installation » atteint son raccord annoncé après chaque méthode; sauvegarde, rechargement et saut de scène n'en changent ni le groupe ni les informations acquises.</x:v>
      </x:c>
      <x:c r="O8" s="7" t="str">
        <x:v>BLA-SC-ISLAND-REF</x:v>
      </x:c>
      <x:c r="P8" s="7" t="str">
        <x:v>Conception originale rattachée à Blasto: Eternity is Forever, récit autonome</x:v>
      </x:c>
      <x:c r="Q8" s="7" t="str"/>
      <x:c r="R8" s="21" t="str"/>
      <x:c r="S8" s="21" t="str"/>
    </x:row>
    <x:row r="9" ht="68" customHeight="1">
      <x:c r="A9" s="18" t="str">
        <x:v>BLA-SC-TIME-MAIN</x:v>
      </x:c>
      <x:c r="B9" s="9" t="str">
        <x:v>Dispositif temporel de film — objectif jouable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Passer à Cerulean pour créer la fenêtre qui libère le duo.</x:v>
      </x:c>
      <x:c r="G9" s="9" t="str">
        <x:v>Confrontation → immobilisation fixée → commande de Cerulean → reprise du duo.</x:v>
      </x:c>
      <x:c r="H9" s="9" t="str">
        <x:v>L’immobilisation verrouille Blasto seulement dans cette scène; le menu explique immédiatement le transfert de contrôle.</x:v>
      </x:c>
      <x:c r="I9" s="9" t="str">
        <x:v>Anneaux mécaniques stylisés et points de contrôle lisibles.</x:v>
      </x:c>
      <x:c r="J9" s="9" t="str">
        <x:v>Entrée prudente, geste d'inspection et retour au contrôle pour « Dispositif temporel de film »; poser les sprites avant tout changement de caméra.</x:v>
      </x:c>
      <x:c r="K9" s="9" t="str">
        <x:v>Son tenu filtré et retour net lors de la reprise.</x:v>
      </x:c>
      <x:c r="L9" s="9" t="str">
        <x:v>Graphe proposé BLA/quests/TIME: entrée → objectif actif → résolution → raccord; conditions terminales séparées des points facultatifs.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L'objectif « Dispositif temporel de film » atteint son raccord annoncé après chaque méthode; sauvegarde, rechargement et saut de scène n'en changent ni le groupe ni les informations acquises.</x:v>
      </x:c>
      <x:c r="O9" s="9" t="str">
        <x:v>BLA-SC-TIME-REF</x:v>
      </x:c>
      <x:c r="P9" s="9" t="str">
        <x:v>Conception originale rattachée à Blasto: Eternity is Forever, récit autonome</x:v>
      </x:c>
      <x:c r="Q9" s="9" t="str"/>
      <x:c r="R9" s="20" t="str"/>
      <x:c r="S9" s="20" t="str"/>
    </x:row>
    <x:row r="10" ht="68" customHeight="1">
      <x:c r="A10" s="19" t="str">
        <x:v>BLA-SC-ESCAPE-MAIN</x:v>
      </x:c>
      <x:c r="B10" s="7" t="str">
        <x:v>Sortie de film — objectif jouable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Rejoindre la sortie littorale avant le raccord spectaculaire.</x:v>
      </x:c>
      <x:c r="G10" s="7" t="str">
        <x:v>Alerte → route préparée → franchissement → fin de film.</x:v>
      </x:c>
      <x:c r="H10" s="7" t="str">
        <x:v>Compte à rebours abstrait réglable; pause d’accessibilité et reprise locale; aucune explosion réelle de Virmire enregistrée.</x:v>
      </x:c>
      <x:c r="I10" s="7" t="str">
        <x:v>Littoral ouvert et espace clair autour du duo.</x:v>
      </x:c>
      <x:c r="J10" s="7" t="str">
        <x:v>Entrée prudente, geste d'inspection et retour au contrôle pour « Sortie de film »; poser les sprites avant tout changement de caméra.</x:v>
      </x:c>
      <x:c r="K10" s="7" t="str">
        <x:v>Point culminant musical original puis vagues.</x:v>
      </x:c>
      <x:c r="L10" s="7" t="str">
        <x:v>Graphe proposé BLA/quests/ESCAPE: entrée → objectif actif → résolution → raccord; conditions terminales séparées des points facultatifs.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L'objectif « Sortie de film » atteint son raccord annoncé après chaque méthode; sauvegarde, rechargement et saut de scène n'en changent ni le groupe ni les informations acquises.</x:v>
      </x:c>
      <x:c r="O10" s="7" t="str">
        <x:v>BLA-SC-ESCAPE-REF</x:v>
      </x:c>
      <x:c r="P10" s="7" t="str">
        <x:v>Conception originale rattachée à Blasto: Eternity is Forever, récit autonome</x:v>
      </x:c>
      <x:c r="Q10" s="7" t="str"/>
      <x:c r="R10" s="21" t="str"/>
      <x:c r="S10" s="21" t="str"/>
    </x:row>
  </x:sheetData>
  <x:conditionalFormatting sqref="D7:D10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0">
    <x:cfRule type="cellIs" dxfId="38" priority="3" operator="equal">
      <x:formula>"Validé"</x:formula>
    </x:cfRule>
  </x:conditionalFormatting>
  <x:conditionalFormatting sqref="E7:E10">
    <x:cfRule type="cellIs" dxfId="3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4f092788354d4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BLA-SC-BRIEF-SIDE</x:v>
      </x:c>
      <x:c r="B7" s="9" t="str">
        <x:v>Consulter les rôles du duo</x:v>
      </x:c>
      <x:c r="C7" s="15" t="str">
        <x:v>Défini</x:v>
      </x:c>
      <x:c r="D7" s="16" t="str">
        <x:v>Extrapolation</x:v>
      </x:c>
      <x:c r="E7" s="16" t="str">
        <x:v>P2</x:v>
      </x:c>
      <x:c r="F7" s="9" t="str">
        <x:v>Petit tutoriel facultatif original.</x:v>
      </x:c>
      <x:c r="G7" s="9" t="str">
        <x:v>Expliquer qui peut agir sur quoi.</x:v>
      </x:c>
      <x:c r="H7" s="9" t="str">
        <x:v>Aucun fait nouveau sur les vrais Spectres de la galaxie.</x:v>
      </x:c>
      <x:c r="I7" s="9" t="str">
        <x:v>Bureau clair, dossier central et badge permanent film.</x:v>
      </x:c>
      <x:c r="J7" s="9" t="str">
        <x:v>Inspection, interaction courte, confirmation; permettre de renoncer sans bloquer le chemin principal.</x:v>
      </x:c>
      <x:c r="K7" s="9" t="str">
        <x:v>Confirmation discrète; aucune réplique source réemployée.</x:v>
      </x:c>
      <x:c r="L7" s="9" t="str">
        <x:v>Objectif facultatif BLA/BRIEF/optional; récompense locale de contexte, pas de modification de la fin.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Terminer, ignorer ou abandonner cette tâche laisse le récit principal accessible et conserve correctement l’état en sauvegarde.</x:v>
      </x:c>
      <x:c r="O7" s="9" t="str">
        <x:v>BLA-SC-BRIEF-MAIN</x:v>
      </x:c>
      <x:c r="P7" s="9" t="str">
        <x:v>Ajout original; cette tâche n’est pas attestée dans le comic.</x:v>
      </x:c>
      <x:c r="Q7" s="9" t="str"/>
      <x:c r="R7" s="20" t="str"/>
      <x:c r="S7" s="20" t="str"/>
    </x:row>
    <x:row r="8" ht="54" customHeight="1">
      <x:c r="A8" s="19" t="str">
        <x:v>BLA-SC-ISLAND-SIDE</x:v>
      </x:c>
      <x:c r="B8" s="7" t="str">
        <x:v>Repérer la sortie littorale</x:v>
      </x:c>
      <x:c r="C8" s="15" t="str">
        <x:v>Défini</x:v>
      </x:c>
      <x:c r="D8" s="17" t="str">
        <x:v>Extrapolation</x:v>
      </x:c>
      <x:c r="E8" s="17" t="str">
        <x:v>P2</x:v>
      </x:c>
      <x:c r="F8" s="7" t="str">
        <x:v>Préparation facultative originale.</x:v>
      </x:c>
      <x:c r="G8" s="7" t="str">
        <x:v>Annoncer la fuite future.</x:v>
      </x:c>
      <x:c r="H8" s="7" t="str">
        <x:v>Ne révèle pas un lieu canon supplémentaire sur Virmire.</x:v>
      </x:c>
      <x:c r="I8" s="7" t="str">
        <x:v>Eau claire, rochers et façade de laboratoire à silhouette simple.</x:v>
      </x:c>
      <x:c r="J8" s="7" t="str">
        <x:v>Inspection, interaction courte, confirmation; permettre de renoncer sans bloquer le chemin principal.</x:v>
      </x:c>
      <x:c r="K8" s="7" t="str">
        <x:v>Confirmation discrète; aucune réplique source réemployée.</x:v>
      </x:c>
      <x:c r="L8" s="7" t="str">
        <x:v>Objectif facultatif BLA/ISLAND/optional; récompense locale de contexte, pas de modification de la fin.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Terminer, ignorer ou abandonner cette tâche laisse le récit principal accessible et conserve correctement l’état en sauvegarde.</x:v>
      </x:c>
      <x:c r="O8" s="7" t="str">
        <x:v>BLA-SC-ISLAND-MAIN</x:v>
      </x:c>
      <x:c r="P8" s="7" t="str">
        <x:v>Ajout original; cette tâche n’est pas attestée dans le comic.</x:v>
      </x:c>
      <x:c r="Q8" s="7" t="str"/>
      <x:c r="R8" s="21" t="str"/>
      <x:c r="S8" s="21" t="str"/>
    </x:row>
    <x:row r="9" ht="54" customHeight="1">
      <x:c r="A9" s="18" t="str">
        <x:v>BLA-SC-TIME-SIDE</x:v>
      </x:c>
      <x:c r="B9" s="9" t="str">
        <x:v>Analyser les liens du dispositif</x:v>
      </x:c>
      <x:c r="C9" s="15" t="str">
        <x:v>Défini</x:v>
      </x:c>
      <x:c r="D9" s="16" t="str">
        <x:v>Extrapolation</x:v>
      </x:c>
      <x:c r="E9" s="16" t="str">
        <x:v>P2</x:v>
      </x:c>
      <x:c r="F9" s="9" t="str">
        <x:v>Observation facultative originale.</x:v>
      </x:c>
      <x:c r="G9" s="9" t="str">
        <x:v>Aider au choix de route.</x:v>
      </x:c>
      <x:c r="H9" s="9" t="str">
        <x:v>Ne fournit pas de théorie physique canon sur le voyage temporel.</x:v>
      </x:c>
      <x:c r="I9" s="9" t="str">
        <x:v>Anneaux mécaniques stylisés et points de contrôle lisibles.</x:v>
      </x:c>
      <x:c r="J9" s="9" t="str">
        <x:v>Inspection, interaction courte, confirmation; permettre de renoncer sans bloquer le chemin principal.</x:v>
      </x:c>
      <x:c r="K9" s="9" t="str">
        <x:v>Confirmation discrète; aucune réplique source réemployée.</x:v>
      </x:c>
      <x:c r="L9" s="9" t="str">
        <x:v>Objectif facultatif BLA/TIME/optional; récompense locale de contexte, pas de modification de la fin.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Terminer, ignorer ou abandonner cette tâche laisse le récit principal accessible et conserve correctement l’état en sauvegarde.</x:v>
      </x:c>
      <x:c r="O9" s="9" t="str">
        <x:v>BLA-SC-TIME-MAIN</x:v>
      </x:c>
      <x:c r="P9" s="9" t="str">
        <x:v>Ajout original; cette tâche n’est pas attestée dans le comic.</x:v>
      </x:c>
      <x:c r="Q9" s="9" t="str"/>
      <x:c r="R9" s="20" t="str"/>
      <x:c r="S9" s="20" t="str"/>
    </x:row>
    <x:row r="10" ht="54" customHeight="1">
      <x:c r="A10" s="19" t="str">
        <x:v>BLA-SC-ESCAPE-SIDE</x:v>
      </x:c>
      <x:c r="B10" s="7" t="str">
        <x:v>Coordonner la dernière traversée</x:v>
      </x:c>
      <x:c r="C10" s="15" t="str">
        <x:v>Défini</x:v>
      </x:c>
      <x:c r="D10" s="17" t="str">
        <x:v>Extrapolation</x:v>
      </x:c>
      <x:c r="E10" s="17" t="str">
        <x:v>P2</x:v>
      </x:c>
      <x:c r="F10" s="7" t="str">
        <x:v>Tâche facultative originale de duo.</x:v>
      </x:c>
      <x:c r="G10" s="7" t="str">
        <x:v>Récompenser l’entraide plutôt que les dégâts.</x:v>
      </x:c>
      <x:c r="H10" s="7" t="str">
        <x:v>Ne produit aucun bonus utilisable dans la campagne principale.</x:v>
      </x:c>
      <x:c r="I10" s="7" t="str">
        <x:v>Littoral ouvert et espace clair autour du duo.</x:v>
      </x:c>
      <x:c r="J10" s="7" t="str">
        <x:v>Inspection, interaction courte, confirmation; permettre de renoncer sans bloquer le chemin principal.</x:v>
      </x:c>
      <x:c r="K10" s="7" t="str">
        <x:v>Confirmation discrète; aucune réplique source réemployée.</x:v>
      </x:c>
      <x:c r="L10" s="7" t="str">
        <x:v>Objectif facultatif BLA/ESCAPE/optional; récompense locale de contexte, pas de modification de la fin.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Terminer, ignorer ou abandonner cette tâche laisse le récit principal accessible et conserve correctement l’état en sauvegarde.</x:v>
      </x:c>
      <x:c r="O10" s="7" t="str">
        <x:v>BLA-SC-ESCAPE-MAIN</x:v>
      </x:c>
      <x:c r="P10" s="7" t="str">
        <x:v>Ajout original; cette tâche n’est pas attestée dans le comic.</x:v>
      </x:c>
      <x:c r="Q10" s="7" t="str"/>
      <x:c r="R10" s="21" t="str"/>
      <x:c r="S10" s="21" t="str"/>
    </x:row>
  </x:sheetData>
  <x:conditionalFormatting sqref="D7:D10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0">
    <x:cfRule type="cellIs" dxfId="42" priority="3" operator="equal">
      <x:formula>"Validé"</x:formula>
    </x:cfRule>
  </x:conditionalFormatting>
  <x:conditionalFormatting sqref="E7:E10">
    <x:cfRule type="cellIs" dxfId="4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1e9b14ec36419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BLA-SC-BRIEF-CHOICE</x:v>
      </x:c>
      <x:c r="B7" s="9" t="str">
        <x:v>Briefing du duo de cinéma — stratégie locale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Réponse héroïque ou question pratique.</x:v>
      </x:c>
      <x:c r="G7" s="9" t="str">
        <x:v>Choix de méthode dans une adaptation; aucun embranchement alternatif n’est déclaré officiel.</x:v>
      </x:c>
      <x:c r="H7" s="9" t="str">
        <x:v>Deux intonations originales; même mission de film.</x:v>
      </x:c>
      <x:c r="I7" s="9" t="str">
        <x:v>Deux options nommées avec leur conséquence immédiate; coût affiché avant engagement.</x:v>
      </x:c>
      <x:c r="J7" s="9" t="str">
        <x:v>Geler les poses de dialogue pendant le choix; ne pas consommer une action en quittant le menu.</x:v>
      </x:c>
      <x:c r="K7" s="9" t="str">
        <x:v>Retour de sélection sobre; confirmation distincte d’une simple navigation.</x:v>
      </x:c>
      <x:c r="L7" s="9" t="str">
        <x:v>Décision locale BLA/BRIEF; stocker la méthode choisie et les conséquences temporaires, puis rejoindre le point de raccord.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Les deux méthodes peuvent être comprises avant sélection; chacune rejoint le même ancrage canon sans supprimer un personnage nécessaire.</x:v>
      </x:c>
      <x:c r="O7" s="9" t="str">
        <x:v>BLA-SC-BRIEF-MAIN</x:v>
      </x:c>
      <x:c r="P7" s="9" t="str">
        <x:v>Bifurcation de gameplay originale, pas un choix présent dans l’œuvre.</x:v>
      </x:c>
      <x:c r="Q7" s="9" t="str"/>
      <x:c r="R7" s="20" t="str"/>
      <x:c r="S7" s="20" t="str"/>
    </x:row>
    <x:row r="8" ht="54" customHeight="1">
      <x:c r="A8" s="19" t="str">
        <x:v>BLA-SC-ISLAND-CHOICE</x:v>
      </x:c>
      <x:c r="B8" s="7" t="str">
        <x:v>Approche de l’installation — stratégie locale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Progression discrète ou diversion spectaculaire.</x:v>
      </x:c>
      <x:c r="G8" s="7" t="str">
        <x:v>Choix de méthode dans une adaptation; aucun embranchement alternatif n’est déclaré officiel.</x:v>
      </x:c>
      <x:c r="H8" s="7" t="str">
        <x:v>L’une évite une rencontre, l’autre ouvre une route courte en échange d’une ressource locale.</x:v>
      </x:c>
      <x:c r="I8" s="7" t="str">
        <x:v>Deux options nommées avec leur conséquence immédiate; coût affiché avant engagement.</x:v>
      </x:c>
      <x:c r="J8" s="7" t="str">
        <x:v>Geler les poses de dialogue pendant le choix; ne pas consommer une action en quittant le menu.</x:v>
      </x:c>
      <x:c r="K8" s="7" t="str">
        <x:v>Retour de sélection sobre; confirmation distincte d’une simple navigation.</x:v>
      </x:c>
      <x:c r="L8" s="7" t="str">
        <x:v>Décision locale BLA/ISLAND; stocker la méthode choisie et les conséquences temporaires, puis rejoindre le point de raccord.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Les deux méthodes peuvent être comprises avant sélection; chacune rejoint le même ancrage canon sans supprimer un personnage nécessaire.</x:v>
      </x:c>
      <x:c r="O8" s="7" t="str">
        <x:v>BLA-SC-ISLAND-MAIN</x:v>
      </x:c>
      <x:c r="P8" s="7" t="str">
        <x:v>Bifurcation de gameplay originale, pas un choix présent dans l’œuvre.</x:v>
      </x:c>
      <x:c r="Q8" s="7" t="str"/>
      <x:c r="R8" s="21" t="str"/>
      <x:c r="S8" s="21" t="str"/>
    </x:row>
    <x:row r="9" ht="54" customHeight="1">
      <x:c r="A9" s="18" t="str">
        <x:v>BLA-SC-TIME-CHOICE</x:v>
      </x:c>
      <x:c r="B9" s="9" t="str">
        <x:v>Dispositif temporel de film — stratégie locale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Contourner la garde ou provoquer un déplacement du boss.</x:v>
      </x:c>
      <x:c r="G9" s="9" t="str">
        <x:v>Choix de méthode dans une adaptation; aucun embranchement alternatif n’est déclaré officiel.</x:v>
      </x:c>
      <x:c r="H9" s="9" t="str">
        <x:v>Deux routes pour atteindre la même commande; aucun arrêt de temps global exporté.</x:v>
      </x:c>
      <x:c r="I9" s="9" t="str">
        <x:v>Deux options nommées avec leur conséquence immédiate; coût affiché avant engagement.</x:v>
      </x:c>
      <x:c r="J9" s="9" t="str">
        <x:v>Geler les poses de dialogue pendant le choix; ne pas consommer une action en quittant le menu.</x:v>
      </x:c>
      <x:c r="K9" s="9" t="str">
        <x:v>Retour de sélection sobre; confirmation distincte d’une simple navigation.</x:v>
      </x:c>
      <x:c r="L9" s="9" t="str">
        <x:v>Décision locale BLA/TIME; stocker la méthode choisie et les conséquences temporaires, puis rejoindre le point de raccord.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Les deux méthodes peuvent être comprises avant sélection; chacune rejoint le même ancrage canon sans supprimer un personnage nécessaire.</x:v>
      </x:c>
      <x:c r="O9" s="9" t="str">
        <x:v>BLA-SC-TIME-MAIN</x:v>
      </x:c>
      <x:c r="P9" s="9" t="str">
        <x:v>Bifurcation de gameplay originale, pas un choix présent dans l’œuvre.</x:v>
      </x:c>
      <x:c r="Q9" s="9" t="str"/>
      <x:c r="R9" s="20" t="str"/>
      <x:c r="S9" s="20" t="str"/>
    </x:row>
    <x:row r="10" ht="54" customHeight="1">
      <x:c r="A10" s="19" t="str">
        <x:v>BLA-SC-ESCAPE-CHOICE</x:v>
      </x:c>
      <x:c r="B10" s="7" t="str">
        <x:v>Sortie de film — stratégie locale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Utiliser le passage préparé ou protéger le partenaire sur le trajet direct.</x:v>
      </x:c>
      <x:c r="G10" s="7" t="str">
        <x:v>Choix de méthode dans une adaptation; aucun embranchement alternatif n’est déclaré officiel.</x:v>
      </x:c>
      <x:c r="H10" s="7" t="str">
        <x:v>Deux chorégraphies qui convergent vers la même conclusion de fiction.</x:v>
      </x:c>
      <x:c r="I10" s="7" t="str">
        <x:v>Deux options nommées avec leur conséquence immédiate; coût affiché avant engagement.</x:v>
      </x:c>
      <x:c r="J10" s="7" t="str">
        <x:v>Geler les poses de dialogue pendant le choix; ne pas consommer une action en quittant le menu.</x:v>
      </x:c>
      <x:c r="K10" s="7" t="str">
        <x:v>Retour de sélection sobre; confirmation distincte d’une simple navigation.</x:v>
      </x:c>
      <x:c r="L10" s="7" t="str">
        <x:v>Décision locale BLA/ESCAPE; stocker la méthode choisie et les conséquences temporaires, puis rejoindre le point de raccord.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Les deux méthodes peuvent être comprises avant sélection; chacune rejoint le même ancrage canon sans supprimer un personnage nécessaire.</x:v>
      </x:c>
      <x:c r="O10" s="7" t="str">
        <x:v>BLA-SC-ESCAPE-MAIN</x:v>
      </x:c>
      <x:c r="P10" s="7" t="str">
        <x:v>Bifurcation de gameplay originale, pas un choix présent dans l’œuvre.</x:v>
      </x:c>
      <x:c r="Q10" s="7" t="str"/>
      <x:c r="R10" s="21" t="str"/>
      <x:c r="S10" s="21" t="str"/>
    </x:row>
  </x:sheetData>
  <x:conditionalFormatting sqref="D7:D10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0">
    <x:cfRule type="cellIs" dxfId="46" priority="3" operator="equal">
      <x:formula>"Validé"</x:formula>
    </x:cfRule>
  </x:conditionalFormatting>
  <x:conditionalFormatting sqref="E7:E10">
    <x:cfRule type="cellIs" dxfId="4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bc3a6b3f25481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BLA-SC-BRIEF-DIA</x:v>
      </x:c>
      <x:c r="B7" s="9" t="str">
        <x:v>Briefing du duo de cinéma — intentions de conversation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Blasto exagère sa confiance, Cerulean garde son autonomie; écrire de nouvelles plaisanteries sans copier les slogans connus.</x:v>
      </x:c>
      <x:c r="G7" s="9" t="str">
        <x:v>Préserver le thème « partenariat spectaculaire »; échanges nouveaux, sans recopier les bulles.</x:v>
      </x:c>
      <x:c r="H7" s="9" t="str">
        <x:v>Proposer questions de contexte, reformulation et fin de conversation; les informations nécessaires restent accessibles après une réponse sceptique.</x:v>
      </x:c>
      <x:c r="I7" s="9" t="str">
        <x:v>Portraits sobres avec locuteur et destinataire; encart distinct si l’information est un soupçon.</x:v>
      </x:c>
      <x:c r="J7" s="9" t="str">
        <x:v>Entrée prudente, geste d'inspection et retour au contrôle pour « Briefing du duo de cinéma »; poser les sprites avant tout changement de caméra.</x:v>
      </x:c>
      <x:c r="K7" s="9" t="str">
        <x:v>Dialogue original à écrire; texte intégral accessible, avance manuelle et rappel des locuteurs.</x:v>
      </x:c>
      <x:c r="L7" s="9" t="str">
        <x:v>Arbre proposé BLA/BRIEF/dialogue; séparer ce qui est su, ce qui est affirmé et ce qui reste caché au joueur.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lecteur peut identifier le locuteur, son but et le niveau de certitude; aucune phrase du comic n’est reproduite comme dialogue final.</x:v>
      </x:c>
      <x:c r="O7" s="9" t="str">
        <x:v>BLA-SC-BRIEF-MAIN</x:v>
      </x:c>
      <x:c r="P7" s="9" t="str">
        <x:v>Écriture originale à partir des thèmes, sans transcrire les bulles.</x:v>
      </x:c>
      <x:c r="Q7" s="9" t="str"/>
      <x:c r="R7" s="20" t="str"/>
      <x:c r="S7" s="20" t="str"/>
    </x:row>
    <x:row r="8" ht="54" customHeight="1">
      <x:c r="A8" s="19" t="str">
        <x:v>BLA-SC-ISLAND-DIA</x:v>
      </x:c>
      <x:c r="B8" s="7" t="str">
        <x:v>Approche de l’installation — intentions de conversation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Échanges de méthode qui donnent de l’initiative à Cerulean.</x:v>
      </x:c>
      <x:c r="G8" s="7" t="str">
        <x:v>Préserver le thème « aventure artificielle assumée »; échanges nouveaux, sans recopier les bulles.</x:v>
      </x:c>
      <x:c r="H8" s="7" t="str">
        <x:v>Proposer questions de contexte, reformulation et fin de conversation; les informations nécessaires restent accessibles après une réponse sceptique.</x:v>
      </x:c>
      <x:c r="I8" s="7" t="str">
        <x:v>Portraits sobres avec locuteur et destinataire; encart distinct si l’information est un soupçon.</x:v>
      </x:c>
      <x:c r="J8" s="7" t="str">
        <x:v>Entrée prudente, geste d'inspection et retour au contrôle pour « Approche de l’installation »; poser les sprites avant tout changement de caméra.</x:v>
      </x:c>
      <x:c r="K8" s="7" t="str">
        <x:v>Dialogue original à écrire; texte intégral accessible, avance manuelle et rappel des locuteurs.</x:v>
      </x:c>
      <x:c r="L8" s="7" t="str">
        <x:v>Arbre proposé BLA/ISLAND/dialogue; séparer ce qui est su, ce qui est affirmé et ce qui reste caché au joueur.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lecteur peut identifier le locuteur, son but et le niveau de certitude; aucune phrase du comic n’est reproduite comme dialogue final.</x:v>
      </x:c>
      <x:c r="O8" s="7" t="str">
        <x:v>BLA-SC-ISLAND-MAIN</x:v>
      </x:c>
      <x:c r="P8" s="7" t="str">
        <x:v>Écriture originale à partir des thèmes, sans transcrire les bulles.</x:v>
      </x:c>
      <x:c r="Q8" s="7" t="str"/>
      <x:c r="R8" s="21" t="str"/>
      <x:c r="S8" s="21" t="str"/>
    </x:row>
    <x:row r="9" ht="54" customHeight="1">
      <x:c r="A9" s="18" t="str">
        <x:v>BLA-SC-TIME-DIA</x:v>
      </x:c>
      <x:c r="B9" s="9" t="str">
        <x:v>Dispositif temporel de film — intentions de conversation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Kronus s’affirme; Cerulean démontre sa capacité par action, sans monologue copié.</x:v>
      </x:c>
      <x:c r="G9" s="9" t="str">
        <x:v>Préserver le thème « partenaire sous-estimée »; échanges nouveaux, sans recopier les bulles.</x:v>
      </x:c>
      <x:c r="H9" s="9" t="str">
        <x:v>Proposer questions de contexte, reformulation et fin de conversation; les informations nécessaires restent accessibles après une réponse sceptique.</x:v>
      </x:c>
      <x:c r="I9" s="9" t="str">
        <x:v>Portraits sobres avec locuteur et destinataire; encart distinct si l’information est un soupçon.</x:v>
      </x:c>
      <x:c r="J9" s="9" t="str">
        <x:v>Entrée prudente, geste d'inspection et retour au contrôle pour « Dispositif temporel de film »; poser les sprites avant tout changement de caméra.</x:v>
      </x:c>
      <x:c r="K9" s="9" t="str">
        <x:v>Dialogue original à écrire; texte intégral accessible, avance manuelle et rappel des locuteurs.</x:v>
      </x:c>
      <x:c r="L9" s="9" t="str">
        <x:v>Arbre proposé BLA/TIME/dialogue; séparer ce qui est su, ce qui est affirmé et ce qui reste caché au joueur.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Le lecteur peut identifier le locuteur, son but et le niveau de certitude; aucune phrase du comic n’est reproduite comme dialogue final.</x:v>
      </x:c>
      <x:c r="O9" s="9" t="str">
        <x:v>BLA-SC-TIME-MAIN</x:v>
      </x:c>
      <x:c r="P9" s="9" t="str">
        <x:v>Écriture originale à partir des thèmes, sans transcrire les bulles.</x:v>
      </x:c>
      <x:c r="Q9" s="9" t="str"/>
      <x:c r="R9" s="20" t="str"/>
      <x:c r="S9" s="20" t="str"/>
    </x:row>
    <x:row r="10" ht="54" customHeight="1">
      <x:c r="A10" s="19" t="str">
        <x:v>BLA-SC-ESCAPE-DIA</x:v>
      </x:c>
      <x:c r="B10" s="7" t="str">
        <x:v>Sortie de film — intentions de conversation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Remerciements et connivence en formulation originale, sans imposer de contenu sexuel.</x:v>
      </x:c>
      <x:c r="G10" s="7" t="str">
        <x:v>Préserver le thème « reconnaissance du partenariat »; échanges nouveaux, sans recopier les bulles.</x:v>
      </x:c>
      <x:c r="H10" s="7" t="str">
        <x:v>Proposer questions de contexte, reformulation et fin de conversation; les informations nécessaires restent accessibles après une réponse sceptique.</x:v>
      </x:c>
      <x:c r="I10" s="7" t="str">
        <x:v>Portraits sobres avec locuteur et destinataire; encart distinct si l’information est un soupçon.</x:v>
      </x:c>
      <x:c r="J10" s="7" t="str">
        <x:v>Entrée prudente, geste d'inspection et retour au contrôle pour « Sortie de film »; poser les sprites avant tout changement de caméra.</x:v>
      </x:c>
      <x:c r="K10" s="7" t="str">
        <x:v>Dialogue original à écrire; texte intégral accessible, avance manuelle et rappel des locuteurs.</x:v>
      </x:c>
      <x:c r="L10" s="7" t="str">
        <x:v>Arbre proposé BLA/ESCAPE/dialogue; séparer ce qui est su, ce qui est affirmé et ce qui reste caché au joueur.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Le lecteur peut identifier le locuteur, son but et le niveau de certitude; aucune phrase du comic n’est reproduite comme dialogue final.</x:v>
      </x:c>
      <x:c r="O10" s="7" t="str">
        <x:v>BLA-SC-ESCAPE-MAIN</x:v>
      </x:c>
      <x:c r="P10" s="7" t="str">
        <x:v>Écriture originale à partir des thèmes, sans transcrire les bulles.</x:v>
      </x:c>
      <x:c r="Q10" s="7" t="str"/>
      <x:c r="R10" s="21" t="str"/>
      <x:c r="S10" s="21" t="str"/>
    </x:row>
  </x:sheetData>
  <x:conditionalFormatting sqref="D7:D10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10">
    <x:cfRule type="cellIs" dxfId="50" priority="3" operator="equal">
      <x:formula>"Validé"</x:formula>
    </x:cfRule>
  </x:conditionalFormatting>
  <x:conditionalFormatting sqref="E7:E10">
    <x:cfRule type="cellIs" dxfId="5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c9db3d5ea44d6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BLA-SC-BRIEF-CINE</x:v>
      </x:c>
      <x:c r="B7" s="9" t="str">
        <x:v>Briefing du duo de cinéma — raccord mis en scène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Présentation de chaque silhouette en plein pied puis plan partagé.</x:v>
      </x:c>
      <x:c r="G7" s="9" t="str">
        <x:v>Carton film → briefing → présentation de la partenaire → destination.</x:v>
      </x:c>
      <x:c r="H7" s="9" t="str"/>
      <x:c r="I7" s="9" t="str">
        <x:v>Bureau clair, dossier central et badge permanent film.</x:v>
      </x:c>
      <x:c r="J7" s="9" t="str">
        <x:v>Entrée prudente, geste d'inspection et retour au contrôle pour « Briefing du duo de cinéma »; poser les sprites avant tout changement de caméra.</x:v>
      </x:c>
      <x:c r="K7" s="9" t="str">
        <x:v>Thème d’aventure original avec une ponctuation humoristique.</x:v>
      </x:c>
      <x:c r="L7" s="9" t="str">
        <x:v>Séquence proposée BLA/BRIEF/cinematic; mise à jour des états avant restitution du contrôle; bouton passer et relecture séparés.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La version passée et la version regardée aboutissent au même placement, inventaire et objectif; les sous-titres ne sont pas coupés.</x:v>
      </x:c>
      <x:c r="O7" s="9" t="str">
        <x:v>BLA-SC-BRIEF-MAIN</x:v>
      </x:c>
      <x:c r="P7" s="9" t="str">
        <x:v>Découpage original pour sprites 2D sur décor 3D.</x:v>
      </x:c>
      <x:c r="Q7" s="9" t="str"/>
      <x:c r="R7" s="20" t="str"/>
      <x:c r="S7" s="20" t="str"/>
    </x:row>
    <x:row r="8" ht="54" customHeight="1">
      <x:c r="A8" s="19" t="str">
        <x:v>BLA-SC-ISLAND-CINE</x:v>
      </x:c>
      <x:c r="B8" s="7" t="str">
        <x:v>Approche de l’installation — raccord mis en scène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large de l’île puis entrée au ras du sol avec Blasto flottant.</x:v>
      </x:c>
      <x:c r="G8" s="7" t="str">
        <x:v>Arrivée → observation du site → patrouille proposée → accès.</x:v>
      </x:c>
      <x:c r="H8" s="7" t="str"/>
      <x:c r="I8" s="7" t="str">
        <x:v>Eau claire, rochers et façade de laboratoire à silhouette simple.</x:v>
      </x:c>
      <x:c r="J8" s="7" t="str">
        <x:v>Entrée prudente, geste d'inspection et retour au contrôle pour « Approche de l’installation »; poser les sprites avant tout changement de caméra.</x:v>
      </x:c>
      <x:c r="K8" s="7" t="str">
        <x:v>Vagues et motif léger de suspense original.</x:v>
      </x:c>
      <x:c r="L8" s="7" t="str">
        <x:v>Séquence proposée BLA/ISLAND/cinematic; mise à jour des états avant restitution du contrôle; bouton passer et relecture séparés.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La version passée et la version regardée aboutissent au même placement, inventaire et objectif; les sous-titres ne sont pas coupés.</x:v>
      </x:c>
      <x:c r="O8" s="7" t="str">
        <x:v>BLA-SC-ISLAND-MAIN</x:v>
      </x:c>
      <x:c r="P8" s="7" t="str">
        <x:v>Découpage original pour sprites 2D sur décor 3D.</x:v>
      </x:c>
      <x:c r="Q8" s="7" t="str"/>
      <x:c r="R8" s="21" t="str"/>
      <x:c r="S8" s="21" t="str"/>
    </x:row>
    <x:row r="9" ht="54" customHeight="1">
      <x:c r="A9" s="18" t="str">
        <x:v>BLA-SC-TIME-CINE</x:v>
      </x:c>
      <x:c r="B9" s="9" t="str">
        <x:v>Dispositif temporel de film — raccord mis en scène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Plan large conservant l’allié immobilisé et la commande dans le même espace.</x:v>
      </x:c>
      <x:c r="G9" s="9" t="str">
        <x:v>Confrontation → immobilisation fixée → commande de Cerulean → reprise du duo.</x:v>
      </x:c>
      <x:c r="H9" s="9" t="str"/>
      <x:c r="I9" s="9" t="str">
        <x:v>Anneaux mécaniques stylisés et points de contrôle lisibles.</x:v>
      </x:c>
      <x:c r="J9" s="9" t="str">
        <x:v>Entrée prudente, geste d'inspection et retour au contrôle pour « Dispositif temporel de film »; poser les sprites avant tout changement de caméra.</x:v>
      </x:c>
      <x:c r="K9" s="9" t="str">
        <x:v>Son tenu filtré et retour net lors de la reprise.</x:v>
      </x:c>
      <x:c r="L9" s="9" t="str">
        <x:v>Séquence proposée BLA/TIME/cinematic; mise à jour des états avant restitution du contrôle; bouton passer et relecture séparés.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La version passée et la version regardée aboutissent au même placement, inventaire et objectif; les sous-titres ne sont pas coupés.</x:v>
      </x:c>
      <x:c r="O9" s="9" t="str">
        <x:v>BLA-SC-TIME-MAIN</x:v>
      </x:c>
      <x:c r="P9" s="9" t="str">
        <x:v>Découpage original pour sprites 2D sur décor 3D.</x:v>
      </x:c>
      <x:c r="Q9" s="9" t="str"/>
      <x:c r="R9" s="20" t="str"/>
      <x:c r="S9" s="20" t="str"/>
    </x:row>
    <x:row r="10" ht="54" customHeight="1">
      <x:c r="A10" s="19" t="str">
        <x:v>BLA-SC-ESCAPE-CINE</x:v>
      </x:c>
      <x:c r="B10" s="7" t="str">
        <x:v>Sortie de film — raccord mis en scène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Silhouettes devant l’installation puis plan calme sur le rivage; explosion stylisée en arrière-plan.</x:v>
      </x:c>
      <x:c r="G10" s="7" t="str">
        <x:v>Alerte → route préparée → franchissement → fin de film.</x:v>
      </x:c>
      <x:c r="H10" s="7" t="str"/>
      <x:c r="I10" s="7" t="str">
        <x:v>Littoral ouvert et espace clair autour du duo.</x:v>
      </x:c>
      <x:c r="J10" s="7" t="str">
        <x:v>Entrée prudente, geste d'inspection et retour au contrôle pour « Sortie de film »; poser les sprites avant tout changement de caméra.</x:v>
      </x:c>
      <x:c r="K10" s="7" t="str">
        <x:v>Point culminant musical original puis vagues.</x:v>
      </x:c>
      <x:c r="L10" s="7" t="str">
        <x:v>Séquence proposée BLA/ESCAPE/cinematic; mise à jour des états avant restitution du contrôle; bouton passer et relecture séparés.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La version passée et la version regardée aboutissent au même placement, inventaire et objectif; les sous-titres ne sont pas coupés.</x:v>
      </x:c>
      <x:c r="O10" s="7" t="str">
        <x:v>BLA-SC-ESCAPE-MAIN</x:v>
      </x:c>
      <x:c r="P10" s="7" t="str">
        <x:v>Découpage original pour sprites 2D sur décor 3D.</x:v>
      </x:c>
      <x:c r="Q10" s="7" t="str"/>
      <x:c r="R10" s="21" t="str"/>
      <x:c r="S10" s="21" t="str"/>
    </x:row>
  </x:sheetData>
  <x:conditionalFormatting sqref="D7:D10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10">
    <x:cfRule type="cellIs" dxfId="54" priority="3" operator="equal">
      <x:formula>"Validé"</x:formula>
    </x:cfRule>
  </x:conditionalFormatting>
  <x:conditionalFormatting sqref="E7:E10">
    <x:cfRule type="cellIs" dxfId="5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e2561b7ebb436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BLA-KIT-TENTACLE</x:v>
      </x:c>
      <x:c r="B7" s="9" t="str">
        <x:v>Armes de tentacule — profils de film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Arsenal de spectacle proposé pour Blasto.</x:v>
      </x:c>
      <x:c r="G7" s="9" t="str">
        <x:v>Animer plusieurs prises sans illisibilité.</x:v>
      </x:c>
      <x:c r="H7" s="9" t="str">
        <x:v>Résoudre les tirs successivement; une arme active par événement visuel, coûts regroupés.</x:v>
      </x:c>
      <x:c r="I7" s="9" t="str">
        <x:v>Silhouettes compactes, mains/tentacules séparés.</x:v>
      </x:c>
      <x:c r="J7" s="9" t="str">
        <x:v>Visée de chaque appendice à tour de rôle.</x:v>
      </x:c>
      <x:c r="K7" s="9" t="str">
        <x:v>Confirmation audiovisuelle originale, doublée d’un libellé.</x:v>
      </x:c>
      <x:c r="L7" s="9" t="str">
        <x:v>Spécification de ressource BLA/kit/TENTACLE; données séparées du moteur, interface de coût et états d'épuisement prévus.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joueur identifie chaque cible et chaque tir.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  <x:row r="8" ht="54" customHeight="1">
      <x:c r="A8" s="19" t="str">
        <x:v>BLA-KIT-CERULEAN</x:v>
      </x:c>
      <x:c r="B8" s="7" t="str">
        <x:v>Arme de Cerulean — profil proposé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Arme de partenaire à contrôler sur référence.</x:v>
      </x:c>
      <x:c r="G8" s="7" t="str">
        <x:v>Donner une commande précise complémentaire.</x:v>
      </x:c>
      <x:c r="H8" s="7" t="str">
        <x:v>Tir d’interruption local, pas dégât identique à toutes les salves de Blasto.</x:v>
      </x:c>
      <x:c r="I8" s="7" t="str">
        <x:v>Profil fin et contraste bleu.</x:v>
      </x:c>
      <x:c r="J8" s="7" t="str">
        <x:v>Visée, interruption et rangement.</x:v>
      </x:c>
      <x:c r="K8" s="7" t="str">
        <x:v>Confirmation audiovisuelle originale, doublée d’un libellé.</x:v>
      </x:c>
      <x:c r="L8" s="7" t="str">
        <x:v>Spécification de ressource BLA/kit/CERULEAN; données séparées du moteur, interface de coût et états d'épuisement prévus.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L’attaque n’empêche pas l’action d’accès du personnage par erreur.</x:v>
      </x:c>
      <x:c r="O8" s="7" t="str"/>
      <x:c r="P8" s="7" t="str">
        <x:v>Création de gameplay et direction visuelle originales; modèle exact à vérifier si une arme source est évoquée.</x:v>
      </x:c>
      <x:c r="Q8" s="7" t="str"/>
      <x:c r="R8" s="21" t="str"/>
      <x:c r="S8" s="21" t="str"/>
    </x:row>
  </x:sheetData>
  <x:conditionalFormatting sqref="D7:D8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8">
    <x:cfRule type="cellIs" dxfId="58" priority="3" operator="equal">
      <x:formula>"Validé"</x:formula>
    </x:cfRule>
  </x:conditionalFormatting>
  <x:conditionalFormatting sqref="E7:E8">
    <x:cfRule type="cellIs" dxfId="5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7d38521b7c4e9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BLA-KIT-FILM</x:v>
      </x:c>
      <x:c r="B7" s="9" t="str">
        <x:v>Cadre de fiction diégétique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Marquage d’interface original et obligatoire.</x:v>
      </x:c>
      <x:c r="G7" s="9" t="str">
        <x:v>Empêcher les transferts de continuité.</x:v>
      </x:c>
      <x:c r="H7" s="9" t="str">
        <x:v>Journal, inventaire et sauvegarde portent la clé film; export de ressources désactivé.</x:v>
      </x:c>
      <x:c r="I7" s="9" t="str">
        <x:v>Badge film en texte et icône.</x:v>
      </x:c>
      <x:c r="J7" s="9" t="str">
        <x:v>Carton statique ou fondu court.</x:v>
      </x:c>
      <x:c r="K7" s="9" t="str">
        <x:v>Confirmation audiovisuelle originale, doublée d’un libellé.</x:v>
      </x:c>
      <x:c r="L7" s="9" t="str">
        <x:v>Spécification de ressource BLA/kit/FILM; données séparées du moteur, interface de coût et états d'épuisement prévus.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Quitter le film restitue exactement l’état de la campagne précédente.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</x:sheetData>
  <x:conditionalFormatting sqref="D7:D7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7">
    <x:cfRule type="cellIs" dxfId="62" priority="3" operator="equal">
      <x:formula>"Validé"</x:formula>
    </x:cfRule>
  </x:conditionalFormatting>
  <x:conditionalFormatting sqref="E7:E7">
    <x:cfRule type="cellIs" dxfId="63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cd70417a934ce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BLA-KIT-TIME</x:v>
      </x:c>
      <x:c r="B7" s="9" t="str">
        <x:v>Temps figé — effet local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Règle de spectacle propre au dispositif fictif.</x:v>
      </x:c>
      <x:c r="G7" s="9" t="str">
        <x:v>Créer un relais de contrôle entre partenaires.</x:v>
      </x:c>
      <x:c r="H7" s="9" t="str">
        <x:v>Geler un acteur explicitement, laisser commandes et accessibilité actives; libération par objectif de scène.</x:v>
      </x:c>
      <x:c r="I7" s="9" t="str">
        <x:v>Contour immobile et statut figé.</x:v>
      </x:c>
      <x:c r="J7" s="9" t="str">
        <x:v>Pas d’animation cachée d’attaque pendant le gel.</x:v>
      </x:c>
      <x:c r="K7" s="9" t="str">
        <x:v>Confirmation audiovisuelle originale, doublée d’un libellé.</x:v>
      </x:c>
      <x:c r="L7" s="9" t="str">
        <x:v>Spécification de ressource BLA/kit/TIME; données séparées du moteur, interface de coût et états d'épuisement prévus.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Aucun acteur n’agit involontairement pendant l’état et aucune règle n’est exportée hors du film.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</x:sheetData>
  <x:conditionalFormatting sqref="D7:D7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7">
    <x:cfRule type="cellIs" dxfId="66" priority="3" operator="equal">
      <x:formula>"Validé"</x:formula>
    </x:cfRule>
  </x:conditionalFormatting>
  <x:conditionalFormatting sqref="E7:E7">
    <x:cfRule type="cellIs" dxfId="6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6087b7084425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BLA-ALLY-BLASTO</x:v>
      </x:c>
      <x:c r="B7" s="9" t="str">
        <x:v>Salve chorégraphiée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de groupe originale pour Blasto.</x:v>
      </x:c>
      <x:c r="G7" s="9" t="str">
        <x:v>Héros de film au style exagéré; mobilité de tentacules lisible en sprite.</x:v>
      </x:c>
      <x:c r="H7" s="9" t="str">
        <x:v>Proposition : répartir une action sur des cibles déjà marquées; le nombre de tentacules visibles ne multiplie pas automatiquement les dégâts.</x:v>
      </x:c>
      <x:c r="I7" s="9" t="str">
        <x:v>Marques séquentielles et annonce de la cible suivante.</x:v>
      </x:c>
      <x:c r="J7" s="9" t="str">
        <x:v>Flottement, gestes multiples successifs plutôt que superposés, pose héroïque et immobilisation.</x:v>
      </x:c>
      <x:c r="K7" s="9" t="str">
        <x:v>Confirmation courte doublée d’un pictogramme; événement silencieux visible dans le journal de combat.</x:v>
      </x:c>
      <x:c r="L7" s="9" t="str">
        <x:v>Commande ATB proposée BLA/BLASTO/assist; résoudre cible, coût proposé, contre-mesure et annulation avant les dégâts.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La commande indique son coût avant validation, échoue proprement si la cible devient invalide et ne déclenche pas une action canon supplémentaire.</x:v>
      </x:c>
      <x:c r="O7" s="9" t="str">
        <x:v>BLA-ACT-BLASTO, BLA-ANI-BLASTO</x:v>
      </x:c>
      <x:c r="P7" s="9" t="str">
        <x:v>Adaptation originale du rôle; pas un pouvoir officiel du comic.</x:v>
      </x:c>
      <x:c r="Q7" s="9" t="str"/>
      <x:c r="R7" s="20" t="str"/>
      <x:c r="S7" s="20" t="str"/>
    </x:row>
    <x:row r="8" ht="54" customHeight="1">
      <x:c r="A8" s="19" t="str">
        <x:v>BLA-ALLY-CERULEAN</x:v>
      </x:c>
      <x:c r="B8" s="7" t="str">
        <x:v>Retour de scène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de groupe originale pour Cerulean Star.</x:v>
      </x:c>
      <x:c r="G8" s="7" t="str">
        <x:v>Partenaire active; accès techniques et sauvetage de scène sans rôle purement décoratif.</x:v>
      </x:c>
      <x:c r="H8" s="7" t="str">
        <x:v>Proposition : libérer un partenaire immobilisé en atteignant le point de contrôle annoncé; action ciblée, pas dissipation universelle.</x:v>
      </x:c>
      <x:c r="I8" s="7" t="str">
        <x:v>Lien visuel entre commande et partenaire.</x:v>
      </x:c>
      <x:c r="J8" s="7" t="str">
        <x:v>Inspection de console, esquive, coup bref et reprise en garde.</x:v>
      </x:c>
      <x:c r="K8" s="7" t="str">
        <x:v>Confirmation courte doublée d’un pictogramme; événement silencieux visible dans le journal de combat.</x:v>
      </x:c>
      <x:c r="L8" s="7" t="str">
        <x:v>Commande ATB proposée BLA/CERULEAN/assist; résoudre cible, coût proposé, contre-mesure et annulation avant les dégâts.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La commande indique son coût avant validation, échoue proprement si la cible devient invalide et ne déclenche pas une action canon supplémentaire.</x:v>
      </x:c>
      <x:c r="O8" s="7" t="str">
        <x:v>BLA-ACT-CERULEAN, BLA-ANI-CERULEAN</x:v>
      </x:c>
      <x:c r="P8" s="7" t="str">
        <x:v>Adaptation originale du rôle; pas un pouvoir officiel du comic.</x:v>
      </x:c>
      <x:c r="Q8" s="7" t="str"/>
      <x:c r="R8" s="21" t="str"/>
      <x:c r="S8" s="21" t="str"/>
    </x:row>
  </x:sheetData>
  <x:conditionalFormatting sqref="D7:D8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8">
    <x:cfRule type="cellIs" dxfId="70" priority="3" operator="equal">
      <x:formula>"Validé"</x:formula>
    </x:cfRule>
  </x:conditionalFormatting>
  <x:conditionalFormatting sqref="E7:E8">
    <x:cfRule type="cellIs" dxfId="7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f29036f3b2449d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BLA-EN-GUARDS-M1</x:v>
      </x:c>
      <x:c r="B7" s="9" t="str">
        <x:v>Charge annoncée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Pattern original de spectacle.</x:v>
      </x:c>
      <x:c r="G7" s="9" t="str">
        <x:v>Opposition d’action volontairement stylisée.</x:v>
      </x:c>
      <x:c r="H7" s="9" t="str">
        <x:v>Esquive latérale ou interruption du duo; anticipation généreuse.</x:v>
      </x:c>
      <x:c r="I7" s="9" t="str">
        <x:v>Large flèche au sol.</x:v>
      </x:c>
      <x:c r="J7" s="9" t="str">
        <x:v>Pose d’anticipation exagérée et récupération visible.</x:v>
      </x:c>
      <x:c r="K7" s="9" t="str">
        <x:v>Impacts originaux au ton cinéma.</x:v>
      </x:c>
      <x:c r="L7" s="9" t="str">
        <x:v>Action proposée BLA/GUARDS/1; étapes annonce → attente ATB → validation cible → résolution; annulation explicite si neutralisé.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joueur peut reconnaître la préparation et employer la contre-mesure avant la résolution; aucune attaque invisible ou imparable hors séquence annoncée.</x:v>
      </x:c>
      <x:c r="O7" s="9" t="str">
        <x:v>BLA-EN-GUARDS</x:v>
      </x:c>
      <x:c r="P7" s="9" t="str">
        <x:v>Pattern original; pas de valeur numérique canon.</x:v>
      </x:c>
      <x:c r="Q7" s="9" t="str"/>
      <x:c r="R7" s="20" t="str"/>
      <x:c r="S7" s="20" t="str"/>
    </x:row>
    <x:row r="8" ht="54" customHeight="1">
      <x:c r="A8" s="19" t="str">
        <x:v>BLA-EN-GUARDS-M2</x:v>
      </x:c>
      <x:c r="B8" s="7" t="str">
        <x:v>Blocage d’accès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Pattern original de garde.</x:v>
      </x:c>
      <x:c r="G8" s="7" t="str">
        <x:v>Opposition d’action volontairement stylisée.</x:v>
      </x:c>
      <x:c r="H8" s="7" t="str">
        <x:v>Divertir un garde permet de libérer l’accès.</x:v>
      </x:c>
      <x:c r="I8" s="7" t="str">
        <x:v>Zone de passage occupée.</x:v>
      </x:c>
      <x:c r="J8" s="7" t="str">
        <x:v>Pose d’anticipation exagérée et récupération visible.</x:v>
      </x:c>
      <x:c r="K8" s="7" t="str">
        <x:v>Impacts originaux au ton cinéma.</x:v>
      </x:c>
      <x:c r="L8" s="7" t="str">
        <x:v>Action proposée BLA/GUARDS/2; étapes annonce → attente ATB → validation cible → résolution; annulation explicite si neutralisé.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joueur peut reconnaître la préparation et employer la contre-mesure avant la résolution; aucune attaque invisible ou imparable hors séquence annoncée.</x:v>
      </x:c>
      <x:c r="O8" s="7" t="str">
        <x:v>BLA-EN-GUARDS</x:v>
      </x:c>
      <x:c r="P8" s="7" t="str">
        <x:v>Pattern original; pas de valeur numérique canon.</x:v>
      </x:c>
      <x:c r="Q8" s="7" t="str"/>
      <x:c r="R8" s="21" t="str"/>
      <x:c r="S8" s="21" t="str"/>
    </x:row>
    <x:row r="9" ht="54" customHeight="1">
      <x:c r="A9" s="18" t="str">
        <x:v>BLA-EN-KRONUS-FIGHT-M1</x:v>
      </x:c>
      <x:c r="B9" s="9" t="str">
        <x:v>Gel de scène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Pattern original d’immobilisation.</x:v>
      </x:c>
      <x:c r="G9" s="9" t="str">
        <x:v>Boss à gimmick local, pas technologie globale.</x:v>
      </x:c>
      <x:c r="H9" s="9" t="str">
        <x:v>Annonce puis transfert de contrôle au partenaire; aucune durée interminable sans action.</x:v>
      </x:c>
      <x:c r="I9" s="9" t="str">
        <x:v>Contour figé et portrait partenaire actif.</x:v>
      </x:c>
      <x:c r="J9" s="9" t="str">
        <x:v>Activation ample, rire visuel sans réplique copiée et recul.</x:v>
      </x:c>
      <x:c r="K9" s="9" t="str">
        <x:v>Signal de dispositif distinct des tirs.</x:v>
      </x:c>
      <x:c r="L9" s="9" t="str">
        <x:v>Action proposée BLA/KRONUS-FIGHT/1; étapes annonce → attente ATB → validation cible → résolution; annulation explicite si neutralisé.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Le joueur peut reconnaître la préparation et employer la contre-mesure avant la résolution; aucune attaque invisible ou imparable hors séquence annoncée.</x:v>
      </x:c>
      <x:c r="O9" s="9" t="str">
        <x:v>BLA-EN-KRONUS-FIGHT</x:v>
      </x:c>
      <x:c r="P9" s="9" t="str">
        <x:v>Pattern original; pas de valeur numérique canon.</x:v>
      </x:c>
      <x:c r="Q9" s="9" t="str"/>
      <x:c r="R9" s="20" t="str"/>
      <x:c r="S9" s="20" t="str"/>
    </x:row>
    <x:row r="10" ht="54" customHeight="1">
      <x:c r="A10" s="19" t="str">
        <x:v>BLA-EN-KRONUS-FIGHT-M2</x:v>
      </x:c>
      <x:c r="B10" s="7" t="str">
        <x:v>Surcharge de décor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Pattern original de fin.</x:v>
      </x:c>
      <x:c r="G10" s="7" t="str">
        <x:v>Boss à gimmick local, pas technologie globale.</x:v>
      </x:c>
      <x:c r="H10" s="7" t="str">
        <x:v>Marquer deux zones dangereuses et une sortie; pause possible.</x:v>
      </x:c>
      <x:c r="I10" s="7" t="str">
        <x:v>Cases rayées et sortie nommée.</x:v>
      </x:c>
      <x:c r="J10" s="7" t="str">
        <x:v>Activation ample, rire visuel sans réplique copiée et recul.</x:v>
      </x:c>
      <x:c r="K10" s="7" t="str">
        <x:v>Signal de dispositif distinct des tirs.</x:v>
      </x:c>
      <x:c r="L10" s="7" t="str">
        <x:v>Action proposée BLA/KRONUS-FIGHT/2; étapes annonce → attente ATB → validation cible → résolution; annulation explicite si neutralisé.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Le joueur peut reconnaître la préparation et employer la contre-mesure avant la résolution; aucune attaque invisible ou imparable hors séquence annoncée.</x:v>
      </x:c>
      <x:c r="O10" s="7" t="str">
        <x:v>BLA-EN-KRONUS-FIGHT</x:v>
      </x:c>
      <x:c r="P10" s="7" t="str">
        <x:v>Pattern original; pas de valeur numérique canon.</x:v>
      </x:c>
      <x:c r="Q10" s="7" t="str"/>
      <x:c r="R10" s="21" t="str"/>
      <x:c r="S10" s="21" t="str"/>
    </x:row>
  </x:sheetData>
  <x:conditionalFormatting sqref="D7:D10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0">
    <x:cfRule type="cellIs" dxfId="74" priority="3" operator="equal">
      <x:formula>"Validé"</x:formula>
    </x:cfRule>
  </x:conditionalFormatting>
  <x:conditionalFormatting sqref="E7:E10">
    <x:cfRule type="cellIs" dxfId="7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bcbcb2a5544cc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82" customHeight="1">
      <x:c r="A7" s="18" t="str">
        <x:v>BLA-ANI-BLASTO</x:v>
      </x:c>
      <x:c r="B7" s="9" t="str">
        <x:v>Blasto — jeu de poses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Définir les transitions propres au rôle de Blasto.</x:v>
      </x:c>
      <x:c r="G7" s="9" t="str">
        <x:v>Héros de film au style exagéré; mobilité de tentacules lisible en sprite.</x:v>
      </x:c>
      <x:c r="H7" s="9" t="str"/>
      <x:c r="I7" s="9" t="str">
        <x:v>Corps hanari flottant, tentacules espacés et accessoires d’action proposés; référence exacte à contrôler.</x:v>
      </x:c>
      <x:c r="J7" s="9" t="str">
        <x:v>Flottement, gestes multiples successifs plutôt que superposés, pose héroïque et immobilisation. Décomposer anticipation, action, retour et interruption; garder un état neutre utilisable après une cinématique sautée.</x:v>
      </x:c>
      <x:c r="K7" s="9" t="str">
        <x:v>Associer les contacts de sol ou de siège à des événements; éviter le bruitage répété sur une pose tenue.</x:v>
      </x:c>
      <x:c r="L7" s="9" t="str">
        <x:v>Table d'animation prévue BLA/BLASTO; paramètres direction, locomotion, accessoire et interruption.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Un enchaînement déplacement → interaction → interruption → reprise conserve le pivot et les accessoires de Blasto.</x:v>
      </x:c>
      <x:c r="O7" s="9" t="str">
        <x:v>BLA-ACT-BLASTO, BLA-SPR-BLASTO</x:v>
      </x:c>
      <x:c r="P7" s="9" t="str">
        <x:v>Conception originale, aucune cadence extraite du comic.</x:v>
      </x:c>
      <x:c r="Q7" s="9" t="str"/>
      <x:c r="R7" s="20" t="str"/>
      <x:c r="S7" s="20" t="str"/>
    </x:row>
    <x:row r="8" ht="68" customHeight="1">
      <x:c r="A8" s="19" t="str">
        <x:v>BLA-ANI-CERULEAN</x:v>
      </x:c>
      <x:c r="B8" s="7" t="str">
        <x:v>Cerulean Star — jeu de poses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Définir les transitions propres au rôle de Cerulean Star.</x:v>
      </x:c>
      <x:c r="G8" s="7" t="str">
        <x:v>Partenaire active; accès techniques et sauvetage de scène sans rôle purement décoratif.</x:v>
      </x:c>
      <x:c r="H8" s="7" t="str"/>
      <x:c r="I8" s="7" t="str">
        <x:v>Asari de cinéma, costume fonctionnel et accents bleu profond à contrôler.</x:v>
      </x:c>
      <x:c r="J8" s="7" t="str">
        <x:v>Inspection de console, esquive, coup bref et reprise en garde. Décomposer anticipation, action, retour et interruption; garder un état neutre utilisable après une cinématique sautée.</x:v>
      </x:c>
      <x:c r="K8" s="7" t="str">
        <x:v>Associer les contacts de sol ou de siège à des événements; éviter le bruitage répété sur une pose tenue.</x:v>
      </x:c>
      <x:c r="L8" s="7" t="str">
        <x:v>Table d'animation prévue BLA/CERULEAN; paramètres direction, locomotion, accessoire et interruption.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Un enchaînement déplacement → interaction → interruption → reprise conserve le pivot et les accessoires de Cerulean Star.</x:v>
      </x:c>
      <x:c r="O8" s="7" t="str">
        <x:v>BLA-ACT-CERULEAN, BLA-SPR-CERULEAN</x:v>
      </x:c>
      <x:c r="P8" s="7" t="str">
        <x:v>Conception originale, aucune cadence extraite du comic.</x:v>
      </x:c>
      <x:c r="Q8" s="7" t="str"/>
      <x:c r="R8" s="21" t="str"/>
      <x:c r="S8" s="21" t="str"/>
    </x:row>
    <x:row r="9" ht="68" customHeight="1">
      <x:c r="A9" s="18" t="str">
        <x:v>BLA-ANI-KRONUS</x:v>
      </x:c>
      <x:c r="B9" s="9" t="str">
        <x:v>Kronus — jeu de poses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Définir les transitions propres au rôle de Kronus.</x:v>
      </x:c>
      <x:c r="G9" s="9" t="str">
        <x:v>Boss local de mise en scène; arrogance et dispositif à contre-mesures.</x:v>
      </x:c>
      <x:c r="H9" s="9" t="str"/>
      <x:c r="I9" s="9" t="str">
        <x:v>Krogan avec équipement de contrôle à vérifier; silhouette massive et geste ample.</x:v>
      </x:c>
      <x:c r="J9" s="9" t="str">
        <x:v>Présentation, activation d’un dispositif et recul théâtral. Décomposer anticipation, action, retour et interruption; garder un état neutre utilisable après une cinématique sautée.</x:v>
      </x:c>
      <x:c r="K9" s="9" t="str">
        <x:v>Associer les contacts de sol ou de siège à des événements; éviter le bruitage répété sur une pose tenue.</x:v>
      </x:c>
      <x:c r="L9" s="9" t="str">
        <x:v>Table d'animation prévue BLA/KRONUS; paramètres direction, locomotion, accessoire et interruption.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Un enchaînement déplacement → interaction → interruption → reprise conserve le pivot et les accessoires de Kronus.</x:v>
      </x:c>
      <x:c r="O9" s="9" t="str">
        <x:v>BLA-ACT-KRONUS, BLA-SPR-KRONUS</x:v>
      </x:c>
      <x:c r="P9" s="9" t="str">
        <x:v>Conception originale, aucune cadence extraite du comic.</x:v>
      </x:c>
      <x:c r="Q9" s="9" t="str"/>
      <x:c r="R9" s="20" t="str"/>
      <x:c r="S9" s="20" t="str"/>
    </x:row>
    <x:row r="10" ht="68" customHeight="1">
      <x:c r="A10" s="19" t="str">
        <x:v>BLA-ANI-HANDLER</x:v>
      </x:c>
      <x:c r="B10" s="7" t="str">
        <x:v>Interlocuteur turien de Blasto — jeu de poses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Définir les transitions propres au rôle de Interlocuteur turien de Blasto.</x:v>
      </x:c>
      <x:c r="G10" s="7" t="str">
        <x:v>Briefing de cinéma; aucun nom propre inventé.</x:v>
      </x:c>
      <x:c r="H10" s="7" t="str"/>
      <x:c r="I10" s="7" t="str">
        <x:v>Tenue institutionnelle stylisée et fond de bureau dépouillé.</x:v>
      </x:c>
      <x:c r="J10" s="7" t="str">
        <x:v>Remise de dossier et geste de conclusion. Décomposer anticipation, action, retour et interruption; garder un état neutre utilisable après une cinématique sautée.</x:v>
      </x:c>
      <x:c r="K10" s="7" t="str">
        <x:v>Associer les contacts de sol ou de siège à des événements; éviter le bruitage répété sur une pose tenue.</x:v>
      </x:c>
      <x:c r="L10" s="7" t="str">
        <x:v>Table d'animation prévue BLA/HANDLER; paramètres direction, locomotion, accessoire et interruption.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Un enchaînement déplacement → interaction → interruption → reprise conserve le pivot et les accessoires de Interlocuteur turien de Blasto.</x:v>
      </x:c>
      <x:c r="O10" s="7" t="str">
        <x:v>BLA-ACT-HANDLER, BLA-SPR-HANDLER</x:v>
      </x:c>
      <x:c r="P10" s="7" t="str">
        <x:v>Conception originale, aucune cadence extraite du comic.</x:v>
      </x:c>
      <x:c r="Q10" s="7" t="str"/>
      <x:c r="R10" s="21" t="str"/>
      <x:c r="S10" s="21" t="str"/>
    </x:row>
  </x:sheetData>
  <x:conditionalFormatting sqref="D7:D10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0">
    <x:cfRule type="cellIs" dxfId="78" priority="3" operator="equal">
      <x:formula>"Validé"</x:formula>
    </x:cfRule>
  </x:conditionalFormatting>
  <x:conditionalFormatting sqref="E7:E10">
    <x:cfRule type="cellIs" dxfId="7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eedb0ce99a409a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BLA-SPR-BLASTO</x:v>
      </x:c>
      <x:c r="B7" s="9" t="str">
        <x:v>Blasto — planche de sprites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Produire une silhouette lisible pour Blasto dans le module Blasto: Eternity is Forever.</x:v>
      </x:c>
      <x:c r="G7" s="9" t="str">
        <x:v>Héros de film au style exagéré; mobilité de tentacules lisible en sprite.</x:v>
      </x:c>
      <x:c r="H7" s="9" t="str"/>
      <x:c r="I7" s="9" t="str">
        <x:v>Corps hanari flottant, tentacules espacés et accessoires d’action proposés; référence exacte à contrôler. Prévoir face, dos et profils trois-quarts; conserver le même pivot de pieds dans chaque pose.</x:v>
      </x:c>
      <x:c r="J7" s="9" t="str">
        <x:v>Flottement, gestes multiples successifs plutôt que superposés, pose héroïque et immobilisation. Séparer arme/objet tenu du corps lorsque le changement de main est nécessaire.</x:v>
      </x:c>
      <x:c r="K7" s="9" t="str"/>
      <x:c r="L7" s="9" t="str">
        <x:v>Atlas prévu bla/actors/blasto; métadonnées pivot, masque d'occlusion, orientation et état. Aucun fichier de sprite n'est livré par ce catalogue.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La planche permet d'identifier Blasto sans portrait UI à l'échelle de jeu; pieds stables devant les occultations du décor 3D.</x:v>
      </x:c>
      <x:c r="O7" s="9" t="str">
        <x:v>BLA-ACT-BLASTO</x:v>
      </x:c>
      <x:c r="P7" s="9" t="str">
        <x:v>Conception originale; référence visuelle du personnage à contrôler.</x:v>
      </x:c>
      <x:c r="Q7" s="9" t="str"/>
      <x:c r="R7" s="20" t="str"/>
      <x:c r="S7" s="20" t="str"/>
    </x:row>
    <x:row r="8" ht="68" customHeight="1">
      <x:c r="A8" s="19" t="str">
        <x:v>BLA-SPR-CERULEAN</x:v>
      </x:c>
      <x:c r="B8" s="7" t="str">
        <x:v>Cerulean Star — planche de sprites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Produire une silhouette lisible pour Cerulean Star dans le module Blasto: Eternity is Forever.</x:v>
      </x:c>
      <x:c r="G8" s="7" t="str">
        <x:v>Partenaire active; accès techniques et sauvetage de scène sans rôle purement décoratif.</x:v>
      </x:c>
      <x:c r="H8" s="7" t="str"/>
      <x:c r="I8" s="7" t="str">
        <x:v>Asari de cinéma, costume fonctionnel et accents bleu profond à contrôler. Prévoir face, dos et profils trois-quarts; conserver le même pivot de pieds dans chaque pose.</x:v>
      </x:c>
      <x:c r="J8" s="7" t="str">
        <x:v>Inspection de console, esquive, coup bref et reprise en garde. Séparer arme/objet tenu du corps lorsque le changement de main est nécessaire.</x:v>
      </x:c>
      <x:c r="K8" s="7" t="str"/>
      <x:c r="L8" s="7" t="str">
        <x:v>Atlas prévu bla/actors/cerulean; métadonnées pivot, masque d'occlusion, orientation et état. Aucun fichier de sprite n'est livré par ce catalogue.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La planche permet d'identifier Cerulean Star sans portrait UI à l'échelle de jeu; pieds stables devant les occultations du décor 3D.</x:v>
      </x:c>
      <x:c r="O8" s="7" t="str">
        <x:v>BLA-ACT-CERULEAN</x:v>
      </x:c>
      <x:c r="P8" s="7" t="str">
        <x:v>Conception originale; référence visuelle du personnage à contrôler.</x:v>
      </x:c>
      <x:c r="Q8" s="7" t="str"/>
      <x:c r="R8" s="21" t="str"/>
      <x:c r="S8" s="21" t="str"/>
    </x:row>
    <x:row r="9" ht="68" customHeight="1">
      <x:c r="A9" s="18" t="str">
        <x:v>BLA-SPR-KRONUS</x:v>
      </x:c>
      <x:c r="B9" s="9" t="str">
        <x:v>Kronus — planche de sprites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Produire une silhouette lisible pour Kronus dans le module Blasto: Eternity is Forever.</x:v>
      </x:c>
      <x:c r="G9" s="9" t="str">
        <x:v>Boss local de mise en scène; arrogance et dispositif à contre-mesures.</x:v>
      </x:c>
      <x:c r="H9" s="9" t="str"/>
      <x:c r="I9" s="9" t="str">
        <x:v>Krogan avec équipement de contrôle à vérifier; silhouette massive et geste ample. Prévoir face, dos et profils trois-quarts; conserver le même pivot de pieds dans chaque pose.</x:v>
      </x:c>
      <x:c r="J9" s="9" t="str">
        <x:v>Présentation, activation d’un dispositif et recul théâtral. Séparer arme/objet tenu du corps lorsque le changement de main est nécessaire.</x:v>
      </x:c>
      <x:c r="K9" s="9" t="str"/>
      <x:c r="L9" s="9" t="str">
        <x:v>Atlas prévu bla/actors/kronus; métadonnées pivot, masque d'occlusion, orientation et état. Aucun fichier de sprite n'est livré par ce catalogue.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La planche permet d'identifier Kronus sans portrait UI à l'échelle de jeu; pieds stables devant les occultations du décor 3D.</x:v>
      </x:c>
      <x:c r="O9" s="9" t="str">
        <x:v>BLA-ACT-KRONUS</x:v>
      </x:c>
      <x:c r="P9" s="9" t="str">
        <x:v>Conception originale; référence visuelle du personnage à contrôler.</x:v>
      </x:c>
      <x:c r="Q9" s="9" t="str"/>
      <x:c r="R9" s="20" t="str"/>
      <x:c r="S9" s="20" t="str"/>
    </x:row>
    <x:row r="10" ht="54" customHeight="1">
      <x:c r="A10" s="19" t="str">
        <x:v>BLA-SPR-HANDLER</x:v>
      </x:c>
      <x:c r="B10" s="7" t="str">
        <x:v>Interlocuteur turien de Blasto — planche de sprites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Produire une silhouette lisible pour Interlocuteur turien de Blasto dans le module Blasto: Eternity is Forever.</x:v>
      </x:c>
      <x:c r="G10" s="7" t="str">
        <x:v>Briefing de cinéma; aucun nom propre inventé.</x:v>
      </x:c>
      <x:c r="H10" s="7" t="str"/>
      <x:c r="I10" s="7" t="str">
        <x:v>Tenue institutionnelle stylisée et fond de bureau dépouillé. Prévoir face, dos et profils trois-quarts; conserver le même pivot de pieds dans chaque pose.</x:v>
      </x:c>
      <x:c r="J10" s="7" t="str">
        <x:v>Remise de dossier et geste de conclusion. Séparer arme/objet tenu du corps lorsque le changement de main est nécessaire.</x:v>
      </x:c>
      <x:c r="K10" s="7" t="str"/>
      <x:c r="L10" s="7" t="str">
        <x:v>Atlas prévu bla/actors/handler; métadonnées pivot, masque d'occlusion, orientation et état. Aucun fichier de sprite n'est livré par ce catalogue.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La planche permet d'identifier Interlocuteur turien de Blasto sans portrait UI à l'échelle de jeu; pieds stables devant les occultations du décor 3D.</x:v>
      </x:c>
      <x:c r="O10" s="7" t="str">
        <x:v>BLA-ACT-HANDLER</x:v>
      </x:c>
      <x:c r="P10" s="7" t="str">
        <x:v>Conception originale; référence visuelle du personnage à contrôler.</x:v>
      </x:c>
      <x:c r="Q10" s="7" t="str"/>
      <x:c r="R10" s="21" t="str"/>
      <x:c r="S10" s="21" t="str"/>
    </x:row>
  </x:sheetData>
  <x:conditionalFormatting sqref="D7:D10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0">
    <x:cfRule type="cellIs" dxfId="82" priority="3" operator="equal">
      <x:formula>"Validé"</x:formula>
    </x:cfRule>
  </x:conditionalFormatting>
  <x:conditionalFormatting sqref="E7:E10">
    <x:cfRule type="cellIs" dxfId="8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cb6548e364f34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BLA-SC-BRIEF-VFX</x:v>
      </x:c>
      <x:c r="B7" s="9" t="str">
        <x:v>Briefing du duo de cinéma — signal visuel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Carton de titre bref, disponible en version statique.</x:v>
      </x:c>
      <x:c r="G7" s="9" t="str">
        <x:v>Rendre lisibles les interactions propres à cette séquence à la taille réelle du jeu.</x:v>
      </x:c>
      <x:c r="H7" s="9" t="str"/>
      <x:c r="I7" s="9" t="str">
        <x:v>Carton de titre bref, disponible en version statique.</x:v>
      </x:c>
      <x:c r="J7" s="9" t="str">
        <x:v>Anticipation séparée de l’impact; variante sans flash, sans secousse et à contraste renforcé.</x:v>
      </x:c>
      <x:c r="K7" s="9" t="str">
        <x:v>Thème d’aventure original avec une ponctuation humoristique.</x:v>
      </x:c>
      <x:c r="L7" s="9" t="str">
        <x:v>Émetteur proposé BLA/BRIEF/vfx; ancrage sur monde 3D et tri compatible avec les sprites; options de confort indépendantes.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Le signal reste identifiable en pause et sans son; aucun flash plein écran indispensable pour comprendre la résolution.</x:v>
      </x:c>
      <x:c r="O7" s="9" t="str">
        <x:v>BLA-SC-BRIEF-MAIN</x:v>
      </x:c>
      <x:c r="P7" s="9" t="str">
        <x:v>VFX original; intensité et timing à régler au prototype.</x:v>
      </x:c>
      <x:c r="Q7" s="9" t="str"/>
      <x:c r="R7" s="20" t="str"/>
      <x:c r="S7" s="20" t="str"/>
    </x:row>
    <x:row r="8" ht="54" customHeight="1">
      <x:c r="A8" s="19" t="str">
        <x:v>BLA-SC-ISLAND-VFX</x:v>
      </x:c>
      <x:c r="B8" s="7" t="str">
        <x:v>Approche de l’installation — signal visuel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Rayon de recherche doux qui ne passe pas à travers toute l’île.</x:v>
      </x:c>
      <x:c r="G8" s="7" t="str">
        <x:v>Rendre lisibles les interactions propres à cette séquence à la taille réelle du jeu.</x:v>
      </x:c>
      <x:c r="H8" s="7" t="str"/>
      <x:c r="I8" s="7" t="str">
        <x:v>Rayon de recherche doux qui ne passe pas à travers toute l’île.</x:v>
      </x:c>
      <x:c r="J8" s="7" t="str">
        <x:v>Anticipation séparée de l’impact; variante sans flash, sans secousse et à contraste renforcé.</x:v>
      </x:c>
      <x:c r="K8" s="7" t="str">
        <x:v>Vagues et motif léger de suspense original.</x:v>
      </x:c>
      <x:c r="L8" s="7" t="str">
        <x:v>Émetteur proposé BLA/ISLAND/vfx; ancrage sur monde 3D et tri compatible avec les sprites; options de confort indépendantes.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Le signal reste identifiable en pause et sans son; aucun flash plein écran indispensable pour comprendre la résolution.</x:v>
      </x:c>
      <x:c r="O8" s="7" t="str">
        <x:v>BLA-SC-ISLAND-MAIN</x:v>
      </x:c>
      <x:c r="P8" s="7" t="str">
        <x:v>VFX original; intensité et timing à régler au prototype.</x:v>
      </x:c>
      <x:c r="Q8" s="7" t="str"/>
      <x:c r="R8" s="21" t="str"/>
      <x:c r="S8" s="21" t="str"/>
    </x:row>
    <x:row r="9" ht="54" customHeight="1">
      <x:c r="A9" s="18" t="str">
        <x:v>BLA-SC-TIME-VFX</x:v>
      </x:c>
      <x:c r="B9" s="9" t="str">
        <x:v>Dispositif temporel de film — signal visuel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Personnage figé avec contour immobile, décor restant lisible; aucune accélération agressive de l’écran.</x:v>
      </x:c>
      <x:c r="G9" s="9" t="str">
        <x:v>Rendre lisibles les interactions propres à cette séquence à la taille réelle du jeu.</x:v>
      </x:c>
      <x:c r="H9" s="9" t="str"/>
      <x:c r="I9" s="9" t="str">
        <x:v>Personnage figé avec contour immobile, décor restant lisible; aucune accélération agressive de l’écran.</x:v>
      </x:c>
      <x:c r="J9" s="9" t="str">
        <x:v>Anticipation séparée de l’impact; variante sans flash, sans secousse et à contraste renforcé.</x:v>
      </x:c>
      <x:c r="K9" s="9" t="str">
        <x:v>Son tenu filtré et retour net lors de la reprise.</x:v>
      </x:c>
      <x:c r="L9" s="9" t="str">
        <x:v>Émetteur proposé BLA/TIME/vfx; ancrage sur monde 3D et tri compatible avec les sprites; options de confort indépendantes.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Le signal reste identifiable en pause et sans son; aucun flash plein écran indispensable pour comprendre la résolution.</x:v>
      </x:c>
      <x:c r="O9" s="9" t="str">
        <x:v>BLA-SC-TIME-MAIN</x:v>
      </x:c>
      <x:c r="P9" s="9" t="str">
        <x:v>VFX original; intensité et timing à régler au prototype.</x:v>
      </x:c>
      <x:c r="Q9" s="9" t="str"/>
      <x:c r="R9" s="20" t="str"/>
      <x:c r="S9" s="20" t="str"/>
    </x:row>
    <x:row r="10" ht="54" customHeight="1">
      <x:c r="A10" s="19" t="str">
        <x:v>BLA-SC-ESCAPE-VFX</x:v>
      </x:c>
      <x:c r="B10" s="7" t="str">
        <x:v>Sortie de film — signal visuel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Explosion éloignée en masses lentes; version sans secousse ni flash.</x:v>
      </x:c>
      <x:c r="G10" s="7" t="str">
        <x:v>Rendre lisibles les interactions propres à cette séquence à la taille réelle du jeu.</x:v>
      </x:c>
      <x:c r="H10" s="7" t="str"/>
      <x:c r="I10" s="7" t="str">
        <x:v>Explosion éloignée en masses lentes; version sans secousse ni flash.</x:v>
      </x:c>
      <x:c r="J10" s="7" t="str">
        <x:v>Anticipation séparée de l’impact; variante sans flash, sans secousse et à contraste renforcé.</x:v>
      </x:c>
      <x:c r="K10" s="7" t="str">
        <x:v>Point culminant musical original puis vagues.</x:v>
      </x:c>
      <x:c r="L10" s="7" t="str">
        <x:v>Émetteur proposé BLA/ESCAPE/vfx; ancrage sur monde 3D et tri compatible avec les sprites; options de confort indépendantes.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Le signal reste identifiable en pause et sans son; aucun flash plein écran indispensable pour comprendre la résolution.</x:v>
      </x:c>
      <x:c r="O10" s="7" t="str">
        <x:v>BLA-SC-ESCAPE-MAIN</x:v>
      </x:c>
      <x:c r="P10" s="7" t="str">
        <x:v>VFX original; intensité et timing à régler au prototype.</x:v>
      </x:c>
      <x:c r="Q10" s="7" t="str"/>
      <x:c r="R10" s="21" t="str"/>
      <x:c r="S10" s="21" t="str"/>
    </x:row>
  </x:sheetData>
  <x:conditionalFormatting sqref="D7:D10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10">
    <x:cfRule type="cellIs" dxfId="86" priority="3" operator="equal">
      <x:formula>"Validé"</x:formula>
    </x:cfRule>
  </x:conditionalFormatting>
  <x:conditionalFormatting sqref="E7:E10">
    <x:cfRule type="cellIs" dxfId="8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edca0bec8a465a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BLA-AUD-CITADEL</x:v>
      </x:c>
      <x:c r="B7" s="9" t="str">
        <x:v>Citadelle de cinéma — paysage sonore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Cuivres et synthèse originaux au ton d’aventure.</x:v>
      </x:c>
      <x:c r="G7" s="9" t="str">
        <x:v>Décor de film volontairement stylisé.</x:v>
      </x:c>
      <x:c r="H7" s="9" t="str">
        <x:v>Doubler les alarmes utiles par texte, symbole ou changement de pose; les bruits d’ambiance ne portent pas seuls une information obligatoire.</x:v>
      </x:c>
      <x:c r="I7" s="9" t="str">
        <x:v>Lignes élégantes, éclairage accentué et arrière-plan peu chargé.</x:v>
      </x:c>
      <x:c r="J7" s="9" t="str">
        <x:v>Déclencher les contacts mécaniques au mouvement visible; éviter les boucles désynchronisées des portes.</x:v>
      </x:c>
      <x:c r="K7" s="9" t="str">
        <x:v>Cuivres et synthèse originaux au ton d’aventure. Composer une ambiance originale en couches fond / activité / danger, avec réglage indépendant des voix.</x:v>
      </x:c>
      <x:c r="L7" s="9" t="str">
        <x:v>Bus proposé BLA/CITADEL; snapshots exploration, tension et dialogue; fondus après chargement.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Un parcours muet reste compréhensible; l’entrée en dialogue baisse les ambiances sans couper brutalement leur réverbération.</x:v>
      </x:c>
      <x:c r="O7" s="9" t="str">
        <x:v>BLA-ZONE-CITADEL</x:v>
      </x:c>
      <x:c r="P7" s="9" t="str">
        <x:v>Création sonore originale; aucune piste commerciale requise.</x:v>
      </x:c>
      <x:c r="Q7" s="9" t="str"/>
      <x:c r="R7" s="20" t="str"/>
      <x:c r="S7" s="20" t="str"/>
    </x:row>
    <x:row r="8" ht="68" customHeight="1">
      <x:c r="A8" s="19" t="str">
        <x:v>BLA-AUD-VIRMIRE</x:v>
      </x:c>
      <x:c r="B8" s="7" t="str">
        <x:v>Virmire de cinéma — paysage sonore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Vagues, machines et musique originale à emphase contrôlée.</x:v>
      </x:c>
      <x:c r="G8" s="7" t="str">
        <x:v>Île et installation de film, séparées du Virmire de la campagne.</x:v>
      </x:c>
      <x:c r="H8" s="7" t="str">
        <x:v>Doubler les alarmes utiles par texte, symbole ou changement de pose; les bruits d’ambiance ne portent pas seuls une information obligatoire.</x:v>
      </x:c>
      <x:c r="I8" s="7" t="str">
        <x:v>Tropical stylisé, métal brillant et lumière très contrastée.</x:v>
      </x:c>
      <x:c r="J8" s="7" t="str">
        <x:v>Déclencher les contacts mécaniques au mouvement visible; éviter les boucles désynchronisées des portes.</x:v>
      </x:c>
      <x:c r="K8" s="7" t="str">
        <x:v>Vagues, machines et musique originale à emphase contrôlée. Composer une ambiance originale en couches fond / activité / danger, avec réglage indépendant des voix.</x:v>
      </x:c>
      <x:c r="L8" s="7" t="str">
        <x:v>Bus proposé BLA/VIRMIRE; snapshots exploration, tension et dialogue; fondus après chargement.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Un parcours muet reste compréhensible; l’entrée en dialogue baisse les ambiances sans couper brutalement leur réverbération.</x:v>
      </x:c>
      <x:c r="O8" s="7" t="str">
        <x:v>BLA-ZONE-VIRMIRE</x:v>
      </x:c>
      <x:c r="P8" s="7" t="str">
        <x:v>Création sonore originale; aucune piste commerciale requise.</x:v>
      </x:c>
      <x:c r="Q8" s="7" t="str"/>
      <x:c r="R8" s="21" t="str"/>
      <x:c r="S8" s="21" t="str"/>
    </x:row>
  </x:sheetData>
  <x:conditionalFormatting sqref="D7:D8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8">
    <x:cfRule type="cellIs" dxfId="90" priority="3" operator="equal">
      <x:formula>"Validé"</x:formula>
    </x:cfRule>
  </x:conditionalFormatting>
  <x:conditionalFormatting sqref="E7:E8">
    <x:cfRule type="cellIs" dxfId="9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1c9c8cc7a2433e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BLA-SYS-CANON</x:v>
      </x:c>
      <x:c r="B7" s="9" t="str">
        <x:v>Journal à deux niveaux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Dans Blasto: Eternity is Forever, séparer faits attestés, données à contrôler et événements issus des règles du fan game.</x:v>
      </x:c>
      <x:c r="G7" s="9" t="str">
        <x:v>La continuité éditoriale est distincte des essais de gameplay; un choix stratégique ne réécrit pas la fin publiée.</x:v>
      </x:c>
      <x:c r="H7" s="9" t="str">
        <x:v>La continuité éditoriale est distincte des essais de gameplay; un choix stratégique ne réécrit pas la fin publiée.</x:v>
      </x:c>
      <x:c r="I7" s="9" t="str"/>
      <x:c r="J7" s="9" t="str"/>
      <x:c r="K7" s="9" t="str"/>
      <x:c r="L7" s="9" t="str">
        <x:v>Contrat de production BLA/SYS-CANON; à appliquer au futur contenu de l'œuvre.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Chaque entrée de journal porte sa provenance; un résultat de combat ne change jamais le niveau de certitude du fait source.</x:v>
      </x:c>
      <x:c r="O7" s="9" t="str">
        <x:v>BLA-REF-SCOPE</x:v>
      </x:c>
      <x:c r="P7" s="9" t="str">
        <x:v>Règle originale de production; les ancrages de continuité sont documentés dans les fiches REF.</x:v>
      </x:c>
      <x:c r="Q7" s="9" t="str"/>
      <x:c r="R7" s="20" t="str"/>
      <x:c r="S7" s="20" t="str"/>
    </x:row>
    <x:row r="8" ht="54" customHeight="1">
      <x:c r="A8" s="19" t="str">
        <x:v>BLA-SYS-GROUP</x:v>
      </x:c>
      <x:c r="B8" s="7" t="str">
        <x:v>Groupe propre au chapitre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Duo Blasto/Cerulean Star dans le film; aucune conversion automatique du héros médiatique en équipier canon de Shepard.</x:v>
      </x:c>
      <x:c r="G8" s="7" t="str">
        <x:v>Former le groupe à partir du chapitre actif; les rôles de soutien ne deviennent pas des recrutements permanents.</x:v>
      </x:c>
      <x:c r="H8" s="7" t="str">
        <x:v>Former le groupe à partir du chapitre actif; les rôles de soutien ne deviennent pas des recrutements permanents.</x:v>
      </x:c>
      <x:c r="I8" s="7" t="str"/>
      <x:c r="J8" s="7" t="str"/>
      <x:c r="K8" s="7" t="str"/>
      <x:c r="L8" s="7" t="str">
        <x:v>Contrat de production BLA/SYS-GROUP; à appliquer au futur contenu de l'œuvre.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Recharger un chapitre restitue uniquement son groupe autorisé, ses positions et ses commandes proposées.</x:v>
      </x:c>
      <x:c r="O8" s="7" t="str">
        <x:v>BLA-REF-SCOPE</x:v>
      </x:c>
      <x:c r="P8" s="7" t="str">
        <x:v>Règle originale de production; les ancrages de continuité sont documentés dans les fiches REF.</x:v>
      </x:c>
      <x:c r="Q8" s="7" t="str"/>
      <x:c r="R8" s="21" t="str"/>
      <x:c r="S8" s="21" t="str"/>
    </x:row>
    <x:row r="9" ht="68" customHeight="1">
      <x:c r="A9" s="18" t="str">
        <x:v>BLA-SYS-ATB</x:v>
      </x:c>
      <x:c r="B9" s="9" t="str">
        <x:v>Rythme ATB proposé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ATB de spectacle proposé : coordination du duo et fenêtres d’action figées; l’arrêt du temps est une règle locale de cinéma, pas un système global.</x:v>
      </x:c>
      <x:c r="G9" s="9" t="str">
        <x:v>Pause de planification, annonce visible, résolution déterministe et commandes annulables avant confirmation.</x:v>
      </x:c>
      <x:c r="H9" s="9" t="str">
        <x:v>Pause de planification, annonce visible, résolution déterministe et commandes annulables avant confirmation.</x:v>
      </x:c>
      <x:c r="I9" s="9" t="str"/>
      <x:c r="J9" s="9" t="str"/>
      <x:c r="K9" s="9" t="str"/>
      <x:c r="L9" s="9" t="str">
        <x:v>Contrat de production BLA/SYS-ATB; à appliquer au futur contenu de l'œuvre.</x:v>
      </x:c>
      <x:c r="M9" s="9" t="str">
        <x:v>Conserver un marquage permanent de fiction diégétique. Les objets, statistiques et effets du film ne sont pas exportables vers la campagne principale.</x:v>
      </x:c>
      <x:c r="N9" s="9" t="str">
        <x:v>Un lecteur peut suivre chaque préparation sans son; la vitesse réglable ne modifie pas les conditions du raccord narratif.</x:v>
      </x:c>
      <x:c r="O9" s="9" t="str">
        <x:v>BLA-REF-SCOPE</x:v>
      </x:c>
      <x:c r="P9" s="9" t="str">
        <x:v>Règle originale de production; les ancrages de continuité sont documentés dans les fiches REF.</x:v>
      </x:c>
      <x:c r="Q9" s="9" t="str"/>
      <x:c r="R9" s="20" t="str"/>
      <x:c r="S9" s="20" t="str"/>
    </x:row>
    <x:row r="10" ht="54" customHeight="1">
      <x:c r="A10" s="19" t="str">
        <x:v>BLA-SYS-SAVE</x:v>
      </x:c>
      <x:c r="B10" s="7" t="str">
        <x:v>Sauvegarde des modules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Conserver la progression de Blasto: Eternity is Forever sans exporter une issue hypothétique vers la continuité des jeux.</x:v>
      </x:c>
      <x:c r="G10" s="7" t="str">
        <x:v>Stocker le numéro/segment, la méthode locale, les indices acquis et le raccord déjà vu; ne pas écrire dans une sauvegarde canon du jeu.</x:v>
      </x:c>
      <x:c r="H10" s="7" t="str">
        <x:v>Stocker le numéro/segment, la méthode locale, les indices acquis et le raccord déjà vu; ne pas écrire dans une sauvegarde canon du jeu.</x:v>
      </x:c>
      <x:c r="I10" s="7" t="str"/>
      <x:c r="J10" s="7" t="str"/>
      <x:c r="K10" s="7" t="str"/>
      <x:c r="L10" s="7" t="str">
        <x:v>Contrat de production BLA/SYS-SAVE; à appliquer au futur contenu de l'œuvre.</x:v>
      </x:c>
      <x:c r="M10" s="7" t="str">
        <x:v>Conserver un marquage permanent de fiction diégétique. Les objets, statistiques et effets du film ne sont pas exportables vers la campagne principale.</x:v>
      </x:c>
      <x:c r="N10" s="7" t="str">
        <x:v>Sauvegarder, quitter et reprendre avant/après un raccord ne double aucun objet, objectif ou récompense.</x:v>
      </x:c>
      <x:c r="O10" s="7" t="str">
        <x:v>BLA-REF-SCOPE</x:v>
      </x:c>
      <x:c r="P10" s="7" t="str">
        <x:v>Règle originale de production; les ancrages de continuité sont documentés dans les fiches REF.</x:v>
      </x:c>
      <x:c r="Q10" s="7" t="str"/>
      <x:c r="R10" s="21" t="str"/>
      <x:c r="S10" s="21" t="str"/>
    </x:row>
  </x:sheetData>
  <x:conditionalFormatting sqref="D7:D10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0">
    <x:cfRule type="cellIs" dxfId="94" priority="3" operator="equal">
      <x:formula>"Validé"</x:formula>
    </x:cfRule>
  </x:conditionalFormatting>
  <x:conditionalFormatting sqref="E7:E10">
    <x:cfRule type="cellIs" dxfId="9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fafdb5f5da44f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BLA-SC-BRIEF-QA</x:v>
      </x:c>
      <x:c r="B7" s="9" t="str">
        <x:v>Briefing du duo de cinéma — contrôle du parcours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Rejouer « Briefing du duo de cinéma » par les deux méthodes proposées, avec tâche facultative ignorée puis terminée, et en sautant le raccord.</x:v>
      </x:c>
      <x:c r="G7" s="9" t="str">
        <x:v>Carton film → briefing → présentation de la partenaire → destination.</x:v>
      </x:c>
      <x:c r="H7" s="9" t="str">
        <x:v>Aucun choix ne recrute les héros dans la campagne réelle; les réponses changent seulement le ton de la scène.</x:v>
      </x:c>
      <x:c r="I7" s="9" t="str"/>
      <x:c r="J7" s="9" t="str"/>
      <x:c r="K7" s="9" t="str"/>
      <x:c r="L7" s="9" t="str">
        <x:v>Scénarios de recette à exécuter pour BLA/BRIEF; consigner résultat réel et preuve seulement lors d’une future réalisation.</x:v>
      </x:c>
      <x:c r="M7" s="9" t="str">
        <x:v>Fiche de recette définie; aucun test du jeu n’a été exécuté par ce catalogue.</x:v>
      </x:c>
      <x:c r="N7" s="9" t="str">
        <x:v>L'objectif « Briefing du duo de cinéma » atteint son raccord annoncé après chaque méthode; sauvegarde, rechargement et saut de scène n'en changent ni le groupe ni les informations acquises.</x:v>
      </x:c>
      <x:c r="O7" s="9" t="str">
        <x:v>BLA-SC-BRIEF-MAIN, BLA-SC-BRIEF-CHOICE, BLA-SC-BRIEF-CINE, BLA-SC-BRIEF-PROP</x:v>
      </x:c>
      <x:c r="P7" s="9" t="str">
        <x:v>Critère de production original, pas une validation déjà obtenue.</x:v>
      </x:c>
      <x:c r="Q7" s="9" t="str"/>
      <x:c r="R7" s="20" t="str"/>
      <x:c r="S7" s="20" t="str"/>
    </x:row>
    <x:row r="8" ht="68" customHeight="1">
      <x:c r="A8" s="19" t="str">
        <x:v>BLA-SC-ISLAND-QA</x:v>
      </x:c>
      <x:c r="B8" s="7" t="str">
        <x:v>Approche de l’installation — contrôle du parcours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Rejouer « Approche de l’installation » par les deux méthodes proposées, avec tâche facultative ignorée puis terminée, et en sautant le raccord.</x:v>
      </x:c>
      <x:c r="G8" s="7" t="str">
        <x:v>Arrivée → observation du site → patrouille proposée → accès.</x:v>
      </x:c>
      <x:c r="H8" s="7" t="str">
        <x:v>Les obstacles sont ceux du prototype de film; ne pas transposer les résultats à la carte de ME1.</x:v>
      </x:c>
      <x:c r="I8" s="7" t="str"/>
      <x:c r="J8" s="7" t="str"/>
      <x:c r="K8" s="7" t="str"/>
      <x:c r="L8" s="7" t="str">
        <x:v>Scénarios de recette à exécuter pour BLA/ISLAND; consigner résultat réel et preuve seulement lors d’une future réalisation.</x:v>
      </x:c>
      <x:c r="M8" s="7" t="str">
        <x:v>Fiche de recette définie; aucun test du jeu n’a été exécuté par ce catalogue.</x:v>
      </x:c>
      <x:c r="N8" s="7" t="str">
        <x:v>L'objectif « Approche de l’installation » atteint son raccord annoncé après chaque méthode; sauvegarde, rechargement et saut de scène n'en changent ni le groupe ni les informations acquises.</x:v>
      </x:c>
      <x:c r="O8" s="7" t="str">
        <x:v>BLA-SC-ISLAND-MAIN, BLA-SC-ISLAND-CHOICE, BLA-SC-ISLAND-CINE, BLA-SC-ISLAND-PROP</x:v>
      </x:c>
      <x:c r="P8" s="7" t="str">
        <x:v>Critère de production original, pas une validation déjà obtenue.</x:v>
      </x:c>
      <x:c r="Q8" s="7" t="str"/>
      <x:c r="R8" s="21" t="str"/>
      <x:c r="S8" s="21" t="str"/>
    </x:row>
    <x:row r="9" ht="68" customHeight="1">
      <x:c r="A9" s="18" t="str">
        <x:v>BLA-SC-TIME-QA</x:v>
      </x:c>
      <x:c r="B9" s="9" t="str">
        <x:v>Dispositif temporel de film — contrôle du parcours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Rejouer « Dispositif temporel de film » par les deux méthodes proposées, avec tâche facultative ignorée puis terminée, et en sautant le raccord.</x:v>
      </x:c>
      <x:c r="G9" s="9" t="str">
        <x:v>Confrontation → immobilisation fixée → commande de Cerulean → reprise du duo.</x:v>
      </x:c>
      <x:c r="H9" s="9" t="str">
        <x:v>L’immobilisation verrouille Blasto seulement dans cette scène; le menu explique immédiatement le transfert de contrôle.</x:v>
      </x:c>
      <x:c r="I9" s="9" t="str"/>
      <x:c r="J9" s="9" t="str"/>
      <x:c r="K9" s="9" t="str"/>
      <x:c r="L9" s="9" t="str">
        <x:v>Scénarios de recette à exécuter pour BLA/TIME; consigner résultat réel et preuve seulement lors d’une future réalisation.</x:v>
      </x:c>
      <x:c r="M9" s="9" t="str">
        <x:v>Fiche de recette définie; aucun test du jeu n’a été exécuté par ce catalogue.</x:v>
      </x:c>
      <x:c r="N9" s="9" t="str">
        <x:v>L'objectif « Dispositif temporel de film » atteint son raccord annoncé après chaque méthode; sauvegarde, rechargement et saut de scène n'en changent ni le groupe ni les informations acquises.</x:v>
      </x:c>
      <x:c r="O9" s="9" t="str">
        <x:v>BLA-SC-TIME-MAIN, BLA-SC-TIME-CHOICE, BLA-SC-TIME-CINE, BLA-SC-TIME-PROP</x:v>
      </x:c>
      <x:c r="P9" s="9" t="str">
        <x:v>Critère de production original, pas une validation déjà obtenue.</x:v>
      </x:c>
      <x:c r="Q9" s="9" t="str"/>
      <x:c r="R9" s="20" t="str"/>
      <x:c r="S9" s="20" t="str"/>
    </x:row>
    <x:row r="10" ht="68" customHeight="1">
      <x:c r="A10" s="19" t="str">
        <x:v>BLA-SC-ESCAPE-QA</x:v>
      </x:c>
      <x:c r="B10" s="7" t="str">
        <x:v>Sortie de film — contrôle du parcours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Rejouer « Sortie de film » par les deux méthodes proposées, avec tâche facultative ignorée puis terminée, et en sautant le raccord.</x:v>
      </x:c>
      <x:c r="G10" s="7" t="str">
        <x:v>Alerte → route préparée → franchissement → fin de film.</x:v>
      </x:c>
      <x:c r="H10" s="7" t="str">
        <x:v>Compte à rebours abstrait réglable; pause d’accessibilité et reprise locale; aucune explosion réelle de Virmire enregistrée.</x:v>
      </x:c>
      <x:c r="I10" s="7" t="str"/>
      <x:c r="J10" s="7" t="str"/>
      <x:c r="K10" s="7" t="str"/>
      <x:c r="L10" s="7" t="str">
        <x:v>Scénarios de recette à exécuter pour BLA/ESCAPE; consigner résultat réel et preuve seulement lors d’une future réalisation.</x:v>
      </x:c>
      <x:c r="M10" s="7" t="str">
        <x:v>Fiche de recette définie; aucun test du jeu n’a été exécuté par ce catalogue.</x:v>
      </x:c>
      <x:c r="N10" s="7" t="str">
        <x:v>L'objectif « Sortie de film » atteint son raccord annoncé après chaque méthode; sauvegarde, rechargement et saut de scène n'en changent ni le groupe ni les informations acquises.</x:v>
      </x:c>
      <x:c r="O10" s="7" t="str">
        <x:v>BLA-SC-ESCAPE-MAIN, BLA-SC-ESCAPE-CHOICE, BLA-SC-ESCAPE-CINE, BLA-SC-ESCAPE-PROP</x:v>
      </x:c>
      <x:c r="P10" s="7" t="str">
        <x:v>Critère de production original, pas une validation déjà obtenue.</x:v>
      </x:c>
      <x:c r="Q10" s="7" t="str"/>
      <x:c r="R10" s="21" t="str"/>
      <x:c r="S10" s="21" t="str"/>
    </x:row>
    <x:row r="11" ht="54" customHeight="1">
      <x:c r="A11" s="18" t="str">
        <x:v>BLA-QA-SOURCE</x:v>
      </x:c>
      <x:c r="B11" s="9" t="str">
        <x:v>Vérification des références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Contrôler Blasto: Eternity is Forever dans une édition autorisée avant de transformer les éléments À vérifier en faits établis.</x:v>
      </x:c>
      <x:c r="G11" s="9" t="str">
        <x:v>Contrôler le récit court dans son édition autorisée; ne pas inventer des numéros ou une pagination absents de la consultation.</x:v>
      </x:c>
      <x:c r="H11" s="9" t="str"/>
      <x:c r="I11" s="9" t="str"/>
      <x:c r="J11" s="9" t="str"/>
      <x:c r="K11" s="9" t="str"/>
      <x:c r="L11" s="9" t="str">
        <x:v>Contrat de production BLA/QA-SOURCE; à appliquer au futur contenu de l'œuvre.</x:v>
      </x:c>
      <x:c r="M11" s="9" t="str">
        <x:v>Recette planifiée; aucune réalisation testée ici.</x:v>
      </x:c>
      <x:c r="N11" s="9" t="str">
        <x:v>Chaque ajout de nom, page, costume ou date est lié à la bonne édition; les descriptions restent brèves et paraphrasées.</x:v>
      </x:c>
      <x:c r="O11" s="9" t="str">
        <x:v>BLA-REF-SCOPE</x:v>
      </x:c>
      <x:c r="P11" s="9" t="str">
        <x:v>Règle originale de production; les ancrages de continuité sont documentés dans les fiches REF.</x:v>
      </x:c>
      <x:c r="Q11" s="9" t="str"/>
      <x:c r="R11" s="20" t="str"/>
      <x:c r="S11" s="20" t="str"/>
    </x:row>
    <x:row r="12" ht="54" customHeight="1">
      <x:c r="A12" s="19" t="str">
        <x:v>BLA-QA-VISIBILITY</x:v>
      </x:c>
      <x:c r="B12" s="7" t="str">
        <x:v>Lecture des sprites et du terrain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Contrôler la taille des sprites, la séparation des silhouettes et les sorties sous la caméra fixe de chaque scène.</x:v>
      </x:c>
      <x:c r="G12" s="7" t="str">
        <x:v>Faire parcourir les zones avec premier plan actif, sous-titres larges et mode de contraste renforcé.</x:v>
      </x:c>
      <x:c r="H12" s="7" t="str"/>
      <x:c r="I12" s="7" t="str"/>
      <x:c r="J12" s="7" t="str"/>
      <x:c r="K12" s="7" t="str"/>
      <x:c r="L12" s="7" t="str">
        <x:v>Contrat de production BLA/QA-VISIBILITY; à appliquer au futur contenu de l'œuvre.</x:v>
      </x:c>
      <x:c r="M12" s="7" t="str">
        <x:v>Recette planifiée; aucune réalisation testée ici.</x:v>
      </x:c>
      <x:c r="N12" s="7" t="str">
        <x:v>Le personnage contrôlé, les sorties et le signal de danger restent localisables sans désactiver le décor.</x:v>
      </x:c>
      <x:c r="O12" s="7" t="str">
        <x:v>BLA-REF-SCOPE</x:v>
      </x:c>
      <x:c r="P12" s="7" t="str">
        <x:v>Règle originale de production; les ancrages de continuité sont documentés dans les fiches REF.</x:v>
      </x:c>
      <x:c r="Q12" s="7" t="str"/>
      <x:c r="R12" s="21" t="str"/>
      <x:c r="S12" s="21" t="str"/>
    </x:row>
    <x:row r="13" ht="68" customHeight="1">
      <x:c r="A13" s="18" t="str">
        <x:v>BLA-QA-NARRATIVE</x:v>
      </x:c>
      <x:c r="B13" s="9" t="str">
        <x:v>Convergence narrative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Conserver un marquage permanent de fiction diégétique. Les objets, statistiques et effets du film ne sont pas exportables vers la campagne principale.</x:v>
      </x:c>
      <x:c r="G13" s="9" t="str">
        <x:v>La continuité éditoriale est distincte des essais de gameplay; un choix stratégique ne réécrit pas la fin publiée.</x:v>
      </x:c>
      <x:c r="H13" s="9" t="str"/>
      <x:c r="I13" s="9" t="str"/>
      <x:c r="J13" s="9" t="str"/>
      <x:c r="K13" s="9" t="str"/>
      <x:c r="L13" s="9" t="str">
        <x:v>Contrat de production BLA/QA-NARRATIVE; à appliquer au futur contenu de l'œuvre.</x:v>
      </x:c>
      <x:c r="M13" s="9" t="str">
        <x:v>Recette planifiée; aucune réalisation testée ici.</x:v>
      </x:c>
      <x:c r="N13" s="9" t="str">
        <x:v>Jouer chaque choix local et passer chaque cinématique produit les mêmes ancrages de conclusion; les divergences restent marquées adaptation.</x:v>
      </x:c>
      <x:c r="O13" s="9" t="str">
        <x:v>BLA-REF-SCOPE</x:v>
      </x:c>
      <x:c r="P13" s="9" t="str">
        <x:v>Règle originale de production; les ancrages de continuité sont documentés dans les fiches REF.</x:v>
      </x:c>
      <x:c r="Q13" s="9" t="str"/>
      <x:c r="R13" s="20" t="str"/>
      <x:c r="S13" s="20" t="str"/>
    </x:row>
  </x:sheetData>
  <x:conditionalFormatting sqref="D7:D13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3">
    <x:cfRule type="cellIs" dxfId="98" priority="3" operator="equal">
      <x:formula>"Validé"</x:formula>
    </x:cfRule>
  </x:conditionalFormatting>
  <x:conditionalFormatting sqref="E7:E13">
    <x:cfRule type="cellIs" dxfId="99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390c1841c41b6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Blasto: Eternity is Forever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BLA-CNT-PLACE</x:v>
      </x:c>
      <x:c r="B7" s="9" t="str">
        <x:v>Position dans l’univers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Module de cinéma dans l’univers. Les événements de cette histoire ne fixent pas l’état réel de Virmire après la mission ME1 ni l’existence d’un Spectre hanari réel.</x:v>
      </x:c>
      <x:c r="G7" s="9" t="str">
        <x:v>La continuité éditoriale est distincte des essais de gameplay; un choix stratégique ne réécrit pas la fin publiée.</x:v>
      </x:c>
      <x:c r="H7" s="9" t="str"/>
      <x:c r="I7" s="9" t="str"/>
      <x:c r="J7" s="9" t="str"/>
      <x:c r="K7" s="9" t="str"/>
      <x:c r="L7" s="9" t="str">
        <x:v>Contrat de production BLA/CNT-PLACE; à appliquer au futur contenu de l'œuvre.</x:v>
      </x:c>
      <x:c r="M7" s="9" t="str">
        <x:v>Conserver un marquage permanent de fiction diégétique. Les objets, statistiques et effets du film ne sont pas exportables vers la campagne principale.</x:v>
      </x:c>
      <x:c r="N7" s="9" t="str">
        <x:v>La frise indique les incertitudes et les liens avec les autres œuvres sans attribuer une date non sourcée.</x:v>
      </x:c>
      <x:c r="O7" s="9" t="str">
        <x:v>BLA-REF-SCOPE</x:v>
      </x:c>
      <x:c r="P7" s="9" t="str">
        <x:v>Règle originale de production; les ancrages de continuité sont documentés dans les fiches REF.</x:v>
      </x:c>
      <x:c r="Q7" s="9" t="str"/>
      <x:c r="R7" s="20" t="str"/>
      <x:c r="S7" s="20" t="str"/>
    </x:row>
    <x:row r="8" ht="54" customHeight="1">
      <x:c r="A8" s="19" t="str">
        <x:v>BLA-CNT-NO-CUT</x:v>
      </x:c>
      <x:c r="B8" s="7" t="str">
        <x:v>Contenus non attestés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Aucune rumeur de scène coupée n’est intégrée à Blasto: Eternity is Forever.</x:v>
      </x:c>
      <x:c r="G8" s="7" t="str">
        <x:v>Un contenu absent des notices consultées reste non documenté; une illustration préparatoire ne prouve pas une scène canon.</x:v>
      </x:c>
      <x:c r="H8" s="7" t="str"/>
      <x:c r="I8" s="7" t="str"/>
      <x:c r="J8" s="7" t="str"/>
      <x:c r="K8" s="7" t="str"/>
      <x:c r="L8" s="7" t="str">
        <x:v>Contrat de production BLA/CNT-NO-CUT; à appliquer au futur contenu de l'œuvre.</x:v>
      </x:c>
      <x:c r="M8" s="7" t="str">
        <x:v>Conserver un marquage permanent de fiction diégétique. Les objets, statistiques et effets du film ne sont pas exportables vers la campagne principale.</x:v>
      </x:c>
      <x:c r="N8" s="7" t="str">
        <x:v>Une future fiche Coupé attesté ou Concept abandonné devra citer une preuve primaire spécifique.</x:v>
      </x:c>
      <x:c r="O8" s="7" t="str">
        <x:v>BLA-REF-SCOPE</x:v>
      </x:c>
      <x:c r="P8" s="7" t="str">
        <x:v>Règle originale de production; les ancrages de continuité sont documentés dans les fiches REF.</x:v>
      </x:c>
      <x:c r="Q8" s="7" t="str"/>
      <x:c r="R8" s="21" t="str"/>
      <x:c r="S8" s="21" t="str"/>
    </x:row>
  </x:sheetData>
  <x:conditionalFormatting sqref="D7:D8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8">
    <x:cfRule type="cellIs" dxfId="102" priority="3" operator="equal">
      <x:formula>"Validé"</x:formula>
    </x:cfRule>
  </x:conditionalFormatting>
  <x:conditionalFormatting sqref="E7:E8">
    <x:cfRule type="cellIs" dxfId="10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afe738aa83488f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Blasto: Eternity is Forever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30" t="str">
        <x:v>Champ</x:v>
      </x:c>
      <x:c r="B6" s="32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Blasto: Eternity is Forever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Comic court / récit autonome</x:v>
      </x:c>
      <x:c r="C8" s="2"/>
      <x:c r="D8" s="2"/>
      <x:c r="E8" s="2"/>
      <x:c r="F8" s="2"/>
    </x:row>
    <x:row r="9" ht="68" customHeight="1">
      <x:c r="A9" s="7" t="str">
        <x:v>Périmètre</x:v>
      </x:c>
      <x:c r="B9" s="7" t="str">
        <x:v>Récit de Blasto, héros fictif à l’intérieur de l’univers : mission avec Cerulean Star, Virmire de cinéma et confrontation à Kronus. Le dispositif est présenté comme film jouable ou bonus de fiction.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Production d’un épisode d’action volontairement spectaculaire, cadré comme fiction diégétique. Les pouvoirs temporels ne sont jamais exportés vers les règles physiques de la saga.</x:v>
      </x:c>
      <x:c r="C10" s="2"/>
      <x:c r="D10" s="2"/>
      <x:c r="E10" s="2"/>
      <x:c r="F10" s="2"/>
    </x:row>
    <x:row r="11" ht="180" customHeight="1">
      <x:c r="A11" s="7" t="str">
        <x:v>Références et limites</x:v>
      </x:c>
      <x:c r="B11" s="7" t="str">
        <x:v>Blasto est un personnage de films dans Mass Effect. Kronus, son dispositif temporel et la représentation de Virmire appartiennent à cette fiction; ils ne prouvent pas une technologie temporelle utilisable dans le reste du canon. Les missions, options, ATB, coûts, compositions 2D/3D, effets et fichiers proposés sont des extrapolations; aucun chiffre de réglage n’est présenté comme canon. « Établi » qualifie uniquement le fait bref de description, pas sa proposition d’adaptation. Les sources wiki consultées via l’index restent À vérifier. Les 12 pages Fandom fournies ont été tentées en accès direct et ont échoué; les notices officielles et notes d’auteur servent de remplacement lorsque disponibles.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30" t="str">
        <x:v>Source</x:v>
      </x:c>
      <x:c r="B26" s="31" t="str">
        <x:v>Titre</x:v>
      </x:c>
      <x:c r="C26" s="31" t="str">
        <x:v>Type</x:v>
      </x:c>
      <x:c r="D26" s="31" t="str">
        <x:v>URL</x:v>
      </x:c>
      <x:c r="E26" s="31" t="str">
        <x:v>Périmètre</x:v>
      </x:c>
      <x:c r="F26" s="32" t="str">
        <x:v>Accès et limites</x:v>
      </x:c>
    </x:row>
    <x:row r="27" ht="42" customHeight="1">
      <x:c r="A27" s="6" t="str">
        <x:v>BLA-S-BOOK</x:v>
      </x:c>
      <x:c r="B27" s="6" t="str">
        <x:v>Dark Horse — Blasto, notice éditeur Google Books</x:v>
      </x:c>
      <x:c r="C27" s="6" t="str">
        <x:v>publication originale — notice éditeur distribuée</x:v>
      </x:c>
      <x:c r="D27" s="6" t="str">
        <x:v>https://books.google.com/books?id=b3OjCgAAQBAJ</x:v>
      </x:c>
      <x:c r="E27" s="6" t="str">
        <x:v>Blasto, Cerulean Star et Virmire.</x:v>
      </x:c>
      <x:c r="F27" s="6" t="str">
        <x:v>Consulté le 22 octobre 2026; les faits sont paraphrasés brièvement.</x:v>
      </x:c>
    </x:row>
    <x:row r="28" ht="42" customHeight="1">
      <x:c r="A28" s="6" t="str">
        <x:v>BLA-S-OMNI2</x:v>
      </x:c>
      <x:c r="B28" s="6" t="str">
        <x:v>Dark Horse — Mass Effect Omnibus Volume 2</x:v>
      </x:c>
      <x:c r="C28" s="6" t="str">
        <x:v>source officielle — notice Dark Horse via Penguin Random House</x:v>
      </x:c>
      <x:c r="D28" s="6" t="str">
        <x:v>https://www.penguinrandomhouse.com/books/556082/mass-effect-omnibus-volume-2-by-jeremy-barlow/</x:v>
      </x:c>
      <x:c r="E28" s="6" t="str">
        <x:v>Foundation #1–13, Blasto et He Who Laughs Best rassemblés.</x:v>
      </x:c>
      <x:c r="F28" s="6" t="str">
        <x:v>Consulté le 22 octobre 2026; les faits sont paraphrasés brièvement.</x:v>
      </x:c>
    </x:row>
    <x:row r="29" ht="54" customHeight="1">
      <x:c r="A29" s="6" t="str">
        <x:v>BLA-S-WIKI</x:v>
      </x:c>
      <x:c r="B29" s="6" t="str">
        <x:v>Blasto: Eternity is Forever</x:v>
      </x:c>
      <x:c r="C29" s="6" t="str">
        <x:v>wiki — extrait indexé, à contrôler</x:v>
      </x:c>
      <x:c r="D29" s="6" t="str">
        <x:v>https://masseffect.fandom.com/wiki/Mass_Effect%3A_Blasto%3A_Eternity_is_Forever</x:v>
      </x:c>
      <x:c r="E29" s="6" t="str">
        <x:v>Fiction dans la fiction, Kronus et intrigue du film.</x:v>
      </x:c>
      <x:c r="F29" s="6" t="str">
        <x:v>Contenu lu dans le résultat de recherche indexé; ouverture directe Fandom restreinte ou en erreur. Comparaison avec le comic autorisé requise.</x:v>
      </x:c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34" customHeight="1">
      <x:c r="A33" s="30" t="str">
        <x:v>Domaine</x:v>
      </x:c>
      <x:c r="B33" s="31" t="str">
        <x:v>Couverture actuelle</x:v>
      </x:c>
      <x:c r="C33" s="32" t="str">
        <x:v>Travail restant</x:v>
      </x:c>
      <x:c r="D33" s="2"/>
      <x:c r="E33" s="2"/>
      <x:c r="F33" s="2"/>
    </x:row>
    <x:row r="34" ht="68" customHeight="1">
      <x:c r="A34" s="6" t="str">
        <x:v>characters</x:v>
      </x:c>
      <x:c r="B34" s="6" t="str">
        <x:v>3 fiche(s) : Blasto; Cerulean Star; Kronus</x:v>
      </x:c>
      <x:c r="C34" s="6" t="str">
        <x:v>Comparer les détails marqués À vérifier à une édition autorisée; les sources éditoriales n’attestent pas chaque détail graphique.</x:v>
      </x:c>
      <x:c r="D34" s="2"/>
      <x:c r="E34" s="2"/>
      <x:c r="F34" s="2"/>
    </x:row>
    <x:row r="35" ht="68" customHeight="1">
      <x:c r="A35" s="6" t="str">
        <x:v>npcs</x:v>
      </x:c>
      <x:c r="B35" s="6" t="str">
        <x:v>1 fiche(s) : Interlocuteur turien de Blasto</x:v>
      </x:c>
      <x:c r="C35" s="6" t="str">
        <x:v>Comparer les détails marqués À vérifier à une édition autorisée; les sources éditoriales n’attestent pas chaque détail graphique.</x:v>
      </x:c>
      <x:c r="D35" s="2"/>
      <x:c r="E35" s="2"/>
      <x:c r="F35" s="2"/>
    </x:row>
    <x:row r="36" ht="68" customHeight="1">
      <x:c r="A36" s="6" t="str">
        <x:v>lore</x:v>
      </x:c>
      <x:c r="B36" s="6" t="str">
        <x:v>7 fiche(s) : Blasto et Cerulean Star; Fiction à l’intérieur de l’univers; Antagoniste du film; Briefing du duo de cinéma</x:v>
      </x:c>
      <x:c r="C36" s="6" t="str">
        <x:v>Comparer les détails marqués À vérifier à une édition autorisée; les sources éditoriales n’attestent pas chaque détail graphique.</x:v>
      </x:c>
      <x:c r="D36" s="2"/>
      <x:c r="E36" s="2"/>
      <x:c r="F36" s="2"/>
    </x:row>
    <x:row r="37" ht="68" customHeight="1">
      <x:c r="A37" s="6" t="str">
        <x:v>worlds</x:v>
      </x:c>
      <x:c r="B37" s="6" t="str">
        <x:v>2 fiche(s) : Citadelle de cinéma; Virmire de cinéma</x:v>
      </x:c>
      <x:c r="C37" s="6" t="str">
        <x:v>Comparer les détails marqués À vérifier à une édition autorisée; les sources éditoriales n’attestent pas chaque détail graphique.</x:v>
      </x:c>
      <x:c r="D37" s="2"/>
      <x:c r="E37" s="2"/>
      <x:c r="F37" s="2"/>
    </x:row>
    <x:row r="38" ht="54" customHeight="1">
      <x:c r="A38" s="6" t="str">
        <x:v>zones</x:v>
      </x:c>
      <x:c r="B38" s="6" t="str">
        <x:v>2 fiche(s) : Citadelle de cinéma — espace jouable proposé; Virmire de cinéma — espace jouable proposé</x:v>
      </x:c>
      <x:c r="C38" s="6" t="str">
        <x:v>Prototyper les règles proposées et exécuter les critères de recette; aucune fiche n’est déclarée intégrée ou validée.</x:v>
      </x:c>
      <x:c r="D38" s="2"/>
      <x:c r="E38" s="2"/>
      <x:c r="F38" s="2"/>
    </x:row>
    <x:row r="39" ht="54" customHeight="1">
      <x:c r="A39" s="6" t="str">
        <x:v>links</x:v>
      </x:c>
      <x:c r="B39" s="6" t="str">
        <x:v>2 fiche(s) : Citadelle de cinéma — accès et sortie; Virmire de cinéma — accès et sortie</x:v>
      </x:c>
      <x:c r="C39" s="6" t="str">
        <x:v>Prototyper les règles proposées et exécuter les critères de recette; aucune fiche n’est déclarée intégrée ou validée.</x:v>
      </x:c>
      <x:c r="D39" s="2"/>
      <x:c r="E39" s="2"/>
      <x:c r="F39" s="2"/>
    </x:row>
    <x:row r="40" ht="54" customHeight="1">
      <x:c r="A40" s="6" t="str">
        <x:v>scenery</x:v>
      </x:c>
      <x:c r="B40" s="6" t="str">
        <x:v>2 fiche(s) : Citadelle de cinéma — décor et repère; Virmire de cinéma — décor et repère</x:v>
      </x:c>
      <x:c r="C40" s="6" t="str">
        <x:v>Produire les assets originaux puis vérifier en situation; ce catalogue ne livre ni image, ni son, ni animation.</x:v>
      </x:c>
      <x:c r="D40" s="2"/>
      <x:c r="E40" s="2"/>
      <x:c r="F40" s="2"/>
    </x:row>
    <x:row r="41" ht="54" customHeight="1">
      <x:c r="A41" s="6" t="str">
        <x:v>props</x:v>
      </x:c>
      <x:c r="B41" s="6" t="str">
        <x:v>4 fiche(s) : Dossier de tournage diégétique; Balise de site; Commande temporelle de cinéma; Repère de sortie du film</x:v>
      </x:c>
      <x:c r="C41" s="6" t="str">
        <x:v>Prototyper les règles proposées et exécuter les critères de recette; aucune fiche n’est déclarée intégrée ou validée.</x:v>
      </x:c>
      <x:c r="D41" s="2"/>
      <x:c r="E41" s="2"/>
      <x:c r="F41" s="2"/>
    </x:row>
    <x:row r="42" ht="54" customHeight="1">
      <x:c r="A42" s="6" t="str">
        <x:v>enemies</x:v>
      </x:c>
      <x:c r="B42" s="6" t="str">
        <x:v>2 fiche(s) : Gardes de Kronus — fiction; Kronus — boss de film proposé</x:v>
      </x:c>
      <x:c r="C42" s="6" t="str">
        <x:v>Prototyper les règles proposées et exécuter les critères de recette; aucune fiche n’est déclarée intégrée ou validée.</x:v>
      </x:c>
      <x:c r="D42" s="2"/>
      <x:c r="E42" s="2"/>
      <x:c r="F42" s="2"/>
    </x:row>
    <x:row r="43" ht="68" customHeight="1">
      <x:c r="A43" s="6" t="str">
        <x:v>main_quests</x:v>
      </x:c>
      <x:c r="B43" s="6" t="str">
        <x:v>4 fiche(s) : Briefing du duo de cinéma — objectif jouable; Approche de l’installation — objectif jouable; Dispositif temporel de film — objectif jouable; Sortie de film — objectif jouable</x:v>
      </x:c>
      <x:c r="C43" s="6" t="str">
        <x:v>Prototyper les règles proposées et exécuter les critères de recette; aucune fiche n’est déclarée intégrée ou validée.</x:v>
      </x:c>
      <x:c r="D43" s="2"/>
      <x:c r="E43" s="2"/>
      <x:c r="F43" s="2"/>
    </x:row>
    <x:row r="44" ht="54" customHeight="1">
      <x:c r="A44" s="6" t="str">
        <x:v>side_quests</x:v>
      </x:c>
      <x:c r="B44" s="6" t="str">
        <x:v>4 fiche(s) : Consulter les rôles du duo; Repérer la sortie littorale; Analyser les liens du dispositif; Coordonner la dernière traversée</x:v>
      </x:c>
      <x:c r="C44" s="6" t="str">
        <x:v>Prototyper les règles proposées et exécuter les critères de recette; aucune fiche n’est déclarée intégrée ou validée.</x:v>
      </x:c>
      <x:c r="D44" s="2"/>
      <x:c r="E44" s="2"/>
      <x:c r="F44" s="2"/>
    </x:row>
    <x:row r="45" ht="68" customHeight="1">
      <x:c r="A45" s="6" t="str">
        <x:v>choices</x:v>
      </x:c>
      <x:c r="B45" s="6" t="str">
        <x:v>4 fiche(s) : Briefing du duo de cinéma — stratégie locale; Approche de l’installation — stratégie locale; Dispositif temporel de film — stratégie locale; Sortie de film — stratégie locale</x:v>
      </x:c>
      <x:c r="C45" s="6" t="str">
        <x:v>Prototyper les règles proposées et exécuter les critères de recette; aucune fiche n’est déclarée intégrée ou validée.</x:v>
      </x:c>
      <x:c r="D45" s="2"/>
      <x:c r="E45" s="2"/>
      <x:c r="F45" s="2"/>
    </x:row>
    <x:row r="46" ht="68" customHeight="1">
      <x:c r="A46" s="6" t="str">
        <x:v>dialogues</x:v>
      </x:c>
      <x:c r="B46" s="6" t="str">
        <x:v>4 fiche(s) : Briefing du duo de cinéma — intentions de conversation; Approche de l’installation — intentions de conversation; Dispositif temporel de film — intentions de conversation; Sortie de film — intentions de conversation</x:v>
      </x:c>
      <x:c r="C46" s="6" t="str">
        <x:v>Prototyper les règles proposées et exécuter les critères de recette; aucune fiche n’est déclarée intégrée ou validée.</x:v>
      </x:c>
      <x:c r="D46" s="2"/>
      <x:c r="E46" s="2"/>
      <x:c r="F46" s="2"/>
    </x:row>
    <x:row r="47" ht="68" customHeight="1">
      <x:c r="A47" s="6" t="str">
        <x:v>cinematics</x:v>
      </x:c>
      <x:c r="B47" s="6" t="str">
        <x:v>4 fiche(s) : Briefing du duo de cinéma — raccord mis en scène; Approche de l’installation — raccord mis en scène; Dispositif temporel de film — raccord mis en scène; Sortie de film — raccord mis en scène</x:v>
      </x:c>
      <x:c r="C47" s="6" t="str">
        <x:v>Prototyper les règles proposées et exécuter les critères de recette; aucune fiche n’est déclarée intégrée ou validée.</x:v>
      </x:c>
      <x:c r="D47" s="2"/>
      <x:c r="E47" s="2"/>
      <x:c r="F47" s="2"/>
    </x:row>
    <x:row r="48" ht="54" customHeight="1">
      <x:c r="A48" s="6" t="str">
        <x:v>weapons</x:v>
      </x:c>
      <x:c r="B48" s="6" t="str">
        <x:v>2 fiche(s) : Armes de tentacule — profils de film; Arme de Cerulean — profil proposé</x:v>
      </x:c>
      <x:c r="C48" s="6" t="str">
        <x:v>Prototyper les règles proposées et exécuter les critères de recette; aucune fiche n’est déclarée intégrée ou validée.</x:v>
      </x:c>
      <x:c r="D48" s="2"/>
      <x:c r="E48" s="2"/>
      <x:c r="F48" s="2"/>
    </x:row>
    <x:row r="49" ht="54" customHeight="1">
      <x:c r="A49" s="6" t="str">
        <x:v>equipment</x:v>
      </x:c>
      <x:c r="B49" s="6" t="str">
        <x:v>1 fiche(s) : Cadre de fiction diégétique</x:v>
      </x:c>
      <x:c r="C49" s="6" t="str">
        <x:v>Prototyper les règles proposées et exécuter les critères de recette; aucune fiche n’est déclarée intégrée ou validée.</x:v>
      </x:c>
      <x:c r="D49" s="2"/>
      <x:c r="E49" s="2"/>
      <x:c r="F49" s="2"/>
    </x:row>
    <x:row r="50" ht="54" customHeight="1">
      <x:c r="A50" s="6" t="str">
        <x:v>powers</x:v>
      </x:c>
      <x:c r="B50" s="6" t="str">
        <x:v>1 fiche(s) : Temps figé — effet local proposé</x:v>
      </x:c>
      <x:c r="C50" s="6" t="str">
        <x:v>Prototyper les règles proposées et exécuter les critères de recette; aucune fiche n’est déclarée intégrée ou validée.</x:v>
      </x:c>
      <x:c r="D50" s="2"/>
      <x:c r="E50" s="2"/>
      <x:c r="F50" s="2"/>
    </x:row>
    <x:row r="51" ht="54" customHeight="1">
      <x:c r="A51" s="6" t="str">
        <x:v>ally_moves</x:v>
      </x:c>
      <x:c r="B51" s="6" t="str">
        <x:v>2 fiche(s) : Salve chorégraphiée; Retour de scène</x:v>
      </x:c>
      <x:c r="C51" s="6" t="str">
        <x:v>Prototyper les règles proposées et exécuter les critères de recette; aucune fiche n’est déclarée intégrée ou validée.</x:v>
      </x:c>
      <x:c r="D51" s="2"/>
      <x:c r="E51" s="2"/>
      <x:c r="F51" s="2"/>
    </x:row>
    <x:row r="52" ht="54" customHeight="1">
      <x:c r="A52" s="6" t="str">
        <x:v>enemy_moves</x:v>
      </x:c>
      <x:c r="B52" s="6" t="str">
        <x:v>4 fiche(s) : Charge annoncée; Blocage d’accès; Gel de scène; Surcharge de décor</x:v>
      </x:c>
      <x:c r="C52" s="6" t="str">
        <x:v>Prototyper les règles proposées et exécuter les critères de recette; aucune fiche n’est déclarée intégrée ou validée.</x:v>
      </x:c>
      <x:c r="D52" s="2"/>
      <x:c r="E52" s="2"/>
      <x:c r="F52" s="2"/>
    </x:row>
    <x:row r="53" ht="54" customHeight="1">
      <x:c r="A53" s="6" t="str">
        <x:v>animations</x:v>
      </x:c>
      <x:c r="B53" s="6" t="str">
        <x:v>4 fiche(s) : Blasto — jeu de poses; Cerulean Star — jeu de poses; Kronus — jeu de poses; Interlocuteur turien de Blasto — jeu de poses</x:v>
      </x:c>
      <x:c r="C53" s="6" t="str">
        <x:v>Produire les assets originaux puis vérifier en situation; ce catalogue ne livre ni image, ni son, ni animation.</x:v>
      </x:c>
      <x:c r="D53" s="2"/>
      <x:c r="E53" s="2"/>
      <x:c r="F53" s="2"/>
    </x:row>
    <x:row r="54" ht="54" customHeight="1">
      <x:c r="A54" s="6" t="str">
        <x:v>sprites</x:v>
      </x:c>
      <x:c r="B54" s="6" t="str">
        <x:v>4 fiche(s) : Blasto — planche de sprites; Cerulean Star — planche de sprites; Kronus — planche de sprites; Interlocuteur turien de Blasto — planche de sprites</x:v>
      </x:c>
      <x:c r="C54" s="6" t="str">
        <x:v>Produire les assets originaux puis vérifier en situation; ce catalogue ne livre ni image, ni son, ni animation.</x:v>
      </x:c>
      <x:c r="D54" s="2"/>
      <x:c r="E54" s="2"/>
      <x:c r="F54" s="2"/>
    </x:row>
    <x:row r="55" ht="54" customHeight="1">
      <x:c r="A55" s="6" t="str">
        <x:v>vfx</x:v>
      </x:c>
      <x:c r="B55" s="6" t="str">
        <x:v>4 fiche(s) : Briefing du duo de cinéma — signal visuel; Approche de l’installation — signal visuel; Dispositif temporel de film — signal visuel; Sortie de film — signal visuel</x:v>
      </x:c>
      <x:c r="C55" s="6" t="str">
        <x:v>Produire les assets originaux puis vérifier en situation; ce catalogue ne livre ni image, ni son, ni animation.</x:v>
      </x:c>
      <x:c r="D55" s="2"/>
      <x:c r="E55" s="2"/>
      <x:c r="F55" s="2"/>
    </x:row>
    <x:row r="56" ht="54" customHeight="1">
      <x:c r="A56" s="6" t="str">
        <x:v>audio</x:v>
      </x:c>
      <x:c r="B56" s="6" t="str">
        <x:v>2 fiche(s) : Citadelle de cinéma — paysage sonore; Virmire de cinéma — paysage sonore</x:v>
      </x:c>
      <x:c r="C56" s="6" t="str">
        <x:v>Produire les assets originaux puis vérifier en situation; ce catalogue ne livre ni image, ni son, ni animation.</x:v>
      </x:c>
      <x:c r="D56" s="2"/>
      <x:c r="E56" s="2"/>
      <x:c r="F56" s="2"/>
    </x:row>
    <x:row r="57" ht="54" customHeight="1">
      <x:c r="A57" s="6" t="str">
        <x:v>systems</x:v>
      </x:c>
      <x:c r="B57" s="6" t="str">
        <x:v>4 fiche(s) : Journal à deux niveaux; Groupe propre au chapitre; Rythme ATB proposé; Sauvegarde des modules</x:v>
      </x:c>
      <x:c r="C57" s="6" t="str">
        <x:v>Prototyper les règles proposées et exécuter les critères de recette; aucune fiche n’est déclarée intégrée ou validée.</x:v>
      </x:c>
      <x:c r="D57" s="2"/>
      <x:c r="E57" s="2"/>
      <x:c r="F57" s="2"/>
    </x:row>
    <x:row r="58" ht="68" customHeight="1">
      <x:c r="A58" s="6" t="str">
        <x:v>qa</x:v>
      </x:c>
      <x:c r="B58" s="6" t="str">
        <x:v>7 fiche(s) : Briefing du duo de cinéma — contrôle du parcours; Approche de l’installation — contrôle du parcours; Dispositif temporel de film — contrôle du parcours; Sortie de film — contrôle du parcours</x:v>
      </x:c>
      <x:c r="C58" s="6" t="str">
        <x:v>Prototyper les règles proposées et exécuter les critères de recette; aucune fiche n’est déclarée intégrée ou validée.</x:v>
      </x:c>
      <x:c r="D58" s="2"/>
      <x:c r="E58" s="2"/>
      <x:c r="F58" s="2"/>
    </x:row>
    <x:row r="59" ht="68" customHeight="1">
      <x:c r="A59" s="6" t="str">
        <x:v>continuity</x:v>
      </x:c>
      <x:c r="B59" s="6" t="str">
        <x:v>2 fiche(s) : Position dans l’univers; Contenus non attestés</x:v>
      </x:c>
      <x:c r="C59" s="6" t="str">
        <x:v>Comparer les détails marqués À vérifier à une édition autorisée; les sources éditoriales n’attestent pas chaque détail graphique.</x:v>
      </x:c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  <x:row r="129" ht="22" customHeight="1">
      <x:c r="A129" s="2"/>
      <x:c r="B129" s="2"/>
      <x:c r="C129" s="2"/>
      <x:c r="D129" s="2"/>
      <x:c r="E129" s="2"/>
      <x:c r="F129" s="2"/>
    </x:row>
  </x:sheetData>
  <x:pageMargins left="0.7" right="0.7" top="0.75" bottom="0.75" header="0.3" footer="0.3"/>
</x:worksheet>
</file>