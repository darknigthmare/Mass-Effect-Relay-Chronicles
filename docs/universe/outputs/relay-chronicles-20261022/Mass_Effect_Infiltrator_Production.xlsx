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476120288d47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49c0a6dda904283"/>
    <x:sheet xmlns:r="http://schemas.openxmlformats.org/officeDocument/2006/relationships" name="Personnages" sheetId="2" r:id="Rd8a31b9ef7514046"/>
    <x:sheet xmlns:r="http://schemas.openxmlformats.org/officeDocument/2006/relationships" name="PNJ" sheetId="3" r:id="R9de5698db5be473b"/>
    <x:sheet xmlns:r="http://schemas.openxmlformats.org/officeDocument/2006/relationships" name="Especes_factions" sheetId="4" r:id="Rb50ab76250f84be1"/>
    <x:sheet xmlns:r="http://schemas.openxmlformats.org/officeDocument/2006/relationships" name="Mondes" sheetId="5" r:id="R45a6fcebadb1435c"/>
    <x:sheet xmlns:r="http://schemas.openxmlformats.org/officeDocument/2006/relationships" name="Zones" sheetId="6" r:id="R9aebcdc7a9b447d4"/>
    <x:sheet xmlns:r="http://schemas.openxmlformats.org/officeDocument/2006/relationships" name="Liaisons" sheetId="7" r:id="Raa67c91d80f84d3a"/>
    <x:sheet xmlns:r="http://schemas.openxmlformats.org/officeDocument/2006/relationships" name="Decors" sheetId="8" r:id="Ra388328fcae641c7"/>
    <x:sheet xmlns:r="http://schemas.openxmlformats.org/officeDocument/2006/relationships" name="Props" sheetId="9" r:id="R5ebb4612409b426b"/>
    <x:sheet xmlns:r="http://schemas.openxmlformats.org/officeDocument/2006/relationships" name="Ennemis_boss" sheetId="10" r:id="Rd1d30c37b3b646bd"/>
    <x:sheet xmlns:r="http://schemas.openxmlformats.org/officeDocument/2006/relationships" name="Missions" sheetId="11" r:id="R8418b1a2c4fc4687"/>
    <x:sheet xmlns:r="http://schemas.openxmlformats.org/officeDocument/2006/relationships" name="Secondaires_DLC" sheetId="12" r:id="Re68858c53a7248c8"/>
    <x:sheet xmlns:r="http://schemas.openxmlformats.org/officeDocument/2006/relationships" name="Choix_relations" sheetId="13" r:id="Ra838ab0e38e94860"/>
    <x:sheet xmlns:r="http://schemas.openxmlformats.org/officeDocument/2006/relationships" name="Dialogues" sheetId="14" r:id="R56f63c0980d34c7b"/>
    <x:sheet xmlns:r="http://schemas.openxmlformats.org/officeDocument/2006/relationships" name="Cinematiques" sheetId="15" r:id="R45124b6355864acd"/>
    <x:sheet xmlns:r="http://schemas.openxmlformats.org/officeDocument/2006/relationships" name="Armes" sheetId="16" r:id="R97a75160e67545fa"/>
    <x:sheet xmlns:r="http://schemas.openxmlformats.org/officeDocument/2006/relationships" name="Armures_equipement" sheetId="17" r:id="R8c7811ec08c54dff"/>
    <x:sheet xmlns:r="http://schemas.openxmlformats.org/officeDocument/2006/relationships" name="Pouvoirs" sheetId="18" r:id="Rd187a9b9c7814fca"/>
    <x:sheet xmlns:r="http://schemas.openxmlformats.org/officeDocument/2006/relationships" name="Movesets_allies" sheetId="19" r:id="R1f52f9020d294f80"/>
    <x:sheet xmlns:r="http://schemas.openxmlformats.org/officeDocument/2006/relationships" name="Movesets_ennemis" sheetId="20" r:id="R235ed135c32248e3"/>
    <x:sheet xmlns:r="http://schemas.openxmlformats.org/officeDocument/2006/relationships" name="Animations" sheetId="21" r:id="R6611d0d501ba48b5"/>
    <x:sheet xmlns:r="http://schemas.openxmlformats.org/officeDocument/2006/relationships" name="Sprites" sheetId="22" r:id="R65b271eba26044e6"/>
    <x:sheet xmlns:r="http://schemas.openxmlformats.org/officeDocument/2006/relationships" name="VFX" sheetId="23" r:id="R84c31b32e24843eb"/>
    <x:sheet xmlns:r="http://schemas.openxmlformats.org/officeDocument/2006/relationships" name="Audio" sheetId="24" r:id="R1994ee592f1b4089"/>
    <x:sheet xmlns:r="http://schemas.openxmlformats.org/officeDocument/2006/relationships" name="UI_systemes" sheetId="25" r:id="Rb3e01d5fcadc42fa"/>
    <x:sheet xmlns:r="http://schemas.openxmlformats.org/officeDocument/2006/relationships" name="QA" sheetId="26" r:id="R0fad0919b87e4fa5"/>
    <x:sheet xmlns:r="http://schemas.openxmlformats.org/officeDocument/2006/relationships" name="Continuite" sheetId="27" r:id="Rc782ee46a1694ad6"/>
    <x:sheet xmlns:r="http://schemas.openxmlformats.org/officeDocument/2006/relationships" name="Guide" sheetId="28" r:id="Rc17fa0f83e6b43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4e4693066a41e2" /><Relationship Type="http://schemas.openxmlformats.org/officeDocument/2006/relationships/theme" Target="/xl/theme/theme1.xml" Id="Re3a74b60080d4fe0" /><Relationship Type="http://schemas.openxmlformats.org/officeDocument/2006/relationships/sharedStrings" Target="/xl/sharedStrings.xml" Id="R72e7b056c5f542fc" /><Relationship Type="http://schemas.openxmlformats.org/officeDocument/2006/relationships/worksheet" Target="/xl/worksheets/sheet1.xml" Id="R349c0a6dda904283" /><Relationship Type="http://schemas.openxmlformats.org/officeDocument/2006/relationships/worksheet" Target="/xl/worksheets/sheet2.xml" Id="Rd8a31b9ef7514046" /><Relationship Type="http://schemas.openxmlformats.org/officeDocument/2006/relationships/worksheet" Target="/xl/worksheets/sheet3.xml" Id="R9de5698db5be473b" /><Relationship Type="http://schemas.openxmlformats.org/officeDocument/2006/relationships/worksheet" Target="/xl/worksheets/sheet4.xml" Id="Rb50ab76250f84be1" /><Relationship Type="http://schemas.openxmlformats.org/officeDocument/2006/relationships/worksheet" Target="/xl/worksheets/sheet5.xml" Id="R45a6fcebadb1435c" /><Relationship Type="http://schemas.openxmlformats.org/officeDocument/2006/relationships/worksheet" Target="/xl/worksheets/sheet6.xml" Id="R9aebcdc7a9b447d4" /><Relationship Type="http://schemas.openxmlformats.org/officeDocument/2006/relationships/worksheet" Target="/xl/worksheets/sheet7.xml" Id="Raa67c91d80f84d3a" /><Relationship Type="http://schemas.openxmlformats.org/officeDocument/2006/relationships/worksheet" Target="/xl/worksheets/sheet8.xml" Id="Ra388328fcae641c7" /><Relationship Type="http://schemas.openxmlformats.org/officeDocument/2006/relationships/worksheet" Target="/xl/worksheets/sheet9.xml" Id="R5ebb4612409b426b" /><Relationship Type="http://schemas.openxmlformats.org/officeDocument/2006/relationships/worksheet" Target="/xl/worksheets/sheet10.xml" Id="Rd1d30c37b3b646bd" /><Relationship Type="http://schemas.openxmlformats.org/officeDocument/2006/relationships/worksheet" Target="/xl/worksheets/sheet11.xml" Id="R8418b1a2c4fc4687" /><Relationship Type="http://schemas.openxmlformats.org/officeDocument/2006/relationships/worksheet" Target="/xl/worksheets/sheet12.xml" Id="Re68858c53a7248c8" /><Relationship Type="http://schemas.openxmlformats.org/officeDocument/2006/relationships/worksheet" Target="/xl/worksheets/sheet13.xml" Id="Ra838ab0e38e94860" /><Relationship Type="http://schemas.openxmlformats.org/officeDocument/2006/relationships/worksheet" Target="/xl/worksheets/sheet14.xml" Id="R56f63c0980d34c7b" /><Relationship Type="http://schemas.openxmlformats.org/officeDocument/2006/relationships/worksheet" Target="/xl/worksheets/sheet15.xml" Id="R45124b6355864acd" /><Relationship Type="http://schemas.openxmlformats.org/officeDocument/2006/relationships/worksheet" Target="/xl/worksheets/sheet16.xml" Id="R97a75160e67545fa" /><Relationship Type="http://schemas.openxmlformats.org/officeDocument/2006/relationships/worksheet" Target="/xl/worksheets/sheet17.xml" Id="R8c7811ec08c54dff" /><Relationship Type="http://schemas.openxmlformats.org/officeDocument/2006/relationships/worksheet" Target="/xl/worksheets/sheet18.xml" Id="Rd187a9b9c7814fca" /><Relationship Type="http://schemas.openxmlformats.org/officeDocument/2006/relationships/worksheet" Target="/xl/worksheets/sheet19.xml" Id="R1f52f9020d294f80" /><Relationship Type="http://schemas.openxmlformats.org/officeDocument/2006/relationships/worksheet" Target="/xl/worksheets/sheet20.xml" Id="R235ed135c32248e3" /><Relationship Type="http://schemas.openxmlformats.org/officeDocument/2006/relationships/worksheet" Target="/xl/worksheets/sheet21.xml" Id="R6611d0d501ba48b5" /><Relationship Type="http://schemas.openxmlformats.org/officeDocument/2006/relationships/worksheet" Target="/xl/worksheets/sheet22.xml" Id="R65b271eba26044e6" /><Relationship Type="http://schemas.openxmlformats.org/officeDocument/2006/relationships/worksheet" Target="/xl/worksheets/sheet23.xml" Id="R84c31b32e24843eb" /><Relationship Type="http://schemas.openxmlformats.org/officeDocument/2006/relationships/worksheet" Target="/xl/worksheets/sheet24.xml" Id="R1994ee592f1b4089" /><Relationship Type="http://schemas.openxmlformats.org/officeDocument/2006/relationships/worksheet" Target="/xl/worksheets/sheet25.xml" Id="Rb3e01d5fcadc42fa" /><Relationship Type="http://schemas.openxmlformats.org/officeDocument/2006/relationships/worksheet" Target="/xl/worksheets/sheet26.xml" Id="R0fad0919b87e4fa5" /><Relationship Type="http://schemas.openxmlformats.org/officeDocument/2006/relationships/worksheet" Target="/xl/worksheets/sheet27.xml" Id="Rc782ee46a1694ad6" /><Relationship Type="http://schemas.openxmlformats.org/officeDocument/2006/relationships/worksheet" Target="/xl/worksheets/sheet28.xml" Id="Rc17fa0f83e6b43d6" /></Relationships>
</file>

<file path=xl/tables/table1.xml><?xml version="1.0" encoding="utf-8"?>
<x:table xmlns:x="http://schemas.openxmlformats.org/spreadsheetml/2006/main" id="1" name="INF_characters" displayName="INF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F_npcs" displayName="INF_np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F_lore" displayName="INF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_worlds" displayName="INF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F_zones" displayName="INF_zon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F_links" displayName="INF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F_scenery" displayName="INF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F_props" displayName="INF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F_enemies" displayName="INF_enemi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F_main_quests" displayName="INF_main_quests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F_side_quests" displayName="INF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F_choices" displayName="INF_choic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F_dialogues" displayName="INF_dialogu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F_cinematics" displayName="INF_cinematic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F_weapons" displayName="INF_weapon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F_equipment" displayName="INF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F_powers" displayName="INF_power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F_ally_moves" displayName="INF_ally_mov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F_enemy_moves" displayName="INF_enemy_mov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F_animations" displayName="INF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F_sprites" displayName="INF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F_vfx" displayName="INF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F_audio" displayName="INF_audio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F_systems" displayName="INF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F_qa" displayName="INF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F_continuity" displayName="INF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f27920e86f47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7dc6d291b944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063edf2b8614c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90d7d073364d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8bfed04fdc4f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2a56818e5af48f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42a0c655ad14ed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757cb395624441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80613be6e8140c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65fb5f2610f425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6a8b1d65a704b0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c01aff07155442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6e92acd50124a9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c1181b2cc271412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b73890005c3243b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8007dea9880c4c0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1ecc30975a00414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7bc7fc48a1e4ed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079eaf8b931d4fb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675001df7000454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afe10a03f5c34a79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9ccc555dd5424537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f79efca4be6c43e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50bc47e84794ab8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cf6e31c3a87a42a6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4ae023090a334370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Infiltrator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10</x:v>
      </x:c>
      <x:c r="I5" s="2"/>
      <x:c r="J5" s="2" t="str">
        <x:v>Extrapolations</x:v>
      </x:c>
      <x:c r="K5" s="31" t="n">
        <x:f>SUM(I10:I35)</x:f>
        <x:v>62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0</x:v>
      </x:c>
      <x:c r="D10" s="37" t="n">
        <x:f>COUNTIFS('Personnages'!$C$7:$C$8,"Prototype")</x:f>
        <x:v>2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COUNTA('PNJ'!$A$7:$A$9)</x:f>
        <x:v>3</x:v>
      </x:c>
      <x:c r="C11" s="38" t="n">
        <x:f>COUNTIFS('PNJ'!$C$7:$C$9,"Défini")</x:f>
        <x:v>3</x:v>
      </x:c>
      <x:c r="D11" s="38" t="n">
        <x:f>COUNTIFS('PNJ'!$C$7:$C$9,"Prototype")</x:f>
        <x:v>0</x:v>
      </x:c>
      <x:c r="E11" s="38" t="n">
        <x:f>COUNTIFS('PNJ'!$C$7:$C$9,"Intégré")</x:f>
        <x:v>0</x:v>
      </x:c>
      <x:c r="F11" s="38" t="n">
        <x:f>COUNTIFS('PNJ'!$C$7:$C$9,"Validé")</x:f>
        <x:v>0</x:v>
      </x:c>
      <x:c r="G11" s="38" t="n">
        <x:f>COUNTIFS('PNJ'!$D$7:$D$9,"Établi")</x:f>
        <x:v>3</x:v>
      </x:c>
      <x:c r="H11" s="38" t="n">
        <x:f>COUNTIFS('PNJ'!$D$7:$D$9,"À vérifier")</x:f>
        <x:v>0</x:v>
      </x:c>
      <x:c r="I11" s="38" t="n">
        <x:f>COUNTIFS('PNJ'!$D$7:$D$9,"Extrapolation")</x:f>
        <x:v>0</x:v>
      </x:c>
      <x:c r="J11" s="38" t="n">
        <x:f>COUNTIFS('PNJ'!$D$7:$D$9,"Coupé attesté")</x:f>
        <x:v>0</x:v>
      </x:c>
      <x:c r="K11" s="38" t="n">
        <x:f>COUNTIFS('PNJ'!$D$7:$D$9,"Concept abandonné")</x:f>
        <x:v>0</x:v>
      </x:c>
      <x:c r="L11" s="38" t="n">
        <x:f>COUNTIFS('PNJ'!$D$7:$D$9,"Allégation écartée")</x:f>
        <x:v>0</x:v>
      </x:c>
      <x:c r="M11" s="38" t="n">
        <x:f>COUNTIFS('PNJ'!$E$7:$E$9,"P0")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2</x:v>
      </x:c>
      <x:c r="D12" s="37" t="n">
        <x:f>COUNTIFS('Especes_factions'!$C$7:$C$8,"Prototype")</x:f>
        <x:v>0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3</x:v>
      </x:c>
      <x:c r="D13" s="38" t="n">
        <x:f>COUNTIFS('Mondes'!$C$7:$C$9,"Prototype")</x:f>
        <x:v>0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COUNTA('Zones'!$A$7:$A$16)</x:f>
        <x:v>10</x:v>
      </x:c>
      <x:c r="C14" s="37" t="n">
        <x:f>COUNTIFS('Zones'!$C$7:$C$16,"Défini")</x:f>
        <x:v>10</x:v>
      </x:c>
      <x:c r="D14" s="37" t="n">
        <x:f>COUNTIFS('Zones'!$C$7:$C$16,"Prototype")</x:f>
        <x:v>0</x:v>
      </x:c>
      <x:c r="E14" s="37" t="n">
        <x:f>COUNTIFS('Zones'!$C$7:$C$16,"Intégré")</x:f>
        <x:v>0</x:v>
      </x:c>
      <x:c r="F14" s="37" t="n">
        <x:f>COUNTIFS('Zones'!$C$7:$C$16,"Validé")</x:f>
        <x:v>0</x:v>
      </x:c>
      <x:c r="G14" s="37" t="n">
        <x:f>COUNTIFS('Zones'!$D$7:$D$16,"Établi")</x:f>
        <x:v>0</x:v>
      </x:c>
      <x:c r="H14" s="37" t="n">
        <x:f>COUNTIFS('Zones'!$D$7:$D$16,"À vérifier")</x:f>
        <x:v>0</x:v>
      </x:c>
      <x:c r="I14" s="37" t="n">
        <x:f>COUNTIFS('Zones'!$D$7:$D$16,"Extrapolation")</x:f>
        <x:v>10</x:v>
      </x:c>
      <x:c r="J14" s="37" t="n">
        <x:f>COUNTIFS('Zones'!$D$7:$D$16,"Coupé attesté")</x:f>
        <x:v>0</x:v>
      </x:c>
      <x:c r="K14" s="37" t="n">
        <x:f>COUNTIFS('Zones'!$D$7:$D$16,"Concept abandonné")</x:f>
        <x:v>0</x:v>
      </x:c>
      <x:c r="L14" s="37" t="n">
        <x:f>COUNTIFS('Zones'!$D$7:$D$16,"Allégation écartée")</x:f>
        <x:v>0</x:v>
      </x:c>
      <x:c r="M14" s="37" t="n">
        <x:f>COUNTIFS('Zones'!$E$7:$E$16,"P0")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0</x:v>
      </x:c>
      <x:c r="H15" s="38" t="n">
        <x:f>COUNTIFS('Liaisons'!$D$7:$D$8,"À vérifier")</x:f>
        <x:v>0</x:v>
      </x:c>
      <x:c r="I15" s="38" t="n">
        <x:f>COUNTIFS('Liaisons'!$D$7:$D$8,"Extrapolation")</x:f>
        <x:v>2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COUNTA('Ennemis_boss'!$A$7:$A$13)</x:f>
        <x:v>7</x:v>
      </x:c>
      <x:c r="C18" s="37" t="n">
        <x:f>COUNTIFS('Ennemis_boss'!$C$7:$C$13,"Défini")</x:f>
        <x:v>7</x:v>
      </x:c>
      <x:c r="D18" s="37" t="n">
        <x:f>COUNTIFS('Ennemis_boss'!$C$7:$C$13,"Prototype")</x:f>
        <x:v>0</x:v>
      </x:c>
      <x:c r="E18" s="37" t="n">
        <x:f>COUNTIFS('Ennemis_boss'!$C$7:$C$13,"Intégré")</x:f>
        <x:v>0</x:v>
      </x:c>
      <x:c r="F18" s="37" t="n">
        <x:f>COUNTIFS('Ennemis_boss'!$C$7:$C$13,"Validé")</x:f>
        <x:v>0</x:v>
      </x:c>
      <x:c r="G18" s="37" t="n">
        <x:f>COUNTIFS('Ennemis_boss'!$D$7:$D$13,"Établi")</x:f>
        <x:v>7</x:v>
      </x:c>
      <x:c r="H18" s="37" t="n">
        <x:f>COUNTIFS('Ennemis_boss'!$D$7:$D$13,"À vérifier")</x:f>
        <x:v>0</x:v>
      </x:c>
      <x:c r="I18" s="37" t="n">
        <x:f>COUNTIFS('Ennemis_boss'!$D$7:$D$13,"Extrapolation")</x:f>
        <x:v>0</x:v>
      </x:c>
      <x:c r="J18" s="37" t="n">
        <x:f>COUNTIFS('Ennemis_boss'!$D$7:$D$13,"Coupé attesté")</x:f>
        <x:v>0</x:v>
      </x:c>
      <x:c r="K18" s="37" t="n">
        <x:f>COUNTIFS('Ennemis_boss'!$D$7:$D$13,"Concept abandonné")</x:f>
        <x:v>0</x:v>
      </x:c>
      <x:c r="L18" s="37" t="n">
        <x:f>COUNTIFS('Ennemis_boss'!$D$7:$D$13,"Allégation écartée")</x:f>
        <x:v>0</x:v>
      </x:c>
      <x:c r="M18" s="37" t="n">
        <x:f>COUNTIFS('Ennemis_boss'!$E$7:$E$13,"P0")</x:f>
        <x:v>1</x:v>
      </x:c>
    </x:row>
    <x:row r="19" ht="22" customHeight="1">
      <x:c r="A19" s="2" t="str">
        <x:v>Missions</x:v>
      </x:c>
      <x:c r="B19" s="38" t="n">
        <x:f>COUNTA('Missions'!$A$7:$A$15)</x:f>
        <x:v>9</x:v>
      </x:c>
      <x:c r="C19" s="38" t="n">
        <x:f>COUNTIFS('Missions'!$C$7:$C$15,"Défini")</x:f>
        <x:v>9</x:v>
      </x:c>
      <x:c r="D19" s="38" t="n">
        <x:f>COUNTIFS('Missions'!$C$7:$C$15,"Prototype")</x:f>
        <x:v>0</x:v>
      </x:c>
      <x:c r="E19" s="38" t="n">
        <x:f>COUNTIFS('Missions'!$C$7:$C$15,"Intégré")</x:f>
        <x:v>0</x:v>
      </x:c>
      <x:c r="F19" s="38" t="n">
        <x:f>COUNTIFS('Missions'!$C$7:$C$15,"Validé")</x:f>
        <x:v>0</x:v>
      </x:c>
      <x:c r="G19" s="38" t="n">
        <x:f>COUNTIFS('Missions'!$D$7:$D$15,"Établi")</x:f>
        <x:v>9</x:v>
      </x:c>
      <x:c r="H19" s="38" t="n">
        <x:f>COUNTIFS('Missions'!$D$7:$D$15,"À vérifier")</x:f>
        <x:v>0</x:v>
      </x:c>
      <x:c r="I19" s="38" t="n">
        <x:f>COUNTIFS('Missions'!$D$7:$D$15,"Extrapolation")</x:f>
        <x:v>0</x:v>
      </x:c>
      <x:c r="J19" s="38" t="n">
        <x:f>COUNTIFS('Missions'!$D$7:$D$15,"Coupé attesté")</x:f>
        <x:v>0</x:v>
      </x:c>
      <x:c r="K19" s="38" t="n">
        <x:f>COUNTIFS('Missions'!$D$7:$D$15,"Concept abandonné")</x:f>
        <x:v>0</x:v>
      </x:c>
      <x:c r="L19" s="38" t="n">
        <x:f>COUNTIFS('Missions'!$D$7:$D$15,"Allégation écartée")</x:f>
        <x:v>0</x:v>
      </x:c>
      <x:c r="M19" s="38" t="n">
        <x:f>COUNTIFS('Missions'!$E$7:$E$15,"P0")</x:f>
        <x:v>9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3</x:v>
      </x:c>
      <x:c r="H20" s="37" t="n">
        <x:f>COUNTIFS('Secondaires_DLC'!$D$7:$D$9,"À vérifier")</x:f>
        <x:v>0</x:v>
      </x:c>
      <x:c r="I20" s="37" t="n">
        <x:f>COUNTIFS('Secondaires_DLC'!$D$7:$D$9,"Extrapolation")</x:f>
        <x:v>0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COUNTA('Choix_relations'!$A$7:$A$8)</x:f>
        <x:v>2</x:v>
      </x:c>
      <x:c r="C21" s="38" t="n">
        <x:f>COUNTIFS('Choix_relations'!$C$7:$C$8,"Défini")</x:f>
        <x:v>2</x:v>
      </x:c>
      <x:c r="D21" s="38" t="n">
        <x:f>COUNTIFS('Choix_relations'!$C$7:$C$8,"Prototype")</x:f>
        <x:v>0</x:v>
      </x:c>
      <x:c r="E21" s="38" t="n">
        <x:f>COUNTIFS('Choix_relations'!$C$7:$C$8,"Intégré")</x:f>
        <x:v>0</x:v>
      </x:c>
      <x:c r="F21" s="38" t="n">
        <x:f>COUNTIFS('Choix_relations'!$C$7:$C$8,"Validé")</x:f>
        <x:v>0</x:v>
      </x:c>
      <x:c r="G21" s="38" t="n">
        <x:f>COUNTIFS('Choix_relations'!$D$7:$D$8,"Établi")</x:f>
        <x:v>2</x:v>
      </x:c>
      <x:c r="H21" s="38" t="n">
        <x:f>COUNTIFS('Choix_relations'!$D$7:$D$8,"À vérifier")</x:f>
        <x:v>0</x:v>
      </x:c>
      <x:c r="I21" s="38" t="n">
        <x:f>COUNTIFS('Choix_relations'!$D$7:$D$8,"Extrapolation")</x:f>
        <x:v>0</x:v>
      </x:c>
      <x:c r="J21" s="38" t="n">
        <x:f>COUNTIFS('Choix_relations'!$D$7:$D$8,"Coupé attesté")</x:f>
        <x:v>0</x:v>
      </x:c>
      <x:c r="K21" s="38" t="n">
        <x:f>COUNTIFS('Choix_relations'!$D$7:$D$8,"Concept abandonné")</x:f>
        <x:v>0</x:v>
      </x:c>
      <x:c r="L21" s="38" t="n">
        <x:f>COUNTIFS('Choix_relations'!$D$7:$D$8,"Allégation écartée")</x:f>
        <x:v>0</x:v>
      </x:c>
      <x:c r="M21" s="38" t="n">
        <x:f>COUNTIFS('Choix_relations'!$E$7:$E$8,"P0")</x:f>
        <x:v>0</x:v>
      </x:c>
    </x:row>
    <x:row r="22" ht="22" customHeight="1">
      <x:c r="A22" s="33" t="str">
        <x:v>Dialogues</x:v>
      </x:c>
      <x:c r="B22" s="37" t="n">
        <x:f>COUNTA('Dialogues'!$A$7:$A$8)</x:f>
        <x:v>2</x:v>
      </x:c>
      <x:c r="C22" s="37" t="n">
        <x:f>COUNTIFS('Dialogues'!$C$7:$C$8,"Défini")</x:f>
        <x:v>2</x:v>
      </x:c>
      <x:c r="D22" s="37" t="n">
        <x:f>COUNTIFS('Dialogues'!$C$7:$C$8,"Prototype")</x:f>
        <x:v>0</x:v>
      </x:c>
      <x:c r="E22" s="37" t="n">
        <x:f>COUNTIFS('Dialogues'!$C$7:$C$8,"Intégré")</x:f>
        <x:v>0</x:v>
      </x:c>
      <x:c r="F22" s="37" t="n">
        <x:f>COUNTIFS('Dialogues'!$C$7:$C$8,"Validé")</x:f>
        <x:v>0</x:v>
      </x:c>
      <x:c r="G22" s="37" t="n">
        <x:f>COUNTIFS('Dialogues'!$D$7:$D$8,"Établi")</x:f>
        <x:v>0</x:v>
      </x:c>
      <x:c r="H22" s="37" t="n">
        <x:f>COUNTIFS('Dialogues'!$D$7:$D$8,"À vérifier")</x:f>
        <x:v>0</x:v>
      </x:c>
      <x:c r="I22" s="37" t="n">
        <x:f>COUNTIFS('Dialogues'!$D$7:$D$8,"Extrapolation")</x:f>
        <x:v>2</x:v>
      </x:c>
      <x:c r="J22" s="37" t="n">
        <x:f>COUNTIFS('Dialogues'!$D$7:$D$8,"Coupé attesté")</x:f>
        <x:v>0</x:v>
      </x:c>
      <x:c r="K22" s="37" t="n">
        <x:f>COUNTIFS('Dialogues'!$D$7:$D$8,"Concept abandonné")</x:f>
        <x:v>0</x:v>
      </x:c>
      <x:c r="L22" s="37" t="n">
        <x:f>COUNTIFS('Dialogues'!$D$7:$D$8,"Allégation écartée")</x:f>
        <x:v>0</x:v>
      </x:c>
      <x:c r="M22" s="37" t="n">
        <x:f>COUNTIFS('Dialogues'!$E$7:$E$8,"P0")</x:f>
        <x:v>0</x:v>
      </x:c>
    </x:row>
    <x:row r="23" ht="22" customHeight="1">
      <x:c r="A23" s="2" t="str">
        <x:v>Cinématiques</x:v>
      </x:c>
      <x:c r="B23" s="38" t="n">
        <x:f>COUNTA('Cinematiques'!$A$7:$A$8)</x:f>
        <x:v>2</x:v>
      </x:c>
      <x:c r="C23" s="38" t="n">
        <x:f>COUNTIFS('Cinematiques'!$C$7:$C$8,"Défini")</x:f>
        <x:v>2</x:v>
      </x:c>
      <x:c r="D23" s="38" t="n">
        <x:f>COUNTIFS('Cinematiques'!$C$7:$C$8,"Prototype")</x:f>
        <x:v>0</x:v>
      </x:c>
      <x:c r="E23" s="38" t="n">
        <x:f>COUNTIFS('Cinematiques'!$C$7:$C$8,"Intégré")</x:f>
        <x:v>0</x:v>
      </x:c>
      <x:c r="F23" s="38" t="n">
        <x:f>COUNTIFS('Cinematiques'!$C$7:$C$8,"Validé")</x:f>
        <x:v>0</x:v>
      </x:c>
      <x:c r="G23" s="38" t="n">
        <x:f>COUNTIFS('Cinematiques'!$D$7:$D$8,"Établi")</x:f>
        <x:v>0</x:v>
      </x:c>
      <x:c r="H23" s="38" t="n">
        <x:f>COUNTIFS('Cinematiques'!$D$7:$D$8,"À vérifier")</x:f>
        <x:v>0</x:v>
      </x:c>
      <x:c r="I23" s="38" t="n">
        <x:f>COUNTIFS('Cinematiques'!$D$7:$D$8,"Extrapolation")</x:f>
        <x:v>2</x:v>
      </x:c>
      <x:c r="J23" s="38" t="n">
        <x:f>COUNTIFS('Cinematiques'!$D$7:$D$8,"Coupé attesté")</x:f>
        <x:v>0</x:v>
      </x:c>
      <x:c r="K23" s="38" t="n">
        <x:f>COUNTIFS('Cinematiques'!$D$7:$D$8,"Concept abandonné")</x:f>
        <x:v>0</x:v>
      </x:c>
      <x:c r="L23" s="38" t="n">
        <x:f>COUNTIFS('Cinematiques'!$D$7:$D$8,"Allégation écartée")</x:f>
        <x:v>0</x:v>
      </x:c>
      <x:c r="M23" s="38" t="n">
        <x:f>COUNTIFS('Cinematiques'!$E$7:$E$8,"P0")</x:f>
        <x:v>0</x:v>
      </x:c>
    </x:row>
    <x:row r="24" ht="22" customHeight="1">
      <x:c r="A24" s="33" t="str">
        <x:v>Armes</x:v>
      </x:c>
      <x:c r="B24" s="37" t="n">
        <x:f>COUNTA('Armes'!$A$7:$A$10)</x:f>
        <x:v>4</x:v>
      </x:c>
      <x:c r="C24" s="37" t="n">
        <x:f>COUNTIFS('Armes'!$C$7:$C$10,"Défini")</x:f>
        <x:v>4</x:v>
      </x:c>
      <x:c r="D24" s="37" t="n">
        <x:f>COUNTIFS('Armes'!$C$7:$C$10,"Prototype")</x:f>
        <x:v>0</x:v>
      </x:c>
      <x:c r="E24" s="37" t="n">
        <x:f>COUNTIFS('Armes'!$C$7:$C$10,"Intégré")</x:f>
        <x:v>0</x:v>
      </x:c>
      <x:c r="F24" s="37" t="n">
        <x:f>COUNTIFS('Armes'!$C$7:$C$10,"Validé")</x:f>
        <x:v>0</x:v>
      </x:c>
      <x:c r="G24" s="37" t="n">
        <x:f>COUNTIFS('Armes'!$D$7:$D$10,"Établi")</x:f>
        <x:v>4</x:v>
      </x:c>
      <x:c r="H24" s="37" t="n">
        <x:f>COUNTIFS('Armes'!$D$7:$D$10,"À vérifier")</x:f>
        <x:v>0</x:v>
      </x:c>
      <x:c r="I24" s="37" t="n">
        <x:f>COUNTIFS('Armes'!$D$7:$D$10,"Extrapolation")</x:f>
        <x:v>0</x:v>
      </x:c>
      <x:c r="J24" s="37" t="n">
        <x:f>COUNTIFS('Armes'!$D$7:$D$10,"Coupé attesté")</x:f>
        <x:v>0</x:v>
      </x:c>
      <x:c r="K24" s="37" t="n">
        <x:f>COUNTIFS('Armes'!$D$7:$D$10,"Concept abandonné")</x:f>
        <x:v>0</x:v>
      </x:c>
      <x:c r="L24" s="37" t="n">
        <x:f>COUNTIFS('Armes'!$D$7:$D$10,"Allégation écartée")</x:f>
        <x:v>0</x:v>
      </x:c>
      <x:c r="M24" s="37" t="n">
        <x:f>COUNTIFS('Armes'!$E$7:$E$10,"P0")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COUNTA('Pouvoirs'!$A$7:$A$16)</x:f>
        <x:v>10</x:v>
      </x:c>
      <x:c r="C26" s="37" t="n">
        <x:f>COUNTIFS('Pouvoirs'!$C$7:$C$16,"Défini")</x:f>
        <x:v>10</x:v>
      </x:c>
      <x:c r="D26" s="37" t="n">
        <x:f>COUNTIFS('Pouvoirs'!$C$7:$C$16,"Prototype")</x:f>
        <x:v>0</x:v>
      </x:c>
      <x:c r="E26" s="37" t="n">
        <x:f>COUNTIFS('Pouvoirs'!$C$7:$C$16,"Intégré")</x:f>
        <x:v>0</x:v>
      </x:c>
      <x:c r="F26" s="37" t="n">
        <x:f>COUNTIFS('Pouvoirs'!$C$7:$C$16,"Validé")</x:f>
        <x:v>0</x:v>
      </x:c>
      <x:c r="G26" s="37" t="n">
        <x:f>COUNTIFS('Pouvoirs'!$D$7:$D$16,"Établi")</x:f>
        <x:v>0</x:v>
      </x:c>
      <x:c r="H26" s="37" t="n">
        <x:f>COUNTIFS('Pouvoirs'!$D$7:$D$16,"À vérifier")</x:f>
        <x:v>10</x:v>
      </x:c>
      <x:c r="I26" s="37" t="n">
        <x:f>COUNTIFS('Pouvoirs'!$D$7:$D$16,"Extrapolation")</x:f>
        <x:v>0</x:v>
      </x:c>
      <x:c r="J26" s="37" t="n">
        <x:f>COUNTIFS('Pouvoirs'!$D$7:$D$16,"Coupé attesté")</x:f>
        <x:v>0</x:v>
      </x:c>
      <x:c r="K26" s="37" t="n">
        <x:f>COUNTIFS('Pouvoirs'!$D$7:$D$16,"Concept abandonné")</x:f>
        <x:v>0</x:v>
      </x:c>
      <x:c r="L26" s="37" t="n">
        <x:f>COUNTIFS('Pouvoirs'!$D$7:$D$16,"Allégation écartée")</x:f>
        <x:v>0</x:v>
      </x:c>
      <x:c r="M26" s="37" t="n">
        <x:f>COUNTIFS('Pouvoirs'!$E$7:$E$16,"P0")</x:f>
        <x:v>0</x:v>
      </x:c>
    </x:row>
    <x:row r="27" ht="22" customHeight="1">
      <x:c r="A27" s="2" t="str">
        <x:v>Movesets alliés</x:v>
      </x:c>
      <x:c r="B27" s="38" t="n">
        <x:f>COUNTA('Movesets_allies'!$A$7:$A$9)</x:f>
        <x:v>3</x:v>
      </x:c>
      <x:c r="C27" s="38" t="n">
        <x:f>COUNTIFS('Movesets_allies'!$C$7:$C$9,"Défini")</x:f>
        <x:v>3</x:v>
      </x:c>
      <x:c r="D27" s="38" t="n">
        <x:f>COUNTIFS('Movesets_allies'!$C$7:$C$9,"Prototype")</x:f>
        <x:v>0</x:v>
      </x:c>
      <x:c r="E27" s="38" t="n">
        <x:f>COUNTIFS('Movesets_allies'!$C$7:$C$9,"Intégré")</x:f>
        <x:v>0</x:v>
      </x:c>
      <x:c r="F27" s="38" t="n">
        <x:f>COUNTIFS('Movesets_allies'!$C$7:$C$9,"Validé")</x:f>
        <x:v>0</x:v>
      </x:c>
      <x:c r="G27" s="38" t="n">
        <x:f>COUNTIFS('Movesets_allies'!$D$7:$D$9,"Établi")</x:f>
        <x:v>0</x:v>
      </x:c>
      <x:c r="H27" s="38" t="n">
        <x:f>COUNTIFS('Movesets_allies'!$D$7:$D$9,"À vérifier")</x:f>
        <x:v>0</x:v>
      </x:c>
      <x:c r="I27" s="38" t="n">
        <x:f>COUNTIFS('Movesets_allies'!$D$7:$D$9,"Extrapolation")</x:f>
        <x:v>3</x:v>
      </x:c>
      <x:c r="J27" s="38" t="n">
        <x:f>COUNTIFS('Movesets_allies'!$D$7:$D$9,"Coupé attesté")</x:f>
        <x:v>0</x:v>
      </x:c>
      <x:c r="K27" s="38" t="n">
        <x:f>COUNTIFS('Movesets_allies'!$D$7:$D$9,"Concept abandonné")</x:f>
        <x:v>0</x:v>
      </x:c>
      <x:c r="L27" s="38" t="n">
        <x:f>COUNTIFS('Movesets_allies'!$D$7:$D$9,"Allégation écartée")</x:f>
        <x:v>0</x:v>
      </x:c>
      <x:c r="M27" s="38" t="n">
        <x:f>COUNTIFS('Movesets_allies'!$E$7:$E$9,"P0")</x:f>
        <x:v>0</x:v>
      </x:c>
    </x:row>
    <x:row r="28" ht="22" customHeight="1">
      <x:c r="A28" s="33" t="str">
        <x:v>Movesets ennemis</x:v>
      </x:c>
      <x:c r="B28" s="37" t="n">
        <x:f>COUNTA('Movesets_ennemis'!$A$7:$A$13)</x:f>
        <x:v>7</x:v>
      </x:c>
      <x:c r="C28" s="37" t="n">
        <x:f>COUNTIFS('Movesets_ennemis'!$C$7:$C$13,"Défini")</x:f>
        <x:v>7</x:v>
      </x:c>
      <x:c r="D28" s="37" t="n">
        <x:f>COUNTIFS('Movesets_ennemis'!$C$7:$C$13,"Prototype")</x:f>
        <x:v>0</x:v>
      </x:c>
      <x:c r="E28" s="37" t="n">
        <x:f>COUNTIFS('Movesets_ennemis'!$C$7:$C$13,"Intégré")</x:f>
        <x:v>0</x:v>
      </x:c>
      <x:c r="F28" s="37" t="n">
        <x:f>COUNTIFS('Movesets_ennemis'!$C$7:$C$13,"Validé")</x:f>
        <x:v>0</x:v>
      </x:c>
      <x:c r="G28" s="37" t="n">
        <x:f>COUNTIFS('Movesets_ennemis'!$D$7:$D$13,"Établi")</x:f>
        <x:v>0</x:v>
      </x:c>
      <x:c r="H28" s="37" t="n">
        <x:f>COUNTIFS('Movesets_ennemis'!$D$7:$D$13,"À vérifier")</x:f>
        <x:v>0</x:v>
      </x:c>
      <x:c r="I28" s="37" t="n">
        <x:f>COUNTIFS('Movesets_ennemis'!$D$7:$D$13,"Extrapolation")</x:f>
        <x:v>7</x:v>
      </x:c>
      <x:c r="J28" s="37" t="n">
        <x:f>COUNTIFS('Movesets_ennemis'!$D$7:$D$13,"Coupé attesté")</x:f>
        <x:v>0</x:v>
      </x:c>
      <x:c r="K28" s="37" t="n">
        <x:f>COUNTIFS('Movesets_ennemis'!$D$7:$D$13,"Concept abandonné")</x:f>
        <x:v>0</x:v>
      </x:c>
      <x:c r="L28" s="37" t="n">
        <x:f>COUNTIFS('Movesets_ennemis'!$D$7:$D$13,"Allégation écartée")</x:f>
        <x:v>0</x:v>
      </x:c>
      <x:c r="M28" s="37" t="n">
        <x:f>COUNTIFS('Movesets_ennemis'!$E$7:$E$13,"P0")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COUNTA('Audio'!$A$7:$A$8)</x:f>
        <x:v>2</x:v>
      </x:c>
      <x:c r="C32" s="37" t="n">
        <x:f>COUNTIFS('Audio'!$C$7:$C$8,"Défini")</x:f>
        <x:v>2</x:v>
      </x:c>
      <x:c r="D32" s="37" t="n">
        <x:f>COUNTIFS('Audio'!$C$7:$C$8,"Prototype")</x:f>
        <x:v>0</x:v>
      </x:c>
      <x:c r="E32" s="37" t="n">
        <x:f>COUNTIFS('Audio'!$C$7:$C$8,"Intégré")</x:f>
        <x:v>0</x:v>
      </x:c>
      <x:c r="F32" s="37" t="n">
        <x:f>COUNTIFS('Audio'!$C$7:$C$8,"Validé")</x:f>
        <x:v>0</x:v>
      </x:c>
      <x:c r="G32" s="37" t="n">
        <x:f>COUNTIFS('Audio'!$D$7:$D$8,"Établi")</x:f>
        <x:v>0</x:v>
      </x:c>
      <x:c r="H32" s="37" t="n">
        <x:f>COUNTIFS('Audio'!$D$7:$D$8,"À vérifier")</x:f>
        <x:v>0</x:v>
      </x:c>
      <x:c r="I32" s="37" t="n">
        <x:f>COUNTIFS('Audio'!$D$7:$D$8,"Extrapolation")</x:f>
        <x:v>2</x:v>
      </x:c>
      <x:c r="J32" s="37" t="n">
        <x:f>COUNTIFS('Audio'!$D$7:$D$8,"Coupé attesté")</x:f>
        <x:v>0</x:v>
      </x:c>
      <x:c r="K32" s="37" t="n">
        <x:f>COUNTIFS('Audio'!$D$7:$D$8,"Concept abandonné")</x:f>
        <x:v>0</x:v>
      </x:c>
      <x:c r="L32" s="37" t="n">
        <x:f>COUNTIFS('Audio'!$D$7:$D$8,"Allégation écartée")</x:f>
        <x:v>0</x:v>
      </x:c>
      <x:c r="M32" s="37" t="n">
        <x:f>COUNTIFS('Audio'!$E$7:$E$8,"P0")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109</x:v>
      </x:c>
      <x:c r="C37" s="39" t="n">
        <x:f>SUM(C10:C35)</x:f>
        <x:v>107</x:v>
      </x:c>
      <x:c r="D37" s="39" t="n">
        <x:f>SUM(D10:D35)</x:f>
        <x:v>2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10</x:v>
      </x:c>
      <x:c r="I37" s="39" t="n">
        <x:f>SUM(I10:I35)</x:f>
        <x:v>62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INF-CHR-RANDALL</x:v>
      </x:c>
      <x:c r="B7" s="9" t="str">
        <x:v>Randall Ezno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Agent de Cerberus puis fugitif.</x:v>
      </x:c>
      <x:c r="G7" s="9" t="str">
        <x:v>Protagoniste solo, arsenal et implants évolutifs.</x:v>
      </x:c>
      <x:c r="H7" s="9" t="str">
        <x:v>Rôle et règles ATB définis dans les movesets associés.</x:v>
      </x:c>
      <x:c r="I7" s="9" t="str">
        <x:v>Proposition : armure segmentée gris clair, marquages Cerberus à contrôler, implants visibles au portrait.</x:v>
      </x:c>
      <x:c r="J7" s="9" t="str"/>
      <x:c r="K7" s="9" t="str"/>
      <x:c r="L7" s="9" t="str">
        <x:v>Prototype Chroniques : src/universe-actors.js, src/chronicles.js. Identifiant runtime INF-CHR-RANDALL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INF-WIKI</x:v>
      </x:c>
      <x:c r="R7" s="9" t="str">
        <x:v>https://masseffect.fandom.com/wiki/Mass_Effect:_Infiltrator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124" customHeight="1">
      <x:c r="A8" s="19" t="str">
        <x:v>INF-CHR-TURIAN</x:v>
      </x:c>
      <x:c r="B8" s="7" t="str">
        <x:v>Prisonnier turien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Personnage jouable de la mission bonus.</x:v>
      </x:c>
      <x:c r="G8" s="7" t="str">
        <x:v>Chapitre isolé avec arsenal et ressources limités.</x:v>
      </x:c>
      <x:c r="H8" s="7" t="str">
        <x:v>Rôle et règles ATB définis dans les movesets associés.</x:v>
      </x:c>
      <x:c r="I8" s="7" t="str">
        <x:v>Crête turienne, jambes digitigrades, tenue de sujet d’expérience à relever.</x:v>
      </x:c>
      <x:c r="J8" s="7" t="str"/>
      <x:c r="K8" s="7" t="str"/>
      <x:c r="L8" s="7" t="str">
        <x:v>Prototype de profil sélectionnable dans inf-incarceration via src/universe-specialist-scenarios.js et src/universe-actors.js. Conditions de contenu, présence et survie affichées ; mannequins originaux et dotation abstraite, sans mission ni recrutement de campagne. Aucun portrait, sprite ou costume de ce personnage produit.</x:v>
      </x:c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INF-WIKI</x:v>
      </x:c>
      <x:c r="R8" s="7" t="str">
        <x:v>https://masseffect.fandom.com/wiki/Mass_Effect:_Infiltrator</x:v>
      </x:c>
      <x:c r="S8" s="7" t="str">
        <x:v>Costume exact à contrôler sur les images originales avant validation 1:1. Profil partiel à statistiques ATB, limité aux bancs déclarés et à leur état préparé. Les conditions de contenu et de disponibilité affichées par le banc sont des prérequis de son état préparé, pas des choix de campagne accordés.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f27920e86f472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INF-NPC-INALI</x:v>
      </x:c>
      <x:c r="B7" s="9" t="str">
        <x:v>Inali Renata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Interlocutrice de Randall.</x:v>
      </x:c>
      <x:c r="G7" s="9" t="str">
        <x:v>Portrait calme puis variante altérée selon la progression.</x:v>
      </x:c>
      <x:c r="H7" s="9" t="str"/>
      <x:c r="I7" s="9" t="str">
        <x:v>Uniforme et prothèses à relever dans les cinématiques.</x:v>
      </x:c>
      <x:c r="J7" s="9" t="str"/>
      <x:c r="K7" s="9" t="str"/>
      <x:c r="L7" s="9" t="str"/>
      <x:c r="M7" s="9" t="str"/>
      <x:c r="N7" s="9" t="str">
        <x:v>Aucune variante finale visible avant le chapitre concerné.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INF-NPC-DIRECTOR</x:v>
      </x:c>
      <x:c r="B8" s="7" t="str">
        <x:v>Le Directeur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Responsable du Barn.</x:v>
      </x:c>
      <x:c r="G8" s="7" t="str">
        <x:v>Antagoniste transmis à distance.</x:v>
      </x:c>
      <x:c r="H8" s="7" t="str">
        <x:v>Ne pas ajouter un duel physique présenté comme officiel.</x:v>
      </x:c>
      <x:c r="I8" s="7" t="str">
        <x:v>Écrans et cadrage froid proposés.</x:v>
      </x:c>
      <x:c r="J8" s="7" t="str"/>
      <x:c r="K8" s="7" t="str"/>
      <x:c r="L8" s="7" t="str"/>
      <x:c r="M8" s="7" t="str"/>
      <x:c r="N8" s="7" t="str">
        <x:v>La présence du Directeur conserve sa fonction narrative.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INF-NPC-VOLUS</x:v>
      </x:c>
      <x:c r="B9" s="9" t="str">
        <x:v>Allié volus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Contact de Randall pendant sa fuite.</x:v>
      </x:c>
      <x:c r="G9" s="9" t="str">
        <x:v>Relais radio et indications de progression.</x:v>
      </x:c>
      <x:c r="H9" s="9" t="str"/>
      <x:c r="I9" s="9" t="str">
        <x:v>Combinaison pressurisée, portrait masqué.</x:v>
      </x:c>
      <x:c r="J9" s="9" t="str"/>
      <x:c r="K9" s="9" t="str"/>
      <x:c r="L9" s="9" t="str"/>
      <x:c r="M9" s="9" t="str"/>
      <x:c r="N9" s="9" t="str">
        <x:v>Sa voix possède un sous-titre et n’occulte pas les alertes.</x:v>
      </x:c>
      <x:c r="O9" s="9" t="str"/>
      <x:c r="P9" s="9" t="str">
        <x:v>Conception du fan game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9">
    <x:cfRule type="cellIs" dxfId="6" priority="3" operator="equal">
      <x:formula>"Validé"</x:formula>
    </x:cfRule>
  </x:conditionalFormatting>
  <x:conditionalFormatting sqref="E7:E9">
    <x:cfRule type="cellIs" dxfId="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7dc6d291b9447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INF-LOR-CERBERUS</x:v>
      </x:c>
      <x:c r="B7" s="9" t="str">
        <x:v>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Organisation au centre du conflit.</x:v>
      </x:c>
      <x:c r="G7" s="9" t="str">
        <x:v>Dossiers synthétiques débloqués par preuves.</x:v>
      </x:c>
      <x:c r="H7" s="9" t="str">
        <x:v>Séparer croyances de Randall et faits établis.</x:v>
      </x:c>
      <x:c r="I7" s="9" t="str">
        <x:v>Emblèmes uniquement après vérification graphique.</x:v>
      </x:c>
      <x:c r="J7" s="9" t="str"/>
      <x:c r="K7" s="9" t="str"/>
      <x:c r="L7" s="9" t="str"/>
      <x:c r="M7" s="9" t="str"/>
      <x:c r="N7" s="9" t="str">
        <x:v>Le codex indique la provenance des informations.</x:v>
      </x:c>
      <x:c r="O7" s="9" t="str"/>
      <x:c r="P7" s="9" t="str">
        <x:v>Conception du fan game</x:v>
      </x:c>
      <x:c r="Q7" s="9" t="str">
        <x:v>INF-OFFICIAL</x:v>
      </x:c>
      <x:c r="R7" s="9" t="str">
        <x:v>https://koolhausgames.com/portfolio/mass-effect-3/</x:v>
      </x:c>
      <x:c r="S7" s="9" t="str"/>
    </x:row>
    <x:row r="8" ht="44" customHeight="1">
      <x:c r="A8" s="19" t="str">
        <x:v>INF-LOR-EXPERIMENT</x:v>
      </x:c>
      <x:c r="B8" s="7" t="str">
        <x:v>Expérimentation et implants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Thème de la campagne.</x:v>
      </x:c>
      <x:c r="G8" s="7" t="str">
        <x:v>Expliquer les effets via des situations de jeu.</x:v>
      </x:c>
      <x:c r="H8" s="7" t="str">
        <x:v>Les surcharges d’implants proposées sont des handicaps temporaires, pas un diagnostic.</x:v>
      </x:c>
      <x:c r="I8" s="7" t="str">
        <x:v>Interface neurale en arcs fragmentés.</x:v>
      </x:c>
      <x:c r="J8" s="7" t="str"/>
      <x:c r="K8" s="7" t="str"/>
      <x:c r="L8" s="7" t="str"/>
      <x:c r="M8" s="7" t="str"/>
      <x:c r="N8" s="7" t="str">
        <x:v>Le tutoriel distingue pouvoir acquis et effet narratif.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63edf2b8614cd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INF-LOC-ICE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Destination du début.</x:v>
      </x:c>
      <x:c r="G7" s="9" t="str">
        <x:v>Destination de la campagne adaptée.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INF-LOC-BARN</x:v>
      </x:c>
      <x:c r="B8" s="7" t="str">
        <x:v>The Barn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Station de recherche de Cerberus.</x:v>
      </x:c>
      <x:c r="G8" s="7" t="str">
        <x:v>Destination de la campagne adaptée.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INF-LOC-LV426</x:v>
      </x:c>
      <x:c r="B9" s="9" t="str">
        <x:v>LV426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désertique finale.</x:v>
      </x:c>
      <x:c r="G9" s="9" t="str">
        <x:v>Destination de la campagne adaptée.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90d7d073364df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INF-MAP-ICE</x:v>
      </x:c>
      <x:c r="B7" s="9" t="str">
        <x:v>Plan jouable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Trois terrasses enneigées reliées par rampes, aire d’extraction séparée.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INF-LOC-ICE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INF-MAP-BARN</x:v>
      </x:c>
      <x:c r="B8" s="7" t="str">
        <x:v>Plan jouable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Boucle hangar, clinique, sécurité, laboratoire, relais puis retour vers navette.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INF-LOC-BARN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INF-MAP-LV426</x:v>
      </x:c>
      <x:c r="B9" s="9" t="str">
        <x:v>Plan jouable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Arène ouverte avec rochers périphériques et arrivée navette hors combat.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INF-LOC-LV426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INF-MAP-HANGAR</x:v>
      </x:c>
      <x:c r="B10" s="7" t="str">
        <x:v>Sous-zone : Hangar Bay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détaillé original pour une mission référencée.</x:v>
      </x:c>
      <x:c r="G10" s="7" t="str">
        <x:v>Quai inférieur, deux rampes, passerelle et bureau à l’étage.</x:v>
      </x:c>
      <x:c r="H10" s="7" t="str">
        <x:v>Console d’arrivée et porte de débriefing. Attaque turienne : entrée visible depuis le quai.</x:v>
      </x:c>
      <x:c r="I10" s="7" t="str">
        <x:v>Cadrage fixe en trois-quarts avec profondeur 3D et couverts à hauteur cohérente.</x:v>
      </x:c>
      <x:c r="J10" s="7" t="str">
        <x:v>Portes à deux états et arrêt des machines au changement de secteur.</x:v>
      </x:c>
      <x:c r="K10" s="7" t="str">
        <x:v>Ambiance spécifique : Hangar Bay, alertes localisées sur les menaces décrites.</x:v>
      </x:c>
      <x:c r="L10" s="7" t="str">
        <x:v>Blocage volumétrique, graphe de navigation, triggers, emplacements d’ennemis et points de reprise séparés.</x:v>
      </x:c>
      <x:c r="M10" s="7" t="str">
        <x:v>Ce plan traduit la mission ; il ne prétend pas reproduire les dimensions exactes du niveau mobile.</x:v>
      </x:c>
      <x:c r="N10" s="7" t="str">
        <x:v>Chaque interaction est atteignable à pied et visible depuis au moins une caméra. Les transitions ne traversent pas les murs.</x:v>
      </x:c>
      <x:c r="O10" s="7" t="str">
        <x:v>INF-MIS-HANGAR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INF-MAP-MEDICAL</x:v>
      </x:c>
      <x:c r="B11" s="9" t="str">
        <x:v>Sous-zone : Medical Bay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détaillé original pour une mission référencée.</x:v>
      </x:c>
      <x:c r="G11" s="9" t="str">
        <x:v>Accueil, couloir vitré, salles médicales et zone d’expérience.</x:v>
      </x:c>
      <x:c r="H11" s="9" t="str">
        <x:v>Sas de quarantaine, tableau d’état et cellule d’Inali. Menaces séparées des sujets non hostiles.</x:v>
      </x:c>
      <x:c r="I11" s="9" t="str">
        <x:v>Cadrage fixe en trois-quarts avec profondeur 3D et couverts à hauteur cohérente.</x:v>
      </x:c>
      <x:c r="J11" s="9" t="str">
        <x:v>Portes à deux états et arrêt des machines au changement de secteur.</x:v>
      </x:c>
      <x:c r="K11" s="9" t="str">
        <x:v>Ambiance spécifique : Medical Bay, alertes localisées sur les menaces décrites.</x:v>
      </x:c>
      <x:c r="L11" s="9" t="str">
        <x:v>Blocage volumétrique, graphe de navigation, triggers, emplacements d’ennemis et points de reprise séparés.</x:v>
      </x:c>
      <x:c r="M11" s="9" t="str">
        <x:v>Ce plan traduit la mission ; il ne prétend pas reproduire les dimensions exactes du niveau mobile.</x:v>
      </x:c>
      <x:c r="N11" s="9" t="str">
        <x:v>Chaque interaction est atteignable à pied et visible depuis au moins une caméra. Les transitions ne traversent pas les murs.</x:v>
      </x:c>
      <x:c r="O11" s="9" t="str">
        <x:v>INF-MIS-MEDICAL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INF-MAP-SECURITY</x:v>
      </x:c>
      <x:c r="B12" s="7" t="str">
        <x:v>Sous-zone : Security Checkpoint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détaillé original pour une mission référencée.</x:v>
      </x:c>
      <x:c r="G12" s="7" t="str">
        <x:v>Sas A, salle centrale avec deux couverts, poste de contrôle, sas B.</x:v>
      </x:c>
      <x:c r="H12" s="7" t="str">
        <x:v>Deux verrous alimentés par la même console. Rafales croisées avec un couvert central sûr.</x:v>
      </x:c>
      <x:c r="I12" s="7" t="str">
        <x:v>Cadrage fixe en trois-quarts avec profondeur 3D et couverts à hauteur cohérente.</x:v>
      </x:c>
      <x:c r="J12" s="7" t="str">
        <x:v>Portes à deux états et arrêt des machines au changement de secteur.</x:v>
      </x:c>
      <x:c r="K12" s="7" t="str">
        <x:v>Ambiance spécifique : Security Checkpoint, alertes localisées sur les menaces décrites.</x:v>
      </x:c>
      <x:c r="L12" s="7" t="str">
        <x:v>Blocage volumétrique, graphe de navigation, triggers, emplacements d’ennemis et points de reprise séparés.</x:v>
      </x:c>
      <x:c r="M12" s="7" t="str">
        <x:v>Ce plan traduit la mission ; il ne prétend pas reproduire les dimensions exactes du niveau mobile.</x:v>
      </x:c>
      <x:c r="N12" s="7" t="str">
        <x:v>Chaque interaction est atteignable à pied et visible depuis au moins une caméra. Les transitions ne traversent pas les murs.</x:v>
      </x:c>
      <x:c r="O12" s="7" t="str">
        <x:v>INF-MIS-SECURITY</x:v>
      </x:c>
      <x:c r="P12" s="7" t="str">
        <x:v>Conception du fan game</x:v>
      </x:c>
      <x:c r="Q12" s="7" t="str"/>
      <x:c r="R12" s="7" t="str"/>
      <x:c r="S12" s="7" t="str"/>
    </x:row>
    <x:row r="13" ht="54" customHeight="1">
      <x:c r="A13" s="18" t="str">
        <x:v>INF-MAP-X1WING</x:v>
      </x:c>
      <x:c r="B13" s="9" t="str">
        <x:v>Sous-zone : X1 Wing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Plan détaillé original pour une mission référencée.</x:v>
      </x:c>
      <x:c r="G13" s="9" t="str">
        <x:v>Couloir de cuves, enceinte de test, passerelle et sortie vers arène.</x:v>
      </x:c>
      <x:c r="H13" s="9" t="str">
        <x:v>Cuves translucides, terminaux de preuves et portes endommagées. Sujet évadé à courte portée et mécaniques de soutien.</x:v>
      </x:c>
      <x:c r="I13" s="9" t="str">
        <x:v>Cadrage fixe en trois-quarts avec profondeur 3D et couverts à hauteur cohérente.</x:v>
      </x:c>
      <x:c r="J13" s="9" t="str">
        <x:v>Portes à deux états et arrêt des machines au changement de secteur.</x:v>
      </x:c>
      <x:c r="K13" s="9" t="str">
        <x:v>Ambiance spécifique : X1 Wing, alertes localisées sur les menaces décrites.</x:v>
      </x:c>
      <x:c r="L13" s="9" t="str">
        <x:v>Blocage volumétrique, graphe de navigation, triggers, emplacements d’ennemis et points de reprise séparés.</x:v>
      </x:c>
      <x:c r="M13" s="9" t="str">
        <x:v>Ce plan traduit la mission ; il ne prétend pas reproduire les dimensions exactes du niveau mobile.</x:v>
      </x:c>
      <x:c r="N13" s="9" t="str">
        <x:v>Chaque interaction est atteignable à pied et visible depuis au moins une caméra. Les transitions ne traversent pas les murs.</x:v>
      </x:c>
      <x:c r="O13" s="9" t="str">
        <x:v>INF-MIS-X1WING</x:v>
      </x:c>
      <x:c r="P13" s="9" t="str">
        <x:v>Conception du fan game</x:v>
      </x:c>
      <x:c r="Q13" s="9" t="str"/>
      <x:c r="R13" s="9" t="str"/>
      <x:c r="S13" s="9" t="str"/>
    </x:row>
    <x:row r="14" ht="54" customHeight="1">
      <x:c r="A14" s="19" t="str">
        <x:v>INF-MAP-COLOSSEUM</x:v>
      </x:c>
      <x:c r="B14" s="7" t="str">
        <x:v>Sous-zone : Colosseum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Plan détaillé original pour une mission référencée.</x:v>
      </x:c>
      <x:c r="G14" s="7" t="str">
        <x:v>Arène circulaire, quatre piliers proposés et marges de recul.</x:v>
      </x:c>
      <x:c r="H14" s="7" t="str">
        <x:v>Piliers avec états intacts et fragilisés ; sortie verrouillée jusqu’au bilan. X1 : ligne de charge et zone d’impact visibles.</x:v>
      </x:c>
      <x:c r="I14" s="7" t="str">
        <x:v>Cadrage fixe en trois-quarts avec profondeur 3D et couverts à hauteur cohérente.</x:v>
      </x:c>
      <x:c r="J14" s="7" t="str">
        <x:v>Portes à deux états et arrêt des machines au changement de secteur.</x:v>
      </x:c>
      <x:c r="K14" s="7" t="str">
        <x:v>Ambiance spécifique : Colosseum, alertes localisées sur les menaces décrites.</x:v>
      </x:c>
      <x:c r="L14" s="7" t="str">
        <x:v>Blocage volumétrique, graphe de navigation, triggers, emplacements d’ennemis et points de reprise séparés.</x:v>
      </x:c>
      <x:c r="M14" s="7" t="str">
        <x:v>Ce plan traduit la mission ; il ne prétend pas reproduire les dimensions exactes du niveau mobile.</x:v>
      </x:c>
      <x:c r="N14" s="7" t="str">
        <x:v>Chaque interaction est atteignable à pied et visible depuis au moins une caméra. Les transitions ne traversent pas les murs.</x:v>
      </x:c>
      <x:c r="O14" s="7" t="str">
        <x:v>INF-MIS-COLOSSEUM</x:v>
      </x:c>
      <x:c r="P14" s="7" t="str">
        <x:v>Conception du fan game</x:v>
      </x:c>
      <x:c r="Q14" s="7" t="str"/>
      <x:c r="R14" s="7" t="str"/>
      <x:c r="S14" s="7" t="str"/>
    </x:row>
    <x:row r="15" ht="54" customHeight="1">
      <x:c r="A15" s="18" t="str">
        <x:v>INF-MAP-COMM</x:v>
      </x:c>
      <x:c r="B15" s="9" t="str">
        <x:v>Sous-zone : Comm Relay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Plan détaillé original pour une mission référencée.</x:v>
      </x:c>
      <x:c r="G15" s="9" t="str">
        <x:v>Accès technique, deux paliers puis plateforme d’antenne.</x:v>
      </x:c>
      <x:c r="H15" s="9" t="str">
        <x:v>Trois consoles proposées pour alimentation, alignement et émission. Tirs à distance, puis interruption de piratage.</x:v>
      </x:c>
      <x:c r="I15" s="9" t="str">
        <x:v>Cadrage fixe en trois-quarts avec profondeur 3D et couverts à hauteur cohérente.</x:v>
      </x:c>
      <x:c r="J15" s="9" t="str">
        <x:v>Portes à deux états et arrêt des machines au changement de secteur.</x:v>
      </x:c>
      <x:c r="K15" s="9" t="str">
        <x:v>Ambiance spécifique : Comm Relay, alertes localisées sur les menaces décrites.</x:v>
      </x:c>
      <x:c r="L15" s="9" t="str">
        <x:v>Blocage volumétrique, graphe de navigation, triggers, emplacements d’ennemis et points de reprise séparés.</x:v>
      </x:c>
      <x:c r="M15" s="9" t="str">
        <x:v>Ce plan traduit la mission ; il ne prétend pas reproduire les dimensions exactes du niveau mobile.</x:v>
      </x:c>
      <x:c r="N15" s="9" t="str">
        <x:v>Chaque interaction est atteignable à pied et visible depuis au moins une caméra. Les transitions ne traversent pas les murs.</x:v>
      </x:c>
      <x:c r="O15" s="9" t="str">
        <x:v>INF-MIS-COMM</x:v>
      </x:c>
      <x:c r="P15" s="9" t="str">
        <x:v>Conception du fan game</x:v>
      </x:c>
      <x:c r="Q15" s="9" t="str"/>
      <x:c r="R15" s="9" t="str"/>
      <x:c r="S15" s="9" t="str"/>
    </x:row>
    <x:row r="16" ht="54" customHeight="1">
      <x:c r="A16" s="19" t="str">
        <x:v>INF-MAP-CORRIDOR</x:v>
      </x:c>
      <x:c r="B16" s="7" t="str">
        <x:v>Sous-zone : Access Corridor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Plan détaillé original pour une mission référencée.</x:v>
      </x:c>
      <x:c r="G16" s="7" t="str">
        <x:v>Coursive de retour, dérivation, accès de hangar et rampe de navette.</x:v>
      </x:c>
      <x:c r="H16" s="7" t="str">
        <x:v>Porte de raccourci, console de navette et verrou de départ. Renforts annoncés pendant la sécurisation de l’embarquement.</x:v>
      </x:c>
      <x:c r="I16" s="7" t="str">
        <x:v>Cadrage fixe en trois-quarts avec profondeur 3D et couverts à hauteur cohérente.</x:v>
      </x:c>
      <x:c r="J16" s="7" t="str">
        <x:v>Portes à deux états et arrêt des machines au changement de secteur.</x:v>
      </x:c>
      <x:c r="K16" s="7" t="str">
        <x:v>Ambiance spécifique : Access Corridor, alertes localisées sur les menaces décrites.</x:v>
      </x:c>
      <x:c r="L16" s="7" t="str">
        <x:v>Blocage volumétrique, graphe de navigation, triggers, emplacements d’ennemis et points de reprise séparés.</x:v>
      </x:c>
      <x:c r="M16" s="7" t="str">
        <x:v>Ce plan traduit la mission ; il ne prétend pas reproduire les dimensions exactes du niveau mobile.</x:v>
      </x:c>
      <x:c r="N16" s="7" t="str">
        <x:v>Chaque interaction est atteignable à pied et visible depuis au moins une caméra. Les transitions ne traversent pas les murs.</x:v>
      </x:c>
      <x:c r="O16" s="7" t="str">
        <x:v>INF-MIS-CORRIDOR</x:v>
      </x:c>
      <x:c r="P16" s="7" t="str">
        <x:v>Conception du fan game</x:v>
      </x:c>
      <x:c r="Q16" s="7" t="str"/>
      <x:c r="R16" s="7" t="str"/>
      <x:c r="S16" s="7" t="str"/>
    </x:row>
  </x:sheetData>
  <x:conditionalFormatting sqref="D7:D16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6">
    <x:cfRule type="cellIs" dxfId="18" priority="3" operator="equal">
      <x:formula>"Validé"</x:formula>
    </x:cfRule>
  </x:conditionalFormatting>
  <x:conditionalFormatting sqref="E7:E16">
    <x:cfRule type="cellIs" dxfId="1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8bfed04fdc4f2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INF-LNK-LOOP</x:v>
      </x:c>
      <x:c r="B7" s="9" t="str">
        <x:v>Boucle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Topologie originale.</x:v>
      </x:c>
      <x:c r="G7" s="9" t="str">
        <x:v>Relier hangar, clinique, sécurité, X1 et relais avec raccourcis de retour.</x:v>
      </x:c>
      <x:c r="H7" s="9" t="str">
        <x:v>Verrous fondés sur état de mission.</x:v>
      </x:c>
      <x:c r="I7" s="9" t="str">
        <x:v>Sas numérotés et éclairage par secteur.</x:v>
      </x:c>
      <x:c r="J7" s="9" t="str"/>
      <x:c r="K7" s="9" t="str"/>
      <x:c r="L7" s="9" t="str"/>
      <x:c r="M7" s="9" t="str"/>
      <x:c r="N7" s="9" t="str">
        <x:v>Un retour tardif ne ferme jamais l’issue requise.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INF-LNK-SHUTTLE</x:v>
      </x:c>
      <x:c r="B8" s="7" t="str">
        <x:v>Hangar vers LV426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campagne référencée.</x:v>
      </x:c>
      <x:c r="G8" s="7" t="str">
        <x:v>Point de non-retour annoncé avant embarquement.</x:v>
      </x:c>
      <x:c r="H8" s="7" t="str">
        <x:v>Autoriser sauvegarde manuelle avant départ.</x:v>
      </x:c>
      <x:c r="I8" s="7" t="str">
        <x:v>Marqueur de navette isolé des autres interactions.</x:v>
      </x:c>
      <x:c r="J8" s="7" t="str"/>
      <x:c r="K8" s="7" t="str"/>
      <x:c r="L8" s="7" t="str"/>
      <x:c r="M8" s="7" t="str"/>
      <x:c r="N8" s="7" t="str">
        <x:v>Le joueur connaît les objectifs facultatifs encore ouverts.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a56818e5af48f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INF-SET-ICE</x:v>
      </x:c>
      <x:c r="B7" s="9" t="str">
        <x:v>Décor 3D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Bleu glacial, neige basse, silhouettes industrielles sombres.</x:v>
      </x:c>
      <x:c r="H7" s="9" t="str">
        <x:v>Obstacles solides en 3D, personnages et accessoires animés en billboards 2D.</x:v>
      </x:c>
      <x:c r="I7" s="9" t="str">
        <x:v>Palette de travail : Bleu glacial, neige basse, silhouettes industrielles sombres.</x:v>
      </x:c>
      <x:c r="J7" s="9" t="str">
        <x:v>Animer seulement les éléments environnementaux nécessaires à la lecture du lieu.</x:v>
      </x:c>
      <x:c r="K7" s="9" t="str">
        <x:v>Ambiance originale située dans Ice Giant,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INF-MAP-ICE</x:v>
      </x:c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INF-SET-BARN</x:v>
      </x:c>
      <x:c r="B8" s="7" t="str">
        <x:v>Décor 3D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Blanc clinique, noir mécanique, éclairage orange en alerte.</x:v>
      </x:c>
      <x:c r="H8" s="7" t="str">
        <x:v>Obstacles solides en 3D, personnages et accessoires animés en billboards 2D.</x:v>
      </x:c>
      <x:c r="I8" s="7" t="str">
        <x:v>Palette de travail : Blanc clinique, noir mécanique, éclairage orange en alerte.</x:v>
      </x:c>
      <x:c r="J8" s="7" t="str">
        <x:v>Animer seulement les éléments environnementaux nécessaires à la lecture du lieu.</x:v>
      </x:c>
      <x:c r="K8" s="7" t="str">
        <x:v>Ambiance originale située dans The Barn,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INF-MAP-BARN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INF-SET-LV426</x:v>
      </x:c>
      <x:c r="B9" s="9" t="str">
        <x:v>Décor 3D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Sable ocre, roches usées, ciel poussiéreux.</x:v>
      </x:c>
      <x:c r="H9" s="9" t="str">
        <x:v>Obstacles solides en 3D, personnages et accessoires animés en billboards 2D.</x:v>
      </x:c>
      <x:c r="I9" s="9" t="str">
        <x:v>Palette de travail : Sable ocre, roches usées, ciel poussiéreux.</x:v>
      </x:c>
      <x:c r="J9" s="9" t="str">
        <x:v>Animer seulement les éléments environnementaux nécessaires à la lecture du lieu.</x:v>
      </x:c>
      <x:c r="K9" s="9" t="str">
        <x:v>Ambiance originale située dans LV426,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INF-MAP-LV426</x:v>
      </x:c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2a0c655ad14ed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INF-PRP-GLASS</x:v>
      </x:c>
      <x:c r="B7" s="9" t="str">
        <x:v>Cloison médicale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3D proposé.</x:v>
      </x:c>
      <x:c r="G7" s="9" t="str">
        <x:v>Vitres avec masque de profondeur pour sujets en sprite.</x:v>
      </x:c>
      <x:c r="H7" s="9" t="str">
        <x:v>Collision distincte de la transparence.</x:v>
      </x:c>
      <x:c r="I7" s="9" t="str">
        <x:v>Verre froid, montants clairs.</x:v>
      </x:c>
      <x:c r="J7" s="9" t="str"/>
      <x:c r="K7" s="9" t="str"/>
      <x:c r="L7" s="9" t="str"/>
      <x:c r="M7" s="9" t="str"/>
      <x:c r="N7" s="9" t="str">
        <x:v>Un tir ne traverse que les panneaux prévus.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INF-PRP-TERMINAL</x:v>
      </x:c>
      <x:c r="B8" s="7" t="str">
        <x:v>Console de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Objet interactif proposé.</x:v>
      </x:c>
      <x:c r="G8" s="7" t="str">
        <x:v>Terminal orienté vers la caméra principale.</x:v>
      </x:c>
      <x:c r="H8" s="7" t="str">
        <x:v>Un état vide remplace l’icône après récupération.</x:v>
      </x:c>
      <x:c r="I8" s="7" t="str">
        <x:v>Hologramme orange discret.</x:v>
      </x:c>
      <x:c r="J8" s="7" t="str"/>
      <x:c r="K8" s="7" t="str"/>
      <x:c r="L8" s="7" t="str"/>
      <x:c r="M8" s="7" t="str"/>
      <x:c r="N8" s="7" t="str">
        <x:v>Lisible sans surbrillance permanente.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INF-PRP-SHUTTLE</x:v>
      </x:c>
      <x:c r="B9" s="9" t="str">
        <x:v>Navette de fuite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Véhicule de transition.</x:v>
      </x:c>
      <x:c r="G9" s="9" t="str">
        <x:v>Carlingue 3D et porte animée, portrait 2D à bord.</x:v>
      </x:c>
      <x:c r="H9" s="9" t="str">
        <x:v>Pas de pilotage libre ajouté à la campagne source.</x:v>
      </x:c>
      <x:c r="I9" s="9" t="str">
        <x:v>Silhouette et marquage à contrôler.</x:v>
      </x:c>
      <x:c r="J9" s="9" t="str"/>
      <x:c r="K9" s="9" t="str"/>
      <x:c r="L9" s="9" t="str"/>
      <x:c r="M9" s="9" t="str"/>
      <x:c r="N9" s="9" t="str">
        <x:v>La porte ne traverse pas le sprite à l’embarquement.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57cb395624441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INF-ENM-TROOPER</x:v>
      </x:c>
      <x:c r="B7" s="9" t="str">
        <x:v>Soldat de 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Troupe rencontrée pendant la fuite.</x:v>
      </x:c>
      <x:c r="G7" s="9" t="str">
        <x:v>Archétype ATB : Rafale puis changement de couvert.</x:v>
      </x:c>
      <x:c r="H7" s="9" t="str">
        <x:v>Proposition : Rafale puis changement de couvert. Réponse : Interrompre le déplacement ou briser sa protection.</x:v>
      </x:c>
      <x:c r="I7" s="9" t="str">
        <x:v>Armure claire, visière sombre ; détails à comparer.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INF-WIKI</x:v>
      </x:c>
      <x:c r="R7" s="9" t="str">
        <x:v>https://masseffect.fandom.com/wiki/Mass_Effect:_Infiltrator</x:v>
      </x:c>
      <x:c r="S7" s="9" t="str">
        <x:v>PV, dégâts, cadence et nombre d’unités à équilibrer pour le fan game.</x:v>
      </x:c>
    </x:row>
    <x:row r="8" ht="44" customHeight="1">
      <x:c r="A8" s="19" t="str">
        <x:v>INF-ENM-MECH</x:v>
      </x:c>
      <x:c r="B8" s="7" t="str">
        <x:v>Mech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Machines hostiles du Barn.</x:v>
      </x:c>
      <x:c r="G8" s="7" t="str">
        <x:v>Archétype ATB : Verrouillage puis rafale lourde.</x:v>
      </x:c>
      <x:c r="H8" s="7" t="str">
        <x:v>Proposition : Verrouillage puis rafale lourde. Réponse : Sortir du secteur marqué avant résolution.</x:v>
      </x:c>
      <x:c r="I8" s="7" t="str">
        <x:v>Châssis massif et articulation lumineuse proposée.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INF-WIKI</x:v>
      </x:c>
      <x:c r="R8" s="7" t="str">
        <x:v>https://masseffect.fandom.com/wiki/Mass_Effect:_Infiltrator</x:v>
      </x:c>
      <x:c r="S8" s="7" t="str">
        <x:v>PV, dégâts, cadence et nombre d’unités à équilibrer pour le fan game.</x:v>
      </x:c>
    </x:row>
    <x:row r="9" ht="44" customHeight="1">
      <x:c r="A9" s="18" t="str">
        <x:v>INF-ENM-SUBJECT</x:v>
      </x:c>
      <x:c r="B9" s="9" t="str">
        <x:v>Sujet évadé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Victime expérimentale hostile.</x:v>
      </x:c>
      <x:c r="G9" s="9" t="str">
        <x:v>Archétype ATB : Charge au plus proche puis récupération longue.</x:v>
      </x:c>
      <x:c r="H9" s="9" t="str">
        <x:v>Proposition : Charge au plus proche puis récupération longue. Réponse : Garder un point de recul libre.</x:v>
      </x:c>
      <x:c r="I9" s="9" t="str">
        <x:v>Silhouette altérée et posture asymétrique.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INF-WIKI</x:v>
      </x:c>
      <x:c r="R9" s="9" t="str">
        <x:v>https://masseffect.fandom.com/wiki/Mass_Effect:_Infiltrator</x:v>
      </x:c>
      <x:c r="S9" s="9" t="str">
        <x:v>PV, dégâts, cadence et nombre d’unités à équilibrer pour le fan game.</x:v>
      </x:c>
    </x:row>
    <x:row r="10" ht="44" customHeight="1">
      <x:c r="A10" s="19" t="str">
        <x:v>INF-ENM-X1</x:v>
      </x:c>
      <x:c r="B10" s="7" t="str">
        <x:v>X1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Krogan mutant du Colosseum.</x:v>
      </x:c>
      <x:c r="G10" s="7" t="str">
        <x:v>Archétype ATB : Charge, frappe au sol puis vulnérabilité du dos.</x:v>
      </x:c>
      <x:c r="H10" s="7" t="str">
        <x:v>Proposition : Charge, frappe au sol puis vulnérabilité du dos. Réponse : Casser la ligne de charge avec un pilier.</x:v>
      </x:c>
      <x:c r="I10" s="7" t="str">
        <x:v>Masse krogan augmentée, échelle renforcée.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INF-WIKI</x:v>
      </x:c>
      <x:c r="R10" s="7" t="str">
        <x:v>https://masseffect.fandom.com/wiki/Mass_Effect:_Infiltrator</x:v>
      </x:c>
      <x:c r="S10" s="7" t="str">
        <x:v>PV, dégâts, cadence et nombre d’unités à équilibrer pour le fan game.</x:v>
      </x:c>
    </x:row>
    <x:row r="11" ht="54" customHeight="1">
      <x:c r="A11" s="18" t="str">
        <x:v>INF-ENM-INALI</x:v>
      </x:c>
      <x:c r="B11" s="9" t="str">
        <x:v>Inali augmentée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Affrontement final.</x:v>
      </x:c>
      <x:c r="G11" s="9" t="str">
        <x:v>Archétype ATB : Phases protection, armure, contrôle du Directeur.</x:v>
      </x:c>
      <x:c r="H11" s="9" t="str">
        <x:v>Proposition : Phases protection, armure, contrôle du Directeur. Réponse : Détruire la protection sans perdre la lecture du choix final.</x:v>
      </x:c>
      <x:c r="I11" s="9" t="str">
        <x:v>Silhouette transformée à relever sur référence.</x:v>
      </x:c>
      <x:c r="J11" s="9" t="str"/>
      <x:c r="K11" s="9" t="str"/>
      <x:c r="L11" s="9" t="str"/>
      <x:c r="M11" s="9" t="str"/>
      <x:c r="N11" s="9" t="str">
        <x:v>L’adversaire peut être identifié avant son premier coup et possède une réponse accessible.</x:v>
      </x:c>
      <x:c r="O11" s="9" t="str"/>
      <x:c r="P11" s="9" t="str">
        <x:v>Adversaires</x:v>
      </x:c>
      <x:c r="Q11" s="9" t="str">
        <x:v>INF-WIKI</x:v>
      </x:c>
      <x:c r="R11" s="9" t="str">
        <x:v>https://masseffect.fandom.com/wiki/Mass_Effect:_Infiltrator</x:v>
      </x:c>
      <x:c r="S11" s="9" t="str">
        <x:v>PV, dégâts, cadence et nombre d’unités à équilibrer pour le fan game.</x:v>
      </x:c>
    </x:row>
    <x:row r="12" ht="54" customHeight="1">
      <x:c r="A12" s="19" t="str">
        <x:v>INF-ENM-OGRE</x:v>
      </x:c>
      <x:c r="B12" s="7" t="str">
        <x:v>Ogre Mech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Adversaire du bonus.</x:v>
      </x:c>
      <x:c r="G12" s="7" t="str">
        <x:v>Archétype ATB : Bombardement central et appel de renforts.</x:v>
      </x:c>
      <x:c r="H12" s="7" t="str">
        <x:v>Proposition : Bombardement central et appel de renforts. Réponse : Prioriser les unités de soutien pendant la récupération.</x:v>
      </x:c>
      <x:c r="I12" s="7" t="str">
        <x:v>Structure lourde et canon distinct.</x:v>
      </x:c>
      <x:c r="J12" s="7" t="str"/>
      <x:c r="K12" s="7" t="str"/>
      <x:c r="L12" s="7" t="str"/>
      <x:c r="M12" s="7" t="str"/>
      <x:c r="N12" s="7" t="str">
        <x:v>L’adversaire peut être identifié avant son premier coup et possède une réponse accessible.</x:v>
      </x:c>
      <x:c r="O12" s="7" t="str"/>
      <x:c r="P12" s="7" t="str">
        <x:v>Adversaires</x:v>
      </x:c>
      <x:c r="Q12" s="7" t="str">
        <x:v>INF-WIKI</x:v>
      </x:c>
      <x:c r="R12" s="7" t="str">
        <x:v>https://masseffect.fandom.com/wiki/Mass_Effect:_Infiltrator</x:v>
      </x:c>
      <x:c r="S12" s="7" t="str">
        <x:v>PV, dégâts, cadence et nombre d’unités à équilibrer pour le fan game.</x:v>
      </x:c>
    </x:row>
    <x:row r="13" ht="44" customHeight="1">
      <x:c r="A13" s="18" t="str">
        <x:v>INF-ENM-ORCUS</x:v>
      </x:c>
      <x:c r="B13" s="9" t="str">
        <x:v>Orcus Mech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Adversaire du bonus.</x:v>
      </x:c>
      <x:c r="G13" s="9" t="str">
        <x:v>Archétype ATB : Pression à distance en groupe.</x:v>
      </x:c>
      <x:c r="H13" s="9" t="str">
        <x:v>Proposition : Pression à distance en groupe. Réponse : Réserver un espace de repli.</x:v>
      </x:c>
      <x:c r="I13" s="9" t="str">
        <x:v>Petite silhouette mécanique répétable.</x:v>
      </x:c>
      <x:c r="J13" s="9" t="str"/>
      <x:c r="K13" s="9" t="str"/>
      <x:c r="L13" s="9" t="str"/>
      <x:c r="M13" s="9" t="str"/>
      <x:c r="N13" s="9" t="str">
        <x:v>L’adversaire peut être identifié avant son premier coup et possède une réponse accessible.</x:v>
      </x:c>
      <x:c r="O13" s="9" t="str"/>
      <x:c r="P13" s="9" t="str">
        <x:v>Adversaires</x:v>
      </x:c>
      <x:c r="Q13" s="9" t="str">
        <x:v>INF-WIKI</x:v>
      </x:c>
      <x:c r="R13" s="9" t="str">
        <x:v>https://masseffect.fandom.com/wiki/Mass_Effect:_Infiltrator</x:v>
      </x:c>
      <x:c r="S13" s="9" t="str">
        <x:v>PV, dégâts, cadence et nombre d’unités à équilibrer pour le fan game.</x:v>
      </x:c>
    </x:row>
  </x:sheetData>
  <x:conditionalFormatting sqref="D7:D13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3">
    <x:cfRule type="cellIs" dxfId="34" priority="3" operator="equal">
      <x:formula>"Validé"</x:formula>
    </x:cfRule>
  </x:conditionalFormatting>
  <x:conditionalFormatting sqref="E7:E13">
    <x:cfRule type="cellIs" dxfId="3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0613be6e8140c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INF-MIS-ICE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4 checkpoints dans le guide.</x:v>
      </x:c>
      <x:c r="G7" s="9" t="str">
        <x:v>Apprendre couvert, pouvoir et capture.</x:v>
      </x:c>
      <x:c r="H7" s="9" t="str">
        <x:v>Objectif proposé : Apprendre couvert, pouvoir et capture. Échec : retour au point de contrôle sans duplication des récompenses.</x:v>
      </x:c>
      <x:c r="I7" s="9" t="str">
        <x:v>Couloirs de neige alternant approche et flanc.</x:v>
      </x:c>
      <x:c r="J7" s="9" t="str"/>
      <x:c r="K7" s="9" t="str"/>
      <x:c r="L7" s="9" t="str">
        <x:v>État de mission prévu inf_ice : disponible, active, résolue.</x:v>
      </x:c>
      <x:c r="M7" s="9" t="str">
        <x:v>Ouverture.</x:v>
      </x:c>
      <x:c r="N7" s="9" t="str">
        <x:v>Objectif, progression, sortie et sauvegarde fonctionnent après chargement intermédiaire.</x:v>
      </x:c>
      <x:c r="O7" s="9" t="str"/>
      <x:c r="P7" s="9" t="str">
        <x:v>Ice Giant</x:v>
      </x:c>
      <x:c r="Q7" s="9" t="str">
        <x:v>INF-GUIDE</x:v>
      </x:c>
      <x:c r="R7" s="9" t="str">
        <x:v>https://masseffect.fandom.com/wiki/Mass_Effect:_Infiltrator_Guide</x:v>
      </x:c>
      <x:c r="S7" s="9" t="str">
        <x:v>Le nom et la place du chapitre sont référencés. Son agencement ATB est original.</x:v>
      </x:c>
    </x:row>
    <x:row r="8" ht="54" customHeight="1">
      <x:c r="A8" s="19" t="str">
        <x:v>INF-MIS-HANGAR</x:v>
      </x:c>
      <x:c r="B8" s="7" t="str">
        <x:v>Hangar Bay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2 checkpoints.</x:v>
      </x:c>
      <x:c r="G8" s="7" t="str">
        <x:v>Atteindre la zone de débriefing.</x:v>
      </x:c>
      <x:c r="H8" s="7" t="str">
        <x:v>Objectif proposé : Atteindre la zone de débriefing. Échec : retour au point de contrôle sans duplication des récompenses.</x:v>
      </x:c>
      <x:c r="I8" s="7" t="str">
        <x:v>Quai, rampes et passerelle de contrôle.</x:v>
      </x:c>
      <x:c r="J8" s="7" t="str"/>
      <x:c r="K8" s="7" t="str"/>
      <x:c r="L8" s="7" t="str">
        <x:v>État de mission prévu inf_hangar : disponible, active, résolue.</x:v>
      </x:c>
      <x:c r="M8" s="7" t="str">
        <x:v>Ice Giant terminé.</x:v>
      </x:c>
      <x:c r="N8" s="7" t="str">
        <x:v>Objectif, progression, sortie et sauvegarde fonctionnent après chargement intermédiaire.</x:v>
      </x:c>
      <x:c r="O8" s="7" t="str">
        <x:v>INF-MIS-ICE</x:v>
      </x:c>
      <x:c r="P8" s="7" t="str">
        <x:v>Hangar Bay</x:v>
      </x:c>
      <x:c r="Q8" s="7" t="str">
        <x:v>INF-GUIDE</x:v>
      </x:c>
      <x:c r="R8" s="7" t="str">
        <x:v>https://masseffect.fandom.com/wiki/Mass_Effect:_Infiltrator_Guide</x:v>
      </x:c>
      <x:c r="S8" s="7" t="str">
        <x:v>Le nom et la place du chapitre sont référencés. Son agencement ATB est original.</x:v>
      </x:c>
    </x:row>
    <x:row r="9" ht="54" customHeight="1">
      <x:c r="A9" s="18" t="str">
        <x:v>INF-MIS-MEDICAL</x:v>
      </x:c>
      <x:c r="B9" s="9" t="str">
        <x:v>Medical Bay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5 checkpoints.</x:v>
      </x:c>
      <x:c r="G9" s="9" t="str">
        <x:v>Traverser les salles et retrouver le contact.</x:v>
      </x:c>
      <x:c r="H9" s="9" t="str">
        <x:v>Objectif proposé : Traverser les salles et retrouver le contact. Échec : retour au point de contrôle sans duplication des récompenses.</x:v>
      </x:c>
      <x:c r="I9" s="9" t="str">
        <x:v>Cloisons vitrées et zone de quarantaine.</x:v>
      </x:c>
      <x:c r="J9" s="9" t="str"/>
      <x:c r="K9" s="9" t="str"/>
      <x:c r="L9" s="9" t="str">
        <x:v>État de mission prévu inf_medical : disponible, active, résolue.</x:v>
      </x:c>
      <x:c r="M9" s="9" t="str">
        <x:v>Hangar Bay terminé.</x:v>
      </x:c>
      <x:c r="N9" s="9" t="str">
        <x:v>Objectif, progression, sortie et sauvegarde fonctionnent après chargement intermédiaire.</x:v>
      </x:c>
      <x:c r="O9" s="9" t="str">
        <x:v>INF-MIS-HANGAR</x:v>
      </x:c>
      <x:c r="P9" s="9" t="str">
        <x:v>Medical Bay</x:v>
      </x:c>
      <x:c r="Q9" s="9" t="str">
        <x:v>INF-GUIDE</x:v>
      </x:c>
      <x:c r="R9" s="9" t="str">
        <x:v>https://masseffect.fandom.com/wiki/Mass_Effect:_Infiltrator_Guide</x:v>
      </x:c>
      <x:c r="S9" s="9" t="str">
        <x:v>Le nom et la place du chapitre sont référencés. Son agencement ATB est original.</x:v>
      </x:c>
    </x:row>
    <x:row r="10" ht="54" customHeight="1">
      <x:c r="A10" s="19" t="str">
        <x:v>INF-MIS-SECURITY</x:v>
      </x:c>
      <x:c r="B10" s="7" t="str">
        <x:v>Security Checkpoint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2 checkpoints.</x:v>
      </x:c>
      <x:c r="G10" s="7" t="str">
        <x:v>Lever le verrou vers les laboratoires.</x:v>
      </x:c>
      <x:c r="H10" s="7" t="str">
        <x:v>Objectif proposé : Lever le verrou vers les laboratoires. Échec : retour au point de contrôle sans duplication des récompenses.</x:v>
      </x:c>
      <x:c r="I10" s="7" t="str">
        <x:v>Deux lignes de couverture et sas sécurisé.</x:v>
      </x:c>
      <x:c r="J10" s="7" t="str"/>
      <x:c r="K10" s="7" t="str"/>
      <x:c r="L10" s="7" t="str">
        <x:v>État de mission prévu inf_security : disponible, active, résolue.</x:v>
      </x:c>
      <x:c r="M10" s="7" t="str">
        <x:v>Medical Bay terminé.</x:v>
      </x:c>
      <x:c r="N10" s="7" t="str">
        <x:v>Objectif, progression, sortie et sauvegarde fonctionnent après chargement intermédiaire.</x:v>
      </x:c>
      <x:c r="O10" s="7" t="str">
        <x:v>INF-MIS-MEDICAL</x:v>
      </x:c>
      <x:c r="P10" s="7" t="str">
        <x:v>Security Checkpoint</x:v>
      </x:c>
      <x:c r="Q10" s="7" t="str">
        <x:v>INF-GUIDE</x:v>
      </x:c>
      <x:c r="R10" s="7" t="str">
        <x:v>https://masseffect.fandom.com/wiki/Mass_Effect:_Infiltrator_Guide</x:v>
      </x:c>
      <x:c r="S10" s="7" t="str">
        <x:v>Le nom et la place du chapitre sont référencés. Son agencement ATB est original.</x:v>
      </x:c>
    </x:row>
    <x:row r="11" ht="54" customHeight="1">
      <x:c r="A11" s="18" t="str">
        <x:v>INF-MIS-X1WING</x:v>
      </x:c>
      <x:c r="B11" s="9" t="str">
        <x:v>X1 Wing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checkpoints.</x:v>
      </x:c>
      <x:c r="G11" s="9" t="str">
        <x:v>Récupérer les données et survivre au laboratoire.</x:v>
      </x:c>
      <x:c r="H11" s="9" t="str">
        <x:v>Objectif proposé : Récupérer les données et survivre au laboratoire. Échec : retour au point de contrôle sans duplication des récompenses.</x:v>
      </x:c>
      <x:c r="I11" s="9" t="str">
        <x:v>Cuves, cages, conduits et plateformes.</x:v>
      </x:c>
      <x:c r="J11" s="9" t="str"/>
      <x:c r="K11" s="9" t="str"/>
      <x:c r="L11" s="9" t="str">
        <x:v>État de mission prévu inf_x1wing : disponible, active, résolue.</x:v>
      </x:c>
      <x:c r="M11" s="9" t="str">
        <x:v>Sécurité franchie.</x:v>
      </x:c>
      <x:c r="N11" s="9" t="str">
        <x:v>Objectif, progression, sortie et sauvegarde fonctionnent après chargement intermédiaire.</x:v>
      </x:c>
      <x:c r="O11" s="9" t="str">
        <x:v>INF-MIS-SECURITY</x:v>
      </x:c>
      <x:c r="P11" s="9" t="str">
        <x:v>X1 Wing</x:v>
      </x:c>
      <x:c r="Q11" s="9" t="str">
        <x:v>INF-GUIDE</x:v>
      </x:c>
      <x:c r="R11" s="9" t="str">
        <x:v>https://masseffect.fandom.com/wiki/Mass_Effect:_Infiltrator_Guide</x:v>
      </x:c>
      <x:c r="S11" s="9" t="str">
        <x:v>Le nom et la place du chapitre sont référencés. Son agencement ATB est original.</x:v>
      </x:c>
    </x:row>
    <x:row r="12" ht="54" customHeight="1">
      <x:c r="A12" s="19" t="str">
        <x:v>INF-MIS-COLOSSEUM</x:v>
      </x:c>
      <x:c r="B12" s="7" t="str">
        <x:v>Colosseum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1 checkpoint.</x:v>
      </x:c>
      <x:c r="G12" s="7" t="str">
        <x:v>Affronter X1 avec télégraphes de charge.</x:v>
      </x:c>
      <x:c r="H12" s="7" t="str">
        <x:v>Objectif proposé : Affronter X1 avec télégraphes de charge. Échec : retour au point de contrôle sans duplication des récompenses.</x:v>
      </x:c>
      <x:c r="I12" s="7" t="str">
        <x:v>Arène circulaire avec piliers de protection.</x:v>
      </x:c>
      <x:c r="J12" s="7" t="str"/>
      <x:c r="K12" s="7" t="str"/>
      <x:c r="L12" s="7" t="str">
        <x:v>État de mission prévu inf_colosseum : disponible, active, résolue.</x:v>
      </x:c>
      <x:c r="M12" s="7" t="str">
        <x:v>X1 Wing terminé.</x:v>
      </x:c>
      <x:c r="N12" s="7" t="str">
        <x:v>Objectif, progression, sortie et sauvegarde fonctionnent après chargement intermédiaire.</x:v>
      </x:c>
      <x:c r="O12" s="7" t="str">
        <x:v>INF-MIS-X1WING</x:v>
      </x:c>
      <x:c r="P12" s="7" t="str">
        <x:v>Colosseum</x:v>
      </x:c>
      <x:c r="Q12" s="7" t="str">
        <x:v>INF-GUIDE</x:v>
      </x:c>
      <x:c r="R12" s="7" t="str">
        <x:v>https://masseffect.fandom.com/wiki/Mass_Effect:_Infiltrator_Guide</x:v>
      </x:c>
      <x:c r="S12" s="7" t="str">
        <x:v>Le nom et la place du chapitre sont référencés. Son agencement ATB est original.</x:v>
      </x:c>
    </x:row>
    <x:row r="13" ht="54" customHeight="1">
      <x:c r="A13" s="18" t="str">
        <x:v>INF-MIS-COMM</x:v>
      </x:c>
      <x:c r="B13" s="9" t="str">
        <x:v>Comm Relay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6 checkpoints.</x:v>
      </x:c>
      <x:c r="G13" s="9" t="str">
        <x:v>Rétablir une liaison vers l’Alliance.</x:v>
      </x:c>
      <x:c r="H13" s="9" t="str">
        <x:v>Objectif proposé : Rétablir une liaison vers l’Alliance. Échec : retour au point de contrôle sans duplication des récompenses.</x:v>
      </x:c>
      <x:c r="I13" s="9" t="str">
        <x:v>Escalier de maintenance puis antenne et consoles.</x:v>
      </x:c>
      <x:c r="J13" s="9" t="str"/>
      <x:c r="K13" s="9" t="str"/>
      <x:c r="L13" s="9" t="str">
        <x:v>État de mission prévu inf_comm : disponible, active, résolue.</x:v>
      </x:c>
      <x:c r="M13" s="9" t="str">
        <x:v>Colosseum terminé.</x:v>
      </x:c>
      <x:c r="N13" s="9" t="str">
        <x:v>Objectif, progression, sortie et sauvegarde fonctionnent après chargement intermédiaire.</x:v>
      </x:c>
      <x:c r="O13" s="9" t="str">
        <x:v>INF-MIS-COLOSSEUM</x:v>
      </x:c>
      <x:c r="P13" s="9" t="str">
        <x:v>Comm Relay</x:v>
      </x:c>
      <x:c r="Q13" s="9" t="str">
        <x:v>INF-GUIDE</x:v>
      </x:c>
      <x:c r="R13" s="9" t="str">
        <x:v>https://masseffect.fandom.com/wiki/Mass_Effect:_Infiltrator_Guide</x:v>
      </x:c>
      <x:c r="S13" s="9" t="str">
        <x:v>Le nom et la place du chapitre sont référencés. Son agencement ATB est original.</x:v>
      </x:c>
    </x:row>
    <x:row r="14" ht="54" customHeight="1">
      <x:c r="A14" s="19" t="str">
        <x:v>INF-MIS-CORRIDOR</x:v>
      </x:c>
      <x:c r="B14" s="7" t="str">
        <x:v>Access Corridor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6 checkpoints.</x:v>
      </x:c>
      <x:c r="G14" s="7" t="str">
        <x:v>Rejoindre le hangar et sécuriser la navette.</x:v>
      </x:c>
      <x:c r="H14" s="7" t="str">
        <x:v>Objectif proposé : Rejoindre le hangar et sécuriser la navette. Échec : retour au point de contrôle sans duplication des récompenses.</x:v>
      </x:c>
      <x:c r="I14" s="7" t="str">
        <x:v>Retour transformé par les dégâts et renforts.</x:v>
      </x:c>
      <x:c r="J14" s="7" t="str"/>
      <x:c r="K14" s="7" t="str"/>
      <x:c r="L14" s="7" t="str">
        <x:v>État de mission prévu inf_corridor : disponible, active, résolue.</x:v>
      </x:c>
      <x:c r="M14" s="7" t="str">
        <x:v>Message émis.</x:v>
      </x:c>
      <x:c r="N14" s="7" t="str">
        <x:v>Objectif, progression, sortie et sauvegarde fonctionnent après chargement intermédiaire.</x:v>
      </x:c>
      <x:c r="O14" s="7" t="str">
        <x:v>INF-MIS-COMM</x:v>
      </x:c>
      <x:c r="P14" s="7" t="str">
        <x:v>Access Corridor</x:v>
      </x:c>
      <x:c r="Q14" s="7" t="str">
        <x:v>INF-GUIDE</x:v>
      </x:c>
      <x:c r="R14" s="7" t="str">
        <x:v>https://masseffect.fandom.com/wiki/Mass_Effect:_Infiltrator_Guide</x:v>
      </x:c>
      <x:c r="S14" s="7" t="str">
        <x:v>Le nom et la place du chapitre sont référencés. Son agencement ATB est original.</x:v>
      </x:c>
    </x:row>
    <x:row r="15" ht="54" customHeight="1">
      <x:c r="A15" s="18" t="str">
        <x:v>INF-MIS-DESERT</x:v>
      </x:c>
      <x:c r="B15" s="9" t="str">
        <x:v>Desert Planet</x:v>
      </x:c>
      <x:c r="C15" s="15" t="str">
        <x:v>Défini</x:v>
      </x:c>
      <x:c r="D15" s="16" t="str">
        <x:v>Établi</x:v>
      </x:c>
      <x:c r="E15" s="16" t="str">
        <x:v>P0</x:v>
      </x:c>
      <x:c r="F15" s="9" t="str">
        <x:v>1 checkpoint.</x:v>
      </x:c>
      <x:c r="G15" s="9" t="str">
        <x:v>Conclure l’affrontement avec Inali.</x:v>
      </x:c>
      <x:c r="H15" s="9" t="str">
        <x:v>Objectif proposé : Conclure l’affrontement avec Inali. Échec : retour au point de contrôle sans duplication des récompenses.</x:v>
      </x:c>
      <x:c r="I15" s="9" t="str">
        <x:v>Arène désertique, alternance barrières et armure.</x:v>
      </x:c>
      <x:c r="J15" s="9" t="str"/>
      <x:c r="K15" s="9" t="str"/>
      <x:c r="L15" s="9" t="str">
        <x:v>État de mission prévu inf_desert : disponible, active, résolue.</x:v>
      </x:c>
      <x:c r="M15" s="9" t="str">
        <x:v>Navette récupérée.</x:v>
      </x:c>
      <x:c r="N15" s="9" t="str">
        <x:v>Objectif, progression, sortie et sauvegarde fonctionnent après chargement intermédiaire.</x:v>
      </x:c>
      <x:c r="O15" s="9" t="str">
        <x:v>INF-MIS-CORRIDOR</x:v>
      </x:c>
      <x:c r="P15" s="9" t="str">
        <x:v>Desert Planet</x:v>
      </x:c>
      <x:c r="Q15" s="9" t="str">
        <x:v>INF-GUIDE</x:v>
      </x:c>
      <x:c r="R15" s="9" t="str">
        <x:v>https://masseffect.fandom.com/wiki/Mass_Effect:_Infiltrator_Guide</x:v>
      </x:c>
      <x:c r="S15" s="9" t="str">
        <x:v>Le nom et la place du chapitre sont référencés. Son agencement ATB est original.</x:v>
      </x:c>
    </x:row>
  </x:sheetData>
  <x:conditionalFormatting sqref="D7:D15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5">
    <x:cfRule type="cellIs" dxfId="38" priority="3" operator="equal">
      <x:formula>"Validé"</x:formula>
    </x:cfRule>
  </x:conditionalFormatting>
  <x:conditionalFormatting sqref="E7:E15">
    <x:cfRule type="cellIs" dxfId="3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5fb5f2610f4253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INF-SIDE-INCARCERATION</x:v>
      </x:c>
      <x:c r="B7" s="9" t="str">
        <x:v>Incarceration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Bonus turien, 6 checkpoints.</x:v>
      </x:c>
      <x:c r="G7" s="9" t="str">
        <x:v>Campagne indépendante accessible depuis le menu.</x:v>
      </x:c>
      <x:c r="H7" s="9" t="str">
        <x:v>Pas d’import des améliorations de Randall.</x:v>
      </x:c>
      <x:c r="I7" s="9" t="str">
        <x:v>Clinique dévastée et sortie inaccessible.</x:v>
      </x:c>
      <x:c r="J7" s="9" t="str"/>
      <x:c r="K7" s="9" t="str"/>
      <x:c r="L7" s="9" t="str"/>
      <x:c r="M7" s="9" t="str"/>
      <x:c r="N7" s="9" t="str">
        <x:v>Le bonus conserve sa progression séparée.</x:v>
      </x:c>
      <x:c r="O7" s="9" t="str"/>
      <x:c r="P7" s="9" t="str">
        <x:v>Conception du fan game</x:v>
      </x:c>
      <x:c r="Q7" s="9" t="str">
        <x:v>INF-GUIDE</x:v>
      </x:c>
      <x:c r="R7" s="9" t="str">
        <x:v>https://masseffect.fandom.com/wiki/Mass_Effect:_Infiltrator_Guide</x:v>
      </x:c>
      <x:c r="S7" s="9" t="str"/>
    </x:row>
    <x:row r="8" ht="44" customHeight="1">
      <x:c r="A8" s="19" t="str">
        <x:v>INF-SIDE-INTEL</x:v>
      </x:c>
      <x:c r="B8" s="7" t="str">
        <x:v>Collecte des renseignements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Collecte présente dans le jeu.</x:v>
      </x:c>
      <x:c r="G8" s="7" t="str">
        <x:v>Objectifs de récupération facultatifs dans les arènes.</x:v>
      </x:c>
      <x:c r="H8" s="7" t="str">
        <x:v>Proposition : journal local, récompenses fixes et aucune connexion à un ancien service.</x:v>
      </x:c>
      <x:c r="I8" s="7" t="str">
        <x:v>Tablettes orange et conteneurs identifiables.</x:v>
      </x:c>
      <x:c r="J8" s="7" t="str"/>
      <x:c r="K8" s="7" t="str"/>
      <x:c r="L8" s="7" t="str"/>
      <x:c r="M8" s="7" t="str"/>
      <x:c r="N8" s="7" t="str">
        <x:v>Un renseignement ne se crédite qu’une fois.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  <x:row r="9" ht="44" customHeight="1">
      <x:c r="A9" s="18" t="str">
        <x:v>INF-SIDE-RANK</x:v>
      </x:c>
      <x:c r="B9" s="9" t="str">
        <x:v>Rejouer un checkpoint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Rejeu et amélioration du rang.</x:v>
      </x:c>
      <x:c r="G9" s="9" t="str">
        <x:v>Menu de sélection des segments débloqués.</x:v>
      </x:c>
      <x:c r="H9" s="9" t="str">
        <x:v>Conserver le meilleur résultat ; ne pas réécrire les choix narratifs.</x:v>
      </x:c>
      <x:c r="I9" s="9" t="str"/>
      <x:c r="J9" s="9" t="str"/>
      <x:c r="K9" s="9" t="str"/>
      <x:c r="L9" s="9" t="str"/>
      <x:c r="M9" s="9" t="str"/>
      <x:c r="N9" s="9" t="str">
        <x:v>Le score ne déverrouille pas prématurément un chapitre.</x:v>
      </x:c>
      <x:c r="O9" s="9" t="str"/>
      <x:c r="P9" s="9" t="str">
        <x:v>Conception du fan game</x:v>
      </x:c>
      <x:c r="Q9" s="9" t="str">
        <x:v>INF-GUIDE</x:v>
      </x:c>
      <x:c r="R9" s="9" t="str">
        <x:v>https://masseffect.fandom.com/wiki/Mass_Effect:_Infiltrator_Guide</x:v>
      </x:c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a8b1d65a704b0c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INF-CHO-MORAL</x:v>
      </x:c>
      <x:c r="B7" s="9" t="str">
        <x:v>Conduite de Randall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moraux présents.</x:v>
      </x:c>
      <x:c r="G7" s="9" t="str">
        <x:v>Enregistrer chaque décision dans un journal sans résumé binaire permanent.</x:v>
      </x:c>
      <x:c r="H7" s="9" t="str">
        <x:v>Les seuils de l’adaptation sont proposés et exposés.</x:v>
      </x:c>
      <x:c r="I7" s="9" t="str"/>
      <x:c r="J7" s="9" t="str"/>
      <x:c r="K7" s="9" t="str"/>
      <x:c r="L7" s="9" t="str"/>
      <x:c r="M7" s="9" t="str"/>
      <x:c r="N7" s="9" t="str">
        <x:v>Les choix précédents ne sont pas remplacés lors du rejeu.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INF-CHO-INALI</x:v>
      </x:c>
      <x:c r="B8" s="7" t="str">
        <x:v>Sort d’Inali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Issue liée à la conduite du joueur.</x:v>
      </x:c>
      <x:c r="G8" s="7" t="str">
        <x:v>Présenter la conclusion selon les drapeaux de campagne.</x:v>
      </x:c>
      <x:c r="H8" s="7" t="str">
        <x:v>Tester toutes les combinaisons autorisées.</x:v>
      </x:c>
      <x:c r="I8" s="7" t="str">
        <x:v>Portrait final adapté à la branche.</x:v>
      </x:c>
      <x:c r="J8" s="7" t="str"/>
      <x:c r="K8" s="7" t="str"/>
      <x:c r="L8" s="7" t="str"/>
      <x:c r="M8" s="7" t="str"/>
      <x:c r="N8" s="7" t="str">
        <x:v>Aucune issue n’est déclarée canon pour toute la franchise.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8">
    <x:cfRule type="cellIs" dxfId="46" priority="3" operator="equal">
      <x:formula>"Validé"</x:formula>
    </x:cfRule>
  </x:conditionalFormatting>
  <x:conditionalFormatting sqref="E7:E8">
    <x:cfRule type="cellIs" dxfId="4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01aff071554427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INF-DIA-VOLUS</x:v>
      </x:c>
      <x:c r="B7" s="9" t="str">
        <x:v>Instructions du volus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référencée de soutien radio.</x:v>
      </x:c>
      <x:c r="G7" s="9" t="str">
        <x:v>Courtes répliques originales selon objectif et retard.</x:v>
      </x:c>
      <x:c r="H7" s="9" t="str">
        <x:v>Priorité aux annonces de danger ; pas de répétition à chaque retour.</x:v>
      </x:c>
      <x:c r="I7" s="9" t="str">
        <x:v>Portrait compact dans le coin libre.</x:v>
      </x:c>
      <x:c r="J7" s="9" t="str"/>
      <x:c r="K7" s="9" t="str"/>
      <x:c r="L7" s="9" t="str"/>
      <x:c r="M7" s="9" t="str"/>
      <x:c r="N7" s="9" t="str">
        <x:v>La reprise de sauvegarde ne rejoue pas toute la conversation.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INF-DIA-DIRECTOR</x:v>
      </x:c>
      <x:c r="B8" s="7" t="str">
        <x:v>Interventions du Directeur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antagoniste.</x:v>
      </x:c>
      <x:c r="G8" s="7" t="str">
        <x:v>Échanges originaux brefs déclenchés par la progression.</x:v>
      </x:c>
      <x:c r="H8" s="7" t="str">
        <x:v>Ne pas inventer de nouvelles révélations présentées comme source.</x:v>
      </x:c>
      <x:c r="I8" s="7" t="str">
        <x:v>Écran mural ou portrait radio.</x:v>
      </x:c>
      <x:c r="J8" s="7" t="str"/>
      <x:c r="K8" s="7" t="str"/>
      <x:c r="L8" s="7" t="str"/>
      <x:c r="M8" s="7" t="str"/>
      <x:c r="N8" s="7" t="str">
        <x:v>Les sous-titres restent lisibles pendant la marche.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8">
    <x:cfRule type="cellIs" dxfId="50" priority="3" operator="equal">
      <x:formula>"Validé"</x:formula>
    </x:cfRule>
  </x:conditionalFormatting>
  <x:conditionalFormatting sqref="E7:E8">
    <x:cfRule type="cellIs" dxfId="5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e92acd50124a9f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INF-CIN-REVEAL</x:v>
      </x:c>
      <x:c r="B7" s="9" t="str">
        <x:v>Découverte dans la clinique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Séquence à reconstruire sur références.</x:v>
      </x:c>
      <x:c r="G7" s="9" t="str">
        <x:v>Plan large, contrechamp Randall, état d’Inali.</x:v>
      </x:c>
      <x:c r="H7" s="9" t="str">
        <x:v>Passage de caméra avec immobilisation contrôlée.</x:v>
      </x:c>
      <x:c r="I7" s="9" t="str">
        <x:v>Vitres opaques puis dévoilement progressif.</x:v>
      </x:c>
      <x:c r="J7" s="9" t="str"/>
      <x:c r="K7" s="9" t="str"/>
      <x:c r="L7" s="9" t="str"/>
      <x:c r="M7" s="9" t="str"/>
      <x:c r="N7" s="9" t="str">
        <x:v>Sauter la scène laisse le même objectif et le même état.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INF-CIN-ESCAPE</x:v>
      </x:c>
      <x:c r="B8" s="7" t="str">
        <x:v>Départ en navette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vers le désert.</x:v>
      </x:c>
      <x:c r="G8" s="7" t="str">
        <x:v>Navette 3D lointaine avec passager sprite.</x:v>
      </x:c>
      <x:c r="H8" s="7" t="str">
        <x:v>Charger la destination après fermeture du sas.</x:v>
      </x:c>
      <x:c r="I8" s="7" t="str">
        <x:v>Éclairage de hangar orange puis désert ocre.</x:v>
      </x:c>
      <x:c r="J8" s="7" t="str"/>
      <x:c r="K8" s="7" t="str"/>
      <x:c r="L8" s="7" t="str"/>
      <x:c r="M8" s="7" t="str"/>
      <x:c r="N8" s="7" t="str">
        <x:v>Aucun personnage visible simultanément sur les deux cartes.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8">
    <x:cfRule type="cellIs" dxfId="54" priority="3" operator="equal">
      <x:formula>"Validé"</x:formula>
    </x:cfRule>
  </x:conditionalFormatting>
  <x:conditionalFormatting sqref="E7:E8">
    <x:cfRule type="cellIs" dxfId="5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181b2cc2714120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INF-WPN-MATTOCK</x:v>
      </x:c>
      <x:c r="B7" s="9" t="str">
        <x:v>M-96 Mattock Auto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Modèle répertorié dans Infiltrator.</x:v>
      </x:c>
      <x:c r="G7" s="9" t="str">
        <x:v>Tir soutenu avec accumulation de chaleur proposée.</x:v>
      </x:c>
      <x:c r="H7" s="9" t="str">
        <x:v>Réglage ATB proposé : Tir soutenu avec accumulation de chaleur proposée.</x:v>
      </x:c>
      <x:c r="I7" s="9" t="str">
        <x:v>Fusil long, finitions Cerberus à relever.</x:v>
      </x:c>
      <x:c r="J7" s="9" t="str"/>
      <x:c r="K7" s="9" t="str"/>
      <x:c r="L7" s="9" t="str"/>
      <x:c r="M7" s="9" t="str"/>
      <x:c r="N7" s="9" t="str">
        <x:v>La fiche distingue dégâts de base, protection ciblée et coût proposés.</x:v>
      </x:c>
      <x:c r="O7" s="9" t="str"/>
      <x:c r="P7" s="9" t="str">
        <x:v>Armes</x:v>
      </x:c>
      <x:c r="Q7" s="9" t="str">
        <x:v>INF-EQUIP, INF-STORE</x:v>
      </x:c>
      <x:c r="R7" s="9" t="str">
        <x:v>https://masseffect.fandom.com/wiki/Equipment_(Mass_Effect:_Infiltrator)
https://masseffect.fandom.com/wiki/Store_(Mass_Effect:_Infiltrator)</x:v>
      </x:c>
      <x:c r="S7" s="9" t="str"/>
    </x:row>
    <x:row r="8" ht="68" customHeight="1">
      <x:c r="A8" s="19" t="str">
        <x:v>INF-WPN-EVISCERATOR</x:v>
      </x:c>
      <x:c r="B8" s="7" t="str">
        <x:v>M-22 Eviscerator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Modèle répertorié dans Infiltrator.</x:v>
      </x:c>
      <x:c r="G8" s="7" t="str">
        <x:v>Tir court en cône ; bonus de proximité proposé.</x:v>
      </x:c>
      <x:c r="H8" s="7" t="str">
        <x:v>Réglage ATB proposé : Tir court en cône ; bonus de proximité proposé.</x:v>
      </x:c>
      <x:c r="I8" s="7" t="str">
        <x:v>Pompe compacte et canon large.</x:v>
      </x:c>
      <x:c r="J8" s="7" t="str"/>
      <x:c r="K8" s="7" t="str"/>
      <x:c r="L8" s="7" t="str"/>
      <x:c r="M8" s="7" t="str"/>
      <x:c r="N8" s="7" t="str">
        <x:v>La fiche distingue dégâts de base, protection ciblée et coût proposés.</x:v>
      </x:c>
      <x:c r="O8" s="7" t="str"/>
      <x:c r="P8" s="7" t="str">
        <x:v>Armes</x:v>
      </x:c>
      <x:c r="Q8" s="7" t="str">
        <x:v>INF-EQUIP, INF-STORE</x:v>
      </x:c>
      <x:c r="R8" s="7" t="str">
        <x:v>https://masseffect.fandom.com/wiki/Equipment_(Mass_Effect:_Infiltrator)
https://masseffect.fandom.com/wiki/Store_(Mass_Effect:_Infiltrator)</x:v>
      </x:c>
      <x:c r="S8" s="7" t="str"/>
    </x:row>
    <x:row r="9" ht="68" customHeight="1">
      <x:c r="A9" s="18" t="str">
        <x:v>INF-WPN-INCISOR</x:v>
      </x:c>
      <x:c r="B9" s="9" t="str">
        <x:v>M-29 Incisor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Modèle répertorié dans Infiltrator.</x:v>
      </x:c>
      <x:c r="G9" s="9" t="str">
        <x:v>Visée sur une cible ; rafale groupée proposée.</x:v>
      </x:c>
      <x:c r="H9" s="9" t="str">
        <x:v>Réglage ATB proposé : Visée sur une cible ; rafale groupée proposée.</x:v>
      </x:c>
      <x:c r="I9" s="9" t="str">
        <x:v>Silhouette à lunette.</x:v>
      </x:c>
      <x:c r="J9" s="9" t="str"/>
      <x:c r="K9" s="9" t="str"/>
      <x:c r="L9" s="9" t="str"/>
      <x:c r="M9" s="9" t="str"/>
      <x:c r="N9" s="9" t="str">
        <x:v>La fiche distingue dégâts de base, protection ciblée et coût proposés.</x:v>
      </x:c>
      <x:c r="O9" s="9" t="str"/>
      <x:c r="P9" s="9" t="str">
        <x:v>Armes</x:v>
      </x:c>
      <x:c r="Q9" s="9" t="str">
        <x:v>INF-EQUIP, INF-STORE</x:v>
      </x:c>
      <x:c r="R9" s="9" t="str">
        <x:v>https://masseffect.fandom.com/wiki/Equipment_(Mass_Effect:_Infiltrator)
https://masseffect.fandom.com/wiki/Store_(Mass_Effect:_Infiltrator)</x:v>
      </x:c>
      <x:c r="S9" s="9" t="str"/>
    </x:row>
    <x:row r="10" ht="68" customHeight="1">
      <x:c r="A10" s="19" t="str">
        <x:v>INF-WPN-PARTICLE</x:v>
      </x:c>
      <x:c r="B10" s="7" t="str">
        <x:v>M-333 Particle Beam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Modèle répertorié dans Infiltrator.</x:v>
      </x:c>
      <x:c r="G10" s="7" t="str">
        <x:v>Canalisation qui bloque le déplacement et reste interruptible.</x:v>
      </x:c>
      <x:c r="H10" s="7" t="str">
        <x:v>Réglage ATB proposé : Canalisation qui bloque le déplacement et reste interruptible.</x:v>
      </x:c>
      <x:c r="I10" s="7" t="str">
        <x:v>Faisceau continu, noyau lumineux limité.</x:v>
      </x:c>
      <x:c r="J10" s="7" t="str"/>
      <x:c r="K10" s="7" t="str"/>
      <x:c r="L10" s="7" t="str"/>
      <x:c r="M10" s="7" t="str"/>
      <x:c r="N10" s="7" t="str">
        <x:v>La fiche distingue dégâts de base, protection ciblée et coût proposés.</x:v>
      </x:c>
      <x:c r="O10" s="7" t="str"/>
      <x:c r="P10" s="7" t="str">
        <x:v>Armes</x:v>
      </x:c>
      <x:c r="Q10" s="7" t="str">
        <x:v>INF-EQUIP, INF-STORE</x:v>
      </x:c>
      <x:c r="R10" s="7" t="str">
        <x:v>https://masseffect.fandom.com/wiki/Equipment_(Mass_Effect:_Infiltrator)
https://masseffect.fandom.com/wiki/Store_(Mass_Effect:_Infiltrator)</x:v>
      </x:c>
      <x:c r="S10" s="7" t="str"/>
    </x:row>
  </x:sheetData>
  <x:conditionalFormatting sqref="D7:D10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10">
    <x:cfRule type="cellIs" dxfId="58" priority="3" operator="equal">
      <x:formula>"Validé"</x:formula>
    </x:cfRule>
  </x:conditionalFormatting>
  <x:conditionalFormatting sqref="E7:E10">
    <x:cfRule type="cellIs" dxfId="59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3890005c3243b7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INF-EQ-BODY</x:v>
      </x:c>
      <x:c r="B7" s="9" t="str">
        <x:v>Armure de corps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Armure et casque sont des pièces distinctes.</x:v>
      </x:c>
      <x:c r="G7" s="9" t="str">
        <x:v>Dissocier survie et recharge dans l’écran d’équipement.</x:v>
      </x:c>
      <x:c r="H7" s="9" t="str">
        <x:v>Bonus relatifs proposés ; visualiser avant achat.</x:v>
      </x:c>
      <x:c r="I7" s="9" t="str">
        <x:v>Plaques et emplacements de casque compatibles.</x:v>
      </x:c>
      <x:c r="J7" s="9" t="str"/>
      <x:c r="K7" s="9" t="str"/>
      <x:c r="L7" s="9" t="str"/>
      <x:c r="M7" s="9" t="str"/>
      <x:c r="N7" s="9" t="str">
        <x:v>Changer de casque ne duplique pas le bonus de corps.</x:v>
      </x:c>
      <x:c r="O7" s="9" t="str"/>
      <x:c r="P7" s="9" t="str">
        <x:v>Conception du fan game</x:v>
      </x:c>
      <x:c r="Q7" s="9" t="str">
        <x:v>INF-EQUIP</x:v>
      </x:c>
      <x:c r="R7" s="9" t="str">
        <x:v>https://masseffect.fandom.com/wiki/Equipment_(Mass_Effect:_Infiltrator)</x:v>
      </x:c>
      <x:c r="S7" s="9" t="str"/>
    </x:row>
    <x:row r="8" ht="44" customHeight="1">
      <x:c r="A8" s="19" t="str">
        <x:v>INF-EQ-INTEL</x:v>
      </x:c>
      <x:c r="B8" s="7" t="str">
        <x:v>Données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Ressource du parcours.</x:v>
      </x:c>
      <x:c r="G8" s="7" t="str">
        <x:v>Inventaire de preuves et conversion locale optionnelle.</x:v>
      </x:c>
      <x:c r="H8" s="7" t="str">
        <x:v>Conversion irréversible avec aperçu de la valeur.</x:v>
      </x:c>
      <x:c r="I8" s="7" t="str">
        <x:v>Icône tablette orange.</x:v>
      </x:c>
      <x:c r="J8" s="7" t="str"/>
      <x:c r="K8" s="7" t="str"/>
      <x:c r="L8" s="7" t="str"/>
      <x:c r="M8" s="7" t="str"/>
      <x:c r="N8" s="7" t="str">
        <x:v>Une conversion persiste après chargement.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07dea9880c4c07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INF-PWR-PULL</x:v>
      </x:c>
      <x:c r="B7" s="9" t="str">
        <x:v>Pull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Capacité mentionnée dans l’index de la boutique ; présence et intitulé à confirmer.</x:v>
      </x:c>
      <x:c r="G7" s="9" t="str">
        <x:v>Traduction ATB : Sortir une cible légère de son couvert.</x:v>
      </x:c>
      <x:c r="H7" s="9" t="str">
        <x:v>Sortir une cible légère de son couvert. Coût et durée à régler, sans reprise de valeurs officielles.</x:v>
      </x:c>
      <x:c r="I7" s="9" t="str">
        <x:v>Effet directionnel lisible devant les sprites.</x:v>
      </x:c>
      <x:c r="J7" s="9" t="str"/>
      <x:c r="K7" s="9" t="str"/>
      <x:c r="L7" s="9" t="str"/>
      <x:c r="M7" s="9" t="str">
        <x:v>Confirmer le nom, le déblocage et l’effet dans une version jouable ou une capture complète.</x:v>
      </x:c>
      <x:c r="N7" s="9" t="str">
        <x:v>L’interface expose les cibles immunisées avant dépense.</x:v>
      </x:c>
      <x:c r="O7" s="9" t="str"/>
      <x:c r="P7" s="9" t="str">
        <x:v>Index des capacités</x:v>
      </x:c>
      <x:c r="Q7" s="9" t="str">
        <x:v>INF-STORE</x:v>
      </x:c>
      <x:c r="R7" s="9" t="str">
        <x:v>https://masseffect.fandom.com/wiki/Store_(Mass_Effect:_Infiltrator)</x:v>
      </x:c>
      <x:c r="S7" s="9" t="str">
        <x:v>Source secondaire partielle. Les règles ATB proposées ne constituent pas une validation de la capacité originale.</x:v>
      </x:c>
    </x:row>
    <x:row r="8" ht="44" customHeight="1">
      <x:c r="A8" s="19" t="str">
        <x:v>INF-PWR-LEASH</x:v>
      </x:c>
      <x:c r="B8" s="7" t="str">
        <x:v>Leash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Capacité mentionnée dans l’index de la boutique ; présence et intitulé à confirmer.</x:v>
      </x:c>
      <x:c r="G8" s="7" t="str">
        <x:v>Traduction ATB : Déplacer une cible exposée vers une case libre.</x:v>
      </x:c>
      <x:c r="H8" s="7" t="str">
        <x:v>Déplacer une cible exposée vers une case libre. Coût et durée à régler, sans reprise de valeurs officielles.</x:v>
      </x:c>
      <x:c r="I8" s="7" t="str">
        <x:v>Effet directionnel lisible devant les sprites.</x:v>
      </x:c>
      <x:c r="J8" s="7" t="str"/>
      <x:c r="K8" s="7" t="str"/>
      <x:c r="L8" s="7" t="str"/>
      <x:c r="M8" s="7" t="str">
        <x:v>Confirmer le nom, le déblocage et l’effet dans une version jouable ou une capture complète.</x:v>
      </x:c>
      <x:c r="N8" s="7" t="str">
        <x:v>L’interface expose les cibles immunisées avant dépense.</x:v>
      </x:c>
      <x:c r="O8" s="7" t="str"/>
      <x:c r="P8" s="7" t="str">
        <x:v>Index des capacités</x:v>
      </x:c>
      <x:c r="Q8" s="7" t="str">
        <x:v>INF-STORE</x:v>
      </x:c>
      <x:c r="R8" s="7" t="str">
        <x:v>https://masseffect.fandom.com/wiki/Store_(Mass_Effect:_Infiltrator)</x:v>
      </x:c>
      <x:c r="S8" s="7" t="str">
        <x:v>Source secondaire partielle. Les règles ATB proposées ne constituent pas une validation de la capacité originale.</x:v>
      </x:c>
    </x:row>
    <x:row r="9" ht="44" customHeight="1">
      <x:c r="A9" s="18" t="str">
        <x:v>INF-PWR-STORM</x:v>
      </x:c>
      <x:c r="B9" s="9" t="str">
        <x:v>Storm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Capacité mentionnée dans l’index de la boutique ; présence et intitulé à confirmer.</x:v>
      </x:c>
      <x:c r="G9" s="9" t="str">
        <x:v>Traduction ATB : Zone biotique de contrôle temporaire proposée.</x:v>
      </x:c>
      <x:c r="H9" s="9" t="str">
        <x:v>Zone biotique de contrôle temporaire proposée. Coût et durée à régler, sans reprise de valeurs officielles.</x:v>
      </x:c>
      <x:c r="I9" s="9" t="str">
        <x:v>Effet directionnel lisible devant les sprites.</x:v>
      </x:c>
      <x:c r="J9" s="9" t="str"/>
      <x:c r="K9" s="9" t="str"/>
      <x:c r="L9" s="9" t="str"/>
      <x:c r="M9" s="9" t="str">
        <x:v>Confirmer le nom, le déblocage et l’effet dans une version jouable ou une capture complète.</x:v>
      </x:c>
      <x:c r="N9" s="9" t="str">
        <x:v>L’interface expose les cibles immunisées avant dépense.</x:v>
      </x:c>
      <x:c r="O9" s="9" t="str"/>
      <x:c r="P9" s="9" t="str">
        <x:v>Index des capacités</x:v>
      </x:c>
      <x:c r="Q9" s="9" t="str">
        <x:v>INF-STORE</x:v>
      </x:c>
      <x:c r="R9" s="9" t="str">
        <x:v>https://masseffect.fandom.com/wiki/Store_(Mass_Effect:_Infiltrator)</x:v>
      </x:c>
      <x:c r="S9" s="9" t="str">
        <x:v>Source secondaire partielle. Les règles ATB proposées ne constituent pas une validation de la capacité originale.</x:v>
      </x:c>
    </x:row>
    <x:row r="10" ht="54" customHeight="1">
      <x:c r="A10" s="19" t="str">
        <x:v>INF-PWR-SALVO</x:v>
      </x:c>
      <x:c r="B10" s="7" t="str">
        <x:v>Salvo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Capacité mentionnée dans l’index de la boutique ; présence et intitulé à confirmer.</x:v>
      </x:c>
      <x:c r="G10" s="7" t="str">
        <x:v>Traduction ATB : Salve sur cibles distinctes, jamais de doublon sur une cible morte.</x:v>
      </x:c>
      <x:c r="H10" s="7" t="str">
        <x:v>Salve sur cibles distinctes, jamais de doublon sur une cible morte. Coût et durée à régler, sans reprise de valeurs officielles.</x:v>
      </x:c>
      <x:c r="I10" s="7" t="str">
        <x:v>Effet directionnel lisible devant les sprites.</x:v>
      </x:c>
      <x:c r="J10" s="7" t="str"/>
      <x:c r="K10" s="7" t="str"/>
      <x:c r="L10" s="7" t="str"/>
      <x:c r="M10" s="7" t="str">
        <x:v>Confirmer le nom, le déblocage et l’effet dans une version jouable ou une capture complète.</x:v>
      </x:c>
      <x:c r="N10" s="7" t="str">
        <x:v>L’interface expose les cibles immunisées avant dépense.</x:v>
      </x:c>
      <x:c r="O10" s="7" t="str"/>
      <x:c r="P10" s="7" t="str">
        <x:v>Index des capacités</x:v>
      </x:c>
      <x:c r="Q10" s="7" t="str">
        <x:v>INF-STORE</x:v>
      </x:c>
      <x:c r="R10" s="7" t="str">
        <x:v>https://masseffect.fandom.com/wiki/Store_(Mass_Effect:_Infiltrator)</x:v>
      </x:c>
      <x:c r="S10" s="7" t="str">
        <x:v>Source secondaire partielle. Les règles ATB proposées ne constituent pas une validation de la capacité originale.</x:v>
      </x:c>
    </x:row>
    <x:row r="11" ht="54" customHeight="1">
      <x:c r="A11" s="18" t="str">
        <x:v>INF-PWR-CLOAK</x:v>
      </x:c>
      <x:c r="B11" s="9" t="str">
        <x:v>Cloak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Capacité mentionnée dans l’index de la boutique ; présence et intitulé à confirmer.</x:v>
      </x:c>
      <x:c r="G11" s="9" t="str">
        <x:v>Traduction ATB : Réduire la priorité de ciblage et repositionner Randall.</x:v>
      </x:c>
      <x:c r="H11" s="9" t="str">
        <x:v>Réduire la priorité de ciblage et repositionner Randall. Coût et durée à régler, sans reprise de valeurs officielles.</x:v>
      </x:c>
      <x:c r="I11" s="9" t="str">
        <x:v>Contour réfracté avec silhouette accessible.</x:v>
      </x:c>
      <x:c r="J11" s="9" t="str"/>
      <x:c r="K11" s="9" t="str"/>
      <x:c r="L11" s="9" t="str"/>
      <x:c r="M11" s="9" t="str">
        <x:v>Confirmer le nom, le déblocage et l’effet dans une version jouable ou une capture complète.</x:v>
      </x:c>
      <x:c r="N11" s="9" t="str">
        <x:v>L’interface expose les cibles immunisées avant dépense.</x:v>
      </x:c>
      <x:c r="O11" s="9" t="str"/>
      <x:c r="P11" s="9" t="str">
        <x:v>Index des capacités</x:v>
      </x:c>
      <x:c r="Q11" s="9" t="str">
        <x:v>INF-STORE</x:v>
      </x:c>
      <x:c r="R11" s="9" t="str">
        <x:v>https://masseffect.fandom.com/wiki/Store_(Mass_Effect:_Infiltrator)</x:v>
      </x:c>
      <x:c r="S11" s="9" t="str">
        <x:v>Source secondaire partielle. Les règles ATB proposées ne constituent pas une validation de la capacité originale.</x:v>
      </x:c>
    </x:row>
    <x:row r="12" ht="44" customHeight="1">
      <x:c r="A12" s="19" t="str">
        <x:v>INF-PWR-SPRINT</x:v>
      </x:c>
      <x:c r="B12" s="7" t="str">
        <x:v>Sprint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Capacité mentionnée dans l’index de la boutique ; présence et intitulé à confirmer.</x:v>
      </x:c>
      <x:c r="G12" s="7" t="str">
        <x:v>Traduction ATB : Rejoindre un couvert sans attaque.</x:v>
      </x:c>
      <x:c r="H12" s="7" t="str">
        <x:v>Rejoindre un couvert sans attaque. Coût et durée à régler, sans reprise de valeurs officielles.</x:v>
      </x:c>
      <x:c r="I12" s="7" t="str">
        <x:v>Effet directionnel lisible devant les sprites.</x:v>
      </x:c>
      <x:c r="J12" s="7" t="str"/>
      <x:c r="K12" s="7" t="str"/>
      <x:c r="L12" s="7" t="str"/>
      <x:c r="M12" s="7" t="str">
        <x:v>Confirmer le nom, le déblocage et l’effet dans une version jouable ou une capture complète.</x:v>
      </x:c>
      <x:c r="N12" s="7" t="str">
        <x:v>L’interface expose les cibles immunisées avant dépense.</x:v>
      </x:c>
      <x:c r="O12" s="7" t="str"/>
      <x:c r="P12" s="7" t="str">
        <x:v>Index des capacités</x:v>
      </x:c>
      <x:c r="Q12" s="7" t="str">
        <x:v>INF-STORE</x:v>
      </x:c>
      <x:c r="R12" s="7" t="str">
        <x:v>https://masseffect.fandom.com/wiki/Store_(Mass_Effect:_Infiltrator)</x:v>
      </x:c>
      <x:c r="S12" s="7" t="str">
        <x:v>Source secondaire partielle. Les règles ATB proposées ne constituent pas une validation de la capacité originale.</x:v>
      </x:c>
    </x:row>
    <x:row r="13" ht="54" customHeight="1">
      <x:c r="A13" s="18" t="str">
        <x:v>INF-PWR-SLIDE</x:v>
      </x:c>
      <x:c r="B13" s="9" t="str">
        <x:v>Slide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Capacité mentionnée dans l’index de la boutique ; présence et intitulé à confirmer.</x:v>
      </x:c>
      <x:c r="G13" s="9" t="str">
        <x:v>Traduction ATB : Glisser sous la ligne de tir et conserver le pivot aux pieds.</x:v>
      </x:c>
      <x:c r="H13" s="9" t="str">
        <x:v>Glisser sous la ligne de tir et conserver le pivot aux pieds. Coût et durée à régler, sans reprise de valeurs officielles.</x:v>
      </x:c>
      <x:c r="I13" s="9" t="str">
        <x:v>Effet directionnel lisible devant les sprites.</x:v>
      </x:c>
      <x:c r="J13" s="9" t="str"/>
      <x:c r="K13" s="9" t="str"/>
      <x:c r="L13" s="9" t="str"/>
      <x:c r="M13" s="9" t="str">
        <x:v>Confirmer le nom, le déblocage et l’effet dans une version jouable ou une capture complète.</x:v>
      </x:c>
      <x:c r="N13" s="9" t="str">
        <x:v>L’interface expose les cibles immunisées avant dépense.</x:v>
      </x:c>
      <x:c r="O13" s="9" t="str"/>
      <x:c r="P13" s="9" t="str">
        <x:v>Index des capacités</x:v>
      </x:c>
      <x:c r="Q13" s="9" t="str">
        <x:v>INF-STORE</x:v>
      </x:c>
      <x:c r="R13" s="9" t="str">
        <x:v>https://masseffect.fandom.com/wiki/Store_(Mass_Effect:_Infiltrator)</x:v>
      </x:c>
      <x:c r="S13" s="9" t="str">
        <x:v>Source secondaire partielle. Les règles ATB proposées ne constituent pas une validation de la capacité originale.</x:v>
      </x:c>
    </x:row>
    <x:row r="14" ht="44" customHeight="1">
      <x:c r="A14" s="19" t="str">
        <x:v>INF-PWR-PUNCH</x:v>
      </x:c>
      <x:c r="B14" s="7" t="str">
        <x:v>Punch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Capacité mentionnée dans l’index de la boutique ; présence et intitulé à confirmer.</x:v>
      </x:c>
      <x:c r="G14" s="7" t="str">
        <x:v>Traduction ATB : Coup de proximité simple.</x:v>
      </x:c>
      <x:c r="H14" s="7" t="str">
        <x:v>Coup de proximité simple. Coût et durée à régler, sans reprise de valeurs officielles.</x:v>
      </x:c>
      <x:c r="I14" s="7" t="str">
        <x:v>Effet directionnel lisible devant les sprites.</x:v>
      </x:c>
      <x:c r="J14" s="7" t="str"/>
      <x:c r="K14" s="7" t="str"/>
      <x:c r="L14" s="7" t="str"/>
      <x:c r="M14" s="7" t="str">
        <x:v>Confirmer le nom, le déblocage et l’effet dans une version jouable ou une capture complète.</x:v>
      </x:c>
      <x:c r="N14" s="7" t="str">
        <x:v>L’interface expose les cibles immunisées avant dépense.</x:v>
      </x:c>
      <x:c r="O14" s="7" t="str"/>
      <x:c r="P14" s="7" t="str">
        <x:v>Index des capacités</x:v>
      </x:c>
      <x:c r="Q14" s="7" t="str">
        <x:v>INF-STORE</x:v>
      </x:c>
      <x:c r="R14" s="7" t="str">
        <x:v>https://masseffect.fandom.com/wiki/Store_(Mass_Effect:_Infiltrator)</x:v>
      </x:c>
      <x:c r="S14" s="7" t="str">
        <x:v>Source secondaire partielle. Les règles ATB proposées ne constituent pas une validation de la capacité originale.</x:v>
      </x:c>
    </x:row>
    <x:row r="15" ht="44" customHeight="1">
      <x:c r="A15" s="18" t="str">
        <x:v>INF-PWR-PUSH</x:v>
      </x:c>
      <x:c r="B15" s="9" t="str">
        <x:v>Push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Capacité mentionnée dans l’index de la boutique ; présence et intitulé à confirmer.</x:v>
      </x:c>
      <x:c r="G15" s="9" t="str">
        <x:v>Traduction ATB : Repousser pour dégager un passage.</x:v>
      </x:c>
      <x:c r="H15" s="9" t="str">
        <x:v>Repousser pour dégager un passage. Coût et durée à régler, sans reprise de valeurs officielles.</x:v>
      </x:c>
      <x:c r="I15" s="9" t="str">
        <x:v>Effet directionnel lisible devant les sprites.</x:v>
      </x:c>
      <x:c r="J15" s="9" t="str"/>
      <x:c r="K15" s="9" t="str"/>
      <x:c r="L15" s="9" t="str"/>
      <x:c r="M15" s="9" t="str">
        <x:v>Confirmer le nom, le déblocage et l’effet dans une version jouable ou une capture complète.</x:v>
      </x:c>
      <x:c r="N15" s="9" t="str">
        <x:v>L’interface expose les cibles immunisées avant dépense.</x:v>
      </x:c>
      <x:c r="O15" s="9" t="str"/>
      <x:c r="P15" s="9" t="str">
        <x:v>Index des capacités</x:v>
      </x:c>
      <x:c r="Q15" s="9" t="str">
        <x:v>INF-STORE</x:v>
      </x:c>
      <x:c r="R15" s="9" t="str">
        <x:v>https://masseffect.fandom.com/wiki/Store_(Mass_Effect:_Infiltrator)</x:v>
      </x:c>
      <x:c r="S15" s="9" t="str">
        <x:v>Source secondaire partielle. Les règles ATB proposées ne constituent pas une validation de la capacité originale.</x:v>
      </x:c>
    </x:row>
    <x:row r="16" ht="44" customHeight="1">
      <x:c r="A16" s="19" t="str">
        <x:v>INF-PWR-CHARGE</x:v>
      </x:c>
      <x:c r="B16" s="7" t="str">
        <x:v>Charge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Capacité mentionnée dans l’index de la boutique ; présence et intitulé à confirmer.</x:v>
      </x:c>
      <x:c r="G16" s="7" t="str">
        <x:v>Traduction ATB : Mêlée d’approche avec cible et chemin valides.</x:v>
      </x:c>
      <x:c r="H16" s="7" t="str">
        <x:v>Mêlée d’approche avec cible et chemin valides. Coût et durée à régler, sans reprise de valeurs officielles.</x:v>
      </x:c>
      <x:c r="I16" s="7" t="str">
        <x:v>Effet directionnel lisible devant les sprites.</x:v>
      </x:c>
      <x:c r="J16" s="7" t="str"/>
      <x:c r="K16" s="7" t="str"/>
      <x:c r="L16" s="7" t="str"/>
      <x:c r="M16" s="7" t="str">
        <x:v>Confirmer le nom, le déblocage et l’effet dans une version jouable ou une capture complète.</x:v>
      </x:c>
      <x:c r="N16" s="7" t="str">
        <x:v>L’interface expose les cibles immunisées avant dépense.</x:v>
      </x:c>
      <x:c r="O16" s="7" t="str"/>
      <x:c r="P16" s="7" t="str">
        <x:v>Index des capacités</x:v>
      </x:c>
      <x:c r="Q16" s="7" t="str">
        <x:v>INF-STORE</x:v>
      </x:c>
      <x:c r="R16" s="7" t="str">
        <x:v>https://masseffect.fandom.com/wiki/Store_(Mass_Effect:_Infiltrator)</x:v>
      </x:c>
      <x:c r="S16" s="7" t="str">
        <x:v>Source secondaire partielle. Les règles ATB proposées ne constituent pas une validation de la capacité originale.</x:v>
      </x:c>
    </x:row>
  </x:sheetData>
  <x:conditionalFormatting sqref="D7:D16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6">
    <x:cfRule type="cellIs" dxfId="66" priority="3" operator="equal">
      <x:formula>"Validé"</x:formula>
    </x:cfRule>
  </x:conditionalFormatting>
  <x:conditionalFormatting sqref="E7:E16">
    <x:cfRule type="cellIs" dxfId="67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cc30975a00414c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INF-MOV-BURST</x:v>
      </x:c>
      <x:c r="B7" s="9" t="str">
        <x:v>Rafale de couverture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Randall.</x:v>
      </x:c>
      <x:c r="G7" s="9" t="str">
        <x:v>Retarder une attaque ennemie déjà signalée.</x:v>
      </x:c>
      <x:c r="H7" s="9" t="str">
        <x:v>Retarder une attaque ennemie déjà signalée. Contrepartie : Ne repousse pas un boss lourd.</x:v>
      </x:c>
      <x:c r="I7" s="9" t="str">
        <x:v>Canon pointé et flash bref.</x:v>
      </x:c>
      <x:c r="J7" s="9" t="str">
        <x:v>Anticipation lisible, pose de libération, récupération. Canon pointé et flash bref.</x:v>
      </x:c>
      <x:c r="K7" s="9" t="str">
        <x:v>Signal d’activation distinct du signal de disponibilité. Sous-titre des alertes.</x:v>
      </x:c>
      <x:c r="L7" s="9" t="str">
        <x:v>Action de données inf_burst.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INF-MOV-LIFT</x:v>
      </x:c>
      <x:c r="B8" s="7" t="str">
        <x:v>Extraction biotique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Randall.</x:v>
      </x:c>
      <x:c r="G8" s="7" t="str">
        <x:v>Combiner sortie de couvert et tir de précision.</x:v>
      </x:c>
      <x:c r="H8" s="7" t="str">
        <x:v>Combiner sortie de couvert et tir de précision. Contrepartie : Cible lourde uniquement marquée, jamais projetée.</x:v>
      </x:c>
      <x:c r="I8" s="7" t="str">
        <x:v>Main tendue puis cible soulevée.</x:v>
      </x:c>
      <x:c r="J8" s="7" t="str">
        <x:v>Anticipation lisible, pose de libération, récupération. Main tendue puis cible soulevée.</x:v>
      </x:c>
      <x:c r="K8" s="7" t="str">
        <x:v>Signal d’activation distinct du signal de disponibilité. Sous-titre des alertes.</x:v>
      </x:c>
      <x:c r="L8" s="7" t="str">
        <x:v>Action de données inf_lift.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INF-MOV-ESCAPE</x:v>
      </x:c>
      <x:c r="B9" s="9" t="str">
        <x:v>Évasion sous camouflage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Prisonnier turien.</x:v>
      </x:c>
      <x:c r="G9" s="9" t="str">
        <x:v>Réduire les cibles hostiles pendant un changement de ligne.</x:v>
      </x:c>
      <x:c r="H9" s="9" t="str">
        <x:v>Réduire les cibles hostiles pendant un changement de ligne. Contrepartie : Aucun pouvoir biotique ajouté au prisonnier.</x:v>
      </x:c>
      <x:c r="I9" s="9" t="str">
        <x:v>Contour et déplacement rapide.</x:v>
      </x:c>
      <x:c r="J9" s="9" t="str">
        <x:v>Anticipation lisible, pose de libération, récupération. Contour et déplacement rapide.</x:v>
      </x:c>
      <x:c r="K9" s="9" t="str">
        <x:v>Signal d’activation distinct du signal de disponibilité. Sous-titre des alertes.</x:v>
      </x:c>
      <x:c r="L9" s="9" t="str">
        <x:v>Action de données inf_escape.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9">
    <x:cfRule type="cellIs" dxfId="70" priority="3" operator="equal">
      <x:formula>"Validé"</x:formula>
    </x:cfRule>
  </x:conditionalFormatting>
  <x:conditionalFormatting sqref="E7:E9">
    <x:cfRule type="cellIs" dxfId="7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bc7fc48a1e4edd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INF-EMV-TROOPER</x:v>
      </x:c>
      <x:c r="B7" s="9" t="str">
        <x:v>Soldat de Cerberus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Rafale puis changement de couvert.</x:v>
      </x:c>
      <x:c r="H7" s="9" t="str">
        <x:v>Priorité IA : cible valide, anticipation, résolution, temps de récupération. Interrompre le déplacement ou briser sa protection.</x:v>
      </x:c>
      <x:c r="I7" s="9" t="str">
        <x:v>Armure claire, visière sombre ; détails à comparer.</x:v>
      </x:c>
      <x:c r="J7" s="9" t="str">
        <x:v>Anticipation propre à Soldat de Cerberus,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INF-ENM-TROOPER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INF-EMV-MECH</x:v>
      </x:c>
      <x:c r="B8" s="7" t="str">
        <x:v>Mech de Cerberus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Verrouillage puis rafale lourde.</x:v>
      </x:c>
      <x:c r="H8" s="7" t="str">
        <x:v>Priorité IA : cible valide, anticipation, résolution, temps de récupération. Sortir du secteur marqué avant résolution.</x:v>
      </x:c>
      <x:c r="I8" s="7" t="str">
        <x:v>Châssis massif et articulation lumineuse proposée.</x:v>
      </x:c>
      <x:c r="J8" s="7" t="str">
        <x:v>Anticipation propre à Mech de Cerberus,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INF-ENM-MECH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INF-EMV-SUBJECT</x:v>
      </x:c>
      <x:c r="B9" s="9" t="str">
        <x:v>Sujet évadé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Charge au plus proche puis récupération longue.</x:v>
      </x:c>
      <x:c r="H9" s="9" t="str">
        <x:v>Priorité IA : cible valide, anticipation, résolution, temps de récupération. Garder un point de recul libre.</x:v>
      </x:c>
      <x:c r="I9" s="9" t="str">
        <x:v>Silhouette altérée et posture asymétrique.</x:v>
      </x:c>
      <x:c r="J9" s="9" t="str">
        <x:v>Anticipation propre à Sujet évadé,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INF-ENM-SUBJECT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INF-EMV-X1</x:v>
      </x:c>
      <x:c r="B10" s="7" t="str">
        <x:v>X1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Charge, frappe au sol puis vulnérabilité du dos.</x:v>
      </x:c>
      <x:c r="H10" s="7" t="str">
        <x:v>Priorité IA : cible valide, anticipation, résolution, temps de récupération. Casser la ligne de charge avec un pilier.</x:v>
      </x:c>
      <x:c r="I10" s="7" t="str">
        <x:v>Masse krogan augmentée, échelle renforcée.</x:v>
      </x:c>
      <x:c r="J10" s="7" t="str">
        <x:v>Anticipation propre à X1,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INF-ENM-X1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INF-EMV-INALI</x:v>
      </x:c>
      <x:c r="B11" s="9" t="str">
        <x:v>Inali augmentée : boucle de combat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IA et télégraphes originaux.</x:v>
      </x:c>
      <x:c r="G11" s="9" t="str">
        <x:v>Phases protection, armure, contrôle du Directeur.</x:v>
      </x:c>
      <x:c r="H11" s="9" t="str">
        <x:v>Priorité IA : cible valide, anticipation, résolution, temps de récupération. Détruire la protection sans perdre la lecture du choix final.</x:v>
      </x:c>
      <x:c r="I11" s="9" t="str">
        <x:v>Silhouette transformée à relever sur référence.</x:v>
      </x:c>
      <x:c r="J11" s="9" t="str">
        <x:v>Anticipation propre à Inali augmentée, attaque et état de rupture distincts.</x:v>
      </x:c>
      <x:c r="K11" s="9" t="str">
        <x:v>Avertissement sonore doublé par forme et texte, sans dépendance exclusive à la couleur.</x:v>
      </x:c>
      <x:c r="L11" s="9" t="str"/>
      <x:c r="M11" s="9" t="str"/>
      <x:c r="N11" s="9" t="str">
        <x:v>Une action interrompue ne s’exécute pas après la mort. Le télégraphe précède toujours les dégâts.</x:v>
      </x:c>
      <x:c r="O11" s="9" t="str">
        <x:v>INF-ENM-INALI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INF-EMV-OGRE</x:v>
      </x:c>
      <x:c r="B12" s="7" t="str">
        <x:v>Ogre Mech : boucle de combat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IA et télégraphes originaux.</x:v>
      </x:c>
      <x:c r="G12" s="7" t="str">
        <x:v>Bombardement central et appel de renforts.</x:v>
      </x:c>
      <x:c r="H12" s="7" t="str">
        <x:v>Priorité IA : cible valide, anticipation, résolution, temps de récupération. Prioriser les unités de soutien pendant la récupération.</x:v>
      </x:c>
      <x:c r="I12" s="7" t="str">
        <x:v>Structure lourde et canon distinct.</x:v>
      </x:c>
      <x:c r="J12" s="7" t="str">
        <x:v>Anticipation propre à Ogre Mech, attaque et état de rupture distincts.</x:v>
      </x:c>
      <x:c r="K12" s="7" t="str">
        <x:v>Avertissement sonore doublé par forme et texte, sans dépendance exclusive à la couleur.</x:v>
      </x:c>
      <x:c r="L12" s="7" t="str"/>
      <x:c r="M12" s="7" t="str"/>
      <x:c r="N12" s="7" t="str">
        <x:v>Une action interrompue ne s’exécute pas après la mort. Le télégraphe précède toujours les dégâts.</x:v>
      </x:c>
      <x:c r="O12" s="7" t="str">
        <x:v>INF-ENM-OGRE</x:v>
      </x:c>
      <x:c r="P12" s="7" t="str">
        <x:v>Conception du fan game</x:v>
      </x:c>
      <x:c r="Q12" s="7" t="str"/>
      <x:c r="R12" s="7" t="str"/>
      <x:c r="S12" s="7" t="str"/>
    </x:row>
    <x:row r="13" ht="44" customHeight="1">
      <x:c r="A13" s="18" t="str">
        <x:v>INF-EMV-ORCUS</x:v>
      </x:c>
      <x:c r="B13" s="9" t="str">
        <x:v>Orcus Mech : boucle de combat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IA et télégraphes originaux.</x:v>
      </x:c>
      <x:c r="G13" s="9" t="str">
        <x:v>Pression à distance en groupe.</x:v>
      </x:c>
      <x:c r="H13" s="9" t="str">
        <x:v>Priorité IA : cible valide, anticipation, résolution, temps de récupération. Réserver un espace de repli.</x:v>
      </x:c>
      <x:c r="I13" s="9" t="str">
        <x:v>Petite silhouette mécanique répétable.</x:v>
      </x:c>
      <x:c r="J13" s="9" t="str">
        <x:v>Anticipation propre à Orcus Mech, attaque et état de rupture distincts.</x:v>
      </x:c>
      <x:c r="K13" s="9" t="str">
        <x:v>Avertissement sonore doublé par forme et texte, sans dépendance exclusive à la couleur.</x:v>
      </x:c>
      <x:c r="L13" s="9" t="str"/>
      <x:c r="M13" s="9" t="str"/>
      <x:c r="N13" s="9" t="str">
        <x:v>Une action interrompue ne s’exécute pas après la mort. Le télégraphe précède toujours les dégâts.</x:v>
      </x:c>
      <x:c r="O13" s="9" t="str">
        <x:v>INF-ENM-ORCUS</x:v>
      </x:c>
      <x:c r="P13" s="9" t="str">
        <x:v>Conception du fan game</x:v>
      </x:c>
      <x:c r="Q13" s="9" t="str"/>
      <x:c r="R13" s="9" t="str"/>
      <x:c r="S13" s="9" t="str"/>
    </x:row>
  </x:sheetData>
  <x:conditionalFormatting sqref="D7:D13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3">
    <x:cfRule type="cellIs" dxfId="74" priority="3" operator="equal">
      <x:formula>"Validé"</x:formula>
    </x:cfRule>
  </x:conditionalFormatting>
  <x:conditionalFormatting sqref="E7:E13">
    <x:cfRule type="cellIs" dxfId="7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9eaf8b931d4fb0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INF-ANM-SLIDE</x:v>
      </x:c>
      <x:c r="B7" s="9" t="str">
        <x:v>Glissade vers couvert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Animation proposée.</x:v>
      </x:c>
      <x:c r="G7" s="9" t="str">
        <x:v>Déplacer le pivot sans changer la hauteur des pieds après récupération.</x:v>
      </x:c>
      <x:c r="H7" s="9" t="str">
        <x:v>Réglage proposé : anticipation 2 poses, translation 4, redressement 3.</x:v>
      </x:c>
      <x:c r="I7" s="9" t="str">
        <x:v>Silhouette basse, arme protégée.</x:v>
      </x:c>
      <x:c r="J7" s="9" t="str"/>
      <x:c r="K7" s="9" t="str"/>
      <x:c r="L7" s="9" t="str"/>
      <x:c r="M7" s="9" t="str"/>
      <x:c r="N7" s="9" t="str">
        <x:v>La hitbox suit l’action et ne reste pas basse après celle-ci.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INF-ANM-X1</x:v>
      </x:c>
      <x:c r="B8" s="7" t="str">
        <x:v>Charge de X1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Animation de boss proposée.</x:v>
      </x:c>
      <x:c r="G8" s="7" t="str">
        <x:v>Lever d’épaule, départ, impact ou arrêt, reprise.</x:v>
      </x:c>
      <x:c r="H8" s="7" t="str">
        <x:v>L’impact est attaché à un événement unique.</x:v>
      </x:c>
      <x:c r="I8" s="7" t="str">
        <x:v>Volume de silhouette constant durant les rotations.</x:v>
      </x:c>
      <x:c r="J8" s="7" t="str"/>
      <x:c r="K8" s="7" t="str"/>
      <x:c r="L8" s="7" t="str"/>
      <x:c r="M8" s="7" t="str"/>
      <x:c r="N8" s="7" t="str">
        <x:v>Une charge interrompue ne déclenche pas l’onde d’impact.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5001df70004548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INF-SPR-RANDALL</x:v>
      </x:c>
      <x:c r="B7" s="9" t="str">
        <x:v>Sprite et portrait de Randall Ezno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Randall Ezno.</x:v>
      </x:c>
      <x:c r="H7" s="9" t="str">
        <x:v>Réglage proposé : 8 directions, 6 poses de marche par direction, pivot aux pieds.</x:v>
      </x:c>
      <x:c r="I7" s="9" t="str">
        <x:v>Proposition : armure segmentée gris clair, marquages Cerberus à contrôler, implants visibles au portrait.</x:v>
      </x:c>
      <x:c r="J7" s="9" t="str">
        <x:v>Course basse, tir à deux mains, glissade et déstabilisation des implants.</x:v>
      </x:c>
      <x:c r="K7" s="9" t="str"/>
      <x:c r="L7" s="9" t="str">
        <x:v>Asset prévu : inf/sprites/randall.png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INF-CHR-RANDALL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INF-SPR-TURIAN</x:v>
      </x:c>
      <x:c r="B8" s="7" t="str">
        <x:v>Sprite et portrait de Prisonnier turien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Prisonnier turien.</x:v>
      </x:c>
      <x:c r="H8" s="7" t="str">
        <x:v>Réglage proposé : 8 directions, 6 poses de marche par direction, pivot aux pieds.</x:v>
      </x:c>
      <x:c r="I8" s="7" t="str">
        <x:v>Crête turienne, jambes digitigrades, tenue de sujet d’expérience à relever.</x:v>
      </x:c>
      <x:c r="J8" s="7" t="str">
        <x:v>Locomotion distincte de Randall, gestes douloureux et tir sous pression.</x:v>
      </x:c>
      <x:c r="K8" s="7" t="str"/>
      <x:c r="L8" s="7" t="str">
        <x:v>Asset prévu : inf/sprites/turian.png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INF-CHR-TURIAN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INF-ASSET-NPC-INALI</x:v>
      </x:c>
      <x:c r="B9" s="9" t="str">
        <x:v>Portraits : Inali Renata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Inali Renata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Uniforme et prothèses à relever dans les cinématiques.</x:v>
      </x:c>
      <x:c r="J9" s="9" t="str">
        <x:v>Transitions discrètes entre expressions ; pas de déplacement du cadre.</x:v>
      </x:c>
      <x:c r="K9" s="9" t="str"/>
      <x:c r="L9" s="9" t="str">
        <x:v>Livrable prévu : atlas inf_npc-inali,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Inali Renata reste identifiable à petite taille et les expressions ne modifient pas les traits.</x:v>
      </x:c>
      <x:c r="O9" s="9" t="str">
        <x:v>INF-NPC-INALI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INF-ASSET-NPC-DIRECTOR</x:v>
      </x:c>
      <x:c r="B10" s="7" t="str">
        <x:v>Portraits : Le Directeur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Le Directeur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Écrans et cadrage froid proposés.</x:v>
      </x:c>
      <x:c r="J10" s="7" t="str">
        <x:v>Transitions discrètes entre expressions ; pas de déplacement du cadre.</x:v>
      </x:c>
      <x:c r="K10" s="7" t="str"/>
      <x:c r="L10" s="7" t="str">
        <x:v>Livrable prévu : atlas inf_npc-director,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Le Directeur reste identifiable à petite taille et les expressions ne modifient pas les traits.</x:v>
      </x:c>
      <x:c r="O10" s="7" t="str">
        <x:v>INF-NPC-DIRECTOR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INF-ASSET-NPC-VOLUS</x:v>
      </x:c>
      <x:c r="B11" s="9" t="str">
        <x:v>Portraits : Allié volus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Allié volus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Combinaison pressurisée, portrait masqué.</x:v>
      </x:c>
      <x:c r="J11" s="9" t="str">
        <x:v>Transitions discrètes entre expressions ; pas de déplacement du cadre.</x:v>
      </x:c>
      <x:c r="K11" s="9" t="str"/>
      <x:c r="L11" s="9" t="str">
        <x:v>Livrable prévu : atlas inf_npc-volus,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Allié volus reste identifiable à petite taille et les expressions ne modifient pas les traits.</x:v>
      </x:c>
      <x:c r="O11" s="9" t="str">
        <x:v>INF-NPC-VOLUS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68" customHeight="1">
      <x:c r="A12" s="19" t="str">
        <x:v>INF-ASSET-ENM-TROOPER</x:v>
      </x:c>
      <x:c r="B12" s="7" t="str">
        <x:v>Atlas de combat : Soldat de Cerberus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Construire les poses de Soldat de Cerberus nécessaires à sa boucle de combat.</x:v>
      </x:c>
      <x:c r="H12" s="7" t="str">
        <x:v>Proposition : attente, anticipation, attaque, impact, rupture et sortie. La boucle à rendre lisible est : Proposition : Rafale puis changement de couvert. Réponse : Interrompre le déplacement ou briser sa protection.</x:v>
      </x:c>
      <x:c r="I12" s="7" t="str">
        <x:v>Armure claire, visière sombre ; détails à comparer.</x:v>
      </x:c>
      <x:c r="J12" s="7" t="str">
        <x:v>Huit directions pour les unités mobiles ; vue fixe possible pour un boss ancré. Événements d’impact séparés des poses.</x:v>
      </x:c>
      <x:c r="K12" s="7" t="str"/>
      <x:c r="L12" s="7" t="str">
        <x:v>Livrable prévu : atlas inf_enm-trooper,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télégraphe de Soldat de Cerberus reste identifiable en silhouette ; aucune pose ne change le pivot aux pieds.</x:v>
      </x:c>
      <x:c r="O12" s="7" t="str">
        <x:v>INF-ENM-TROOPER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68" customHeight="1">
      <x:c r="A13" s="18" t="str">
        <x:v>INF-ASSET-ENM-MECH</x:v>
      </x:c>
      <x:c r="B13" s="9" t="str">
        <x:v>Atlas de combat : Mech de Cerberus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Construire les poses de Mech de Cerberus nécessaires à sa boucle de combat.</x:v>
      </x:c>
      <x:c r="H13" s="9" t="str">
        <x:v>Proposition : attente, anticipation, attaque, impact, rupture et sortie. La boucle à rendre lisible est : Proposition : Verrouillage puis rafale lourde. Réponse : Sortir du secteur marqué avant résolution.</x:v>
      </x:c>
      <x:c r="I13" s="9" t="str">
        <x:v>Châssis massif et articulation lumineuse proposée.</x:v>
      </x:c>
      <x:c r="J13" s="9" t="str">
        <x:v>Huit directions pour les unités mobiles ; vue fixe possible pour un boss ancré. Événements d’impact séparés des poses.</x:v>
      </x:c>
      <x:c r="K13" s="9" t="str"/>
      <x:c r="L13" s="9" t="str">
        <x:v>Livrable prévu : atlas inf_enm-mech,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télégraphe de Mech de Cerberus reste identifiable en silhouette ; aucune pose ne change le pivot aux pieds.</x:v>
      </x:c>
      <x:c r="O13" s="9" t="str">
        <x:v>INF-ENM-MECH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68" customHeight="1">
      <x:c r="A14" s="19" t="str">
        <x:v>INF-ASSET-ENM-SUBJECT</x:v>
      </x:c>
      <x:c r="B14" s="7" t="str">
        <x:v>Atlas de combat : Sujet évadé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Construire les poses de Sujet évadé nécessaires à sa boucle de combat.</x:v>
      </x:c>
      <x:c r="H14" s="7" t="str">
        <x:v>Proposition : attente, anticipation, attaque, impact, rupture et sortie. La boucle à rendre lisible est : Proposition : Charge au plus proche puis récupération longue. Réponse : Garder un point de recul libre.</x:v>
      </x:c>
      <x:c r="I14" s="7" t="str">
        <x:v>Silhouette altérée et posture asymétrique.</x:v>
      </x:c>
      <x:c r="J14" s="7" t="str">
        <x:v>Huit directions pour les unités mobiles ; vue fixe possible pour un boss ancré. Événements d’impact séparés des poses.</x:v>
      </x:c>
      <x:c r="K14" s="7" t="str"/>
      <x:c r="L14" s="7" t="str">
        <x:v>Livrable prévu : atlas inf_enm-subject,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télégraphe de Sujet évadé reste identifiable en silhouette ; aucune pose ne change le pivot aux pieds.</x:v>
      </x:c>
      <x:c r="O14" s="7" t="str">
        <x:v>INF-ENM-SUBJECT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INF-ASSET-ENM-X1</x:v>
      </x:c>
      <x:c r="B15" s="9" t="str">
        <x:v>Atlas de combat : X1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X1 nécessaires à sa boucle de combat.</x:v>
      </x:c>
      <x:c r="H15" s="9" t="str">
        <x:v>Proposition : attente, anticipation, attaque, impact, rupture et sortie. La boucle à rendre lisible est : Proposition : Charge, frappe au sol puis vulnérabilité du dos. Réponse : Casser la ligne de charge avec un pilier.</x:v>
      </x:c>
      <x:c r="I15" s="9" t="str">
        <x:v>Masse krogan augmentée, échelle renforcée.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inf_enm-x1,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X1 reste identifiable en silhouette ; aucune pose ne change le pivot aux pieds.</x:v>
      </x:c>
      <x:c r="O15" s="9" t="str">
        <x:v>INF-ENM-X1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INF-ASSET-ENM-INALI</x:v>
      </x:c>
      <x:c r="B16" s="7" t="str">
        <x:v>Atlas de combat : Inali augmentée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Inali augmentée nécessaires à sa boucle de combat.</x:v>
      </x:c>
      <x:c r="H16" s="7" t="str">
        <x:v>Proposition : attente, anticipation, attaque, impact, rupture et sortie. La boucle à rendre lisible est : Proposition : Phases protection, armure, contrôle du Directeur. Réponse : Détruire la protection sans perdre la lecture du choix final.</x:v>
      </x:c>
      <x:c r="I16" s="7" t="str">
        <x:v>Silhouette transformée à relever sur référence.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inf_enm-inali,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Inali augmentée reste identifiable en silhouette ; aucune pose ne change le pivot aux pieds.</x:v>
      </x:c>
      <x:c r="O16" s="7" t="str">
        <x:v>INF-ENM-INALI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82" customHeight="1">
      <x:c r="A17" s="18" t="str">
        <x:v>INF-ASSET-ENM-OGRE</x:v>
      </x:c>
      <x:c r="B17" s="9" t="str">
        <x:v>Atlas de combat : Ogre Mech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Ogre Mech nécessaires à sa boucle de combat.</x:v>
      </x:c>
      <x:c r="H17" s="9" t="str">
        <x:v>Proposition : attente, anticipation, attaque, impact, rupture et sortie. La boucle à rendre lisible est : Proposition : Bombardement central et appel de renforts. Réponse : Prioriser les unités de soutien pendant la récupération.</x:v>
      </x:c>
      <x:c r="I17" s="9" t="str">
        <x:v>Structure lourde et canon distinct.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inf_enm-ogre,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Ogre Mech reste identifiable en silhouette ; aucune pose ne change le pivot aux pieds.</x:v>
      </x:c>
      <x:c r="O17" s="9" t="str">
        <x:v>INF-ENM-OGRE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68" customHeight="1">
      <x:c r="A18" s="19" t="str">
        <x:v>INF-ASSET-ENM-ORCUS</x:v>
      </x:c>
      <x:c r="B18" s="7" t="str">
        <x:v>Atlas de combat : Orcus Mech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Orcus Mech nécessaires à sa boucle de combat.</x:v>
      </x:c>
      <x:c r="H18" s="7" t="str">
        <x:v>Proposition : attente, anticipation, attaque, impact, rupture et sortie. La boucle à rendre lisible est : Proposition : Pression à distance en groupe. Réponse : Réserver un espace de repli.</x:v>
      </x:c>
      <x:c r="I18" s="7" t="str">
        <x:v>Petite silhouette mécanique répétable.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inf_enm-orcus,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Orcus Mech reste identifiable en silhouette ; aucune pose ne change le pivot aux pieds.</x:v>
      </x:c>
      <x:c r="O18" s="7" t="str">
        <x:v>INF-ENM-ORCUS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e10a03f5c34a79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INF-VFX-CLOAK</x:v>
      </x:c>
      <x:c r="B7" s="9" t="str">
        <x:v>Camouflage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proposé.</x:v>
      </x:c>
      <x:c r="G7" s="9" t="str">
        <x:v>Dissoudre progressivement la couleur du sprite en gardant un liseré optionnel.</x:v>
      </x:c>
      <x:c r="H7" s="9" t="str">
        <x:v>Ne pas retirer l’indicateur de sélection.</x:v>
      </x:c>
      <x:c r="I7" s="9" t="str">
        <x:v>Réfraction faible, pas de flash blanc.</x:v>
      </x:c>
      <x:c r="J7" s="9" t="str"/>
      <x:c r="K7" s="9" t="str"/>
      <x:c r="L7" s="9" t="str"/>
      <x:c r="M7" s="9" t="str"/>
      <x:c r="N7" s="9" t="str">
        <x:v>Randall reste localisable sur fond clair.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INF-VFX-BIOTIC</x:v>
      </x:c>
      <x:c r="B8" s="7" t="str">
        <x:v>Biotique de laboratoire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proposé.</x:v>
      </x:c>
      <x:c r="G8" s="7" t="str">
        <x:v>Rubans bleu-violet devant et derrière la cible.</x:v>
      </x:c>
      <x:c r="H8" s="7" t="str">
        <x:v>Z-order et fin liés à l’état de la cible.</x:v>
      </x:c>
      <x:c r="I8" s="7" t="str">
        <x:v>Émission limitée sur verre blanc.</x:v>
      </x:c>
      <x:c r="J8" s="7" t="str"/>
      <x:c r="K8" s="7" t="str"/>
      <x:c r="L8" s="7" t="str"/>
      <x:c r="M8" s="7" t="str"/>
      <x:c r="N8" s="7" t="str">
        <x:v>L’effet disparaît à l’interruption et au chargement.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cc555dd5424537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INF-AUD-BARN</x:v>
      </x:c>
      <x:c r="B7" s="9" t="str">
        <x:v>Ambiance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originale.</x:v>
      </x:c>
      <x:c r="G7" s="9" t="str">
        <x:v>Ventilation, bips médicaux et alarmes selon les secteurs.</x:v>
      </x:c>
      <x:c r="H7" s="9" t="str">
        <x:v>Les alarmes baissent pendant les communications.</x:v>
      </x:c>
      <x:c r="I7" s="9" t="str">
        <x:v>Repère visuel des alarmes dans le HUD.</x:v>
      </x:c>
      <x:c r="J7" s="9" t="str"/>
      <x:c r="K7" s="9" t="str"/>
      <x:c r="L7" s="9" t="str"/>
      <x:c r="M7" s="9" t="str"/>
      <x:c r="N7" s="9" t="str">
        <x:v>Aucun pic sonore ne masque une instruction.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INF-AUD-CHASE</x:v>
      </x:c>
      <x:c r="B8" s="7" t="str">
        <x:v>Musique de fuite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Composition originale proposée.</x:v>
      </x:c>
      <x:c r="G8" s="7" t="str">
        <x:v>Pulsation synthétique avec couches selon intensité et présence du boss.</x:v>
      </x:c>
      <x:c r="H8" s="7" t="str">
        <x:v>Transitions sur mesures, pas de redémarrage après chaque ennemi.</x:v>
      </x:c>
      <x:c r="I8" s="7" t="str"/>
      <x:c r="J8" s="7" t="str"/>
      <x:c r="K8" s="7" t="str"/>
      <x:c r="L8" s="7" t="str"/>
      <x:c r="M8" s="7" t="str"/>
      <x:c r="N8" s="7" t="str">
        <x:v>Le niveau sonore demeure stable entre exploration et combat.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8">
    <x:cfRule type="cellIs" dxfId="90" priority="3" operator="equal">
      <x:formula>"Validé"</x:formula>
    </x:cfRule>
  </x:conditionalFormatting>
  <x:conditionalFormatting sqref="E7:E8">
    <x:cfRule type="cellIs" dxfId="9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9efca4be6c43e1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checkpoints, rangs, achats, preuves et décisions de Randall. Séparer la sauvegarde du prisonnier turien.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Infiltrator.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INF-SYS-SOURCES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0bc47e84794ab8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Infiltrator.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checkpoints, rangs, achats, preuves et décisions de Randall. Séparer la sauvegarde du prisonnier turien.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Infiltrator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Aucun service Galaxy at War historique n’est requis. Les données exportées restent locales ; aucun lien fonctionnel avec un compte EA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6e31c3a87a42a6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checkpoints, rangs, achats, preuves et décisions de Randall. Séparer la sauvegarde du prisonnier turien.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Aucun service Galaxy at War historique n’est requis. Les données exportées restent locales ; aucun lien fonctionnel avec un compte EA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e023090a334370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Infiltrator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Infiltrator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Campagne de Randall, mission bonus turienne et systèmes adaptés.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109 fiches de production ; 2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54" customHeight="1">
      <x:c r="A11" s="7" t="str">
        <x:v>Références et limites</x:v>
      </x:c>
      <x:c r="B11" s="7" t="str">
        <x:v>Les faits de base sont référencés. Plans, statistiques, bruitages et animations proposés ne constituent pas un relevé 1:1.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INF-OFFICIAL</x:v>
      </x:c>
      <x:c r="B27" s="6" t="str">
        <x:v>Koolhaus Games : Mass Effect Infiltrator</x:v>
      </x:c>
      <x:c r="C27" s="6" t="str">
        <x:v>Source développeur</x:v>
      </x:c>
      <x:c r="D27" s="6" t="str">
        <x:v>https://koolhausgames.com/portfolio/mass-effect-3/</x:v>
      </x:c>
      <x:c r="E27" s="6" t="str">
        <x:v>Prémisse, combat, bonus turien et ancienne liaison Galaxy at War.</x:v>
      </x:c>
      <x:c r="F27" s="6" t="str">
        <x:v>Consulté le 22/10/2026.</x:v>
      </x:c>
    </x:row>
    <x:row r="28" ht="42" customHeight="1">
      <x:c r="A28" s="6" t="str">
        <x:v>INF-WIKI</x:v>
      </x:c>
      <x:c r="B28" s="6" t="str">
        <x:v>Mass Effect Wiki : Infiltrator</x:v>
      </x:c>
      <x:c r="C28" s="6" t="str">
        <x:v>Wiki</x:v>
      </x:c>
      <x:c r="D28" s="6" t="str">
        <x:v>https://masseffect.fandom.com/wiki/Mass_Effect:_Infiltrator</x:v>
      </x:c>
      <x:c r="E28" s="6" t="str">
        <x:v>Personnages, lieux et déroulement général.</x:v>
      </x:c>
      <x:c r="F28" s="6" t="str">
        <x:v>Consulté le 22/10/2026.</x:v>
      </x:c>
    </x:row>
    <x:row r="29" ht="42" customHeight="1">
      <x:c r="A29" s="6" t="str">
        <x:v>INF-GUIDE</x:v>
      </x:c>
      <x:c r="B29" s="6" t="str">
        <x:v>Guide Infiltrator</x:v>
      </x:c>
      <x:c r="C29" s="6" t="str">
        <x:v>Wiki</x:v>
      </x:c>
      <x:c r="D29" s="6" t="str">
        <x:v>https://masseffect.fandom.com/wiki/Mass_Effect:_Infiltrator_Guide</x:v>
      </x:c>
      <x:c r="E29" s="6" t="str">
        <x:v>Neuf missions principales, checkpoints et Incarceration.</x:v>
      </x:c>
      <x:c r="F29" s="6" t="str">
        <x:v>Consulté le 22/10/2026.</x:v>
      </x:c>
    </x:row>
    <x:row r="30" ht="42" customHeight="1">
      <x:c r="A30" s="6" t="str">
        <x:v>INF-ABIL</x:v>
      </x:c>
      <x:c r="B30" s="6" t="str">
        <x:v>Capacités Infiltrator</x:v>
      </x:c>
      <x:c r="C30" s="6" t="str">
        <x:v>Wiki indexé</x:v>
      </x:c>
      <x:c r="D30" s="6" t="str">
        <x:v>https://masseffect.fandom.com/wiki/Abilities_(Mass_Effect:_Infiltrator)</x:v>
      </x:c>
      <x:c r="E30" s="6" t="str">
        <x:v>Noms des pouvoirs et principales fonctions.</x:v>
      </x:c>
      <x:c r="F30" s="6" t="str">
        <x:v>Ouverture directe refusée ; extraits indexés consultés. Chiffres source non repris.</x:v>
      </x:c>
    </x:row>
    <x:row r="31" ht="42" customHeight="1">
      <x:c r="A31" s="6" t="str">
        <x:v>INF-EQUIP</x:v>
      </x:c>
      <x:c r="B31" s="6" t="str">
        <x:v>Équipement Infiltrator</x:v>
      </x:c>
      <x:c r="C31" s="6" t="str">
        <x:v>Wiki indexé</x:v>
      </x:c>
      <x:c r="D31" s="6" t="str">
        <x:v>https://masseffect.fandom.com/wiki/Equipment_(Mass_Effect:_Infiltrator)</x:v>
      </x:c>
      <x:c r="E31" s="6" t="str">
        <x:v>Quatre armes de Randall et équipement.</x:v>
      </x:c>
      <x:c r="F31" s="6" t="str">
        <x:v>Ouverture directe refusée ; résultats indexés consultés.</x:v>
      </x:c>
    </x:row>
    <x:row r="32" ht="42" customHeight="1">
      <x:c r="A32" s="6" t="str">
        <x:v>INF-STORE</x:v>
      </x:c>
      <x:c r="B32" s="6" t="str">
        <x:v>Boutique Infiltrator</x:v>
      </x:c>
      <x:c r="C32" s="6" t="str">
        <x:v>Wiki indexé</x:v>
      </x:c>
      <x:c r="D32" s="6" t="str">
        <x:v>https://masseffect.fandom.com/wiki/Store_(Mass_Effect:_Infiltrator)</x:v>
      </x:c>
      <x:c r="E32" s="6" t="str">
        <x:v>Listes armes, biotiques, capacités, mêlée.</x:v>
      </x:c>
      <x:c r="F32" s="6" t="str">
        <x:v>Résultats indexés consultés. Fiche à confirmer dans une capture du jeu.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68" customHeight="1">
      <x:c r="A37" s="6" t="str">
        <x:v>Campagne</x:v>
      </x:c>
      <x:c r="B37" s="6" t="str">
        <x:v>Les neuf missions principales et le bonus Incarceration sont répertoriés, avec leurs nombres de checkpoints issus du guide.</x:v>
      </x:c>
      <x:c r="C37" s="6" t="str">
        <x:v>Positions exactes des objets, tous les segments visuels, répliques et variantes à relever dans une version exécutable ou une capture complète.</x:v>
      </x:c>
      <x:c r="D37" s="2"/>
      <x:c r="E37" s="2"/>
      <x:c r="F37" s="2"/>
    </x:row>
    <x:row r="38" ht="54" customHeight="1">
      <x:c r="A38" s="6" t="str">
        <x:v>Personnages et combat</x:v>
      </x:c>
      <x:c r="B38" s="6" t="str">
        <x:v>Identités principales, adversaires, armes, pouvoirs, actions ATB et planches graphiques à produire.</x:v>
      </x:c>
      <x:c r="C38" s="6" t="str">
        <x:v>Statistiques originales non relevées. Les paramètres proposés nécessitent un prototype et ne sont pas une équivalence 1:1.</x:v>
      </x:c>
      <x:c r="D38" s="2"/>
      <x:c r="E38" s="2"/>
      <x:c r="F38" s="2"/>
    </x:row>
    <x:row r="39" ht="68" customHeight="1">
      <x:c r="A39" s="6" t="str">
        <x:v>Décors et cartes</x:v>
      </x:c>
      <x:c r="B39" s="6" t="str">
        <x:v>Destinations, plans de travail, liaisons, accessoires et règles d’occlusion 2D/3D.</x:v>
      </x:c>
      <x:c r="C39" s="6" t="str">
        <x:v>Les plans sont des conceptions originales ; dimensions, colliders et positions doivent être comparés au jeu source avant toute revendication de fidélité.</x:v>
      </x:c>
      <x:c r="D39" s="2"/>
      <x:c r="E39" s="2"/>
      <x:c r="F39" s="2"/>
    </x:row>
    <x:row r="40" ht="68" customHeight="1">
      <x:c r="A40" s="6" t="str">
        <x:v>Production et contrôles</x:v>
      </x:c>
      <x:c r="B40" s="6" t="str">
        <x:v>Animation, VFX, audio original, sauvegarde, UI, critères de recette et limites de continuité.</x:v>
      </x:c>
      <x:c r="C40" s="6" t="str">
        <x:v>Aucun asset ni niveau de ce module n’est réalisé par la rédaction du classeur. Les critères QA décrivent des tests futurs du jeu.</x:v>
      </x:c>
      <x:c r="D40" s="2"/>
      <x:c r="E40" s="2"/>
      <x:c r="F40" s="2"/>
    </x:row>
    <x:row r="41" ht="96" customHeight="1">
      <x:c r="A41" s="6" t="str">
        <x:v>Prototype Chroniques indépendant</x:v>
      </x:c>
      <x:c r="B41" s="6" t="str">
        <x:v>2 personnages sélectionnables, 0 équipements utilisables sous restrictions d’œuvre, segment, scène et porteur ; preuves dans implementationPaths et evidence des seules lignes Prototype.</x:v>
      </x:c>
      <x:c r="C41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1" s="2"/>
      <x:c r="E41" s="2"/>
      <x:c r="F41" s="2"/>
    </x:row>
    <x:row r="42" ht="110" customHeight="1">
      <x:c r="A42" s="6" t="str">
        <x:v>Complément spécialistes contextualisés</x:v>
      </x:c>
      <x:c r="B42" s="6" t="str">
        <x:v>1 profils supplémentaires limités aux bancs de spécialistes, 0 profils d’armes spéciales et 0 fiches de pouvoirs supplémentaires effectivement exposées. Vérification fonctionnelle liée au rapport docs/qa/chronicle-specialists-browser-report.json.</x:v>
      </x:c>
      <x:c r="C42" s="6" t="str">
        <x:v>Bancs ATB sur mannequins originaux, conditions préparées et dotations abstraites ; aucune reconstruction des missions, acquisition de campagne, illustration, animation, doublage ni valeur originale certifiée. Les sources secondaires et incertitudes restent explicites.</x:v>
      </x:c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</x:sheetData>
  <x:pageMargins left="0.7" right="0.7" top="0.75" bottom="0.75" header="0.3" footer="0.3"/>
</x:worksheet>
</file>