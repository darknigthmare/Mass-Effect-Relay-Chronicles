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932ce8615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df3329a48fb41e8"/>
    <x:sheet xmlns:r="http://schemas.openxmlformats.org/officeDocument/2006/relationships" name="Personnages" sheetId="2" r:id="Rbd65110c60b04d06"/>
    <x:sheet xmlns:r="http://schemas.openxmlformats.org/officeDocument/2006/relationships" name="PNJ" sheetId="3" r:id="Rab0cfdfd25d345a8"/>
    <x:sheet xmlns:r="http://schemas.openxmlformats.org/officeDocument/2006/relationships" name="Especes_factions" sheetId="4" r:id="R9547bb35746d44e7"/>
    <x:sheet xmlns:r="http://schemas.openxmlformats.org/officeDocument/2006/relationships" name="Mondes" sheetId="5" r:id="Rab5a56bb9ee84563"/>
    <x:sheet xmlns:r="http://schemas.openxmlformats.org/officeDocument/2006/relationships" name="Zones" sheetId="6" r:id="R15cbc64923664d98"/>
    <x:sheet xmlns:r="http://schemas.openxmlformats.org/officeDocument/2006/relationships" name="Liaisons" sheetId="7" r:id="R3ba738d6a1f14321"/>
    <x:sheet xmlns:r="http://schemas.openxmlformats.org/officeDocument/2006/relationships" name="Decors" sheetId="8" r:id="R080a2a91073f4563"/>
    <x:sheet xmlns:r="http://schemas.openxmlformats.org/officeDocument/2006/relationships" name="Props" sheetId="9" r:id="R1a2b1997f7764b77"/>
    <x:sheet xmlns:r="http://schemas.openxmlformats.org/officeDocument/2006/relationships" name="Ennemis_boss" sheetId="10" r:id="R53f4d69235f4489a"/>
    <x:sheet xmlns:r="http://schemas.openxmlformats.org/officeDocument/2006/relationships" name="Missions" sheetId="11" r:id="R6bf6603bae004d1b"/>
    <x:sheet xmlns:r="http://schemas.openxmlformats.org/officeDocument/2006/relationships" name="Secondaires_DLC" sheetId="12" r:id="Re3bcd6f306934304"/>
    <x:sheet xmlns:r="http://schemas.openxmlformats.org/officeDocument/2006/relationships" name="Choix_relations" sheetId="13" r:id="R80be1519d77740a5"/>
    <x:sheet xmlns:r="http://schemas.openxmlformats.org/officeDocument/2006/relationships" name="Dialogues" sheetId="14" r:id="R320423c843a8415a"/>
    <x:sheet xmlns:r="http://schemas.openxmlformats.org/officeDocument/2006/relationships" name="Cinematiques" sheetId="15" r:id="R66cfe7c106ea4834"/>
    <x:sheet xmlns:r="http://schemas.openxmlformats.org/officeDocument/2006/relationships" name="Armes" sheetId="16" r:id="R43bc9be0fcfc4203"/>
    <x:sheet xmlns:r="http://schemas.openxmlformats.org/officeDocument/2006/relationships" name="Armures_equipement" sheetId="17" r:id="R18b0b41fc23846b7"/>
    <x:sheet xmlns:r="http://schemas.openxmlformats.org/officeDocument/2006/relationships" name="Pouvoirs" sheetId="18" r:id="R7a60d358414f4a7f"/>
    <x:sheet xmlns:r="http://schemas.openxmlformats.org/officeDocument/2006/relationships" name="Movesets_allies" sheetId="19" r:id="R0df0633580b7483c"/>
    <x:sheet xmlns:r="http://schemas.openxmlformats.org/officeDocument/2006/relationships" name="Movesets_ennemis" sheetId="20" r:id="R3e4f0101e2464844"/>
    <x:sheet xmlns:r="http://schemas.openxmlformats.org/officeDocument/2006/relationships" name="Animations" sheetId="21" r:id="R757b639868154123"/>
    <x:sheet xmlns:r="http://schemas.openxmlformats.org/officeDocument/2006/relationships" name="Sprites" sheetId="22" r:id="R46fdc0065b2646da"/>
    <x:sheet xmlns:r="http://schemas.openxmlformats.org/officeDocument/2006/relationships" name="VFX" sheetId="23" r:id="R4f7069d9dc924fd1"/>
    <x:sheet xmlns:r="http://schemas.openxmlformats.org/officeDocument/2006/relationships" name="Audio" sheetId="24" r:id="R6b2c0386eceb4d89"/>
    <x:sheet xmlns:r="http://schemas.openxmlformats.org/officeDocument/2006/relationships" name="UI_systemes" sheetId="25" r:id="Rcf835e61f4f4468f"/>
    <x:sheet xmlns:r="http://schemas.openxmlformats.org/officeDocument/2006/relationships" name="QA" sheetId="26" r:id="Rd9a8741cf4554147"/>
    <x:sheet xmlns:r="http://schemas.openxmlformats.org/officeDocument/2006/relationships" name="Continuite" sheetId="27" r:id="R44c0d48b5b8a4213"/>
    <x:sheet xmlns:r="http://schemas.openxmlformats.org/officeDocument/2006/relationships" name="Guide" sheetId="28" r:id="R2ff080fc3b27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8">
    <x:font>
      <x:sz val="11"/>
      <x:name val="Carlito"/>
    </x:font>
    <x:font>
      <x:sz val="10"/>
      <x:color rgb="FF183044"/>
      <x:name val="Arial"/>
    </x:font>
    <x:font>
      <x:b/>
      <x:sz val="14"/>
      <x:color rgb="FF102438"/>
      <x:name val="Arial"/>
    </x:font>
    <x:font>
      <x:i/>
      <x:sz val="10"/>
      <x:color rgb="FF4A6374"/>
      <x:name val="Arial"/>
    </x:font>
    <x:font>
      <x:sz val="10"/>
      <x:color rgb="FF557283"/>
      <x:name val="Arial"/>
    </x:font>
    <x:font>
      <x:b/>
      <x:sz val="10"/>
      <x:color rgb="FFFFFFFF"/>
      <x:name val="Arial"/>
    </x:font>
    <x:font>
      <x:b/>
      <x:sz val="14"/>
      <x:color rgb="FF087F8C"/>
      <x:name val="Arial"/>
    </x:font>
    <x:font>
      <x:i/>
      <x:sz val="10"/>
      <x:color rgb="FF1830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BFC"/>
      </x:patternFill>
    </x:fill>
    <x:fill>
      <x:patternFill patternType="solid">
        <x:fgColor rgb="FFFFF0C7"/>
      </x:patternFill>
    </x:fill>
    <x:fill>
      <x:patternFill patternType="solid">
        <x:fgColor rgb="FF102438"/>
      </x:patternFill>
    </x:fill>
    <x:fill>
      <x:patternFill patternType="solid">
        <x:fgColor rgb="FFEDF5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/>
      <x:top/>
      <x:bottom style="thin">
        <x:color rgb="FF087F8C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4"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5d3e0079f4670" /><Relationship Type="http://schemas.openxmlformats.org/officeDocument/2006/relationships/theme" Target="/xl/theme/theme1.xml" Id="R53a3ab0d28ef4ed3" /><Relationship Type="http://schemas.openxmlformats.org/officeDocument/2006/relationships/sharedStrings" Target="/xl/sharedStrings.xml" Id="R86b83dfdbfec465d" /><Relationship Type="http://schemas.openxmlformats.org/officeDocument/2006/relationships/worksheet" Target="/xl/worksheets/sheet1.xml" Id="R2df3329a48fb41e8" /><Relationship Type="http://schemas.openxmlformats.org/officeDocument/2006/relationships/worksheet" Target="/xl/worksheets/sheet2.xml" Id="Rbd65110c60b04d06" /><Relationship Type="http://schemas.openxmlformats.org/officeDocument/2006/relationships/worksheet" Target="/xl/worksheets/sheet3.xml" Id="Rab0cfdfd25d345a8" /><Relationship Type="http://schemas.openxmlformats.org/officeDocument/2006/relationships/worksheet" Target="/xl/worksheets/sheet4.xml" Id="R9547bb35746d44e7" /><Relationship Type="http://schemas.openxmlformats.org/officeDocument/2006/relationships/worksheet" Target="/xl/worksheets/sheet5.xml" Id="Rab5a56bb9ee84563" /><Relationship Type="http://schemas.openxmlformats.org/officeDocument/2006/relationships/worksheet" Target="/xl/worksheets/sheet6.xml" Id="R15cbc64923664d98" /><Relationship Type="http://schemas.openxmlformats.org/officeDocument/2006/relationships/worksheet" Target="/xl/worksheets/sheet7.xml" Id="R3ba738d6a1f14321" /><Relationship Type="http://schemas.openxmlformats.org/officeDocument/2006/relationships/worksheet" Target="/xl/worksheets/sheet8.xml" Id="R080a2a91073f4563" /><Relationship Type="http://schemas.openxmlformats.org/officeDocument/2006/relationships/worksheet" Target="/xl/worksheets/sheet9.xml" Id="R1a2b1997f7764b77" /><Relationship Type="http://schemas.openxmlformats.org/officeDocument/2006/relationships/worksheet" Target="/xl/worksheets/sheet10.xml" Id="R53f4d69235f4489a" /><Relationship Type="http://schemas.openxmlformats.org/officeDocument/2006/relationships/worksheet" Target="/xl/worksheets/sheet11.xml" Id="R6bf6603bae004d1b" /><Relationship Type="http://schemas.openxmlformats.org/officeDocument/2006/relationships/worksheet" Target="/xl/worksheets/sheet12.xml" Id="Re3bcd6f306934304" /><Relationship Type="http://schemas.openxmlformats.org/officeDocument/2006/relationships/worksheet" Target="/xl/worksheets/sheet13.xml" Id="R80be1519d77740a5" /><Relationship Type="http://schemas.openxmlformats.org/officeDocument/2006/relationships/worksheet" Target="/xl/worksheets/sheet14.xml" Id="R320423c843a8415a" /><Relationship Type="http://schemas.openxmlformats.org/officeDocument/2006/relationships/worksheet" Target="/xl/worksheets/sheet15.xml" Id="R66cfe7c106ea4834" /><Relationship Type="http://schemas.openxmlformats.org/officeDocument/2006/relationships/worksheet" Target="/xl/worksheets/sheet16.xml" Id="R43bc9be0fcfc4203" /><Relationship Type="http://schemas.openxmlformats.org/officeDocument/2006/relationships/worksheet" Target="/xl/worksheets/sheet17.xml" Id="R18b0b41fc23846b7" /><Relationship Type="http://schemas.openxmlformats.org/officeDocument/2006/relationships/worksheet" Target="/xl/worksheets/sheet18.xml" Id="R7a60d358414f4a7f" /><Relationship Type="http://schemas.openxmlformats.org/officeDocument/2006/relationships/worksheet" Target="/xl/worksheets/sheet19.xml" Id="R0df0633580b7483c" /><Relationship Type="http://schemas.openxmlformats.org/officeDocument/2006/relationships/worksheet" Target="/xl/worksheets/sheet20.xml" Id="R3e4f0101e2464844" /><Relationship Type="http://schemas.openxmlformats.org/officeDocument/2006/relationships/worksheet" Target="/xl/worksheets/sheet21.xml" Id="R757b639868154123" /><Relationship Type="http://schemas.openxmlformats.org/officeDocument/2006/relationships/worksheet" Target="/xl/worksheets/sheet22.xml" Id="R46fdc0065b2646da" /><Relationship Type="http://schemas.openxmlformats.org/officeDocument/2006/relationships/worksheet" Target="/xl/worksheets/sheet23.xml" Id="R4f7069d9dc924fd1" /><Relationship Type="http://schemas.openxmlformats.org/officeDocument/2006/relationships/worksheet" Target="/xl/worksheets/sheet24.xml" Id="R6b2c0386eceb4d89" /><Relationship Type="http://schemas.openxmlformats.org/officeDocument/2006/relationships/worksheet" Target="/xl/worksheets/sheet25.xml" Id="Rcf835e61f4f4468f" /><Relationship Type="http://schemas.openxmlformats.org/officeDocument/2006/relationships/worksheet" Target="/xl/worksheets/sheet26.xml" Id="Rd9a8741cf4554147" /><Relationship Type="http://schemas.openxmlformats.org/officeDocument/2006/relationships/worksheet" Target="/xl/worksheets/sheet27.xml" Id="R44c0d48b5b8a4213" /><Relationship Type="http://schemas.openxmlformats.org/officeDocument/2006/relationships/worksheet" Target="/xl/worksheets/sheet28.xml" Id="R2ff080fc3b274f8d" /></Relationships>
</file>

<file path=xl/tables/table1.xml><?xml version="1.0" encoding="utf-8"?>
<x:table xmlns:x="http://schemas.openxmlformats.org/spreadsheetml/2006/main" id="1" name="INF_characters" displayName="INF_character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F_npcs" displayName="INF_npc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F_lore" displayName="INF_lore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F_worlds" displayName="INF_world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F_zones" displayName="INF_zones" ref="A6:S16" headerRowCount="1" totalsRowCount="0" totalsRowShown="0">
  <x:autoFilter ref="A6:S16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F_links" displayName="INF_link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F_scenery" displayName="INF_scenery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F_props" displayName="INF_prop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F_enemies" displayName="INF_enemies" ref="A6:S13" headerRowCount="1" totalsRowCount="0" totalsRowShown="0">
  <x:autoFilter ref="A6:S13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F_main_quests" displayName="INF_main_quests" ref="A6:S15" headerRowCount="1" totalsRowCount="0" totalsRowShown="0">
  <x:autoFilter ref="A6:S15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F_side_quests" displayName="INF_side_quest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NF_choices" displayName="INF_choice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NF_dialogues" displayName="INF_dialogue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NF_cinematics" displayName="INF_cinematic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NF_weapons" displayName="INF_weapon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NF_equipment" displayName="INF_equipment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NF_powers" displayName="INF_powers" ref="A6:S16" headerRowCount="1" totalsRowCount="0" totalsRowShown="0">
  <x:autoFilter ref="A6:S16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NF_ally_moves" displayName="INF_ally_move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NF_enemy_moves" displayName="INF_enemy_moves" ref="A6:S13" headerRowCount="1" totalsRowCount="0" totalsRowShown="0">
  <x:autoFilter ref="A6:S13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INF_animations" displayName="INF_animation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NF_sprites" displayName="INF_sprites" ref="A6:S18" headerRowCount="1" totalsRowCount="0" totalsRowShown="0">
  <x:autoFilter ref="A6:S1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NF_vfx" displayName="INF_vfx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INF_audio" displayName="INF_audio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INF_systems" displayName="INF_systems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INF_qa" displayName="INF_qa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INF_continuity" displayName="INF_continuity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a1735513a44b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45ef2eb71943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624483288046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007ac11b3342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8f8fd5312f47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ffd769120a4d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083888d6954a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76e00fa96f441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b9ac500969240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ddc09657b754e0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306df482f874c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78c199dec9a41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c1df076caf5438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e9a20ea9ecc46c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844b3b7d29f40e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f9ea4d57e350456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55e1a7c143f3434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d68609572f7a420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f53f699fd849404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67fc1f34bae349d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bf9361c217f04ef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39d87bcab2c74a3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2c60ed85c4a34b9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836cd8666bfe424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414a64a86c0f4e49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4946edfaa74f44e5" /></Relationships>
</file>

<file path=xl/worksheets/sheet1.xml><?xml version="1.0" encoding="utf-8"?>
<x:worksheet xmlns:x="http://schemas.openxmlformats.org/spreadsheetml/2006/main">
  <x:sheetPr>
    <x:tabColor rgb="FF102438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Mass Effect: Infiltrator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Catalogue de production. Statuts et références calculés depuis les fiches.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2" customHeight="1">
      <x:c r="A5" s="2" t="str">
        <x:v>Fiches suivies</x:v>
      </x:c>
      <x:c r="B5" s="33" t="n">
        <x:f>SUM(B10:B35)</x:f>
        <x:v>109</x:v>
      </x:c>
      <x:c r="C5" s="2"/>
      <x:c r="D5" s="2" t="str">
        <x:v>Intégrés</x:v>
      </x:c>
      <x:c r="E5" s="33" t="n">
        <x:f>SUM(E10:F35)</x:f>
        <x:v>0</x:v>
      </x:c>
      <x:c r="F5" s="2"/>
      <x:c r="G5" s="2" t="str">
        <x:v>À vérifier</x:v>
      </x:c>
      <x:c r="H5" s="33" t="n">
        <x:f>SUM(H10:H35)</x:f>
        <x:v>10</x:v>
      </x:c>
      <x:c r="I5" s="2"/>
      <x:c r="J5" s="2" t="str">
        <x:v>Extrapolations</x:v>
      </x:c>
      <x:c r="K5" s="33" t="n">
        <x:f>SUM(I10:I35)</x:f>
        <x:v>62</x:v>
      </x:c>
      <x:c r="L5" s="2"/>
      <x:c r="M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2" customHeight="1">
      <x:c r="A7" s="34" t="str">
        <x:v>Défini = spécification. Établi = référence documentée. Les colonnes d’adaptation restent des propositions.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4" customHeight="1">
      <x:c r="A9" s="30" t="str">
        <x:v>Domaine</x:v>
      </x:c>
      <x:c r="B9" s="31" t="str">
        <x:v>Total</x:v>
      </x:c>
      <x:c r="C9" s="31" t="str">
        <x:v>Défini</x:v>
      </x:c>
      <x:c r="D9" s="31" t="str">
        <x:v>Prototype</x:v>
      </x:c>
      <x:c r="E9" s="31" t="str">
        <x:v>Intégré</x:v>
      </x:c>
      <x:c r="F9" s="31" t="str">
        <x:v>Validé</x:v>
      </x:c>
      <x:c r="G9" s="31" t="str">
        <x:v>Établi</x:v>
      </x:c>
      <x:c r="H9" s="31" t="str">
        <x:v>À vérifier</x:v>
      </x:c>
      <x:c r="I9" s="31" t="str">
        <x:v>Extrapolation</x:v>
      </x:c>
      <x:c r="J9" s="31" t="str">
        <x:v>Coupé attesté</x:v>
      </x:c>
      <x:c r="K9" s="31" t="str">
        <x:v>Concept abandonné</x:v>
      </x:c>
      <x:c r="L9" s="31" t="str">
        <x:v>Allégation écartée</x:v>
      </x:c>
      <x:c r="M9" s="32" t="str">
        <x:v>Priorité P0</x:v>
      </x:c>
    </x:row>
    <x:row r="10" ht="22" customHeight="1">
      <x:c r="A10" s="35" t="str">
        <x:v>Personnages</x:v>
      </x:c>
      <x:c r="B10" s="39" t="n">
        <x:f>COUNTA('Personnages'!$A$7:$A$8)</x:f>
        <x:v>2</x:v>
      </x:c>
      <x:c r="C10" s="39" t="n">
        <x:f>COUNTIFS('Personnages'!$C$7:$C$8,"Défini")</x:f>
        <x:v>1</x:v>
      </x:c>
      <x:c r="D10" s="39" t="n">
        <x:f>COUNTIFS('Personnages'!$C$7:$C$8,"Prototype")</x:f>
        <x:v>1</x:v>
      </x:c>
      <x:c r="E10" s="39" t="n">
        <x:f>COUNTIFS('Personnages'!$C$7:$C$8,"Intégré")</x:f>
        <x:v>0</x:v>
      </x:c>
      <x:c r="F10" s="39" t="n">
        <x:f>COUNTIFS('Personnages'!$C$7:$C$8,"Validé")</x:f>
        <x:v>0</x:v>
      </x:c>
      <x:c r="G10" s="39" t="n">
        <x:f>COUNTIFS('Personnages'!$D$7:$D$8,"Établi")</x:f>
        <x:v>2</x:v>
      </x:c>
      <x:c r="H10" s="39" t="n">
        <x:f>COUNTIFS('Personnages'!$D$7:$D$8,"À vérifier")</x:f>
        <x:v>0</x:v>
      </x:c>
      <x:c r="I10" s="39" t="n">
        <x:f>COUNTIFS('Personnages'!$D$7:$D$8,"Extrapolation")</x:f>
        <x:v>0</x:v>
      </x:c>
      <x:c r="J10" s="39" t="n">
        <x:f>COUNTIFS('Personnages'!$D$7:$D$8,"Coupé attesté")</x:f>
        <x:v>0</x:v>
      </x:c>
      <x:c r="K10" s="39" t="n">
        <x:f>COUNTIFS('Personnages'!$D$7:$D$8,"Concept abandonné")</x:f>
        <x:v>0</x:v>
      </x:c>
      <x:c r="L10" s="39" t="n">
        <x:f>COUNTIFS('Personnages'!$D$7:$D$8,"Allégation écartée")</x:f>
        <x:v>0</x:v>
      </x:c>
      <x:c r="M10" s="39" t="n">
        <x:f>COUNTIFS('Personnages'!$E$7:$E$8,"P0")</x:f>
        <x:v>0</x:v>
      </x:c>
    </x:row>
    <x:row r="11" ht="22" customHeight="1">
      <x:c r="A11" s="2" t="str">
        <x:v>PNJ</x:v>
      </x:c>
      <x:c r="B11" s="40" t="n">
        <x:f>COUNTA('PNJ'!$A$7:$A$9)</x:f>
        <x:v>3</x:v>
      </x:c>
      <x:c r="C11" s="40" t="n">
        <x:f>COUNTIFS('PNJ'!$C$7:$C$9,"Défini")</x:f>
        <x:v>3</x:v>
      </x:c>
      <x:c r="D11" s="40" t="n">
        <x:f>COUNTIFS('PNJ'!$C$7:$C$9,"Prototype")</x:f>
        <x:v>0</x:v>
      </x:c>
      <x:c r="E11" s="40" t="n">
        <x:f>COUNTIFS('PNJ'!$C$7:$C$9,"Intégré")</x:f>
        <x:v>0</x:v>
      </x:c>
      <x:c r="F11" s="40" t="n">
        <x:f>COUNTIFS('PNJ'!$C$7:$C$9,"Validé")</x:f>
        <x:v>0</x:v>
      </x:c>
      <x:c r="G11" s="40" t="n">
        <x:f>COUNTIFS('PNJ'!$D$7:$D$9,"Établi")</x:f>
        <x:v>3</x:v>
      </x:c>
      <x:c r="H11" s="40" t="n">
        <x:f>COUNTIFS('PNJ'!$D$7:$D$9,"À vérifier")</x:f>
        <x:v>0</x:v>
      </x:c>
      <x:c r="I11" s="40" t="n">
        <x:f>COUNTIFS('PNJ'!$D$7:$D$9,"Extrapolation")</x:f>
        <x:v>0</x:v>
      </x:c>
      <x:c r="J11" s="40" t="n">
        <x:f>COUNTIFS('PNJ'!$D$7:$D$9,"Coupé attesté")</x:f>
        <x:v>0</x:v>
      </x:c>
      <x:c r="K11" s="40" t="n">
        <x:f>COUNTIFS('PNJ'!$D$7:$D$9,"Concept abandonné")</x:f>
        <x:v>0</x:v>
      </x:c>
      <x:c r="L11" s="40" t="n">
        <x:f>COUNTIFS('PNJ'!$D$7:$D$9,"Allégation écartée")</x:f>
        <x:v>0</x:v>
      </x:c>
      <x:c r="M11" s="40" t="n">
        <x:f>COUNTIFS('PNJ'!$E$7:$E$9,"P0")</x:f>
        <x:v>0</x:v>
      </x:c>
    </x:row>
    <x:row r="12" ht="22" customHeight="1">
      <x:c r="A12" s="35" t="str">
        <x:v>Espèces et factions</x:v>
      </x:c>
      <x:c r="B12" s="39" t="n">
        <x:f>COUNTA('Especes_factions'!$A$7:$A$8)</x:f>
        <x:v>2</x:v>
      </x:c>
      <x:c r="C12" s="39" t="n">
        <x:f>COUNTIFS('Especes_factions'!$C$7:$C$8,"Défini")</x:f>
        <x:v>2</x:v>
      </x:c>
      <x:c r="D12" s="39" t="n">
        <x:f>COUNTIFS('Especes_factions'!$C$7:$C$8,"Prototype")</x:f>
        <x:v>0</x:v>
      </x:c>
      <x:c r="E12" s="39" t="n">
        <x:f>COUNTIFS('Especes_factions'!$C$7:$C$8,"Intégré")</x:f>
        <x:v>0</x:v>
      </x:c>
      <x:c r="F12" s="39" t="n">
        <x:f>COUNTIFS('Especes_factions'!$C$7:$C$8,"Validé")</x:f>
        <x:v>0</x:v>
      </x:c>
      <x:c r="G12" s="39" t="n">
        <x:f>COUNTIFS('Especes_factions'!$D$7:$D$8,"Établi")</x:f>
        <x:v>2</x:v>
      </x:c>
      <x:c r="H12" s="39" t="n">
        <x:f>COUNTIFS('Especes_factions'!$D$7:$D$8,"À vérifier")</x:f>
        <x:v>0</x:v>
      </x:c>
      <x:c r="I12" s="39" t="n">
        <x:f>COUNTIFS('Especes_factions'!$D$7:$D$8,"Extrapolation")</x:f>
        <x:v>0</x:v>
      </x:c>
      <x:c r="J12" s="39" t="n">
        <x:f>COUNTIFS('Especes_factions'!$D$7:$D$8,"Coupé attesté")</x:f>
        <x:v>0</x:v>
      </x:c>
      <x:c r="K12" s="39" t="n">
        <x:f>COUNTIFS('Especes_factions'!$D$7:$D$8,"Concept abandonné")</x:f>
        <x:v>0</x:v>
      </x:c>
      <x:c r="L12" s="39" t="n">
        <x:f>COUNTIFS('Especes_factions'!$D$7:$D$8,"Allégation écartée")</x:f>
        <x:v>0</x:v>
      </x:c>
      <x:c r="M12" s="39" t="n">
        <x:f>COUNTIFS('Especes_factions'!$E$7:$E$8,"P0")</x:f>
        <x:v>0</x:v>
      </x:c>
    </x:row>
    <x:row r="13" ht="22" customHeight="1">
      <x:c r="A13" s="2" t="str">
        <x:v>Mondes</x:v>
      </x:c>
      <x:c r="B13" s="40" t="n">
        <x:f>COUNTA('Mondes'!$A$7:$A$9)</x:f>
        <x:v>3</x:v>
      </x:c>
      <x:c r="C13" s="40" t="n">
        <x:f>COUNTIFS('Mondes'!$C$7:$C$9,"Défini")</x:f>
        <x:v>3</x:v>
      </x:c>
      <x:c r="D13" s="40" t="n">
        <x:f>COUNTIFS('Mondes'!$C$7:$C$9,"Prototype")</x:f>
        <x:v>0</x:v>
      </x:c>
      <x:c r="E13" s="40" t="n">
        <x:f>COUNTIFS('Mondes'!$C$7:$C$9,"Intégré")</x:f>
        <x:v>0</x:v>
      </x:c>
      <x:c r="F13" s="40" t="n">
        <x:f>COUNTIFS('Mondes'!$C$7:$C$9,"Validé")</x:f>
        <x:v>0</x:v>
      </x:c>
      <x:c r="G13" s="40" t="n">
        <x:f>COUNTIFS('Mondes'!$D$7:$D$9,"Établi")</x:f>
        <x:v>3</x:v>
      </x:c>
      <x:c r="H13" s="40" t="n">
        <x:f>COUNTIFS('Mondes'!$D$7:$D$9,"À vérifier")</x:f>
        <x:v>0</x:v>
      </x:c>
      <x:c r="I13" s="40" t="n">
        <x:f>COUNTIFS('Mondes'!$D$7:$D$9,"Extrapolation")</x:f>
        <x:v>0</x:v>
      </x:c>
      <x:c r="J13" s="40" t="n">
        <x:f>COUNTIFS('Mondes'!$D$7:$D$9,"Coupé attesté")</x:f>
        <x:v>0</x:v>
      </x:c>
      <x:c r="K13" s="40" t="n">
        <x:f>COUNTIFS('Mondes'!$D$7:$D$9,"Concept abandonné")</x:f>
        <x:v>0</x:v>
      </x:c>
      <x:c r="L13" s="40" t="n">
        <x:f>COUNTIFS('Mondes'!$D$7:$D$9,"Allégation écartée")</x:f>
        <x:v>0</x:v>
      </x:c>
      <x:c r="M13" s="40" t="n">
        <x:f>COUNTIFS('Mondes'!$E$7:$E$9,"P0")</x:f>
        <x:v>0</x:v>
      </x:c>
    </x:row>
    <x:row r="14" ht="22" customHeight="1">
      <x:c r="A14" s="35" t="str">
        <x:v>Zones</x:v>
      </x:c>
      <x:c r="B14" s="39" t="n">
        <x:f>COUNTA('Zones'!$A$7:$A$16)</x:f>
        <x:v>10</x:v>
      </x:c>
      <x:c r="C14" s="39" t="n">
        <x:f>COUNTIFS('Zones'!$C$7:$C$16,"Défini")</x:f>
        <x:v>10</x:v>
      </x:c>
      <x:c r="D14" s="39" t="n">
        <x:f>COUNTIFS('Zones'!$C$7:$C$16,"Prototype")</x:f>
        <x:v>0</x:v>
      </x:c>
      <x:c r="E14" s="39" t="n">
        <x:f>COUNTIFS('Zones'!$C$7:$C$16,"Intégré")</x:f>
        <x:v>0</x:v>
      </x:c>
      <x:c r="F14" s="39" t="n">
        <x:f>COUNTIFS('Zones'!$C$7:$C$16,"Validé")</x:f>
        <x:v>0</x:v>
      </x:c>
      <x:c r="G14" s="39" t="n">
        <x:f>COUNTIFS('Zones'!$D$7:$D$16,"Établi")</x:f>
        <x:v>0</x:v>
      </x:c>
      <x:c r="H14" s="39" t="n">
        <x:f>COUNTIFS('Zones'!$D$7:$D$16,"À vérifier")</x:f>
        <x:v>0</x:v>
      </x:c>
      <x:c r="I14" s="39" t="n">
        <x:f>COUNTIFS('Zones'!$D$7:$D$16,"Extrapolation")</x:f>
        <x:v>10</x:v>
      </x:c>
      <x:c r="J14" s="39" t="n">
        <x:f>COUNTIFS('Zones'!$D$7:$D$16,"Coupé attesté")</x:f>
        <x:v>0</x:v>
      </x:c>
      <x:c r="K14" s="39" t="n">
        <x:f>COUNTIFS('Zones'!$D$7:$D$16,"Concept abandonné")</x:f>
        <x:v>0</x:v>
      </x:c>
      <x:c r="L14" s="39" t="n">
        <x:f>COUNTIFS('Zones'!$D$7:$D$16,"Allégation écartée")</x:f>
        <x:v>0</x:v>
      </x:c>
      <x:c r="M14" s="39" t="n">
        <x:f>COUNTIFS('Zones'!$E$7:$E$16,"P0")</x:f>
        <x:v>0</x:v>
      </x:c>
    </x:row>
    <x:row r="15" ht="22" customHeight="1">
      <x:c r="A15" s="2" t="str">
        <x:v>Liaisons</x:v>
      </x:c>
      <x:c r="B15" s="40" t="n">
        <x:f>COUNTA('Liaisons'!$A$7:$A$8)</x:f>
        <x:v>2</x:v>
      </x:c>
      <x:c r="C15" s="40" t="n">
        <x:f>COUNTIFS('Liaisons'!$C$7:$C$8,"Défini")</x:f>
        <x:v>2</x:v>
      </x:c>
      <x:c r="D15" s="40" t="n">
        <x:f>COUNTIFS('Liaisons'!$C$7:$C$8,"Prototype")</x:f>
        <x:v>0</x:v>
      </x:c>
      <x:c r="E15" s="40" t="n">
        <x:f>COUNTIFS('Liaisons'!$C$7:$C$8,"Intégré")</x:f>
        <x:v>0</x:v>
      </x:c>
      <x:c r="F15" s="40" t="n">
        <x:f>COUNTIFS('Liaisons'!$C$7:$C$8,"Validé")</x:f>
        <x:v>0</x:v>
      </x:c>
      <x:c r="G15" s="40" t="n">
        <x:f>COUNTIFS('Liaisons'!$D$7:$D$8,"Établi")</x:f>
        <x:v>0</x:v>
      </x:c>
      <x:c r="H15" s="40" t="n">
        <x:f>COUNTIFS('Liaisons'!$D$7:$D$8,"À vérifier")</x:f>
        <x:v>0</x:v>
      </x:c>
      <x:c r="I15" s="40" t="n">
        <x:f>COUNTIFS('Liaisons'!$D$7:$D$8,"Extrapolation")</x:f>
        <x:v>2</x:v>
      </x:c>
      <x:c r="J15" s="40" t="n">
        <x:f>COUNTIFS('Liaisons'!$D$7:$D$8,"Coupé attesté")</x:f>
        <x:v>0</x:v>
      </x:c>
      <x:c r="K15" s="40" t="n">
        <x:f>COUNTIFS('Liaisons'!$D$7:$D$8,"Concept abandonné")</x:f>
        <x:v>0</x:v>
      </x:c>
      <x:c r="L15" s="40" t="n">
        <x:f>COUNTIFS('Liaisons'!$D$7:$D$8,"Allégation écartée")</x:f>
        <x:v>0</x:v>
      </x:c>
      <x:c r="M15" s="40" t="n">
        <x:f>COUNTIFS('Liaisons'!$E$7:$E$8,"P0")</x:f>
        <x:v>0</x:v>
      </x:c>
    </x:row>
    <x:row r="16" ht="22" customHeight="1">
      <x:c r="A16" s="35" t="str">
        <x:v>Décors</x:v>
      </x:c>
      <x:c r="B16" s="39" t="n">
        <x:f>COUNTA('Decors'!$A$7:$A$9)</x:f>
        <x:v>3</x:v>
      </x:c>
      <x:c r="C16" s="39" t="n">
        <x:f>COUNTIFS('Decors'!$C$7:$C$9,"Défini")</x:f>
        <x:v>3</x:v>
      </x:c>
      <x:c r="D16" s="39" t="n">
        <x:f>COUNTIFS('Decors'!$C$7:$C$9,"Prototype")</x:f>
        <x:v>0</x:v>
      </x:c>
      <x:c r="E16" s="39" t="n">
        <x:f>COUNTIFS('Decors'!$C$7:$C$9,"Intégré")</x:f>
        <x:v>0</x:v>
      </x:c>
      <x:c r="F16" s="39" t="n">
        <x:f>COUNTIFS('Decors'!$C$7:$C$9,"Validé")</x:f>
        <x:v>0</x:v>
      </x:c>
      <x:c r="G16" s="39" t="n">
        <x:f>COUNTIFS('Decors'!$D$7:$D$9,"Établi")</x:f>
        <x:v>0</x:v>
      </x:c>
      <x:c r="H16" s="39" t="n">
        <x:f>COUNTIFS('Decors'!$D$7:$D$9,"À vérifier")</x:f>
        <x:v>0</x:v>
      </x:c>
      <x:c r="I16" s="39" t="n">
        <x:f>COUNTIFS('Decors'!$D$7:$D$9,"Extrapolation")</x:f>
        <x:v>3</x:v>
      </x:c>
      <x:c r="J16" s="39" t="n">
        <x:f>COUNTIFS('Decors'!$D$7:$D$9,"Coupé attesté")</x:f>
        <x:v>0</x:v>
      </x:c>
      <x:c r="K16" s="39" t="n">
        <x:f>COUNTIFS('Decors'!$D$7:$D$9,"Concept abandonné")</x:f>
        <x:v>0</x:v>
      </x:c>
      <x:c r="L16" s="39" t="n">
        <x:f>COUNTIFS('Decors'!$D$7:$D$9,"Allégation écartée")</x:f>
        <x:v>0</x:v>
      </x:c>
      <x:c r="M16" s="39" t="n">
        <x:f>COUNTIFS('Decors'!$E$7:$E$9,"P0")</x:f>
        <x:v>0</x:v>
      </x:c>
    </x:row>
    <x:row r="17" ht="22" customHeight="1">
      <x:c r="A17" s="2" t="str">
        <x:v>Props</x:v>
      </x:c>
      <x:c r="B17" s="40" t="n">
        <x:f>COUNTA('Props'!$A$7:$A$9)</x:f>
        <x:v>3</x:v>
      </x:c>
      <x:c r="C17" s="40" t="n">
        <x:f>COUNTIFS('Props'!$C$7:$C$9,"Défini")</x:f>
        <x:v>3</x:v>
      </x:c>
      <x:c r="D17" s="40" t="n">
        <x:f>COUNTIFS('Props'!$C$7:$C$9,"Prototype")</x:f>
        <x:v>0</x:v>
      </x:c>
      <x:c r="E17" s="40" t="n">
        <x:f>COUNTIFS('Props'!$C$7:$C$9,"Intégré")</x:f>
        <x:v>0</x:v>
      </x:c>
      <x:c r="F17" s="40" t="n">
        <x:f>COUNTIFS('Props'!$C$7:$C$9,"Validé")</x:f>
        <x:v>0</x:v>
      </x:c>
      <x:c r="G17" s="40" t="n">
        <x:f>COUNTIFS('Props'!$D$7:$D$9,"Établi")</x:f>
        <x:v>0</x:v>
      </x:c>
      <x:c r="H17" s="40" t="n">
        <x:f>COUNTIFS('Props'!$D$7:$D$9,"À vérifier")</x:f>
        <x:v>0</x:v>
      </x:c>
      <x:c r="I17" s="40" t="n">
        <x:f>COUNTIFS('Props'!$D$7:$D$9,"Extrapolation")</x:f>
        <x:v>3</x:v>
      </x:c>
      <x:c r="J17" s="40" t="n">
        <x:f>COUNTIFS('Props'!$D$7:$D$9,"Coupé attesté")</x:f>
        <x:v>0</x:v>
      </x:c>
      <x:c r="K17" s="40" t="n">
        <x:f>COUNTIFS('Props'!$D$7:$D$9,"Concept abandonné")</x:f>
        <x:v>0</x:v>
      </x:c>
      <x:c r="L17" s="40" t="n">
        <x:f>COUNTIFS('Props'!$D$7:$D$9,"Allégation écartée")</x:f>
        <x:v>0</x:v>
      </x:c>
      <x:c r="M17" s="40" t="n">
        <x:f>COUNTIFS('Props'!$E$7:$E$9,"P0")</x:f>
        <x:v>0</x:v>
      </x:c>
    </x:row>
    <x:row r="18" ht="22" customHeight="1">
      <x:c r="A18" s="35" t="str">
        <x:v>Ennemis et boss</x:v>
      </x:c>
      <x:c r="B18" s="39" t="n">
        <x:f>COUNTA('Ennemis_boss'!$A$7:$A$13)</x:f>
        <x:v>7</x:v>
      </x:c>
      <x:c r="C18" s="39" t="n">
        <x:f>COUNTIFS('Ennemis_boss'!$C$7:$C$13,"Défini")</x:f>
        <x:v>7</x:v>
      </x:c>
      <x:c r="D18" s="39" t="n">
        <x:f>COUNTIFS('Ennemis_boss'!$C$7:$C$13,"Prototype")</x:f>
        <x:v>0</x:v>
      </x:c>
      <x:c r="E18" s="39" t="n">
        <x:f>COUNTIFS('Ennemis_boss'!$C$7:$C$13,"Intégré")</x:f>
        <x:v>0</x:v>
      </x:c>
      <x:c r="F18" s="39" t="n">
        <x:f>COUNTIFS('Ennemis_boss'!$C$7:$C$13,"Validé")</x:f>
        <x:v>0</x:v>
      </x:c>
      <x:c r="G18" s="39" t="n">
        <x:f>COUNTIFS('Ennemis_boss'!$D$7:$D$13,"Établi")</x:f>
        <x:v>7</x:v>
      </x:c>
      <x:c r="H18" s="39" t="n">
        <x:f>COUNTIFS('Ennemis_boss'!$D$7:$D$13,"À vérifier")</x:f>
        <x:v>0</x:v>
      </x:c>
      <x:c r="I18" s="39" t="n">
        <x:f>COUNTIFS('Ennemis_boss'!$D$7:$D$13,"Extrapolation")</x:f>
        <x:v>0</x:v>
      </x:c>
      <x:c r="J18" s="39" t="n">
        <x:f>COUNTIFS('Ennemis_boss'!$D$7:$D$13,"Coupé attesté")</x:f>
        <x:v>0</x:v>
      </x:c>
      <x:c r="K18" s="39" t="n">
        <x:f>COUNTIFS('Ennemis_boss'!$D$7:$D$13,"Concept abandonné")</x:f>
        <x:v>0</x:v>
      </x:c>
      <x:c r="L18" s="39" t="n">
        <x:f>COUNTIFS('Ennemis_boss'!$D$7:$D$13,"Allégation écartée")</x:f>
        <x:v>0</x:v>
      </x:c>
      <x:c r="M18" s="39" t="n">
        <x:f>COUNTIFS('Ennemis_boss'!$E$7:$E$13,"P0")</x:f>
        <x:v>1</x:v>
      </x:c>
    </x:row>
    <x:row r="19" ht="22" customHeight="1">
      <x:c r="A19" s="2" t="str">
        <x:v>Missions</x:v>
      </x:c>
      <x:c r="B19" s="40" t="n">
        <x:f>COUNTA('Missions'!$A$7:$A$15)</x:f>
        <x:v>9</x:v>
      </x:c>
      <x:c r="C19" s="40" t="n">
        <x:f>COUNTIFS('Missions'!$C$7:$C$15,"Défini")</x:f>
        <x:v>9</x:v>
      </x:c>
      <x:c r="D19" s="40" t="n">
        <x:f>COUNTIFS('Missions'!$C$7:$C$15,"Prototype")</x:f>
        <x:v>0</x:v>
      </x:c>
      <x:c r="E19" s="40" t="n">
        <x:f>COUNTIFS('Missions'!$C$7:$C$15,"Intégré")</x:f>
        <x:v>0</x:v>
      </x:c>
      <x:c r="F19" s="40" t="n">
        <x:f>COUNTIFS('Missions'!$C$7:$C$15,"Validé")</x:f>
        <x:v>0</x:v>
      </x:c>
      <x:c r="G19" s="40" t="n">
        <x:f>COUNTIFS('Missions'!$D$7:$D$15,"Établi")</x:f>
        <x:v>9</x:v>
      </x:c>
      <x:c r="H19" s="40" t="n">
        <x:f>COUNTIFS('Missions'!$D$7:$D$15,"À vérifier")</x:f>
        <x:v>0</x:v>
      </x:c>
      <x:c r="I19" s="40" t="n">
        <x:f>COUNTIFS('Missions'!$D$7:$D$15,"Extrapolation")</x:f>
        <x:v>0</x:v>
      </x:c>
      <x:c r="J19" s="40" t="n">
        <x:f>COUNTIFS('Missions'!$D$7:$D$15,"Coupé attesté")</x:f>
        <x:v>0</x:v>
      </x:c>
      <x:c r="K19" s="40" t="n">
        <x:f>COUNTIFS('Missions'!$D$7:$D$15,"Concept abandonné")</x:f>
        <x:v>0</x:v>
      </x:c>
      <x:c r="L19" s="40" t="n">
        <x:f>COUNTIFS('Missions'!$D$7:$D$15,"Allégation écartée")</x:f>
        <x:v>0</x:v>
      </x:c>
      <x:c r="M19" s="40" t="n">
        <x:f>COUNTIFS('Missions'!$E$7:$E$15,"P0")</x:f>
        <x:v>9</x:v>
      </x:c>
    </x:row>
    <x:row r="20" ht="22" customHeight="1">
      <x:c r="A20" s="35" t="str">
        <x:v>Secondaires et DLC</x:v>
      </x:c>
      <x:c r="B20" s="39" t="n">
        <x:f>COUNTA('Secondaires_DLC'!$A$7:$A$9)</x:f>
        <x:v>3</x:v>
      </x:c>
      <x:c r="C20" s="39" t="n">
        <x:f>COUNTIFS('Secondaires_DLC'!$C$7:$C$9,"Défini")</x:f>
        <x:v>3</x:v>
      </x:c>
      <x:c r="D20" s="39" t="n">
        <x:f>COUNTIFS('Secondaires_DLC'!$C$7:$C$9,"Prototype")</x:f>
        <x:v>0</x:v>
      </x:c>
      <x:c r="E20" s="39" t="n">
        <x:f>COUNTIFS('Secondaires_DLC'!$C$7:$C$9,"Intégré")</x:f>
        <x:v>0</x:v>
      </x:c>
      <x:c r="F20" s="39" t="n">
        <x:f>COUNTIFS('Secondaires_DLC'!$C$7:$C$9,"Validé")</x:f>
        <x:v>0</x:v>
      </x:c>
      <x:c r="G20" s="39" t="n">
        <x:f>COUNTIFS('Secondaires_DLC'!$D$7:$D$9,"Établi")</x:f>
        <x:v>3</x:v>
      </x:c>
      <x:c r="H20" s="39" t="n">
        <x:f>COUNTIFS('Secondaires_DLC'!$D$7:$D$9,"À vérifier")</x:f>
        <x:v>0</x:v>
      </x:c>
      <x:c r="I20" s="39" t="n">
        <x:f>COUNTIFS('Secondaires_DLC'!$D$7:$D$9,"Extrapolation")</x:f>
        <x:v>0</x:v>
      </x:c>
      <x:c r="J20" s="39" t="n">
        <x:f>COUNTIFS('Secondaires_DLC'!$D$7:$D$9,"Coupé attesté")</x:f>
        <x:v>0</x:v>
      </x:c>
      <x:c r="K20" s="39" t="n">
        <x:f>COUNTIFS('Secondaires_DLC'!$D$7:$D$9,"Concept abandonné")</x:f>
        <x:v>0</x:v>
      </x:c>
      <x:c r="L20" s="39" t="n">
        <x:f>COUNTIFS('Secondaires_DLC'!$D$7:$D$9,"Allégation écartée")</x:f>
        <x:v>0</x:v>
      </x:c>
      <x:c r="M20" s="39" t="n">
        <x:f>COUNTIFS('Secondaires_DLC'!$E$7:$E$9,"P0")</x:f>
        <x:v>0</x:v>
      </x:c>
    </x:row>
    <x:row r="21" ht="22" customHeight="1">
      <x:c r="A21" s="2" t="str">
        <x:v>Choix et relations</x:v>
      </x:c>
      <x:c r="B21" s="40" t="n">
        <x:f>COUNTA('Choix_relations'!$A$7:$A$8)</x:f>
        <x:v>2</x:v>
      </x:c>
      <x:c r="C21" s="40" t="n">
        <x:f>COUNTIFS('Choix_relations'!$C$7:$C$8,"Défini")</x:f>
        <x:v>2</x:v>
      </x:c>
      <x:c r="D21" s="40" t="n">
        <x:f>COUNTIFS('Choix_relations'!$C$7:$C$8,"Prototype")</x:f>
        <x:v>0</x:v>
      </x:c>
      <x:c r="E21" s="40" t="n">
        <x:f>COUNTIFS('Choix_relations'!$C$7:$C$8,"Intégré")</x:f>
        <x:v>0</x:v>
      </x:c>
      <x:c r="F21" s="40" t="n">
        <x:f>COUNTIFS('Choix_relations'!$C$7:$C$8,"Validé")</x:f>
        <x:v>0</x:v>
      </x:c>
      <x:c r="G21" s="40" t="n">
        <x:f>COUNTIFS('Choix_relations'!$D$7:$D$8,"Établi")</x:f>
        <x:v>2</x:v>
      </x:c>
      <x:c r="H21" s="40" t="n">
        <x:f>COUNTIFS('Choix_relations'!$D$7:$D$8,"À vérifier")</x:f>
        <x:v>0</x:v>
      </x:c>
      <x:c r="I21" s="40" t="n">
        <x:f>COUNTIFS('Choix_relations'!$D$7:$D$8,"Extrapolation")</x:f>
        <x:v>0</x:v>
      </x:c>
      <x:c r="J21" s="40" t="n">
        <x:f>COUNTIFS('Choix_relations'!$D$7:$D$8,"Coupé attesté")</x:f>
        <x:v>0</x:v>
      </x:c>
      <x:c r="K21" s="40" t="n">
        <x:f>COUNTIFS('Choix_relations'!$D$7:$D$8,"Concept abandonné")</x:f>
        <x:v>0</x:v>
      </x:c>
      <x:c r="L21" s="40" t="n">
        <x:f>COUNTIFS('Choix_relations'!$D$7:$D$8,"Allégation écartée")</x:f>
        <x:v>0</x:v>
      </x:c>
      <x:c r="M21" s="40" t="n">
        <x:f>COUNTIFS('Choix_relations'!$E$7:$E$8,"P0")</x:f>
        <x:v>0</x:v>
      </x:c>
    </x:row>
    <x:row r="22" ht="22" customHeight="1">
      <x:c r="A22" s="35" t="str">
        <x:v>Dialogues</x:v>
      </x:c>
      <x:c r="B22" s="39" t="n">
        <x:f>COUNTA('Dialogues'!$A$7:$A$8)</x:f>
        <x:v>2</x:v>
      </x:c>
      <x:c r="C22" s="39" t="n">
        <x:f>COUNTIFS('Dialogues'!$C$7:$C$8,"Défini")</x:f>
        <x:v>2</x:v>
      </x:c>
      <x:c r="D22" s="39" t="n">
        <x:f>COUNTIFS('Dialogues'!$C$7:$C$8,"Prototype")</x:f>
        <x:v>0</x:v>
      </x:c>
      <x:c r="E22" s="39" t="n">
        <x:f>COUNTIFS('Dialogues'!$C$7:$C$8,"Intégré")</x:f>
        <x:v>0</x:v>
      </x:c>
      <x:c r="F22" s="39" t="n">
        <x:f>COUNTIFS('Dialogues'!$C$7:$C$8,"Validé")</x:f>
        <x:v>0</x:v>
      </x:c>
      <x:c r="G22" s="39" t="n">
        <x:f>COUNTIFS('Dialogues'!$D$7:$D$8,"Établi")</x:f>
        <x:v>0</x:v>
      </x:c>
      <x:c r="H22" s="39" t="n">
        <x:f>COUNTIFS('Dialogues'!$D$7:$D$8,"À vérifier")</x:f>
        <x:v>0</x:v>
      </x:c>
      <x:c r="I22" s="39" t="n">
        <x:f>COUNTIFS('Dialogues'!$D$7:$D$8,"Extrapolation")</x:f>
        <x:v>2</x:v>
      </x:c>
      <x:c r="J22" s="39" t="n">
        <x:f>COUNTIFS('Dialogues'!$D$7:$D$8,"Coupé attesté")</x:f>
        <x:v>0</x:v>
      </x:c>
      <x:c r="K22" s="39" t="n">
        <x:f>COUNTIFS('Dialogues'!$D$7:$D$8,"Concept abandonné")</x:f>
        <x:v>0</x:v>
      </x:c>
      <x:c r="L22" s="39" t="n">
        <x:f>COUNTIFS('Dialogues'!$D$7:$D$8,"Allégation écartée")</x:f>
        <x:v>0</x:v>
      </x:c>
      <x:c r="M22" s="39" t="n">
        <x:f>COUNTIFS('Dialogues'!$E$7:$E$8,"P0")</x:f>
        <x:v>0</x:v>
      </x:c>
    </x:row>
    <x:row r="23" ht="22" customHeight="1">
      <x:c r="A23" s="2" t="str">
        <x:v>Cinématiques</x:v>
      </x:c>
      <x:c r="B23" s="40" t="n">
        <x:f>COUNTA('Cinematiques'!$A$7:$A$8)</x:f>
        <x:v>2</x:v>
      </x:c>
      <x:c r="C23" s="40" t="n">
        <x:f>COUNTIFS('Cinematiques'!$C$7:$C$8,"Défini")</x:f>
        <x:v>2</x:v>
      </x:c>
      <x:c r="D23" s="40" t="n">
        <x:f>COUNTIFS('Cinematiques'!$C$7:$C$8,"Prototype")</x:f>
        <x:v>0</x:v>
      </x:c>
      <x:c r="E23" s="40" t="n">
        <x:f>COUNTIFS('Cinematiques'!$C$7:$C$8,"Intégré")</x:f>
        <x:v>0</x:v>
      </x:c>
      <x:c r="F23" s="40" t="n">
        <x:f>COUNTIFS('Cinematiques'!$C$7:$C$8,"Validé")</x:f>
        <x:v>0</x:v>
      </x:c>
      <x:c r="G23" s="40" t="n">
        <x:f>COUNTIFS('Cinematiques'!$D$7:$D$8,"Établi")</x:f>
        <x:v>0</x:v>
      </x:c>
      <x:c r="H23" s="40" t="n">
        <x:f>COUNTIFS('Cinematiques'!$D$7:$D$8,"À vérifier")</x:f>
        <x:v>0</x:v>
      </x:c>
      <x:c r="I23" s="40" t="n">
        <x:f>COUNTIFS('Cinematiques'!$D$7:$D$8,"Extrapolation")</x:f>
        <x:v>2</x:v>
      </x:c>
      <x:c r="J23" s="40" t="n">
        <x:f>COUNTIFS('Cinematiques'!$D$7:$D$8,"Coupé attesté")</x:f>
        <x:v>0</x:v>
      </x:c>
      <x:c r="K23" s="40" t="n">
        <x:f>COUNTIFS('Cinematiques'!$D$7:$D$8,"Concept abandonné")</x:f>
        <x:v>0</x:v>
      </x:c>
      <x:c r="L23" s="40" t="n">
        <x:f>COUNTIFS('Cinematiques'!$D$7:$D$8,"Allégation écartée")</x:f>
        <x:v>0</x:v>
      </x:c>
      <x:c r="M23" s="40" t="n">
        <x:f>COUNTIFS('Cinematiques'!$E$7:$E$8,"P0")</x:f>
        <x:v>0</x:v>
      </x:c>
    </x:row>
    <x:row r="24" ht="22" customHeight="1">
      <x:c r="A24" s="35" t="str">
        <x:v>Armes</x:v>
      </x:c>
      <x:c r="B24" s="39" t="n">
        <x:f>COUNTA('Armes'!$A$7:$A$10)</x:f>
        <x:v>4</x:v>
      </x:c>
      <x:c r="C24" s="39" t="n">
        <x:f>COUNTIFS('Armes'!$C$7:$C$10,"Défini")</x:f>
        <x:v>4</x:v>
      </x:c>
      <x:c r="D24" s="39" t="n">
        <x:f>COUNTIFS('Armes'!$C$7:$C$10,"Prototype")</x:f>
        <x:v>0</x:v>
      </x:c>
      <x:c r="E24" s="39" t="n">
        <x:f>COUNTIFS('Armes'!$C$7:$C$10,"Intégré")</x:f>
        <x:v>0</x:v>
      </x:c>
      <x:c r="F24" s="39" t="n">
        <x:f>COUNTIFS('Armes'!$C$7:$C$10,"Validé")</x:f>
        <x:v>0</x:v>
      </x:c>
      <x:c r="G24" s="39" t="n">
        <x:f>COUNTIFS('Armes'!$D$7:$D$10,"Établi")</x:f>
        <x:v>4</x:v>
      </x:c>
      <x:c r="H24" s="39" t="n">
        <x:f>COUNTIFS('Armes'!$D$7:$D$10,"À vérifier")</x:f>
        <x:v>0</x:v>
      </x:c>
      <x:c r="I24" s="39" t="n">
        <x:f>COUNTIFS('Armes'!$D$7:$D$10,"Extrapolation")</x:f>
        <x:v>0</x:v>
      </x:c>
      <x:c r="J24" s="39" t="n">
        <x:f>COUNTIFS('Armes'!$D$7:$D$10,"Coupé attesté")</x:f>
        <x:v>0</x:v>
      </x:c>
      <x:c r="K24" s="39" t="n">
        <x:f>COUNTIFS('Armes'!$D$7:$D$10,"Concept abandonné")</x:f>
        <x:v>0</x:v>
      </x:c>
      <x:c r="L24" s="39" t="n">
        <x:f>COUNTIFS('Armes'!$D$7:$D$10,"Allégation écartée")</x:f>
        <x:v>0</x:v>
      </x:c>
      <x:c r="M24" s="39" t="n">
        <x:f>COUNTIFS('Armes'!$E$7:$E$10,"P0")</x:f>
        <x:v>0</x:v>
      </x:c>
    </x:row>
    <x:row r="25" ht="22" customHeight="1">
      <x:c r="A25" s="2" t="str">
        <x:v>Armures et équipement</x:v>
      </x:c>
      <x:c r="B25" s="40" t="n">
        <x:f>COUNTA('Armures_equipement'!$A$7:$A$8)</x:f>
        <x:v>2</x:v>
      </x:c>
      <x:c r="C25" s="40" t="n">
        <x:f>COUNTIFS('Armures_equipement'!$C$7:$C$8,"Défini")</x:f>
        <x:v>2</x:v>
      </x:c>
      <x:c r="D25" s="40" t="n">
        <x:f>COUNTIFS('Armures_equipement'!$C$7:$C$8,"Prototype")</x:f>
        <x:v>0</x:v>
      </x:c>
      <x:c r="E25" s="40" t="n">
        <x:f>COUNTIFS('Armures_equipement'!$C$7:$C$8,"Intégré")</x:f>
        <x:v>0</x:v>
      </x:c>
      <x:c r="F25" s="40" t="n">
        <x:f>COUNTIFS('Armures_equipement'!$C$7:$C$8,"Validé")</x:f>
        <x:v>0</x:v>
      </x:c>
      <x:c r="G25" s="40" t="n">
        <x:f>COUNTIFS('Armures_equipement'!$D$7:$D$8,"Établi")</x:f>
        <x:v>2</x:v>
      </x:c>
      <x:c r="H25" s="40" t="n">
        <x:f>COUNTIFS('Armures_equipement'!$D$7:$D$8,"À vérifier")</x:f>
        <x:v>0</x:v>
      </x:c>
      <x:c r="I25" s="40" t="n">
        <x:f>COUNTIFS('Armures_equipement'!$D$7:$D$8,"Extrapolation")</x:f>
        <x:v>0</x:v>
      </x:c>
      <x:c r="J25" s="40" t="n">
        <x:f>COUNTIFS('Armures_equipement'!$D$7:$D$8,"Coupé attesté")</x:f>
        <x:v>0</x:v>
      </x:c>
      <x:c r="K25" s="40" t="n">
        <x:f>COUNTIFS('Armures_equipement'!$D$7:$D$8,"Concept abandonné")</x:f>
        <x:v>0</x:v>
      </x:c>
      <x:c r="L25" s="40" t="n">
        <x:f>COUNTIFS('Armures_equipement'!$D$7:$D$8,"Allégation écartée")</x:f>
        <x:v>0</x:v>
      </x:c>
      <x:c r="M25" s="40" t="n">
        <x:f>COUNTIFS('Armures_equipement'!$E$7:$E$8,"P0")</x:f>
        <x:v>0</x:v>
      </x:c>
    </x:row>
    <x:row r="26" ht="22" customHeight="1">
      <x:c r="A26" s="35" t="str">
        <x:v>Pouvoirs</x:v>
      </x:c>
      <x:c r="B26" s="39" t="n">
        <x:f>COUNTA('Pouvoirs'!$A$7:$A$16)</x:f>
        <x:v>10</x:v>
      </x:c>
      <x:c r="C26" s="39" t="n">
        <x:f>COUNTIFS('Pouvoirs'!$C$7:$C$16,"Défini")</x:f>
        <x:v>10</x:v>
      </x:c>
      <x:c r="D26" s="39" t="n">
        <x:f>COUNTIFS('Pouvoirs'!$C$7:$C$16,"Prototype")</x:f>
        <x:v>0</x:v>
      </x:c>
      <x:c r="E26" s="39" t="n">
        <x:f>COUNTIFS('Pouvoirs'!$C$7:$C$16,"Intégré")</x:f>
        <x:v>0</x:v>
      </x:c>
      <x:c r="F26" s="39" t="n">
        <x:f>COUNTIFS('Pouvoirs'!$C$7:$C$16,"Validé")</x:f>
        <x:v>0</x:v>
      </x:c>
      <x:c r="G26" s="39" t="n">
        <x:f>COUNTIFS('Pouvoirs'!$D$7:$D$16,"Établi")</x:f>
        <x:v>0</x:v>
      </x:c>
      <x:c r="H26" s="39" t="n">
        <x:f>COUNTIFS('Pouvoirs'!$D$7:$D$16,"À vérifier")</x:f>
        <x:v>10</x:v>
      </x:c>
      <x:c r="I26" s="39" t="n">
        <x:f>COUNTIFS('Pouvoirs'!$D$7:$D$16,"Extrapolation")</x:f>
        <x:v>0</x:v>
      </x:c>
      <x:c r="J26" s="39" t="n">
        <x:f>COUNTIFS('Pouvoirs'!$D$7:$D$16,"Coupé attesté")</x:f>
        <x:v>0</x:v>
      </x:c>
      <x:c r="K26" s="39" t="n">
        <x:f>COUNTIFS('Pouvoirs'!$D$7:$D$16,"Concept abandonné")</x:f>
        <x:v>0</x:v>
      </x:c>
      <x:c r="L26" s="39" t="n">
        <x:f>COUNTIFS('Pouvoirs'!$D$7:$D$16,"Allégation écartée")</x:f>
        <x:v>0</x:v>
      </x:c>
      <x:c r="M26" s="39" t="n">
        <x:f>COUNTIFS('Pouvoirs'!$E$7:$E$16,"P0")</x:f>
        <x:v>0</x:v>
      </x:c>
    </x:row>
    <x:row r="27" ht="22" customHeight="1">
      <x:c r="A27" s="2" t="str">
        <x:v>Movesets alliés</x:v>
      </x:c>
      <x:c r="B27" s="40" t="n">
        <x:f>COUNTA('Movesets_allies'!$A$7:$A$9)</x:f>
        <x:v>3</x:v>
      </x:c>
      <x:c r="C27" s="40" t="n">
        <x:f>COUNTIFS('Movesets_allies'!$C$7:$C$9,"Défini")</x:f>
        <x:v>3</x:v>
      </x:c>
      <x:c r="D27" s="40" t="n">
        <x:f>COUNTIFS('Movesets_allies'!$C$7:$C$9,"Prototype")</x:f>
        <x:v>0</x:v>
      </x:c>
      <x:c r="E27" s="40" t="n">
        <x:f>COUNTIFS('Movesets_allies'!$C$7:$C$9,"Intégré")</x:f>
        <x:v>0</x:v>
      </x:c>
      <x:c r="F27" s="40" t="n">
        <x:f>COUNTIFS('Movesets_allies'!$C$7:$C$9,"Validé")</x:f>
        <x:v>0</x:v>
      </x:c>
      <x:c r="G27" s="40" t="n">
        <x:f>COUNTIFS('Movesets_allies'!$D$7:$D$9,"Établi")</x:f>
        <x:v>0</x:v>
      </x:c>
      <x:c r="H27" s="40" t="n">
        <x:f>COUNTIFS('Movesets_allies'!$D$7:$D$9,"À vérifier")</x:f>
        <x:v>0</x:v>
      </x:c>
      <x:c r="I27" s="40" t="n">
        <x:f>COUNTIFS('Movesets_allies'!$D$7:$D$9,"Extrapolation")</x:f>
        <x:v>3</x:v>
      </x:c>
      <x:c r="J27" s="40" t="n">
        <x:f>COUNTIFS('Movesets_allies'!$D$7:$D$9,"Coupé attesté")</x:f>
        <x:v>0</x:v>
      </x:c>
      <x:c r="K27" s="40" t="n">
        <x:f>COUNTIFS('Movesets_allies'!$D$7:$D$9,"Concept abandonné")</x:f>
        <x:v>0</x:v>
      </x:c>
      <x:c r="L27" s="40" t="n">
        <x:f>COUNTIFS('Movesets_allies'!$D$7:$D$9,"Allégation écartée")</x:f>
        <x:v>0</x:v>
      </x:c>
      <x:c r="M27" s="40" t="n">
        <x:f>COUNTIFS('Movesets_allies'!$E$7:$E$9,"P0")</x:f>
        <x:v>0</x:v>
      </x:c>
    </x:row>
    <x:row r="28" ht="22" customHeight="1">
      <x:c r="A28" s="35" t="str">
        <x:v>Movesets ennemis</x:v>
      </x:c>
      <x:c r="B28" s="39" t="n">
        <x:f>COUNTA('Movesets_ennemis'!$A$7:$A$13)</x:f>
        <x:v>7</x:v>
      </x:c>
      <x:c r="C28" s="39" t="n">
        <x:f>COUNTIFS('Movesets_ennemis'!$C$7:$C$13,"Défini")</x:f>
        <x:v>7</x:v>
      </x:c>
      <x:c r="D28" s="39" t="n">
        <x:f>COUNTIFS('Movesets_ennemis'!$C$7:$C$13,"Prototype")</x:f>
        <x:v>0</x:v>
      </x:c>
      <x:c r="E28" s="39" t="n">
        <x:f>COUNTIFS('Movesets_ennemis'!$C$7:$C$13,"Intégré")</x:f>
        <x:v>0</x:v>
      </x:c>
      <x:c r="F28" s="39" t="n">
        <x:f>COUNTIFS('Movesets_ennemis'!$C$7:$C$13,"Validé")</x:f>
        <x:v>0</x:v>
      </x:c>
      <x:c r="G28" s="39" t="n">
        <x:f>COUNTIFS('Movesets_ennemis'!$D$7:$D$13,"Établi")</x:f>
        <x:v>0</x:v>
      </x:c>
      <x:c r="H28" s="39" t="n">
        <x:f>COUNTIFS('Movesets_ennemis'!$D$7:$D$13,"À vérifier")</x:f>
        <x:v>0</x:v>
      </x:c>
      <x:c r="I28" s="39" t="n">
        <x:f>COUNTIFS('Movesets_ennemis'!$D$7:$D$13,"Extrapolation")</x:f>
        <x:v>7</x:v>
      </x:c>
      <x:c r="J28" s="39" t="n">
        <x:f>COUNTIFS('Movesets_ennemis'!$D$7:$D$13,"Coupé attesté")</x:f>
        <x:v>0</x:v>
      </x:c>
      <x:c r="K28" s="39" t="n">
        <x:f>COUNTIFS('Movesets_ennemis'!$D$7:$D$13,"Concept abandonné")</x:f>
        <x:v>0</x:v>
      </x:c>
      <x:c r="L28" s="39" t="n">
        <x:f>COUNTIFS('Movesets_ennemis'!$D$7:$D$13,"Allégation écartée")</x:f>
        <x:v>0</x:v>
      </x:c>
      <x:c r="M28" s="39" t="n">
        <x:f>COUNTIFS('Movesets_ennemis'!$E$7:$E$13,"P0")</x:f>
        <x:v>0</x:v>
      </x:c>
    </x:row>
    <x:row r="29" ht="22" customHeight="1">
      <x:c r="A29" s="2" t="str">
        <x:v>Animations</x:v>
      </x:c>
      <x:c r="B29" s="40" t="n">
        <x:f>COUNTA('Animations'!$A$7:$A$8)</x:f>
        <x:v>2</x:v>
      </x:c>
      <x:c r="C29" s="40" t="n">
        <x:f>COUNTIFS('Animations'!$C$7:$C$8,"Défini")</x:f>
        <x:v>2</x:v>
      </x:c>
      <x:c r="D29" s="40" t="n">
        <x:f>COUNTIFS('Animations'!$C$7:$C$8,"Prototype")</x:f>
        <x:v>0</x:v>
      </x:c>
      <x:c r="E29" s="40" t="n">
        <x:f>COUNTIFS('Animations'!$C$7:$C$8,"Intégré")</x:f>
        <x:v>0</x:v>
      </x:c>
      <x:c r="F29" s="40" t="n">
        <x:f>COUNTIFS('Animations'!$C$7:$C$8,"Validé")</x:f>
        <x:v>0</x:v>
      </x:c>
      <x:c r="G29" s="40" t="n">
        <x:f>COUNTIFS('Animations'!$D$7:$D$8,"Établi")</x:f>
        <x:v>0</x:v>
      </x:c>
      <x:c r="H29" s="40" t="n">
        <x:f>COUNTIFS('Animations'!$D$7:$D$8,"À vérifier")</x:f>
        <x:v>0</x:v>
      </x:c>
      <x:c r="I29" s="40" t="n">
        <x:f>COUNTIFS('Animations'!$D$7:$D$8,"Extrapolation")</x:f>
        <x:v>2</x:v>
      </x:c>
      <x:c r="J29" s="40" t="n">
        <x:f>COUNTIFS('Animations'!$D$7:$D$8,"Coupé attesté")</x:f>
        <x:v>0</x:v>
      </x:c>
      <x:c r="K29" s="40" t="n">
        <x:f>COUNTIFS('Animations'!$D$7:$D$8,"Concept abandonné")</x:f>
        <x:v>0</x:v>
      </x:c>
      <x:c r="L29" s="40" t="n">
        <x:f>COUNTIFS('Animations'!$D$7:$D$8,"Allégation écartée")</x:f>
        <x:v>0</x:v>
      </x:c>
      <x:c r="M29" s="40" t="n">
        <x:f>COUNTIFS('Animations'!$E$7:$E$8,"P0")</x:f>
        <x:v>0</x:v>
      </x:c>
    </x:row>
    <x:row r="30" ht="22" customHeight="1">
      <x:c r="A30" s="35" t="str">
        <x:v>Sprites</x:v>
      </x:c>
      <x:c r="B30" s="39" t="n">
        <x:f>COUNTA('Sprites'!$A$7:$A$18)</x:f>
        <x:v>12</x:v>
      </x:c>
      <x:c r="C30" s="39" t="n">
        <x:f>COUNTIFS('Sprites'!$C$7:$C$18,"Défini")</x:f>
        <x:v>12</x:v>
      </x:c>
      <x:c r="D30" s="39" t="n">
        <x:f>COUNTIFS('Sprites'!$C$7:$C$18,"Prototype")</x:f>
        <x:v>0</x:v>
      </x:c>
      <x:c r="E30" s="39" t="n">
        <x:f>COUNTIFS('Sprites'!$C$7:$C$18,"Intégré")</x:f>
        <x:v>0</x:v>
      </x:c>
      <x:c r="F30" s="39" t="n">
        <x:f>COUNTIFS('Sprites'!$C$7:$C$18,"Validé")</x:f>
        <x:v>0</x:v>
      </x:c>
      <x:c r="G30" s="39" t="n">
        <x:f>COUNTIFS('Sprites'!$D$7:$D$18,"Établi")</x:f>
        <x:v>0</x:v>
      </x:c>
      <x:c r="H30" s="39" t="n">
        <x:f>COUNTIFS('Sprites'!$D$7:$D$18,"À vérifier")</x:f>
        <x:v>0</x:v>
      </x:c>
      <x:c r="I30" s="39" t="n">
        <x:f>COUNTIFS('Sprites'!$D$7:$D$18,"Extrapolation")</x:f>
        <x:v>12</x:v>
      </x:c>
      <x:c r="J30" s="39" t="n">
        <x:f>COUNTIFS('Sprites'!$D$7:$D$18,"Coupé attesté")</x:f>
        <x:v>0</x:v>
      </x:c>
      <x:c r="K30" s="39" t="n">
        <x:f>COUNTIFS('Sprites'!$D$7:$D$18,"Concept abandonné")</x:f>
        <x:v>0</x:v>
      </x:c>
      <x:c r="L30" s="39" t="n">
        <x:f>COUNTIFS('Sprites'!$D$7:$D$18,"Allégation écartée")</x:f>
        <x:v>0</x:v>
      </x:c>
      <x:c r="M30" s="39" t="n">
        <x:f>COUNTIFS('Sprites'!$E$7:$E$18,"P0")</x:f>
        <x:v>1</x:v>
      </x:c>
    </x:row>
    <x:row r="31" ht="22" customHeight="1">
      <x:c r="A31" s="2" t="str">
        <x:v>VFX</x:v>
      </x:c>
      <x:c r="B31" s="40" t="n">
        <x:f>COUNTA('VFX'!$A$7:$A$8)</x:f>
        <x:v>2</x:v>
      </x:c>
      <x:c r="C31" s="40" t="n">
        <x:f>COUNTIFS('VFX'!$C$7:$C$8,"Défini")</x:f>
        <x:v>2</x:v>
      </x:c>
      <x:c r="D31" s="40" t="n">
        <x:f>COUNTIFS('VFX'!$C$7:$C$8,"Prototype")</x:f>
        <x:v>0</x:v>
      </x:c>
      <x:c r="E31" s="40" t="n">
        <x:f>COUNTIFS('VFX'!$C$7:$C$8,"Intégré")</x:f>
        <x:v>0</x:v>
      </x:c>
      <x:c r="F31" s="40" t="n">
        <x:f>COUNTIFS('VFX'!$C$7:$C$8,"Validé")</x:f>
        <x:v>0</x:v>
      </x:c>
      <x:c r="G31" s="40" t="n">
        <x:f>COUNTIFS('VFX'!$D$7:$D$8,"Établi")</x:f>
        <x:v>0</x:v>
      </x:c>
      <x:c r="H31" s="40" t="n">
        <x:f>COUNTIFS('VFX'!$D$7:$D$8,"À vérifier")</x:f>
        <x:v>0</x:v>
      </x:c>
      <x:c r="I31" s="40" t="n">
        <x:f>COUNTIFS('VFX'!$D$7:$D$8,"Extrapolation")</x:f>
        <x:v>2</x:v>
      </x:c>
      <x:c r="J31" s="40" t="n">
        <x:f>COUNTIFS('VFX'!$D$7:$D$8,"Coupé attesté")</x:f>
        <x:v>0</x:v>
      </x:c>
      <x:c r="K31" s="40" t="n">
        <x:f>COUNTIFS('VFX'!$D$7:$D$8,"Concept abandonné")</x:f>
        <x:v>0</x:v>
      </x:c>
      <x:c r="L31" s="40" t="n">
        <x:f>COUNTIFS('VFX'!$D$7:$D$8,"Allégation écartée")</x:f>
        <x:v>0</x:v>
      </x:c>
      <x:c r="M31" s="40" t="n">
        <x:f>COUNTIFS('VFX'!$E$7:$E$8,"P0")</x:f>
        <x:v>0</x:v>
      </x:c>
    </x:row>
    <x:row r="32" ht="22" customHeight="1">
      <x:c r="A32" s="35" t="str">
        <x:v>Audio</x:v>
      </x:c>
      <x:c r="B32" s="39" t="n">
        <x:f>COUNTA('Audio'!$A$7:$A$8)</x:f>
        <x:v>2</x:v>
      </x:c>
      <x:c r="C32" s="39" t="n">
        <x:f>COUNTIFS('Audio'!$C$7:$C$8,"Défini")</x:f>
        <x:v>2</x:v>
      </x:c>
      <x:c r="D32" s="39" t="n">
        <x:f>COUNTIFS('Audio'!$C$7:$C$8,"Prototype")</x:f>
        <x:v>0</x:v>
      </x:c>
      <x:c r="E32" s="39" t="n">
        <x:f>COUNTIFS('Audio'!$C$7:$C$8,"Intégré")</x:f>
        <x:v>0</x:v>
      </x:c>
      <x:c r="F32" s="39" t="n">
        <x:f>COUNTIFS('Audio'!$C$7:$C$8,"Validé")</x:f>
        <x:v>0</x:v>
      </x:c>
      <x:c r="G32" s="39" t="n">
        <x:f>COUNTIFS('Audio'!$D$7:$D$8,"Établi")</x:f>
        <x:v>0</x:v>
      </x:c>
      <x:c r="H32" s="39" t="n">
        <x:f>COUNTIFS('Audio'!$D$7:$D$8,"À vérifier")</x:f>
        <x:v>0</x:v>
      </x:c>
      <x:c r="I32" s="39" t="n">
        <x:f>COUNTIFS('Audio'!$D$7:$D$8,"Extrapolation")</x:f>
        <x:v>2</x:v>
      </x:c>
      <x:c r="J32" s="39" t="n">
        <x:f>COUNTIFS('Audio'!$D$7:$D$8,"Coupé attesté")</x:f>
        <x:v>0</x:v>
      </x:c>
      <x:c r="K32" s="39" t="n">
        <x:f>COUNTIFS('Audio'!$D$7:$D$8,"Concept abandonné")</x:f>
        <x:v>0</x:v>
      </x:c>
      <x:c r="L32" s="39" t="n">
        <x:f>COUNTIFS('Audio'!$D$7:$D$8,"Allégation écartée")</x:f>
        <x:v>0</x:v>
      </x:c>
      <x:c r="M32" s="39" t="n">
        <x:f>COUNTIFS('Audio'!$E$7:$E$8,"P0")</x:f>
        <x:v>0</x:v>
      </x:c>
    </x:row>
    <x:row r="33" ht="22" customHeight="1">
      <x:c r="A33" s="2" t="str">
        <x:v>Systèmes et UI</x:v>
      </x:c>
      <x:c r="B33" s="40" t="n">
        <x:f>COUNTA('UI_systemes'!$A$7:$A$11)</x:f>
        <x:v>5</x:v>
      </x:c>
      <x:c r="C33" s="40" t="n">
        <x:f>COUNTIFS('UI_systemes'!$C$7:$C$11,"Défini")</x:f>
        <x:v>5</x:v>
      </x:c>
      <x:c r="D33" s="40" t="n">
        <x:f>COUNTIFS('UI_systemes'!$C$7:$C$11,"Prototype")</x:f>
        <x:v>0</x:v>
      </x:c>
      <x:c r="E33" s="40" t="n">
        <x:f>COUNTIFS('UI_systemes'!$C$7:$C$11,"Intégré")</x:f>
        <x:v>0</x:v>
      </x:c>
      <x:c r="F33" s="40" t="n">
        <x:f>COUNTIFS('UI_systemes'!$C$7:$C$11,"Validé")</x:f>
        <x:v>0</x:v>
      </x:c>
      <x:c r="G33" s="40" t="n">
        <x:f>COUNTIFS('UI_systemes'!$D$7:$D$11,"Établi")</x:f>
        <x:v>0</x:v>
      </x:c>
      <x:c r="H33" s="40" t="n">
        <x:f>COUNTIFS('UI_systemes'!$D$7:$D$11,"À vérifier")</x:f>
        <x:v>0</x:v>
      </x:c>
      <x:c r="I33" s="40" t="n">
        <x:f>COUNTIFS('UI_systemes'!$D$7:$D$11,"Extrapolation")</x:f>
        <x:v>5</x:v>
      </x:c>
      <x:c r="J33" s="40" t="n">
        <x:f>COUNTIFS('UI_systemes'!$D$7:$D$11,"Coupé attesté")</x:f>
        <x:v>0</x:v>
      </x:c>
      <x:c r="K33" s="40" t="n">
        <x:f>COUNTIFS('UI_systemes'!$D$7:$D$11,"Concept abandonné")</x:f>
        <x:v>0</x:v>
      </x:c>
      <x:c r="L33" s="40" t="n">
        <x:f>COUNTIFS('UI_systemes'!$D$7:$D$11,"Allégation écartée")</x:f>
        <x:v>0</x:v>
      </x:c>
      <x:c r="M33" s="40" t="n">
        <x:f>COUNTIFS('UI_systemes'!$E$7:$E$11,"P0")</x:f>
        <x:v>5</x:v>
      </x:c>
    </x:row>
    <x:row r="34" ht="22" customHeight="1">
      <x:c r="A34" s="35" t="str">
        <x:v>QA</x:v>
      </x:c>
      <x:c r="B34" s="39" t="n">
        <x:f>COUNTA('QA'!$A$7:$A$11)</x:f>
        <x:v>5</x:v>
      </x:c>
      <x:c r="C34" s="39" t="n">
        <x:f>COUNTIFS('QA'!$C$7:$C$11,"Défini")</x:f>
        <x:v>5</x:v>
      </x:c>
      <x:c r="D34" s="39" t="n">
        <x:f>COUNTIFS('QA'!$C$7:$C$11,"Prototype")</x:f>
        <x:v>0</x:v>
      </x:c>
      <x:c r="E34" s="39" t="n">
        <x:f>COUNTIFS('QA'!$C$7:$C$11,"Intégré")</x:f>
        <x:v>0</x:v>
      </x:c>
      <x:c r="F34" s="39" t="n">
        <x:f>COUNTIFS('QA'!$C$7:$C$11,"Validé")</x:f>
        <x:v>0</x:v>
      </x:c>
      <x:c r="G34" s="39" t="n">
        <x:f>COUNTIFS('QA'!$D$7:$D$11,"Établi")</x:f>
        <x:v>0</x:v>
      </x:c>
      <x:c r="H34" s="39" t="n">
        <x:f>COUNTIFS('QA'!$D$7:$D$11,"À vérifier")</x:f>
        <x:v>0</x:v>
      </x:c>
      <x:c r="I34" s="39" t="n">
        <x:f>COUNTIFS('QA'!$D$7:$D$11,"Extrapolation")</x:f>
        <x:v>5</x:v>
      </x:c>
      <x:c r="J34" s="39" t="n">
        <x:f>COUNTIFS('QA'!$D$7:$D$11,"Coupé attesté")</x:f>
        <x:v>0</x:v>
      </x:c>
      <x:c r="K34" s="39" t="n">
        <x:f>COUNTIFS('QA'!$D$7:$D$11,"Concept abandonné")</x:f>
        <x:v>0</x:v>
      </x:c>
      <x:c r="L34" s="39" t="n">
        <x:f>COUNTIFS('QA'!$D$7:$D$11,"Allégation écartée")</x:f>
        <x:v>0</x:v>
      </x:c>
      <x:c r="M34" s="39" t="n">
        <x:f>COUNTIFS('QA'!$E$7:$E$11,"P0")</x:f>
        <x:v>5</x:v>
      </x:c>
    </x:row>
    <x:row r="35" ht="22" customHeight="1">
      <x:c r="A35" s="2" t="str">
        <x:v>Continuité</x:v>
      </x:c>
      <x:c r="B35" s="40" t="n">
        <x:f>COUNTA('Continuite'!$A$7:$A$8)</x:f>
        <x:v>2</x:v>
      </x:c>
      <x:c r="C35" s="40" t="n">
        <x:f>COUNTIFS('Continuite'!$C$7:$C$8,"Défini")</x:f>
        <x:v>2</x:v>
      </x:c>
      <x:c r="D35" s="40" t="n">
        <x:f>COUNTIFS('Continuite'!$C$7:$C$8,"Prototype")</x:f>
        <x:v>0</x:v>
      </x:c>
      <x:c r="E35" s="40" t="n">
        <x:f>COUNTIFS('Continuite'!$C$7:$C$8,"Intégré")</x:f>
        <x:v>0</x:v>
      </x:c>
      <x:c r="F35" s="40" t="n">
        <x:f>COUNTIFS('Continuite'!$C$7:$C$8,"Validé")</x:f>
        <x:v>0</x:v>
      </x:c>
      <x:c r="G35" s="40" t="n">
        <x:f>COUNTIFS('Continuite'!$D$7:$D$8,"Établi")</x:f>
        <x:v>0</x:v>
      </x:c>
      <x:c r="H35" s="40" t="n">
        <x:f>COUNTIFS('Continuite'!$D$7:$D$8,"À vérifier")</x:f>
        <x:v>0</x:v>
      </x:c>
      <x:c r="I35" s="40" t="n">
        <x:f>COUNTIFS('Continuite'!$D$7:$D$8,"Extrapolation")</x:f>
        <x:v>2</x:v>
      </x:c>
      <x:c r="J35" s="40" t="n">
        <x:f>COUNTIFS('Continuite'!$D$7:$D$8,"Coupé attesté")</x:f>
        <x:v>0</x:v>
      </x:c>
      <x:c r="K35" s="40" t="n">
        <x:f>COUNTIFS('Continuite'!$D$7:$D$8,"Concept abandonné")</x:f>
        <x:v>0</x:v>
      </x:c>
      <x:c r="L35" s="40" t="n">
        <x:f>COUNTIFS('Continuite'!$D$7:$D$8,"Allégation écartée")</x:f>
        <x:v>0</x:v>
      </x:c>
      <x:c r="M35" s="40" t="n">
        <x:f>COUNTIFS('Continuite'!$E$7:$E$8,"P0")</x:f>
        <x:v>0</x:v>
      </x:c>
    </x:row>
    <x:row r="36" ht="22" customHeight="1">
      <x:c r="A36" s="2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</x:row>
    <x:row r="37" ht="28" customHeight="1">
      <x:c r="A37" s="23" t="str">
        <x:v>TOTAL</x:v>
      </x:c>
      <x:c r="B37" s="41" t="n">
        <x:f>SUM(B10:B35)</x:f>
        <x:v>109</x:v>
      </x:c>
      <x:c r="C37" s="41" t="n">
        <x:f>SUM(C10:C35)</x:f>
        <x:v>108</x:v>
      </x:c>
      <x:c r="D37" s="41" t="n">
        <x:f>SUM(D10:D35)</x:f>
        <x:v>1</x:v>
      </x:c>
      <x:c r="E37" s="41" t="n">
        <x:f>SUM(E10:E35)</x:f>
        <x:v>0</x:v>
      </x:c>
      <x:c r="F37" s="41" t="n">
        <x:f>SUM(F10:F35)</x:f>
        <x:v>0</x:v>
      </x:c>
      <x:c r="G37" s="41" t="n">
        <x:f>SUM(G10:G35)</x:f>
        <x:v>37</x:v>
      </x:c>
      <x:c r="H37" s="41" t="n">
        <x:f>SUM(H10:H35)</x:f>
        <x:v>10</x:v>
      </x:c>
      <x:c r="I37" s="41" t="n">
        <x:f>SUM(I10:I35)</x:f>
        <x:v>62</x:v>
      </x:c>
      <x:c r="J37" s="41" t="n">
        <x:f>SUM(J10:J35)</x:f>
        <x:v>0</x:v>
      </x:c>
      <x:c r="K37" s="41" t="n">
        <x:f>SUM(K10:K35)</x:f>
        <x:v>0</x:v>
      </x:c>
      <x:c r="L37" s="41" t="n">
        <x:f>SUM(L10:L35)</x:f>
        <x:v>0</x:v>
      </x:c>
      <x:c r="M37" s="41" t="n">
        <x:f>SUM(M10:M35)</x:f>
        <x:v>21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2" t="str">
        <x:v>Les compteurs mesurent les fiches présentes, pas un pourcentage d’exhaustivité ou de réalisation.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2" t="str">
        <x:v>Périmètre, sources, incertitudes et méthode de suivi : voir Guide.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24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Personnages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Identités et fonctions dans l’œuvre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68" customHeight="1">
      <x:c r="A7" s="18" t="str">
        <x:v>INF-CHR-RANDALL</x:v>
      </x:c>
      <x:c r="B7" s="9" t="str">
        <x:v>Randall Ezno</x:v>
      </x:c>
      <x:c r="C7" s="15" t="str">
        <x:v>Prototype</x:v>
      </x:c>
      <x:c r="D7" s="16" t="str">
        <x:v>Établi</x:v>
      </x:c>
      <x:c r="E7" s="16" t="str">
        <x:v>P1</x:v>
      </x:c>
      <x:c r="F7" s="9" t="str">
        <x:v>Agent de Cerberus puis fugitif.</x:v>
      </x:c>
      <x:c r="G7" s="9" t="str">
        <x:v>Protagoniste solo, arsenal et implants évolutifs.</x:v>
      </x:c>
      <x:c r="H7" s="9" t="str">
        <x:v>Rôle et règles ATB définis dans les movesets associés.</x:v>
      </x:c>
      <x:c r="I7" s="9" t="str">
        <x:v>Proposition : armure segmentée gris clair, marquages Cerberus à contrôler, implants visibles au portrait.</x:v>
      </x:c>
      <x:c r="J7" s="9" t="str"/>
      <x:c r="K7" s="9" t="str"/>
      <x:c r="L7" s="9" t="str">
        <x:v>Prototype Chroniques : src/universe-actors.js, src/chronicles.js. Identifiant runtime INF-CHR-RANDALL ; contexte d’œuvre/segment et sélection de scène obligatoires.</x:v>
      </x:c>
      <x:c r="M7" s="9" t="str"/>
      <x:c r="N7" s="9" t="str">
        <x:v>La fiche distingue identité de référence et rôle proposé.</x:v>
      </x:c>
      <x:c r="O7" s="9" t="str"/>
      <x:c r="P7" s="9" t="str">
        <x:v>Personnages</x:v>
      </x:c>
      <x:c r="Q7" s="9" t="str">
        <x:v>INF-WIKI</x:v>
      </x:c>
      <x:c r="R7" s="20" t="str">
        <x:v>https://masseffect.fandom.com/wiki/Mass_Effect:_Infiltrator</x:v>
      </x:c>
      <x:c r="S7" s="20" t="str">
        <x:v>Costume exact à contrôler sur les images originales avant validation 1:1. Prototype partiel disponible dans les Chroniques indépendantes : profil ATB sans portrait, sprite ou moveset complet ; pouvoirs non implémentés signalés. Aucun transfert vers ME1 ni validation 1:1.</x:v>
      </x:c>
    </x:row>
    <x:row r="8" ht="44" customHeight="1">
      <x:c r="A8" s="19" t="str">
        <x:v>INF-CHR-TURIAN</x:v>
      </x:c>
      <x:c r="B8" s="7" t="str">
        <x:v>Prisonnier turien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Personnage jouable de la mission bonus.</x:v>
      </x:c>
      <x:c r="G8" s="7" t="str">
        <x:v>Chapitre isolé avec arsenal et ressources limités.</x:v>
      </x:c>
      <x:c r="H8" s="7" t="str">
        <x:v>Rôle et règles ATB définis dans les movesets associés.</x:v>
      </x:c>
      <x:c r="I8" s="7" t="str">
        <x:v>Crête turienne, jambes digitigrades, tenue de sujet d’expérience à relever.</x:v>
      </x:c>
      <x:c r="J8" s="7" t="str"/>
      <x:c r="K8" s="7" t="str"/>
      <x:c r="L8" s="7" t="str"/>
      <x:c r="M8" s="7" t="str"/>
      <x:c r="N8" s="7" t="str">
        <x:v>La fiche distingue identité de référence et rôle proposé.</x:v>
      </x:c>
      <x:c r="O8" s="7" t="str"/>
      <x:c r="P8" s="7" t="str">
        <x:v>Personnages</x:v>
      </x:c>
      <x:c r="Q8" s="7" t="str">
        <x:v>INF-WIKI</x:v>
      </x:c>
      <x:c r="R8" s="21" t="str">
        <x:v>https://masseffect.fandom.com/wiki/Mass_Effect:_Infiltrator</x:v>
      </x:c>
      <x:c r="S8" s="21" t="str">
        <x:v>Costume exact à contrôler sur les images originales avant validation 1:1.</x:v>
      </x:c>
    </x:row>
  </x:sheetData>
  <x:conditionalFormatting sqref="D7:D8">
    <x:cfRule type="cellIs" dxfId="0" priority="1" operator="equal">
      <x:formula>"À vérifier"</x:formula>
    </x:cfRule>
    <x:cfRule type="cellIs" dxfId="1" priority="2" operator="equal">
      <x:formula>"Extrapolation"</x:formula>
    </x:cfRule>
  </x:conditionalFormatting>
  <x:conditionalFormatting sqref="C7:C8">
    <x:cfRule type="cellIs" dxfId="2" priority="3" operator="equal">
      <x:formula>"Validé"</x:formula>
    </x:cfRule>
  </x:conditionalFormatting>
  <x:conditionalFormatting sqref="E7:E8">
    <x:cfRule type="cellIs" dxfId="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a1735513a44bf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PNJ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Personnages de rencontre et services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INF-NPC-INALI</x:v>
      </x:c>
      <x:c r="B7" s="9" t="str">
        <x:v>Inali Renata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Interlocutrice de Randall.</x:v>
      </x:c>
      <x:c r="G7" s="9" t="str">
        <x:v>Portrait calme puis variante altérée selon la progression.</x:v>
      </x:c>
      <x:c r="H7" s="9" t="str"/>
      <x:c r="I7" s="9" t="str">
        <x:v>Uniforme et prothèses à relever dans les cinématiques.</x:v>
      </x:c>
      <x:c r="J7" s="9" t="str"/>
      <x:c r="K7" s="9" t="str"/>
      <x:c r="L7" s="9" t="str"/>
      <x:c r="M7" s="9" t="str"/>
      <x:c r="N7" s="9" t="str">
        <x:v>Aucune variante finale visible avant le chapitre concerné.</x:v>
      </x:c>
      <x:c r="O7" s="9" t="str"/>
      <x:c r="P7" s="9" t="str">
        <x:v>Conception du fan game</x:v>
      </x:c>
      <x:c r="Q7" s="9" t="str">
        <x:v>INF-WIKI</x:v>
      </x:c>
      <x:c r="R7" s="20" t="str">
        <x:v>https://masseffect.fandom.com/wiki/Mass_Effect:_Infiltrator</x:v>
      </x:c>
      <x:c r="S7" s="20" t="str"/>
    </x:row>
    <x:row r="8" ht="44" customHeight="1">
      <x:c r="A8" s="19" t="str">
        <x:v>INF-NPC-DIRECTOR</x:v>
      </x:c>
      <x:c r="B8" s="7" t="str">
        <x:v>Le Directeur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Responsable du Barn.</x:v>
      </x:c>
      <x:c r="G8" s="7" t="str">
        <x:v>Antagoniste transmis à distance.</x:v>
      </x:c>
      <x:c r="H8" s="7" t="str">
        <x:v>Ne pas ajouter un duel physique présenté comme officiel.</x:v>
      </x:c>
      <x:c r="I8" s="7" t="str">
        <x:v>Écrans et cadrage froid proposés.</x:v>
      </x:c>
      <x:c r="J8" s="7" t="str"/>
      <x:c r="K8" s="7" t="str"/>
      <x:c r="L8" s="7" t="str"/>
      <x:c r="M8" s="7" t="str"/>
      <x:c r="N8" s="7" t="str">
        <x:v>La présence du Directeur conserve sa fonction narrative.</x:v>
      </x:c>
      <x:c r="O8" s="7" t="str"/>
      <x:c r="P8" s="7" t="str">
        <x:v>Conception du fan game</x:v>
      </x:c>
      <x:c r="Q8" s="7" t="str">
        <x:v>INF-WIKI</x:v>
      </x:c>
      <x:c r="R8" s="21" t="str">
        <x:v>https://masseffect.fandom.com/wiki/Mass_Effect:_Infiltrator</x:v>
      </x:c>
      <x:c r="S8" s="21" t="str"/>
    </x:row>
    <x:row r="9" ht="44" customHeight="1">
      <x:c r="A9" s="18" t="str">
        <x:v>INF-NPC-VOLUS</x:v>
      </x:c>
      <x:c r="B9" s="9" t="str">
        <x:v>Allié volus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Contact de Randall pendant sa fuite.</x:v>
      </x:c>
      <x:c r="G9" s="9" t="str">
        <x:v>Relais radio et indications de progression.</x:v>
      </x:c>
      <x:c r="H9" s="9" t="str"/>
      <x:c r="I9" s="9" t="str">
        <x:v>Combinaison pressurisée, portrait masqué.</x:v>
      </x:c>
      <x:c r="J9" s="9" t="str"/>
      <x:c r="K9" s="9" t="str"/>
      <x:c r="L9" s="9" t="str"/>
      <x:c r="M9" s="9" t="str"/>
      <x:c r="N9" s="9" t="str">
        <x:v>Sa voix possède un sous-titre et n’occulte pas les alertes.</x:v>
      </x:c>
      <x:c r="O9" s="9" t="str"/>
      <x:c r="P9" s="9" t="str">
        <x:v>Conception du fan game</x:v>
      </x:c>
      <x:c r="Q9" s="9" t="str">
        <x:v>INF-WIKI</x:v>
      </x:c>
      <x:c r="R9" s="20" t="str">
        <x:v>https://masseffect.fandom.com/wiki/Mass_Effect:_Infiltrator</x:v>
      </x:c>
      <x:c r="S9" s="20" t="str"/>
    </x:row>
  </x:sheetData>
  <x:conditionalFormatting sqref="D7:D9">
    <x:cfRule type="cellIs" dxfId="4" priority="1" operator="equal">
      <x:formula>"À vérifier"</x:formula>
    </x:cfRule>
    <x:cfRule type="cellIs" dxfId="5" priority="2" operator="equal">
      <x:formula>"Extrapolation"</x:formula>
    </x:cfRule>
  </x:conditionalFormatting>
  <x:conditionalFormatting sqref="C7:C9">
    <x:cfRule type="cellIs" dxfId="6" priority="3" operator="equal">
      <x:formula>"Validé"</x:formula>
    </x:cfRule>
  </x:conditionalFormatting>
  <x:conditionalFormatting sqref="E7:E9">
    <x:cfRule type="cellIs" dxfId="7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45ef2eb719433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Espèces et factions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Espèces, organisations et règles culturelles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INF-LOR-CERBERUS</x:v>
      </x:c>
      <x:c r="B7" s="9" t="str">
        <x:v>Cerberus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Organisation au centre du conflit.</x:v>
      </x:c>
      <x:c r="G7" s="9" t="str">
        <x:v>Dossiers synthétiques débloqués par preuves.</x:v>
      </x:c>
      <x:c r="H7" s="9" t="str">
        <x:v>Séparer croyances de Randall et faits établis.</x:v>
      </x:c>
      <x:c r="I7" s="9" t="str">
        <x:v>Emblèmes uniquement après vérification graphique.</x:v>
      </x:c>
      <x:c r="J7" s="9" t="str"/>
      <x:c r="K7" s="9" t="str"/>
      <x:c r="L7" s="9" t="str"/>
      <x:c r="M7" s="9" t="str"/>
      <x:c r="N7" s="9" t="str">
        <x:v>Le codex indique la provenance des informations.</x:v>
      </x:c>
      <x:c r="O7" s="9" t="str"/>
      <x:c r="P7" s="9" t="str">
        <x:v>Conception du fan game</x:v>
      </x:c>
      <x:c r="Q7" s="9" t="str">
        <x:v>INF-OFFICIAL</x:v>
      </x:c>
      <x:c r="R7" s="20" t="str">
        <x:v>https://koolhausgames.com/portfolio/mass-effect-3/</x:v>
      </x:c>
      <x:c r="S7" s="20" t="str"/>
    </x:row>
    <x:row r="8" ht="44" customHeight="1">
      <x:c r="A8" s="19" t="str">
        <x:v>INF-LOR-EXPERIMENT</x:v>
      </x:c>
      <x:c r="B8" s="7" t="str">
        <x:v>Expérimentation et implants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Thème de la campagne.</x:v>
      </x:c>
      <x:c r="G8" s="7" t="str">
        <x:v>Expliquer les effets via des situations de jeu.</x:v>
      </x:c>
      <x:c r="H8" s="7" t="str">
        <x:v>Les surcharges d’implants proposées sont des handicaps temporaires, pas un diagnostic.</x:v>
      </x:c>
      <x:c r="I8" s="7" t="str">
        <x:v>Interface neurale en arcs fragmentés.</x:v>
      </x:c>
      <x:c r="J8" s="7" t="str"/>
      <x:c r="K8" s="7" t="str"/>
      <x:c r="L8" s="7" t="str"/>
      <x:c r="M8" s="7" t="str"/>
      <x:c r="N8" s="7" t="str">
        <x:v>Le tutoriel distingue pouvoir acquis et effet narratif.</x:v>
      </x:c>
      <x:c r="O8" s="7" t="str"/>
      <x:c r="P8" s="7" t="str">
        <x:v>Conception du fan game</x:v>
      </x:c>
      <x:c r="Q8" s="7" t="str">
        <x:v>INF-WIKI</x:v>
      </x:c>
      <x:c r="R8" s="21" t="str">
        <x:v>https://masseffect.fandom.com/wiki/Mass_Effect:_Infiltrator</x:v>
      </x:c>
      <x:c r="S8" s="21" t="str"/>
    </x:row>
  </x:sheetData>
  <x:conditionalFormatting sqref="D7:D8">
    <x:cfRule type="cellIs" dxfId="8" priority="1" operator="equal">
      <x:formula>"À vérifier"</x:formula>
    </x:cfRule>
    <x:cfRule type="cellIs" dxfId="9" priority="2" operator="equal">
      <x:formula>"Extrapolation"</x:formula>
    </x:cfRule>
  </x:conditionalFormatting>
  <x:conditionalFormatting sqref="C7:C8">
    <x:cfRule type="cellIs" dxfId="10" priority="3" operator="equal">
      <x:formula>"Validé"</x:formula>
    </x:cfRule>
  </x:conditionalFormatting>
  <x:conditionalFormatting sqref="E7:E8">
    <x:cfRule type="cellIs" dxfId="11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6244832880462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Mondes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Destinations et identité environnementale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INF-LOC-ICE</x:v>
      </x:c>
      <x:c r="B7" s="9" t="str">
        <x:v>Ice Giant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Destination du début.</x:v>
      </x:c>
      <x:c r="G7" s="9" t="str">
        <x:v>Destination de la campagne adaptée.</x:v>
      </x:c>
      <x:c r="H7" s="9" t="str">
        <x:v>Rafales de vent annoncées ; couverts abrités.</x:v>
      </x:c>
      <x:c r="I7" s="9" t="str">
        <x:v>Bleu glacial, neige basse, silhouettes industrielles sombres.</x:v>
      </x:c>
      <x:c r="J7" s="9" t="str"/>
      <x:c r="K7" s="9" t="str"/>
      <x:c r="L7" s="9" t="str"/>
      <x:c r="M7" s="9" t="str"/>
      <x:c r="N7" s="9" t="str">
        <x:v>La destination se distingue de ses sous-zones et possède une référence.</x:v>
      </x:c>
      <x:c r="O7" s="9" t="str"/>
      <x:c r="P7" s="9" t="str">
        <x:v>Lieux</x:v>
      </x:c>
      <x:c r="Q7" s="9" t="str">
        <x:v>INF-WIKI</x:v>
      </x:c>
      <x:c r="R7" s="20" t="str">
        <x:v>https://masseffect.fandom.com/wiki/Mass_Effect:_Infiltrator</x:v>
      </x:c>
      <x:c r="S7" s="20" t="str"/>
    </x:row>
    <x:row r="8" ht="44" customHeight="1">
      <x:c r="A8" s="19" t="str">
        <x:v>INF-LOC-BARN</x:v>
      </x:c>
      <x:c r="B8" s="7" t="str">
        <x:v>The Barn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Station de recherche de Cerberus.</x:v>
      </x:c>
      <x:c r="G8" s="7" t="str">
        <x:v>Destination de la campagne adaptée.</x:v>
      </x:c>
      <x:c r="H8" s="7" t="str">
        <x:v>Portes sous contrôle de sécurité ; accès persistants après piratage.</x:v>
      </x:c>
      <x:c r="I8" s="7" t="str">
        <x:v>Blanc clinique, noir mécanique, éclairage orange en alerte.</x:v>
      </x:c>
      <x:c r="J8" s="7" t="str"/>
      <x:c r="K8" s="7" t="str"/>
      <x:c r="L8" s="7" t="str"/>
      <x:c r="M8" s="7" t="str"/>
      <x:c r="N8" s="7" t="str">
        <x:v>La destination se distingue de ses sous-zones et possède une référence.</x:v>
      </x:c>
      <x:c r="O8" s="7" t="str"/>
      <x:c r="P8" s="7" t="str">
        <x:v>Lieux</x:v>
      </x:c>
      <x:c r="Q8" s="7" t="str">
        <x:v>INF-WIKI</x:v>
      </x:c>
      <x:c r="R8" s="21" t="str">
        <x:v>https://masseffect.fandom.com/wiki/Mass_Effect:_Infiltrator</x:v>
      </x:c>
      <x:c r="S8" s="21" t="str"/>
    </x:row>
    <x:row r="9" ht="44" customHeight="1">
      <x:c r="A9" s="18" t="str">
        <x:v>INF-LOC-LV426</x:v>
      </x:c>
      <x:c r="B9" s="9" t="str">
        <x:v>LV426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Destination désertique finale.</x:v>
      </x:c>
      <x:c r="G9" s="9" t="str">
        <x:v>Destination de la campagne adaptée.</x:v>
      </x:c>
      <x:c r="H9" s="9" t="str">
        <x:v>Lignes de tir longues ; obstacles non destructibles pour couvrir les phases.</x:v>
      </x:c>
      <x:c r="I9" s="9" t="str">
        <x:v>Sable ocre, roches usées, ciel poussiéreux.</x:v>
      </x:c>
      <x:c r="J9" s="9" t="str"/>
      <x:c r="K9" s="9" t="str"/>
      <x:c r="L9" s="9" t="str"/>
      <x:c r="M9" s="9" t="str"/>
      <x:c r="N9" s="9" t="str">
        <x:v>La destination se distingue de ses sous-zones et possède une référence.</x:v>
      </x:c>
      <x:c r="O9" s="9" t="str"/>
      <x:c r="P9" s="9" t="str">
        <x:v>Lieux</x:v>
      </x:c>
      <x:c r="Q9" s="9" t="str">
        <x:v>INF-WIKI</x:v>
      </x:c>
      <x:c r="R9" s="20" t="str">
        <x:v>https://masseffect.fandom.com/wiki/Mass_Effect:_Infiltrator</x:v>
      </x:c>
      <x:c r="S9" s="20" t="str"/>
    </x:row>
  </x:sheetData>
  <x:conditionalFormatting sqref="D7:D9">
    <x:cfRule type="cellIs" dxfId="12" priority="1" operator="equal">
      <x:formula>"À vérifier"</x:formula>
    </x:cfRule>
    <x:cfRule type="cellIs" dxfId="13" priority="2" operator="equal">
      <x:formula>"Extrapolation"</x:formula>
    </x:cfRule>
  </x:conditionalFormatting>
  <x:conditionalFormatting sqref="C7:C9">
    <x:cfRule type="cellIs" dxfId="14" priority="3" operator="equal">
      <x:formula>"Validé"</x:formula>
    </x:cfRule>
  </x:conditionalFormatting>
  <x:conditionalFormatting sqref="E7:E9">
    <x:cfRule type="cellIs" dxfId="15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007ac11b3342e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Zones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Pièces, espaces extérieurs et points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INF-MAP-ICE</x:v>
      </x:c>
      <x:c r="B7" s="9" t="str">
        <x:v>Plan jouable : Ice Giant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Plan original à construire.</x:v>
      </x:c>
      <x:c r="G7" s="9" t="str">
        <x:v>Trois terrasses enneigées reliées par rampes, aire d’extraction séparée.</x:v>
      </x:c>
      <x:c r="H7" s="9" t="str">
        <x:v>Rafales de vent annoncées ; couverts abrités.</x:v>
      </x:c>
      <x:c r="I7" s="9" t="str">
        <x:v>Bleu glacial, neige basse, silhouettes industrielles sombres.</x:v>
      </x:c>
      <x:c r="J7" s="9" t="str"/>
      <x:c r="K7" s="9" t="str"/>
      <x:c r="L7" s="9" t="str">
        <x:v>Graphe de navigation, colliders 3D, ancres de caméra fixe, déclencheurs et spawn séparés.</x:v>
      </x:c>
      <x:c r="M7" s="9" t="str">
        <x:v>Les dimensions et la distribution sont des adaptations, à comparer aux captures avant validation de fidélité.</x:v>
      </x:c>
      <x:c r="N7" s="9" t="str">
        <x:v>Chaque objectif et sortie est atteignable. Aucun changement de caméra ne masque une interaction.</x:v>
      </x:c>
      <x:c r="O7" s="9" t="str">
        <x:v>INF-LOC-ICE</x:v>
      </x:c>
      <x:c r="P7" s="9" t="str">
        <x:v>Conception du fan game</x:v>
      </x:c>
      <x:c r="Q7" s="9" t="str"/>
      <x:c r="R7" s="20" t="str"/>
      <x:c r="S7" s="20" t="str"/>
    </x:row>
    <x:row r="8" ht="54" customHeight="1">
      <x:c r="A8" s="19" t="str">
        <x:v>INF-MAP-BARN</x:v>
      </x:c>
      <x:c r="B8" s="7" t="str">
        <x:v>Plan jouable : The Barn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Plan original à construire.</x:v>
      </x:c>
      <x:c r="G8" s="7" t="str">
        <x:v>Boucle hangar, clinique, sécurité, laboratoire, relais puis retour vers navette.</x:v>
      </x:c>
      <x:c r="H8" s="7" t="str">
        <x:v>Portes sous contrôle de sécurité ; accès persistants après piratage.</x:v>
      </x:c>
      <x:c r="I8" s="7" t="str">
        <x:v>Blanc clinique, noir mécanique, éclairage orange en alerte.</x:v>
      </x:c>
      <x:c r="J8" s="7" t="str"/>
      <x:c r="K8" s="7" t="str"/>
      <x:c r="L8" s="7" t="str">
        <x:v>Graphe de navigation, colliders 3D, ancres de caméra fixe, déclencheurs et spawn séparés.</x:v>
      </x:c>
      <x:c r="M8" s="7" t="str">
        <x:v>Les dimensions et la distribution sont des adaptations, à comparer aux captures avant validation de fidélité.</x:v>
      </x:c>
      <x:c r="N8" s="7" t="str">
        <x:v>Chaque objectif et sortie est atteignable. Aucun changement de caméra ne masque une interaction.</x:v>
      </x:c>
      <x:c r="O8" s="7" t="str">
        <x:v>INF-LOC-BARN</x:v>
      </x:c>
      <x:c r="P8" s="7" t="str">
        <x:v>Conception du fan game</x:v>
      </x:c>
      <x:c r="Q8" s="7" t="str"/>
      <x:c r="R8" s="21" t="str"/>
      <x:c r="S8" s="21" t="str"/>
    </x:row>
    <x:row r="9" ht="54" customHeight="1">
      <x:c r="A9" s="18" t="str">
        <x:v>INF-MAP-LV426</x:v>
      </x:c>
      <x:c r="B9" s="9" t="str">
        <x:v>Plan jouable : LV426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Plan original à construire.</x:v>
      </x:c>
      <x:c r="G9" s="9" t="str">
        <x:v>Arène ouverte avec rochers périphériques et arrivée navette hors combat.</x:v>
      </x:c>
      <x:c r="H9" s="9" t="str">
        <x:v>Lignes de tir longues ; obstacles non destructibles pour couvrir les phases.</x:v>
      </x:c>
      <x:c r="I9" s="9" t="str">
        <x:v>Sable ocre, roches usées, ciel poussiéreux.</x:v>
      </x:c>
      <x:c r="J9" s="9" t="str"/>
      <x:c r="K9" s="9" t="str"/>
      <x:c r="L9" s="9" t="str">
        <x:v>Graphe de navigation, colliders 3D, ancres de caméra fixe, déclencheurs et spawn séparés.</x:v>
      </x:c>
      <x:c r="M9" s="9" t="str">
        <x:v>Les dimensions et la distribution sont des adaptations, à comparer aux captures avant validation de fidélité.</x:v>
      </x:c>
      <x:c r="N9" s="9" t="str">
        <x:v>Chaque objectif et sortie est atteignable. Aucun changement de caméra ne masque une interaction.</x:v>
      </x:c>
      <x:c r="O9" s="9" t="str">
        <x:v>INF-LOC-LV426</x:v>
      </x:c>
      <x:c r="P9" s="9" t="str">
        <x:v>Conception du fan game</x:v>
      </x:c>
      <x:c r="Q9" s="9" t="str"/>
      <x:c r="R9" s="20" t="str"/>
      <x:c r="S9" s="20" t="str"/>
    </x:row>
    <x:row r="10" ht="54" customHeight="1">
      <x:c r="A10" s="19" t="str">
        <x:v>INF-MAP-HANGAR</x:v>
      </x:c>
      <x:c r="B10" s="7" t="str">
        <x:v>Sous-zone : Hangar Bay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Plan détaillé original pour une mission référencée.</x:v>
      </x:c>
      <x:c r="G10" s="7" t="str">
        <x:v>Quai inférieur, deux rampes, passerelle et bureau à l’étage.</x:v>
      </x:c>
      <x:c r="H10" s="7" t="str">
        <x:v>Console d’arrivée et porte de débriefing. Attaque turienne : entrée visible depuis le quai.</x:v>
      </x:c>
      <x:c r="I10" s="7" t="str">
        <x:v>Cadrage fixe en trois-quarts avec profondeur 3D et couverts à hauteur cohérente.</x:v>
      </x:c>
      <x:c r="J10" s="7" t="str">
        <x:v>Portes à deux états et arrêt des machines au changement de secteur.</x:v>
      </x:c>
      <x:c r="K10" s="7" t="str">
        <x:v>Ambiance spécifique : Hangar Bay, alertes localisées sur les menaces décrites.</x:v>
      </x:c>
      <x:c r="L10" s="7" t="str">
        <x:v>Blocage volumétrique, graphe de navigation, triggers, emplacements d’ennemis et points de reprise séparés.</x:v>
      </x:c>
      <x:c r="M10" s="7" t="str">
        <x:v>Ce plan traduit la mission ; il ne prétend pas reproduire les dimensions exactes du niveau mobile.</x:v>
      </x:c>
      <x:c r="N10" s="7" t="str">
        <x:v>Chaque interaction est atteignable à pied et visible depuis au moins une caméra. Les transitions ne traversent pas les murs.</x:v>
      </x:c>
      <x:c r="O10" s="7" t="str">
        <x:v>INF-MIS-HANGAR</x:v>
      </x:c>
      <x:c r="P10" s="7" t="str">
        <x:v>Conception du fan game</x:v>
      </x:c>
      <x:c r="Q10" s="7" t="str"/>
      <x:c r="R10" s="21" t="str"/>
      <x:c r="S10" s="21" t="str"/>
    </x:row>
    <x:row r="11" ht="54" customHeight="1">
      <x:c r="A11" s="18" t="str">
        <x:v>INF-MAP-MEDICAL</x:v>
      </x:c>
      <x:c r="B11" s="9" t="str">
        <x:v>Sous-zone : Medical Bay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Plan détaillé original pour une mission référencée.</x:v>
      </x:c>
      <x:c r="G11" s="9" t="str">
        <x:v>Accueil, couloir vitré, salles médicales et zone d’expérience.</x:v>
      </x:c>
      <x:c r="H11" s="9" t="str">
        <x:v>Sas de quarantaine, tableau d’état et cellule d’Inali. Menaces séparées des sujets non hostiles.</x:v>
      </x:c>
      <x:c r="I11" s="9" t="str">
        <x:v>Cadrage fixe en trois-quarts avec profondeur 3D et couverts à hauteur cohérente.</x:v>
      </x:c>
      <x:c r="J11" s="9" t="str">
        <x:v>Portes à deux états et arrêt des machines au changement de secteur.</x:v>
      </x:c>
      <x:c r="K11" s="9" t="str">
        <x:v>Ambiance spécifique : Medical Bay, alertes localisées sur les menaces décrites.</x:v>
      </x:c>
      <x:c r="L11" s="9" t="str">
        <x:v>Blocage volumétrique, graphe de navigation, triggers, emplacements d’ennemis et points de reprise séparés.</x:v>
      </x:c>
      <x:c r="M11" s="9" t="str">
        <x:v>Ce plan traduit la mission ; il ne prétend pas reproduire les dimensions exactes du niveau mobile.</x:v>
      </x:c>
      <x:c r="N11" s="9" t="str">
        <x:v>Chaque interaction est atteignable à pied et visible depuis au moins une caméra. Les transitions ne traversent pas les murs.</x:v>
      </x:c>
      <x:c r="O11" s="9" t="str">
        <x:v>INF-MIS-MEDICAL</x:v>
      </x:c>
      <x:c r="P11" s="9" t="str">
        <x:v>Conception du fan game</x:v>
      </x:c>
      <x:c r="Q11" s="9" t="str"/>
      <x:c r="R11" s="20" t="str"/>
      <x:c r="S11" s="20" t="str"/>
    </x:row>
    <x:row r="12" ht="54" customHeight="1">
      <x:c r="A12" s="19" t="str">
        <x:v>INF-MAP-SECURITY</x:v>
      </x:c>
      <x:c r="B12" s="7" t="str">
        <x:v>Sous-zone : Security Checkpoint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Plan détaillé original pour une mission référencée.</x:v>
      </x:c>
      <x:c r="G12" s="7" t="str">
        <x:v>Sas A, salle centrale avec deux couverts, poste de contrôle, sas B.</x:v>
      </x:c>
      <x:c r="H12" s="7" t="str">
        <x:v>Deux verrous alimentés par la même console. Rafales croisées avec un couvert central sûr.</x:v>
      </x:c>
      <x:c r="I12" s="7" t="str">
        <x:v>Cadrage fixe en trois-quarts avec profondeur 3D et couverts à hauteur cohérente.</x:v>
      </x:c>
      <x:c r="J12" s="7" t="str">
        <x:v>Portes à deux états et arrêt des machines au changement de secteur.</x:v>
      </x:c>
      <x:c r="K12" s="7" t="str">
        <x:v>Ambiance spécifique : Security Checkpoint, alertes localisées sur les menaces décrites.</x:v>
      </x:c>
      <x:c r="L12" s="7" t="str">
        <x:v>Blocage volumétrique, graphe de navigation, triggers, emplacements d’ennemis et points de reprise séparés.</x:v>
      </x:c>
      <x:c r="M12" s="7" t="str">
        <x:v>Ce plan traduit la mission ; il ne prétend pas reproduire les dimensions exactes du niveau mobile.</x:v>
      </x:c>
      <x:c r="N12" s="7" t="str">
        <x:v>Chaque interaction est atteignable à pied et visible depuis au moins une caméra. Les transitions ne traversent pas les murs.</x:v>
      </x:c>
      <x:c r="O12" s="7" t="str">
        <x:v>INF-MIS-SECURITY</x:v>
      </x:c>
      <x:c r="P12" s="7" t="str">
        <x:v>Conception du fan game</x:v>
      </x:c>
      <x:c r="Q12" s="7" t="str"/>
      <x:c r="R12" s="21" t="str"/>
      <x:c r="S12" s="21" t="str"/>
    </x:row>
    <x:row r="13" ht="54" customHeight="1">
      <x:c r="A13" s="18" t="str">
        <x:v>INF-MAP-X1WING</x:v>
      </x:c>
      <x:c r="B13" s="9" t="str">
        <x:v>Sous-zone : X1 Wing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Plan détaillé original pour une mission référencée.</x:v>
      </x:c>
      <x:c r="G13" s="9" t="str">
        <x:v>Couloir de cuves, enceinte de test, passerelle et sortie vers arène.</x:v>
      </x:c>
      <x:c r="H13" s="9" t="str">
        <x:v>Cuves translucides, terminaux de preuves et portes endommagées. Sujet évadé à courte portée et mécaniques de soutien.</x:v>
      </x:c>
      <x:c r="I13" s="9" t="str">
        <x:v>Cadrage fixe en trois-quarts avec profondeur 3D et couverts à hauteur cohérente.</x:v>
      </x:c>
      <x:c r="J13" s="9" t="str">
        <x:v>Portes à deux états et arrêt des machines au changement de secteur.</x:v>
      </x:c>
      <x:c r="K13" s="9" t="str">
        <x:v>Ambiance spécifique : X1 Wing, alertes localisées sur les menaces décrites.</x:v>
      </x:c>
      <x:c r="L13" s="9" t="str">
        <x:v>Blocage volumétrique, graphe de navigation, triggers, emplacements d’ennemis et points de reprise séparés.</x:v>
      </x:c>
      <x:c r="M13" s="9" t="str">
        <x:v>Ce plan traduit la mission ; il ne prétend pas reproduire les dimensions exactes du niveau mobile.</x:v>
      </x:c>
      <x:c r="N13" s="9" t="str">
        <x:v>Chaque interaction est atteignable à pied et visible depuis au moins une caméra. Les transitions ne traversent pas les murs.</x:v>
      </x:c>
      <x:c r="O13" s="9" t="str">
        <x:v>INF-MIS-X1WING</x:v>
      </x:c>
      <x:c r="P13" s="9" t="str">
        <x:v>Conception du fan game</x:v>
      </x:c>
      <x:c r="Q13" s="9" t="str"/>
      <x:c r="R13" s="20" t="str"/>
      <x:c r="S13" s="20" t="str"/>
    </x:row>
    <x:row r="14" ht="54" customHeight="1">
      <x:c r="A14" s="19" t="str">
        <x:v>INF-MAP-COLOSSEUM</x:v>
      </x:c>
      <x:c r="B14" s="7" t="str">
        <x:v>Sous-zone : Colosseum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Plan détaillé original pour une mission référencée.</x:v>
      </x:c>
      <x:c r="G14" s="7" t="str">
        <x:v>Arène circulaire, quatre piliers proposés et marges de recul.</x:v>
      </x:c>
      <x:c r="H14" s="7" t="str">
        <x:v>Piliers avec états intacts et fragilisés ; sortie verrouillée jusqu’au bilan. X1 : ligne de charge et zone d’impact visibles.</x:v>
      </x:c>
      <x:c r="I14" s="7" t="str">
        <x:v>Cadrage fixe en trois-quarts avec profondeur 3D et couverts à hauteur cohérente.</x:v>
      </x:c>
      <x:c r="J14" s="7" t="str">
        <x:v>Portes à deux états et arrêt des machines au changement de secteur.</x:v>
      </x:c>
      <x:c r="K14" s="7" t="str">
        <x:v>Ambiance spécifique : Colosseum, alertes localisées sur les menaces décrites.</x:v>
      </x:c>
      <x:c r="L14" s="7" t="str">
        <x:v>Blocage volumétrique, graphe de navigation, triggers, emplacements d’ennemis et points de reprise séparés.</x:v>
      </x:c>
      <x:c r="M14" s="7" t="str">
        <x:v>Ce plan traduit la mission ; il ne prétend pas reproduire les dimensions exactes du niveau mobile.</x:v>
      </x:c>
      <x:c r="N14" s="7" t="str">
        <x:v>Chaque interaction est atteignable à pied et visible depuis au moins une caméra. Les transitions ne traversent pas les murs.</x:v>
      </x:c>
      <x:c r="O14" s="7" t="str">
        <x:v>INF-MIS-COLOSSEUM</x:v>
      </x:c>
      <x:c r="P14" s="7" t="str">
        <x:v>Conception du fan game</x:v>
      </x:c>
      <x:c r="Q14" s="7" t="str"/>
      <x:c r="R14" s="21" t="str"/>
      <x:c r="S14" s="21" t="str"/>
    </x:row>
    <x:row r="15" ht="54" customHeight="1">
      <x:c r="A15" s="18" t="str">
        <x:v>INF-MAP-COMM</x:v>
      </x:c>
      <x:c r="B15" s="9" t="str">
        <x:v>Sous-zone : Comm Relay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Plan détaillé original pour une mission référencée.</x:v>
      </x:c>
      <x:c r="G15" s="9" t="str">
        <x:v>Accès technique, deux paliers puis plateforme d’antenne.</x:v>
      </x:c>
      <x:c r="H15" s="9" t="str">
        <x:v>Trois consoles proposées pour alimentation, alignement et émission. Tirs à distance, puis interruption de piratage.</x:v>
      </x:c>
      <x:c r="I15" s="9" t="str">
        <x:v>Cadrage fixe en trois-quarts avec profondeur 3D et couverts à hauteur cohérente.</x:v>
      </x:c>
      <x:c r="J15" s="9" t="str">
        <x:v>Portes à deux états et arrêt des machines au changement de secteur.</x:v>
      </x:c>
      <x:c r="K15" s="9" t="str">
        <x:v>Ambiance spécifique : Comm Relay, alertes localisées sur les menaces décrites.</x:v>
      </x:c>
      <x:c r="L15" s="9" t="str">
        <x:v>Blocage volumétrique, graphe de navigation, triggers, emplacements d’ennemis et points de reprise séparés.</x:v>
      </x:c>
      <x:c r="M15" s="9" t="str">
        <x:v>Ce plan traduit la mission ; il ne prétend pas reproduire les dimensions exactes du niveau mobile.</x:v>
      </x:c>
      <x:c r="N15" s="9" t="str">
        <x:v>Chaque interaction est atteignable à pied et visible depuis au moins une caméra. Les transitions ne traversent pas les murs.</x:v>
      </x:c>
      <x:c r="O15" s="9" t="str">
        <x:v>INF-MIS-COMM</x:v>
      </x:c>
      <x:c r="P15" s="9" t="str">
        <x:v>Conception du fan game</x:v>
      </x:c>
      <x:c r="Q15" s="9" t="str"/>
      <x:c r="R15" s="20" t="str"/>
      <x:c r="S15" s="20" t="str"/>
    </x:row>
    <x:row r="16" ht="54" customHeight="1">
      <x:c r="A16" s="19" t="str">
        <x:v>INF-MAP-CORRIDOR</x:v>
      </x:c>
      <x:c r="B16" s="7" t="str">
        <x:v>Sous-zone : Access Corridor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Plan détaillé original pour une mission référencée.</x:v>
      </x:c>
      <x:c r="G16" s="7" t="str">
        <x:v>Coursive de retour, dérivation, accès de hangar et rampe de navette.</x:v>
      </x:c>
      <x:c r="H16" s="7" t="str">
        <x:v>Porte de raccourci, console de navette et verrou de départ. Renforts annoncés pendant la sécurisation de l’embarquement.</x:v>
      </x:c>
      <x:c r="I16" s="7" t="str">
        <x:v>Cadrage fixe en trois-quarts avec profondeur 3D et couverts à hauteur cohérente.</x:v>
      </x:c>
      <x:c r="J16" s="7" t="str">
        <x:v>Portes à deux états et arrêt des machines au changement de secteur.</x:v>
      </x:c>
      <x:c r="K16" s="7" t="str">
        <x:v>Ambiance spécifique : Access Corridor, alertes localisées sur les menaces décrites.</x:v>
      </x:c>
      <x:c r="L16" s="7" t="str">
        <x:v>Blocage volumétrique, graphe de navigation, triggers, emplacements d’ennemis et points de reprise séparés.</x:v>
      </x:c>
      <x:c r="M16" s="7" t="str">
        <x:v>Ce plan traduit la mission ; il ne prétend pas reproduire les dimensions exactes du niveau mobile.</x:v>
      </x:c>
      <x:c r="N16" s="7" t="str">
        <x:v>Chaque interaction est atteignable à pied et visible depuis au moins une caméra. Les transitions ne traversent pas les murs.</x:v>
      </x:c>
      <x:c r="O16" s="7" t="str">
        <x:v>INF-MIS-CORRIDOR</x:v>
      </x:c>
      <x:c r="P16" s="7" t="str">
        <x:v>Conception du fan game</x:v>
      </x:c>
      <x:c r="Q16" s="7" t="str"/>
      <x:c r="R16" s="21" t="str"/>
      <x:c r="S16" s="21" t="str"/>
    </x:row>
  </x:sheetData>
  <x:conditionalFormatting sqref="D7:D16">
    <x:cfRule type="cellIs" dxfId="16" priority="1" operator="equal">
      <x:formula>"À vérifier"</x:formula>
    </x:cfRule>
    <x:cfRule type="cellIs" dxfId="17" priority="2" operator="equal">
      <x:formula>"Extrapolation"</x:formula>
    </x:cfRule>
  </x:conditionalFormatting>
  <x:conditionalFormatting sqref="C7:C16">
    <x:cfRule type="cellIs" dxfId="18" priority="3" operator="equal">
      <x:formula>"Validé"</x:formula>
    </x:cfRule>
  </x:conditionalFormatting>
  <x:conditionalFormatting sqref="E7:E16">
    <x:cfRule type="cellIs" dxfId="19" priority="4" operator="equal">
      <x:formula>"P0"</x:formula>
    </x:cfRule>
  </x:conditionalFormatting>
  <x:dataValidations count="3">
    <x:dataValidation type="list" sqref="C7:C16">
      <x:formula1>"Défini,Prototype,Intégré,Validé"</x:formula1>
    </x:dataValidation>
    <x:dataValidation type="list" sqref="D7:D16">
      <x:formula1>"Établi,À vérifier,Extrapolation,Coupé attesté,Concept abandonné,Allégation écartée"</x:formula1>
    </x:dataValidation>
    <x:dataValidation type="list" sqref="E7:E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8f8fd5312f479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Liaisons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Continuité spatiale et conditions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INF-LNK-LOOP</x:v>
      </x:c>
      <x:c r="B7" s="9" t="str">
        <x:v>Boucle du Barn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Topologie originale.</x:v>
      </x:c>
      <x:c r="G7" s="9" t="str">
        <x:v>Relier hangar, clinique, sécurité, X1 et relais avec raccourcis de retour.</x:v>
      </x:c>
      <x:c r="H7" s="9" t="str">
        <x:v>Verrous fondés sur état de mission.</x:v>
      </x:c>
      <x:c r="I7" s="9" t="str">
        <x:v>Sas numérotés et éclairage par secteur.</x:v>
      </x:c>
      <x:c r="J7" s="9" t="str"/>
      <x:c r="K7" s="9" t="str"/>
      <x:c r="L7" s="9" t="str"/>
      <x:c r="M7" s="9" t="str"/>
      <x:c r="N7" s="9" t="str">
        <x:v>Un retour tardif ne ferme jamais l’issue requise.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INF-LNK-SHUTTLE</x:v>
      </x:c>
      <x:c r="B8" s="7" t="str">
        <x:v>Hangar vers LV426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Transition de campagne référencée.</x:v>
      </x:c>
      <x:c r="G8" s="7" t="str">
        <x:v>Point de non-retour annoncé avant embarquement.</x:v>
      </x:c>
      <x:c r="H8" s="7" t="str">
        <x:v>Autoriser sauvegarde manuelle avant départ.</x:v>
      </x:c>
      <x:c r="I8" s="7" t="str">
        <x:v>Marqueur de navette isolé des autres interactions.</x:v>
      </x:c>
      <x:c r="J8" s="7" t="str"/>
      <x:c r="K8" s="7" t="str"/>
      <x:c r="L8" s="7" t="str"/>
      <x:c r="M8" s="7" t="str"/>
      <x:c r="N8" s="7" t="str">
        <x:v>Le joueur connaît les objectifs facultatifs encore ouverts.</x:v>
      </x:c>
      <x:c r="O8" s="7" t="str"/>
      <x:c r="P8" s="7" t="str">
        <x:v>Conception du fan game</x:v>
      </x:c>
      <x:c r="Q8" s="7" t="str"/>
      <x:c r="R8" s="21" t="str"/>
      <x:c r="S8" s="21" t="str"/>
    </x:row>
  </x:sheetData>
  <x:conditionalFormatting sqref="D7:D8">
    <x:cfRule type="cellIs" dxfId="20" priority="1" operator="equal">
      <x:formula>"À vérifier"</x:formula>
    </x:cfRule>
    <x:cfRule type="cellIs" dxfId="21" priority="2" operator="equal">
      <x:formula>"Extrapolation"</x:formula>
    </x:cfRule>
  </x:conditionalFormatting>
  <x:conditionalFormatting sqref="C7:C8">
    <x:cfRule type="cellIs" dxfId="22" priority="3" operator="equal">
      <x:formula>"Validé"</x:formula>
    </x:cfRule>
  </x:conditionalFormatting>
  <x:conditionalFormatting sqref="E7:E8">
    <x:cfRule type="cellIs" dxfId="2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ffd769120a4da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Décors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Architecture, matières et cadrages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INF-SET-ICE</x:v>
      </x:c>
      <x:c r="B7" s="9" t="str">
        <x:v>Décor 3D : Ice Giant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Direction artistique proposée à partir du lieu.</x:v>
      </x:c>
      <x:c r="G7" s="9" t="str">
        <x:v>Bleu glacial, neige basse, silhouettes industrielles sombres.</x:v>
      </x:c>
      <x:c r="H7" s="9" t="str">
        <x:v>Obstacles solides en 3D, personnages et accessoires animés en billboards 2D.</x:v>
      </x:c>
      <x:c r="I7" s="9" t="str">
        <x:v>Palette de travail : Bleu glacial, neige basse, silhouettes industrielles sombres.</x:v>
      </x:c>
      <x:c r="J7" s="9" t="str">
        <x:v>Animer seulement les éléments environnementaux nécessaires à la lecture du lieu.</x:v>
      </x:c>
      <x:c r="K7" s="9" t="str">
        <x:v>Ambiance originale située dans Ice Giant, sources proches distinctes du fond, boucle sans coupure.</x:v>
      </x:c>
      <x:c r="L7" s="9" t="str">
        <x:v>Meshes modulaires, matériaux PBR sobres, lumière indirecte et masque d’occlusion pour sprites.</x:v>
      </x:c>
      <x:c r="M7" s="9" t="str"/>
      <x:c r="N7" s="9" t="str">
        <x:v>Pas de scintillement des transparences. Les ombres des sprites suivent le sol et les passerelles.</x:v>
      </x:c>
      <x:c r="O7" s="9" t="str">
        <x:v>INF-MAP-ICE</x:v>
      </x:c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INF-SET-BARN</x:v>
      </x:c>
      <x:c r="B8" s="7" t="str">
        <x:v>Décor 3D : The Barn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Direction artistique proposée à partir du lieu.</x:v>
      </x:c>
      <x:c r="G8" s="7" t="str">
        <x:v>Blanc clinique, noir mécanique, éclairage orange en alerte.</x:v>
      </x:c>
      <x:c r="H8" s="7" t="str">
        <x:v>Obstacles solides en 3D, personnages et accessoires animés en billboards 2D.</x:v>
      </x:c>
      <x:c r="I8" s="7" t="str">
        <x:v>Palette de travail : Blanc clinique, noir mécanique, éclairage orange en alerte.</x:v>
      </x:c>
      <x:c r="J8" s="7" t="str">
        <x:v>Animer seulement les éléments environnementaux nécessaires à la lecture du lieu.</x:v>
      </x:c>
      <x:c r="K8" s="7" t="str">
        <x:v>Ambiance originale située dans The Barn, sources proches distinctes du fond, boucle sans coupure.</x:v>
      </x:c>
      <x:c r="L8" s="7" t="str">
        <x:v>Meshes modulaires, matériaux PBR sobres, lumière indirecte et masque d’occlusion pour sprites.</x:v>
      </x:c>
      <x:c r="M8" s="7" t="str"/>
      <x:c r="N8" s="7" t="str">
        <x:v>Pas de scintillement des transparences. Les ombres des sprites suivent le sol et les passerelles.</x:v>
      </x:c>
      <x:c r="O8" s="7" t="str">
        <x:v>INF-MAP-BARN</x:v>
      </x:c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INF-SET-LV426</x:v>
      </x:c>
      <x:c r="B9" s="9" t="str">
        <x:v>Décor 3D : LV426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Direction artistique proposée à partir du lieu.</x:v>
      </x:c>
      <x:c r="G9" s="9" t="str">
        <x:v>Sable ocre, roches usées, ciel poussiéreux.</x:v>
      </x:c>
      <x:c r="H9" s="9" t="str">
        <x:v>Obstacles solides en 3D, personnages et accessoires animés en billboards 2D.</x:v>
      </x:c>
      <x:c r="I9" s="9" t="str">
        <x:v>Palette de travail : Sable ocre, roches usées, ciel poussiéreux.</x:v>
      </x:c>
      <x:c r="J9" s="9" t="str">
        <x:v>Animer seulement les éléments environnementaux nécessaires à la lecture du lieu.</x:v>
      </x:c>
      <x:c r="K9" s="9" t="str">
        <x:v>Ambiance originale située dans LV426, sources proches distinctes du fond, boucle sans coupure.</x:v>
      </x:c>
      <x:c r="L9" s="9" t="str">
        <x:v>Meshes modulaires, matériaux PBR sobres, lumière indirecte et masque d’occlusion pour sprites.</x:v>
      </x:c>
      <x:c r="M9" s="9" t="str"/>
      <x:c r="N9" s="9" t="str">
        <x:v>Pas de scintillement des transparences. Les ombres des sprites suivent le sol et les passerelles.</x:v>
      </x:c>
      <x:c r="O9" s="9" t="str">
        <x:v>INF-MAP-LV426</x:v>
      </x:c>
      <x:c r="P9" s="9" t="str">
        <x:v>Conception du fan game</x:v>
      </x:c>
      <x:c r="Q9" s="9" t="str"/>
      <x:c r="R9" s="20" t="str"/>
      <x:c r="S9" s="20" t="str"/>
    </x:row>
  </x:sheetData>
  <x:conditionalFormatting sqref="D7:D9">
    <x:cfRule type="cellIs" dxfId="24" priority="1" operator="equal">
      <x:formula>"À vérifier"</x:formula>
    </x:cfRule>
    <x:cfRule type="cellIs" dxfId="25" priority="2" operator="equal">
      <x:formula>"Extrapolation"</x:formula>
    </x:cfRule>
  </x:conditionalFormatting>
  <x:conditionalFormatting sqref="C7:C9">
    <x:cfRule type="cellIs" dxfId="26" priority="3" operator="equal">
      <x:formula>"Validé"</x:formula>
    </x:cfRule>
  </x:conditionalFormatting>
  <x:conditionalFormatting sqref="E7:E9">
    <x:cfRule type="cellIs" dxfId="27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083888d6954af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Props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Objets de décor et interactions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INF-PRP-GLASS</x:v>
      </x:c>
      <x:c r="B7" s="9" t="str">
        <x:v>Cloison médicale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Accessoire 3D proposé.</x:v>
      </x:c>
      <x:c r="G7" s="9" t="str">
        <x:v>Vitres avec masque de profondeur pour sujets en sprite.</x:v>
      </x:c>
      <x:c r="H7" s="9" t="str">
        <x:v>Collision distincte de la transparence.</x:v>
      </x:c>
      <x:c r="I7" s="9" t="str">
        <x:v>Verre froid, montants clairs.</x:v>
      </x:c>
      <x:c r="J7" s="9" t="str"/>
      <x:c r="K7" s="9" t="str"/>
      <x:c r="L7" s="9" t="str"/>
      <x:c r="M7" s="9" t="str"/>
      <x:c r="N7" s="9" t="str">
        <x:v>Un tir ne traverse que les panneaux prévus.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INF-PRP-TERMINAL</x:v>
      </x:c>
      <x:c r="B8" s="7" t="str">
        <x:v>Console de preuves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Objet interactif proposé.</x:v>
      </x:c>
      <x:c r="G8" s="7" t="str">
        <x:v>Terminal orienté vers la caméra principale.</x:v>
      </x:c>
      <x:c r="H8" s="7" t="str">
        <x:v>Un état vide remplace l’icône après récupération.</x:v>
      </x:c>
      <x:c r="I8" s="7" t="str">
        <x:v>Hologramme orange discret.</x:v>
      </x:c>
      <x:c r="J8" s="7" t="str"/>
      <x:c r="K8" s="7" t="str"/>
      <x:c r="L8" s="7" t="str"/>
      <x:c r="M8" s="7" t="str"/>
      <x:c r="N8" s="7" t="str">
        <x:v>Lisible sans surbrillance permanente.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INF-PRP-SHUTTLE</x:v>
      </x:c>
      <x:c r="B9" s="9" t="str">
        <x:v>Navette de fuite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Véhicule de transition.</x:v>
      </x:c>
      <x:c r="G9" s="9" t="str">
        <x:v>Carlingue 3D et porte animée, portrait 2D à bord.</x:v>
      </x:c>
      <x:c r="H9" s="9" t="str">
        <x:v>Pas de pilotage libre ajouté à la campagne source.</x:v>
      </x:c>
      <x:c r="I9" s="9" t="str">
        <x:v>Silhouette et marquage à contrôler.</x:v>
      </x:c>
      <x:c r="J9" s="9" t="str"/>
      <x:c r="K9" s="9" t="str"/>
      <x:c r="L9" s="9" t="str"/>
      <x:c r="M9" s="9" t="str"/>
      <x:c r="N9" s="9" t="str">
        <x:v>La porte ne traverse pas le sprite à l’embarquement.</x:v>
      </x:c>
      <x:c r="O9" s="9" t="str"/>
      <x:c r="P9" s="9" t="str">
        <x:v>Conception du fan game</x:v>
      </x:c>
      <x:c r="Q9" s="9" t="str"/>
      <x:c r="R9" s="20" t="str"/>
      <x:c r="S9" s="20" t="str"/>
    </x:row>
  </x:sheetData>
  <x:conditionalFormatting sqref="D7:D9">
    <x:cfRule type="cellIs" dxfId="28" priority="1" operator="equal">
      <x:formula>"À vérifier"</x:formula>
    </x:cfRule>
    <x:cfRule type="cellIs" dxfId="29" priority="2" operator="equal">
      <x:formula>"Extrapolation"</x:formula>
    </x:cfRule>
  </x:conditionalFormatting>
  <x:conditionalFormatting sqref="C7:C9">
    <x:cfRule type="cellIs" dxfId="30" priority="3" operator="equal">
      <x:formula>"Validé"</x:formula>
    </x:cfRule>
  </x:conditionalFormatting>
  <x:conditionalFormatting sqref="E7:E9">
    <x:cfRule type="cellIs" dxfId="3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76e00fa96f441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Ennemis et boss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Bestiaire, adversaires et affrontements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INF-ENM-TROOPER</x:v>
      </x:c>
      <x:c r="B7" s="9" t="str">
        <x:v>Soldat de Cerberus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Troupe rencontrée pendant la fuite.</x:v>
      </x:c>
      <x:c r="G7" s="9" t="str">
        <x:v>Archétype ATB : Rafale puis changement de couvert.</x:v>
      </x:c>
      <x:c r="H7" s="9" t="str">
        <x:v>Proposition : Rafale puis changement de couvert. Réponse : Interrompre le déplacement ou briser sa protection.</x:v>
      </x:c>
      <x:c r="I7" s="9" t="str">
        <x:v>Armure claire, visière sombre ; détails à comparer.</x:v>
      </x:c>
      <x:c r="J7" s="9" t="str"/>
      <x:c r="K7" s="9" t="str"/>
      <x:c r="L7" s="9" t="str"/>
      <x:c r="M7" s="9" t="str"/>
      <x:c r="N7" s="9" t="str">
        <x:v>L’adversaire peut être identifié avant son premier coup et possède une réponse accessible.</x:v>
      </x:c>
      <x:c r="O7" s="9" t="str"/>
      <x:c r="P7" s="9" t="str">
        <x:v>Adversaires</x:v>
      </x:c>
      <x:c r="Q7" s="9" t="str">
        <x:v>INF-WIKI</x:v>
      </x:c>
      <x:c r="R7" s="20" t="str">
        <x:v>https://masseffect.fandom.com/wiki/Mass_Effect:_Infiltrator</x:v>
      </x:c>
      <x:c r="S7" s="20" t="str">
        <x:v>PV, dégâts, cadence et nombre d’unités à équilibrer pour le fan game.</x:v>
      </x:c>
    </x:row>
    <x:row r="8" ht="44" customHeight="1">
      <x:c r="A8" s="19" t="str">
        <x:v>INF-ENM-MECH</x:v>
      </x:c>
      <x:c r="B8" s="7" t="str">
        <x:v>Mech de Cerberus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Machines hostiles du Barn.</x:v>
      </x:c>
      <x:c r="G8" s="7" t="str">
        <x:v>Archétype ATB : Verrouillage puis rafale lourde.</x:v>
      </x:c>
      <x:c r="H8" s="7" t="str">
        <x:v>Proposition : Verrouillage puis rafale lourde. Réponse : Sortir du secteur marqué avant résolution.</x:v>
      </x:c>
      <x:c r="I8" s="7" t="str">
        <x:v>Châssis massif et articulation lumineuse proposée.</x:v>
      </x:c>
      <x:c r="J8" s="7" t="str"/>
      <x:c r="K8" s="7" t="str"/>
      <x:c r="L8" s="7" t="str"/>
      <x:c r="M8" s="7" t="str"/>
      <x:c r="N8" s="7" t="str">
        <x:v>L’adversaire peut être identifié avant son premier coup et possède une réponse accessible.</x:v>
      </x:c>
      <x:c r="O8" s="7" t="str"/>
      <x:c r="P8" s="7" t="str">
        <x:v>Adversaires</x:v>
      </x:c>
      <x:c r="Q8" s="7" t="str">
        <x:v>INF-WIKI</x:v>
      </x:c>
      <x:c r="R8" s="21" t="str">
        <x:v>https://masseffect.fandom.com/wiki/Mass_Effect:_Infiltrator</x:v>
      </x:c>
      <x:c r="S8" s="21" t="str">
        <x:v>PV, dégâts, cadence et nombre d’unités à équilibrer pour le fan game.</x:v>
      </x:c>
    </x:row>
    <x:row r="9" ht="44" customHeight="1">
      <x:c r="A9" s="18" t="str">
        <x:v>INF-ENM-SUBJECT</x:v>
      </x:c>
      <x:c r="B9" s="9" t="str">
        <x:v>Sujet évadé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Victime expérimentale hostile.</x:v>
      </x:c>
      <x:c r="G9" s="9" t="str">
        <x:v>Archétype ATB : Charge au plus proche puis récupération longue.</x:v>
      </x:c>
      <x:c r="H9" s="9" t="str">
        <x:v>Proposition : Charge au plus proche puis récupération longue. Réponse : Garder un point de recul libre.</x:v>
      </x:c>
      <x:c r="I9" s="9" t="str">
        <x:v>Silhouette altérée et posture asymétrique.</x:v>
      </x:c>
      <x:c r="J9" s="9" t="str"/>
      <x:c r="K9" s="9" t="str"/>
      <x:c r="L9" s="9" t="str"/>
      <x:c r="M9" s="9" t="str"/>
      <x:c r="N9" s="9" t="str">
        <x:v>L’adversaire peut être identifié avant son premier coup et possède une réponse accessible.</x:v>
      </x:c>
      <x:c r="O9" s="9" t="str"/>
      <x:c r="P9" s="9" t="str">
        <x:v>Adversaires</x:v>
      </x:c>
      <x:c r="Q9" s="9" t="str">
        <x:v>INF-WIKI</x:v>
      </x:c>
      <x:c r="R9" s="20" t="str">
        <x:v>https://masseffect.fandom.com/wiki/Mass_Effect:_Infiltrator</x:v>
      </x:c>
      <x:c r="S9" s="20" t="str">
        <x:v>PV, dégâts, cadence et nombre d’unités à équilibrer pour le fan game.</x:v>
      </x:c>
    </x:row>
    <x:row r="10" ht="44" customHeight="1">
      <x:c r="A10" s="19" t="str">
        <x:v>INF-ENM-X1</x:v>
      </x:c>
      <x:c r="B10" s="7" t="str">
        <x:v>X1</x:v>
      </x:c>
      <x:c r="C10" s="15" t="str">
        <x:v>Défini</x:v>
      </x:c>
      <x:c r="D10" s="17" t="str">
        <x:v>Établi</x:v>
      </x:c>
      <x:c r="E10" s="17" t="str">
        <x:v>P1</x:v>
      </x:c>
      <x:c r="F10" s="7" t="str">
        <x:v>Krogan mutant du Colosseum.</x:v>
      </x:c>
      <x:c r="G10" s="7" t="str">
        <x:v>Archétype ATB : Charge, frappe au sol puis vulnérabilité du dos.</x:v>
      </x:c>
      <x:c r="H10" s="7" t="str">
        <x:v>Proposition : Charge, frappe au sol puis vulnérabilité du dos. Réponse : Casser la ligne de charge avec un pilier.</x:v>
      </x:c>
      <x:c r="I10" s="7" t="str">
        <x:v>Masse krogan augmentée, échelle renforcée.</x:v>
      </x:c>
      <x:c r="J10" s="7" t="str"/>
      <x:c r="K10" s="7" t="str"/>
      <x:c r="L10" s="7" t="str"/>
      <x:c r="M10" s="7" t="str"/>
      <x:c r="N10" s="7" t="str">
        <x:v>L’adversaire peut être identifié avant son premier coup et possède une réponse accessible.</x:v>
      </x:c>
      <x:c r="O10" s="7" t="str"/>
      <x:c r="P10" s="7" t="str">
        <x:v>Adversaires</x:v>
      </x:c>
      <x:c r="Q10" s="7" t="str">
        <x:v>INF-WIKI</x:v>
      </x:c>
      <x:c r="R10" s="21" t="str">
        <x:v>https://masseffect.fandom.com/wiki/Mass_Effect:_Infiltrator</x:v>
      </x:c>
      <x:c r="S10" s="21" t="str">
        <x:v>PV, dégâts, cadence et nombre d’unités à équilibrer pour le fan game.</x:v>
      </x:c>
    </x:row>
    <x:row r="11" ht="54" customHeight="1">
      <x:c r="A11" s="18" t="str">
        <x:v>INF-ENM-INALI</x:v>
      </x:c>
      <x:c r="B11" s="9" t="str">
        <x:v>Inali augmentée</x:v>
      </x:c>
      <x:c r="C11" s="15" t="str">
        <x:v>Défini</x:v>
      </x:c>
      <x:c r="D11" s="16" t="str">
        <x:v>Établi</x:v>
      </x:c>
      <x:c r="E11" s="16" t="str">
        <x:v>P0</x:v>
      </x:c>
      <x:c r="F11" s="9" t="str">
        <x:v>Affrontement final.</x:v>
      </x:c>
      <x:c r="G11" s="9" t="str">
        <x:v>Archétype ATB : Phases protection, armure, contrôle du Directeur.</x:v>
      </x:c>
      <x:c r="H11" s="9" t="str">
        <x:v>Proposition : Phases protection, armure, contrôle du Directeur. Réponse : Détruire la protection sans perdre la lecture du choix final.</x:v>
      </x:c>
      <x:c r="I11" s="9" t="str">
        <x:v>Silhouette transformée à relever sur référence.</x:v>
      </x:c>
      <x:c r="J11" s="9" t="str"/>
      <x:c r="K11" s="9" t="str"/>
      <x:c r="L11" s="9" t="str"/>
      <x:c r="M11" s="9" t="str"/>
      <x:c r="N11" s="9" t="str">
        <x:v>L’adversaire peut être identifié avant son premier coup et possède une réponse accessible.</x:v>
      </x:c>
      <x:c r="O11" s="9" t="str"/>
      <x:c r="P11" s="9" t="str">
        <x:v>Adversaires</x:v>
      </x:c>
      <x:c r="Q11" s="9" t="str">
        <x:v>INF-WIKI</x:v>
      </x:c>
      <x:c r="R11" s="20" t="str">
        <x:v>https://masseffect.fandom.com/wiki/Mass_Effect:_Infiltrator</x:v>
      </x:c>
      <x:c r="S11" s="20" t="str">
        <x:v>PV, dégâts, cadence et nombre d’unités à équilibrer pour le fan game.</x:v>
      </x:c>
    </x:row>
    <x:row r="12" ht="54" customHeight="1">
      <x:c r="A12" s="19" t="str">
        <x:v>INF-ENM-OGRE</x:v>
      </x:c>
      <x:c r="B12" s="7" t="str">
        <x:v>Ogre Mech</x:v>
      </x:c>
      <x:c r="C12" s="15" t="str">
        <x:v>Défini</x:v>
      </x:c>
      <x:c r="D12" s="17" t="str">
        <x:v>Établi</x:v>
      </x:c>
      <x:c r="E12" s="17" t="str">
        <x:v>P1</x:v>
      </x:c>
      <x:c r="F12" s="7" t="str">
        <x:v>Adversaire du bonus.</x:v>
      </x:c>
      <x:c r="G12" s="7" t="str">
        <x:v>Archétype ATB : Bombardement central et appel de renforts.</x:v>
      </x:c>
      <x:c r="H12" s="7" t="str">
        <x:v>Proposition : Bombardement central et appel de renforts. Réponse : Prioriser les unités de soutien pendant la récupération.</x:v>
      </x:c>
      <x:c r="I12" s="7" t="str">
        <x:v>Structure lourde et canon distinct.</x:v>
      </x:c>
      <x:c r="J12" s="7" t="str"/>
      <x:c r="K12" s="7" t="str"/>
      <x:c r="L12" s="7" t="str"/>
      <x:c r="M12" s="7" t="str"/>
      <x:c r="N12" s="7" t="str">
        <x:v>L’adversaire peut être identifié avant son premier coup et possède une réponse accessible.</x:v>
      </x:c>
      <x:c r="O12" s="7" t="str"/>
      <x:c r="P12" s="7" t="str">
        <x:v>Adversaires</x:v>
      </x:c>
      <x:c r="Q12" s="7" t="str">
        <x:v>INF-WIKI</x:v>
      </x:c>
      <x:c r="R12" s="21" t="str">
        <x:v>https://masseffect.fandom.com/wiki/Mass_Effect:_Infiltrator</x:v>
      </x:c>
      <x:c r="S12" s="21" t="str">
        <x:v>PV, dégâts, cadence et nombre d’unités à équilibrer pour le fan game.</x:v>
      </x:c>
    </x:row>
    <x:row r="13" ht="44" customHeight="1">
      <x:c r="A13" s="18" t="str">
        <x:v>INF-ENM-ORCUS</x:v>
      </x:c>
      <x:c r="B13" s="9" t="str">
        <x:v>Orcus Mech</x:v>
      </x:c>
      <x:c r="C13" s="15" t="str">
        <x:v>Défini</x:v>
      </x:c>
      <x:c r="D13" s="16" t="str">
        <x:v>Établi</x:v>
      </x:c>
      <x:c r="E13" s="16" t="str">
        <x:v>P1</x:v>
      </x:c>
      <x:c r="F13" s="9" t="str">
        <x:v>Adversaire du bonus.</x:v>
      </x:c>
      <x:c r="G13" s="9" t="str">
        <x:v>Archétype ATB : Pression à distance en groupe.</x:v>
      </x:c>
      <x:c r="H13" s="9" t="str">
        <x:v>Proposition : Pression à distance en groupe. Réponse : Réserver un espace de repli.</x:v>
      </x:c>
      <x:c r="I13" s="9" t="str">
        <x:v>Petite silhouette mécanique répétable.</x:v>
      </x:c>
      <x:c r="J13" s="9" t="str"/>
      <x:c r="K13" s="9" t="str"/>
      <x:c r="L13" s="9" t="str"/>
      <x:c r="M13" s="9" t="str"/>
      <x:c r="N13" s="9" t="str">
        <x:v>L’adversaire peut être identifié avant son premier coup et possède une réponse accessible.</x:v>
      </x:c>
      <x:c r="O13" s="9" t="str"/>
      <x:c r="P13" s="9" t="str">
        <x:v>Adversaires</x:v>
      </x:c>
      <x:c r="Q13" s="9" t="str">
        <x:v>INF-WIKI</x:v>
      </x:c>
      <x:c r="R13" s="20" t="str">
        <x:v>https://masseffect.fandom.com/wiki/Mass_Effect:_Infiltrator</x:v>
      </x:c>
      <x:c r="S13" s="20" t="str">
        <x:v>PV, dégâts, cadence et nombre d’unités à équilibrer pour le fan game.</x:v>
      </x:c>
    </x:row>
  </x:sheetData>
  <x:conditionalFormatting sqref="D7:D13">
    <x:cfRule type="cellIs" dxfId="32" priority="1" operator="equal">
      <x:formula>"À vérifier"</x:formula>
    </x:cfRule>
    <x:cfRule type="cellIs" dxfId="33" priority="2" operator="equal">
      <x:formula>"Extrapolation"</x:formula>
    </x:cfRule>
  </x:conditionalFormatting>
  <x:conditionalFormatting sqref="C7:C13">
    <x:cfRule type="cellIs" dxfId="34" priority="3" operator="equal">
      <x:formula>"Validé"</x:formula>
    </x:cfRule>
  </x:conditionalFormatting>
  <x:conditionalFormatting sqref="E7:E13">
    <x:cfRule type="cellIs" dxfId="35" priority="4" operator="equal">
      <x:formula>"P0"</x:formula>
    </x:cfRule>
  </x:conditionalFormatting>
  <x:dataValidations count="3">
    <x:dataValidation type="list" sqref="C7:C13">
      <x:formula1>"Défini,Prototype,Intégré,Validé"</x:formula1>
    </x:dataValidation>
    <x:dataValidation type="list" sqref="D7:D13">
      <x:formula1>"Établi,À vérifier,Extrapolation,Coupé attesté,Concept abandonné,Allégation écartée"</x:formula1>
    </x:dataValidation>
    <x:dataValidation type="list" sqref="E7:E1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9ac5009692408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Missions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Étapes de l’intrigue principale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INF-MIS-ICE</x:v>
      </x:c>
      <x:c r="B7" s="9" t="str">
        <x:v>Ice Giant</x:v>
      </x:c>
      <x:c r="C7" s="15" t="str">
        <x:v>Défini</x:v>
      </x:c>
      <x:c r="D7" s="16" t="str">
        <x:v>Établi</x:v>
      </x:c>
      <x:c r="E7" s="16" t="str">
        <x:v>P0</x:v>
      </x:c>
      <x:c r="F7" s="9" t="str">
        <x:v>4 checkpoints dans le guide.</x:v>
      </x:c>
      <x:c r="G7" s="9" t="str">
        <x:v>Apprendre couvert, pouvoir et capture.</x:v>
      </x:c>
      <x:c r="H7" s="9" t="str">
        <x:v>Objectif proposé : Apprendre couvert, pouvoir et capture. Échec : retour au point de contrôle sans duplication des récompenses.</x:v>
      </x:c>
      <x:c r="I7" s="9" t="str">
        <x:v>Couloirs de neige alternant approche et flanc.</x:v>
      </x:c>
      <x:c r="J7" s="9" t="str"/>
      <x:c r="K7" s="9" t="str"/>
      <x:c r="L7" s="9" t="str">
        <x:v>État de mission prévu inf_ice : disponible, active, résolue.</x:v>
      </x:c>
      <x:c r="M7" s="9" t="str">
        <x:v>Ouverture.</x:v>
      </x:c>
      <x:c r="N7" s="9" t="str">
        <x:v>Objectif, progression, sortie et sauvegarde fonctionnent après chargement intermédiaire.</x:v>
      </x:c>
      <x:c r="O7" s="9" t="str"/>
      <x:c r="P7" s="9" t="str">
        <x:v>Ice Giant</x:v>
      </x:c>
      <x:c r="Q7" s="9" t="str">
        <x:v>INF-GUIDE</x:v>
      </x:c>
      <x:c r="R7" s="20" t="str">
        <x:v>https://masseffect.fandom.com/wiki/Mass_Effect:_Infiltrator_Guide</x:v>
      </x:c>
      <x:c r="S7" s="20" t="str">
        <x:v>Le nom et la place du chapitre sont référencés. Son agencement ATB est original.</x:v>
      </x:c>
    </x:row>
    <x:row r="8" ht="54" customHeight="1">
      <x:c r="A8" s="19" t="str">
        <x:v>INF-MIS-HANGAR</x:v>
      </x:c>
      <x:c r="B8" s="7" t="str">
        <x:v>Hangar Bay</x:v>
      </x:c>
      <x:c r="C8" s="15" t="str">
        <x:v>Défini</x:v>
      </x:c>
      <x:c r="D8" s="17" t="str">
        <x:v>Établi</x:v>
      </x:c>
      <x:c r="E8" s="17" t="str">
        <x:v>P0</x:v>
      </x:c>
      <x:c r="F8" s="7" t="str">
        <x:v>2 checkpoints.</x:v>
      </x:c>
      <x:c r="G8" s="7" t="str">
        <x:v>Atteindre la zone de débriefing.</x:v>
      </x:c>
      <x:c r="H8" s="7" t="str">
        <x:v>Objectif proposé : Atteindre la zone de débriefing. Échec : retour au point de contrôle sans duplication des récompenses.</x:v>
      </x:c>
      <x:c r="I8" s="7" t="str">
        <x:v>Quai, rampes et passerelle de contrôle.</x:v>
      </x:c>
      <x:c r="J8" s="7" t="str"/>
      <x:c r="K8" s="7" t="str"/>
      <x:c r="L8" s="7" t="str">
        <x:v>État de mission prévu inf_hangar : disponible, active, résolue.</x:v>
      </x:c>
      <x:c r="M8" s="7" t="str">
        <x:v>Ice Giant terminé.</x:v>
      </x:c>
      <x:c r="N8" s="7" t="str">
        <x:v>Objectif, progression, sortie et sauvegarde fonctionnent après chargement intermédiaire.</x:v>
      </x:c>
      <x:c r="O8" s="7" t="str">
        <x:v>INF-MIS-ICE</x:v>
      </x:c>
      <x:c r="P8" s="7" t="str">
        <x:v>Hangar Bay</x:v>
      </x:c>
      <x:c r="Q8" s="7" t="str">
        <x:v>INF-GUIDE</x:v>
      </x:c>
      <x:c r="R8" s="21" t="str">
        <x:v>https://masseffect.fandom.com/wiki/Mass_Effect:_Infiltrator_Guide</x:v>
      </x:c>
      <x:c r="S8" s="21" t="str">
        <x:v>Le nom et la place du chapitre sont référencés. Son agencement ATB est original.</x:v>
      </x:c>
    </x:row>
    <x:row r="9" ht="54" customHeight="1">
      <x:c r="A9" s="18" t="str">
        <x:v>INF-MIS-MEDICAL</x:v>
      </x:c>
      <x:c r="B9" s="9" t="str">
        <x:v>Medical Bay</x:v>
      </x:c>
      <x:c r="C9" s="15" t="str">
        <x:v>Défini</x:v>
      </x:c>
      <x:c r="D9" s="16" t="str">
        <x:v>Établi</x:v>
      </x:c>
      <x:c r="E9" s="16" t="str">
        <x:v>P0</x:v>
      </x:c>
      <x:c r="F9" s="9" t="str">
        <x:v>5 checkpoints.</x:v>
      </x:c>
      <x:c r="G9" s="9" t="str">
        <x:v>Traverser les salles et retrouver le contact.</x:v>
      </x:c>
      <x:c r="H9" s="9" t="str">
        <x:v>Objectif proposé : Traverser les salles et retrouver le contact. Échec : retour au point de contrôle sans duplication des récompenses.</x:v>
      </x:c>
      <x:c r="I9" s="9" t="str">
        <x:v>Cloisons vitrées et zone de quarantaine.</x:v>
      </x:c>
      <x:c r="J9" s="9" t="str"/>
      <x:c r="K9" s="9" t="str"/>
      <x:c r="L9" s="9" t="str">
        <x:v>État de mission prévu inf_medical : disponible, active, résolue.</x:v>
      </x:c>
      <x:c r="M9" s="9" t="str">
        <x:v>Hangar Bay terminé.</x:v>
      </x:c>
      <x:c r="N9" s="9" t="str">
        <x:v>Objectif, progression, sortie et sauvegarde fonctionnent après chargement intermédiaire.</x:v>
      </x:c>
      <x:c r="O9" s="9" t="str">
        <x:v>INF-MIS-HANGAR</x:v>
      </x:c>
      <x:c r="P9" s="9" t="str">
        <x:v>Medical Bay</x:v>
      </x:c>
      <x:c r="Q9" s="9" t="str">
        <x:v>INF-GUIDE</x:v>
      </x:c>
      <x:c r="R9" s="20" t="str">
        <x:v>https://masseffect.fandom.com/wiki/Mass_Effect:_Infiltrator_Guide</x:v>
      </x:c>
      <x:c r="S9" s="20" t="str">
        <x:v>Le nom et la place du chapitre sont référencés. Son agencement ATB est original.</x:v>
      </x:c>
    </x:row>
    <x:row r="10" ht="54" customHeight="1">
      <x:c r="A10" s="19" t="str">
        <x:v>INF-MIS-SECURITY</x:v>
      </x:c>
      <x:c r="B10" s="7" t="str">
        <x:v>Security Checkpoint</x:v>
      </x:c>
      <x:c r="C10" s="15" t="str">
        <x:v>Défini</x:v>
      </x:c>
      <x:c r="D10" s="17" t="str">
        <x:v>Établi</x:v>
      </x:c>
      <x:c r="E10" s="17" t="str">
        <x:v>P0</x:v>
      </x:c>
      <x:c r="F10" s="7" t="str">
        <x:v>2 checkpoints.</x:v>
      </x:c>
      <x:c r="G10" s="7" t="str">
        <x:v>Lever le verrou vers les laboratoires.</x:v>
      </x:c>
      <x:c r="H10" s="7" t="str">
        <x:v>Objectif proposé : Lever le verrou vers les laboratoires. Échec : retour au point de contrôle sans duplication des récompenses.</x:v>
      </x:c>
      <x:c r="I10" s="7" t="str">
        <x:v>Deux lignes de couverture et sas sécurisé.</x:v>
      </x:c>
      <x:c r="J10" s="7" t="str"/>
      <x:c r="K10" s="7" t="str"/>
      <x:c r="L10" s="7" t="str">
        <x:v>État de mission prévu inf_security : disponible, active, résolue.</x:v>
      </x:c>
      <x:c r="M10" s="7" t="str">
        <x:v>Medical Bay terminé.</x:v>
      </x:c>
      <x:c r="N10" s="7" t="str">
        <x:v>Objectif, progression, sortie et sauvegarde fonctionnent après chargement intermédiaire.</x:v>
      </x:c>
      <x:c r="O10" s="7" t="str">
        <x:v>INF-MIS-MEDICAL</x:v>
      </x:c>
      <x:c r="P10" s="7" t="str">
        <x:v>Security Checkpoint</x:v>
      </x:c>
      <x:c r="Q10" s="7" t="str">
        <x:v>INF-GUIDE</x:v>
      </x:c>
      <x:c r="R10" s="21" t="str">
        <x:v>https://masseffect.fandom.com/wiki/Mass_Effect:_Infiltrator_Guide</x:v>
      </x:c>
      <x:c r="S10" s="21" t="str">
        <x:v>Le nom et la place du chapitre sont référencés. Son agencement ATB est original.</x:v>
      </x:c>
    </x:row>
    <x:row r="11" ht="54" customHeight="1">
      <x:c r="A11" s="18" t="str">
        <x:v>INF-MIS-X1WING</x:v>
      </x:c>
      <x:c r="B11" s="9" t="str">
        <x:v>X1 Wing</x:v>
      </x:c>
      <x:c r="C11" s="15" t="str">
        <x:v>Défini</x:v>
      </x:c>
      <x:c r="D11" s="16" t="str">
        <x:v>Établi</x:v>
      </x:c>
      <x:c r="E11" s="16" t="str">
        <x:v>P0</x:v>
      </x:c>
      <x:c r="F11" s="9" t="str">
        <x:v>6 checkpoints.</x:v>
      </x:c>
      <x:c r="G11" s="9" t="str">
        <x:v>Récupérer les données et survivre au laboratoire.</x:v>
      </x:c>
      <x:c r="H11" s="9" t="str">
        <x:v>Objectif proposé : Récupérer les données et survivre au laboratoire. Échec : retour au point de contrôle sans duplication des récompenses.</x:v>
      </x:c>
      <x:c r="I11" s="9" t="str">
        <x:v>Cuves, cages, conduits et plateformes.</x:v>
      </x:c>
      <x:c r="J11" s="9" t="str"/>
      <x:c r="K11" s="9" t="str"/>
      <x:c r="L11" s="9" t="str">
        <x:v>État de mission prévu inf_x1wing : disponible, active, résolue.</x:v>
      </x:c>
      <x:c r="M11" s="9" t="str">
        <x:v>Sécurité franchie.</x:v>
      </x:c>
      <x:c r="N11" s="9" t="str">
        <x:v>Objectif, progression, sortie et sauvegarde fonctionnent après chargement intermédiaire.</x:v>
      </x:c>
      <x:c r="O11" s="9" t="str">
        <x:v>INF-MIS-SECURITY</x:v>
      </x:c>
      <x:c r="P11" s="9" t="str">
        <x:v>X1 Wing</x:v>
      </x:c>
      <x:c r="Q11" s="9" t="str">
        <x:v>INF-GUIDE</x:v>
      </x:c>
      <x:c r="R11" s="20" t="str">
        <x:v>https://masseffect.fandom.com/wiki/Mass_Effect:_Infiltrator_Guide</x:v>
      </x:c>
      <x:c r="S11" s="20" t="str">
        <x:v>Le nom et la place du chapitre sont référencés. Son agencement ATB est original.</x:v>
      </x:c>
    </x:row>
    <x:row r="12" ht="54" customHeight="1">
      <x:c r="A12" s="19" t="str">
        <x:v>INF-MIS-COLOSSEUM</x:v>
      </x:c>
      <x:c r="B12" s="7" t="str">
        <x:v>Colosseum</x:v>
      </x:c>
      <x:c r="C12" s="15" t="str">
        <x:v>Défini</x:v>
      </x:c>
      <x:c r="D12" s="17" t="str">
        <x:v>Établi</x:v>
      </x:c>
      <x:c r="E12" s="17" t="str">
        <x:v>P0</x:v>
      </x:c>
      <x:c r="F12" s="7" t="str">
        <x:v>1 checkpoint.</x:v>
      </x:c>
      <x:c r="G12" s="7" t="str">
        <x:v>Affronter X1 avec télégraphes de charge.</x:v>
      </x:c>
      <x:c r="H12" s="7" t="str">
        <x:v>Objectif proposé : Affronter X1 avec télégraphes de charge. Échec : retour au point de contrôle sans duplication des récompenses.</x:v>
      </x:c>
      <x:c r="I12" s="7" t="str">
        <x:v>Arène circulaire avec piliers de protection.</x:v>
      </x:c>
      <x:c r="J12" s="7" t="str"/>
      <x:c r="K12" s="7" t="str"/>
      <x:c r="L12" s="7" t="str">
        <x:v>État de mission prévu inf_colosseum : disponible, active, résolue.</x:v>
      </x:c>
      <x:c r="M12" s="7" t="str">
        <x:v>X1 Wing terminé.</x:v>
      </x:c>
      <x:c r="N12" s="7" t="str">
        <x:v>Objectif, progression, sortie et sauvegarde fonctionnent après chargement intermédiaire.</x:v>
      </x:c>
      <x:c r="O12" s="7" t="str">
        <x:v>INF-MIS-X1WING</x:v>
      </x:c>
      <x:c r="P12" s="7" t="str">
        <x:v>Colosseum</x:v>
      </x:c>
      <x:c r="Q12" s="7" t="str">
        <x:v>INF-GUIDE</x:v>
      </x:c>
      <x:c r="R12" s="21" t="str">
        <x:v>https://masseffect.fandom.com/wiki/Mass_Effect:_Infiltrator_Guide</x:v>
      </x:c>
      <x:c r="S12" s="21" t="str">
        <x:v>Le nom et la place du chapitre sont référencés. Son agencement ATB est original.</x:v>
      </x:c>
    </x:row>
    <x:row r="13" ht="54" customHeight="1">
      <x:c r="A13" s="18" t="str">
        <x:v>INF-MIS-COMM</x:v>
      </x:c>
      <x:c r="B13" s="9" t="str">
        <x:v>Comm Relay</x:v>
      </x:c>
      <x:c r="C13" s="15" t="str">
        <x:v>Défini</x:v>
      </x:c>
      <x:c r="D13" s="16" t="str">
        <x:v>Établi</x:v>
      </x:c>
      <x:c r="E13" s="16" t="str">
        <x:v>P0</x:v>
      </x:c>
      <x:c r="F13" s="9" t="str">
        <x:v>6 checkpoints.</x:v>
      </x:c>
      <x:c r="G13" s="9" t="str">
        <x:v>Rétablir une liaison vers l’Alliance.</x:v>
      </x:c>
      <x:c r="H13" s="9" t="str">
        <x:v>Objectif proposé : Rétablir une liaison vers l’Alliance. Échec : retour au point de contrôle sans duplication des récompenses.</x:v>
      </x:c>
      <x:c r="I13" s="9" t="str">
        <x:v>Escalier de maintenance puis antenne et consoles.</x:v>
      </x:c>
      <x:c r="J13" s="9" t="str"/>
      <x:c r="K13" s="9" t="str"/>
      <x:c r="L13" s="9" t="str">
        <x:v>État de mission prévu inf_comm : disponible, active, résolue.</x:v>
      </x:c>
      <x:c r="M13" s="9" t="str">
        <x:v>Colosseum terminé.</x:v>
      </x:c>
      <x:c r="N13" s="9" t="str">
        <x:v>Objectif, progression, sortie et sauvegarde fonctionnent après chargement intermédiaire.</x:v>
      </x:c>
      <x:c r="O13" s="9" t="str">
        <x:v>INF-MIS-COLOSSEUM</x:v>
      </x:c>
      <x:c r="P13" s="9" t="str">
        <x:v>Comm Relay</x:v>
      </x:c>
      <x:c r="Q13" s="9" t="str">
        <x:v>INF-GUIDE</x:v>
      </x:c>
      <x:c r="R13" s="20" t="str">
        <x:v>https://masseffect.fandom.com/wiki/Mass_Effect:_Infiltrator_Guide</x:v>
      </x:c>
      <x:c r="S13" s="20" t="str">
        <x:v>Le nom et la place du chapitre sont référencés. Son agencement ATB est original.</x:v>
      </x:c>
    </x:row>
    <x:row r="14" ht="54" customHeight="1">
      <x:c r="A14" s="19" t="str">
        <x:v>INF-MIS-CORRIDOR</x:v>
      </x:c>
      <x:c r="B14" s="7" t="str">
        <x:v>Access Corridor</x:v>
      </x:c>
      <x:c r="C14" s="15" t="str">
        <x:v>Défini</x:v>
      </x:c>
      <x:c r="D14" s="17" t="str">
        <x:v>Établi</x:v>
      </x:c>
      <x:c r="E14" s="17" t="str">
        <x:v>P0</x:v>
      </x:c>
      <x:c r="F14" s="7" t="str">
        <x:v>6 checkpoints.</x:v>
      </x:c>
      <x:c r="G14" s="7" t="str">
        <x:v>Rejoindre le hangar et sécuriser la navette.</x:v>
      </x:c>
      <x:c r="H14" s="7" t="str">
        <x:v>Objectif proposé : Rejoindre le hangar et sécuriser la navette. Échec : retour au point de contrôle sans duplication des récompenses.</x:v>
      </x:c>
      <x:c r="I14" s="7" t="str">
        <x:v>Retour transformé par les dégâts et renforts.</x:v>
      </x:c>
      <x:c r="J14" s="7" t="str"/>
      <x:c r="K14" s="7" t="str"/>
      <x:c r="L14" s="7" t="str">
        <x:v>État de mission prévu inf_corridor : disponible, active, résolue.</x:v>
      </x:c>
      <x:c r="M14" s="7" t="str">
        <x:v>Message émis.</x:v>
      </x:c>
      <x:c r="N14" s="7" t="str">
        <x:v>Objectif, progression, sortie et sauvegarde fonctionnent après chargement intermédiaire.</x:v>
      </x:c>
      <x:c r="O14" s="7" t="str">
        <x:v>INF-MIS-COMM</x:v>
      </x:c>
      <x:c r="P14" s="7" t="str">
        <x:v>Access Corridor</x:v>
      </x:c>
      <x:c r="Q14" s="7" t="str">
        <x:v>INF-GUIDE</x:v>
      </x:c>
      <x:c r="R14" s="21" t="str">
        <x:v>https://masseffect.fandom.com/wiki/Mass_Effect:_Infiltrator_Guide</x:v>
      </x:c>
      <x:c r="S14" s="21" t="str">
        <x:v>Le nom et la place du chapitre sont référencés. Son agencement ATB est original.</x:v>
      </x:c>
    </x:row>
    <x:row r="15" ht="54" customHeight="1">
      <x:c r="A15" s="18" t="str">
        <x:v>INF-MIS-DESERT</x:v>
      </x:c>
      <x:c r="B15" s="9" t="str">
        <x:v>Desert Planet</x:v>
      </x:c>
      <x:c r="C15" s="15" t="str">
        <x:v>Défini</x:v>
      </x:c>
      <x:c r="D15" s="16" t="str">
        <x:v>Établi</x:v>
      </x:c>
      <x:c r="E15" s="16" t="str">
        <x:v>P0</x:v>
      </x:c>
      <x:c r="F15" s="9" t="str">
        <x:v>1 checkpoint.</x:v>
      </x:c>
      <x:c r="G15" s="9" t="str">
        <x:v>Conclure l’affrontement avec Inali.</x:v>
      </x:c>
      <x:c r="H15" s="9" t="str">
        <x:v>Objectif proposé : Conclure l’affrontement avec Inali. Échec : retour au point de contrôle sans duplication des récompenses.</x:v>
      </x:c>
      <x:c r="I15" s="9" t="str">
        <x:v>Arène désertique, alternance barrières et armure.</x:v>
      </x:c>
      <x:c r="J15" s="9" t="str"/>
      <x:c r="K15" s="9" t="str"/>
      <x:c r="L15" s="9" t="str">
        <x:v>État de mission prévu inf_desert : disponible, active, résolue.</x:v>
      </x:c>
      <x:c r="M15" s="9" t="str">
        <x:v>Navette récupérée.</x:v>
      </x:c>
      <x:c r="N15" s="9" t="str">
        <x:v>Objectif, progression, sortie et sauvegarde fonctionnent après chargement intermédiaire.</x:v>
      </x:c>
      <x:c r="O15" s="9" t="str">
        <x:v>INF-MIS-CORRIDOR</x:v>
      </x:c>
      <x:c r="P15" s="9" t="str">
        <x:v>Desert Planet</x:v>
      </x:c>
      <x:c r="Q15" s="9" t="str">
        <x:v>INF-GUIDE</x:v>
      </x:c>
      <x:c r="R15" s="20" t="str">
        <x:v>https://masseffect.fandom.com/wiki/Mass_Effect:_Infiltrator_Guide</x:v>
      </x:c>
      <x:c r="S15" s="20" t="str">
        <x:v>Le nom et la place du chapitre sont référencés. Son agencement ATB est original.</x:v>
      </x:c>
    </x:row>
  </x:sheetData>
  <x:conditionalFormatting sqref="D7:D15">
    <x:cfRule type="cellIs" dxfId="36" priority="1" operator="equal">
      <x:formula>"À vérifier"</x:formula>
    </x:cfRule>
    <x:cfRule type="cellIs" dxfId="37" priority="2" operator="equal">
      <x:formula>"Extrapolation"</x:formula>
    </x:cfRule>
  </x:conditionalFormatting>
  <x:conditionalFormatting sqref="C7:C15">
    <x:cfRule type="cellIs" dxfId="38" priority="3" operator="equal">
      <x:formula>"Validé"</x:formula>
    </x:cfRule>
  </x:conditionalFormatting>
  <x:conditionalFormatting sqref="E7:E15">
    <x:cfRule type="cellIs" dxfId="39" priority="4" operator="equal">
      <x:formula>"P0"</x:formula>
    </x:cfRule>
  </x:conditionalFormatting>
  <x:dataValidations count="3">
    <x:dataValidation type="list" sqref="C7:C15">
      <x:formula1>"Défini,Prototype,Intégré,Validé"</x:formula1>
    </x:dataValidation>
    <x:dataValidation type="list" sqref="D7:D15">
      <x:formula1>"Établi,À vérifier,Extrapolation,Coupé attesté,Concept abandonné,Allégation écartée"</x:formula1>
    </x:dataValidation>
    <x:dataValidation type="list" sqref="E7:E15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dc09657b754e0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Secondaires et DLC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Contenus annexes, variantes et extensions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INF-SIDE-INCARCERATION</x:v>
      </x:c>
      <x:c r="B7" s="9" t="str">
        <x:v>Incarceration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Bonus turien, 6 checkpoints.</x:v>
      </x:c>
      <x:c r="G7" s="9" t="str">
        <x:v>Campagne indépendante accessible depuis le menu.</x:v>
      </x:c>
      <x:c r="H7" s="9" t="str">
        <x:v>Pas d’import des améliorations de Randall.</x:v>
      </x:c>
      <x:c r="I7" s="9" t="str">
        <x:v>Clinique dévastée et sortie inaccessible.</x:v>
      </x:c>
      <x:c r="J7" s="9" t="str"/>
      <x:c r="K7" s="9" t="str"/>
      <x:c r="L7" s="9" t="str"/>
      <x:c r="M7" s="9" t="str"/>
      <x:c r="N7" s="9" t="str">
        <x:v>Le bonus conserve sa progression séparée.</x:v>
      </x:c>
      <x:c r="O7" s="9" t="str"/>
      <x:c r="P7" s="9" t="str">
        <x:v>Conception du fan game</x:v>
      </x:c>
      <x:c r="Q7" s="9" t="str">
        <x:v>INF-GUIDE</x:v>
      </x:c>
      <x:c r="R7" s="20" t="str">
        <x:v>https://masseffect.fandom.com/wiki/Mass_Effect:_Infiltrator_Guide</x:v>
      </x:c>
      <x:c r="S7" s="20" t="str"/>
    </x:row>
    <x:row r="8" ht="44" customHeight="1">
      <x:c r="A8" s="19" t="str">
        <x:v>INF-SIDE-INTEL</x:v>
      </x:c>
      <x:c r="B8" s="7" t="str">
        <x:v>Collecte des renseignements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Collecte présente dans le jeu.</x:v>
      </x:c>
      <x:c r="G8" s="7" t="str">
        <x:v>Objectifs de récupération facultatifs dans les arènes.</x:v>
      </x:c>
      <x:c r="H8" s="7" t="str">
        <x:v>Proposition : journal local, récompenses fixes et aucune connexion à un ancien service.</x:v>
      </x:c>
      <x:c r="I8" s="7" t="str">
        <x:v>Tablettes orange et conteneurs identifiables.</x:v>
      </x:c>
      <x:c r="J8" s="7" t="str"/>
      <x:c r="K8" s="7" t="str"/>
      <x:c r="L8" s="7" t="str"/>
      <x:c r="M8" s="7" t="str"/>
      <x:c r="N8" s="7" t="str">
        <x:v>Un renseignement ne se crédite qu’une fois.</x:v>
      </x:c>
      <x:c r="O8" s="7" t="str"/>
      <x:c r="P8" s="7" t="str">
        <x:v>Conception du fan game</x:v>
      </x:c>
      <x:c r="Q8" s="7" t="str">
        <x:v>INF-OFFICIAL</x:v>
      </x:c>
      <x:c r="R8" s="21" t="str">
        <x:v>https://koolhausgames.com/portfolio/mass-effect-3/</x:v>
      </x:c>
      <x:c r="S8" s="21" t="str"/>
    </x:row>
    <x:row r="9" ht="44" customHeight="1">
      <x:c r="A9" s="18" t="str">
        <x:v>INF-SIDE-RANK</x:v>
      </x:c>
      <x:c r="B9" s="9" t="str">
        <x:v>Rejouer un checkpoint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Rejeu et amélioration du rang.</x:v>
      </x:c>
      <x:c r="G9" s="9" t="str">
        <x:v>Menu de sélection des segments débloqués.</x:v>
      </x:c>
      <x:c r="H9" s="9" t="str">
        <x:v>Conserver le meilleur résultat ; ne pas réécrire les choix narratifs.</x:v>
      </x:c>
      <x:c r="I9" s="9" t="str"/>
      <x:c r="J9" s="9" t="str"/>
      <x:c r="K9" s="9" t="str"/>
      <x:c r="L9" s="9" t="str"/>
      <x:c r="M9" s="9" t="str"/>
      <x:c r="N9" s="9" t="str">
        <x:v>Le score ne déverrouille pas prématurément un chapitre.</x:v>
      </x:c>
      <x:c r="O9" s="9" t="str"/>
      <x:c r="P9" s="9" t="str">
        <x:v>Conception du fan game</x:v>
      </x:c>
      <x:c r="Q9" s="9" t="str">
        <x:v>INF-GUIDE</x:v>
      </x:c>
      <x:c r="R9" s="20" t="str">
        <x:v>https://masseffect.fandom.com/wiki/Mass_Effect:_Infiltrator_Guide</x:v>
      </x:c>
      <x:c r="S9" s="20" t="str"/>
    </x:row>
  </x:sheetData>
  <x:conditionalFormatting sqref="D7:D9">
    <x:cfRule type="cellIs" dxfId="40" priority="1" operator="equal">
      <x:formula>"À vérifier"</x:formula>
    </x:cfRule>
    <x:cfRule type="cellIs" dxfId="41" priority="2" operator="equal">
      <x:formula>"Extrapolation"</x:formula>
    </x:cfRule>
  </x:conditionalFormatting>
  <x:conditionalFormatting sqref="C7:C9">
    <x:cfRule type="cellIs" dxfId="42" priority="3" operator="equal">
      <x:formula>"Validé"</x:formula>
    </x:cfRule>
  </x:conditionalFormatting>
  <x:conditionalFormatting sqref="E7:E9">
    <x:cfRule type="cellIs" dxfId="43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06df482f874c7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Choix et relations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Conséquences persistantes et relations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INF-CHO-MORAL</x:v>
      </x:c>
      <x:c r="B7" s="9" t="str">
        <x:v>Conduite de Randall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Choix moraux présents.</x:v>
      </x:c>
      <x:c r="G7" s="9" t="str">
        <x:v>Enregistrer chaque décision dans un journal sans résumé binaire permanent.</x:v>
      </x:c>
      <x:c r="H7" s="9" t="str">
        <x:v>Les seuils de l’adaptation sont proposés et exposés.</x:v>
      </x:c>
      <x:c r="I7" s="9" t="str"/>
      <x:c r="J7" s="9" t="str"/>
      <x:c r="K7" s="9" t="str"/>
      <x:c r="L7" s="9" t="str"/>
      <x:c r="M7" s="9" t="str"/>
      <x:c r="N7" s="9" t="str">
        <x:v>Les choix précédents ne sont pas remplacés lors du rejeu.</x:v>
      </x:c>
      <x:c r="O7" s="9" t="str"/>
      <x:c r="P7" s="9" t="str">
        <x:v>Conception du fan game</x:v>
      </x:c>
      <x:c r="Q7" s="9" t="str">
        <x:v>INF-WIKI</x:v>
      </x:c>
      <x:c r="R7" s="20" t="str">
        <x:v>https://masseffect.fandom.com/wiki/Mass_Effect:_Infiltrator</x:v>
      </x:c>
      <x:c r="S7" s="20" t="str"/>
    </x:row>
    <x:row r="8" ht="44" customHeight="1">
      <x:c r="A8" s="19" t="str">
        <x:v>INF-CHO-INALI</x:v>
      </x:c>
      <x:c r="B8" s="7" t="str">
        <x:v>Sort d’Inali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Issue liée à la conduite du joueur.</x:v>
      </x:c>
      <x:c r="G8" s="7" t="str">
        <x:v>Présenter la conclusion selon les drapeaux de campagne.</x:v>
      </x:c>
      <x:c r="H8" s="7" t="str">
        <x:v>Tester toutes les combinaisons autorisées.</x:v>
      </x:c>
      <x:c r="I8" s="7" t="str">
        <x:v>Portrait final adapté à la branche.</x:v>
      </x:c>
      <x:c r="J8" s="7" t="str"/>
      <x:c r="K8" s="7" t="str"/>
      <x:c r="L8" s="7" t="str"/>
      <x:c r="M8" s="7" t="str"/>
      <x:c r="N8" s="7" t="str">
        <x:v>Aucune issue n’est déclarée canon pour toute la franchise.</x:v>
      </x:c>
      <x:c r="O8" s="7" t="str"/>
      <x:c r="P8" s="7" t="str">
        <x:v>Conception du fan game</x:v>
      </x:c>
      <x:c r="Q8" s="7" t="str">
        <x:v>INF-WIKI</x:v>
      </x:c>
      <x:c r="R8" s="21" t="str">
        <x:v>https://masseffect.fandom.com/wiki/Mass_Effect:_Infiltrator</x:v>
      </x:c>
      <x:c r="S8" s="21" t="str"/>
    </x:row>
  </x:sheetData>
  <x:conditionalFormatting sqref="D7:D8">
    <x:cfRule type="cellIs" dxfId="44" priority="1" operator="equal">
      <x:formula>"À vérifier"</x:formula>
    </x:cfRule>
    <x:cfRule type="cellIs" dxfId="45" priority="2" operator="equal">
      <x:formula>"Extrapolation"</x:formula>
    </x:cfRule>
  </x:conditionalFormatting>
  <x:conditionalFormatting sqref="C7:C8">
    <x:cfRule type="cellIs" dxfId="46" priority="3" operator="equal">
      <x:formula>"Validé"</x:formula>
    </x:cfRule>
  </x:conditionalFormatting>
  <x:conditionalFormatting sqref="E7:E8">
    <x:cfRule type="cellIs" dxfId="47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8c199dec9a412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Dialogues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Situations de dialogue et conditions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INF-DIA-VOLUS</x:v>
      </x:c>
      <x:c r="B7" s="9" t="str">
        <x:v>Instructions du volus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Situation référencée de soutien radio.</x:v>
      </x:c>
      <x:c r="G7" s="9" t="str">
        <x:v>Courtes répliques originales selon objectif et retard.</x:v>
      </x:c>
      <x:c r="H7" s="9" t="str">
        <x:v>Priorité aux annonces de danger ; pas de répétition à chaque retour.</x:v>
      </x:c>
      <x:c r="I7" s="9" t="str">
        <x:v>Portrait compact dans le coin libre.</x:v>
      </x:c>
      <x:c r="J7" s="9" t="str"/>
      <x:c r="K7" s="9" t="str"/>
      <x:c r="L7" s="9" t="str"/>
      <x:c r="M7" s="9" t="str"/>
      <x:c r="N7" s="9" t="str">
        <x:v>La reprise de sauvegarde ne rejoue pas toute la conversation.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INF-DIA-DIRECTOR</x:v>
      </x:c>
      <x:c r="B8" s="7" t="str">
        <x:v>Interventions du Directeur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Situation antagoniste.</x:v>
      </x:c>
      <x:c r="G8" s="7" t="str">
        <x:v>Échanges originaux brefs déclenchés par la progression.</x:v>
      </x:c>
      <x:c r="H8" s="7" t="str">
        <x:v>Ne pas inventer de nouvelles révélations présentées comme source.</x:v>
      </x:c>
      <x:c r="I8" s="7" t="str">
        <x:v>Écran mural ou portrait radio.</x:v>
      </x:c>
      <x:c r="J8" s="7" t="str"/>
      <x:c r="K8" s="7" t="str"/>
      <x:c r="L8" s="7" t="str"/>
      <x:c r="M8" s="7" t="str"/>
      <x:c r="N8" s="7" t="str">
        <x:v>Les sous-titres restent lisibles pendant la marche.</x:v>
      </x:c>
      <x:c r="O8" s="7" t="str"/>
      <x:c r="P8" s="7" t="str">
        <x:v>Conception du fan game</x:v>
      </x:c>
      <x:c r="Q8" s="7" t="str"/>
      <x:c r="R8" s="21" t="str"/>
      <x:c r="S8" s="21" t="str"/>
    </x:row>
  </x:sheetData>
  <x:conditionalFormatting sqref="D7:D8">
    <x:cfRule type="cellIs" dxfId="48" priority="1" operator="equal">
      <x:formula>"À vérifier"</x:formula>
    </x:cfRule>
    <x:cfRule type="cellIs" dxfId="49" priority="2" operator="equal">
      <x:formula>"Extrapolation"</x:formula>
    </x:cfRule>
  </x:conditionalFormatting>
  <x:conditionalFormatting sqref="C7:C8">
    <x:cfRule type="cellIs" dxfId="50" priority="3" operator="equal">
      <x:formula>"Validé"</x:formula>
    </x:cfRule>
  </x:conditionalFormatting>
  <x:conditionalFormatting sqref="E7:E8">
    <x:cfRule type="cellIs" dxfId="51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1df076caf54380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Cinématiques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Séquences et mise en scène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INF-CIN-REVEAL</x:v>
      </x:c>
      <x:c r="B7" s="9" t="str">
        <x:v>Découverte dans la clinique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Séquence à reconstruire sur références.</x:v>
      </x:c>
      <x:c r="G7" s="9" t="str">
        <x:v>Plan large, contrechamp Randall, état d’Inali.</x:v>
      </x:c>
      <x:c r="H7" s="9" t="str">
        <x:v>Passage de caméra avec immobilisation contrôlée.</x:v>
      </x:c>
      <x:c r="I7" s="9" t="str">
        <x:v>Vitres opaques puis dévoilement progressif.</x:v>
      </x:c>
      <x:c r="J7" s="9" t="str"/>
      <x:c r="K7" s="9" t="str"/>
      <x:c r="L7" s="9" t="str"/>
      <x:c r="M7" s="9" t="str"/>
      <x:c r="N7" s="9" t="str">
        <x:v>Sauter la scène laisse le même objectif et le même état.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INF-CIN-ESCAPE</x:v>
      </x:c>
      <x:c r="B8" s="7" t="str">
        <x:v>Départ en navette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Transition vers le désert.</x:v>
      </x:c>
      <x:c r="G8" s="7" t="str">
        <x:v>Navette 3D lointaine avec passager sprite.</x:v>
      </x:c>
      <x:c r="H8" s="7" t="str">
        <x:v>Charger la destination après fermeture du sas.</x:v>
      </x:c>
      <x:c r="I8" s="7" t="str">
        <x:v>Éclairage de hangar orange puis désert ocre.</x:v>
      </x:c>
      <x:c r="J8" s="7" t="str"/>
      <x:c r="K8" s="7" t="str"/>
      <x:c r="L8" s="7" t="str"/>
      <x:c r="M8" s="7" t="str"/>
      <x:c r="N8" s="7" t="str">
        <x:v>Aucun personnage visible simultanément sur les deux cartes.</x:v>
      </x:c>
      <x:c r="O8" s="7" t="str"/>
      <x:c r="P8" s="7" t="str">
        <x:v>Conception du fan game</x:v>
      </x:c>
      <x:c r="Q8" s="7" t="str"/>
      <x:c r="R8" s="21" t="str"/>
      <x:c r="S8" s="21" t="str"/>
    </x:row>
  </x:sheetData>
  <x:conditionalFormatting sqref="D7:D8">
    <x:cfRule type="cellIs" dxfId="52" priority="1" operator="equal">
      <x:formula>"À vérifier"</x:formula>
    </x:cfRule>
    <x:cfRule type="cellIs" dxfId="53" priority="2" operator="equal">
      <x:formula>"Extrapolation"</x:formula>
    </x:cfRule>
  </x:conditionalFormatting>
  <x:conditionalFormatting sqref="C7:C8">
    <x:cfRule type="cellIs" dxfId="54" priority="3" operator="equal">
      <x:formula>"Validé"</x:formula>
    </x:cfRule>
  </x:conditionalFormatting>
  <x:conditionalFormatting sqref="E7:E8">
    <x:cfRule type="cellIs" dxfId="55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9a20ea9ecc46c2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Familles, modèles et comportements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INF-WPN-MATTOCK</x:v>
      </x:c>
      <x:c r="B7" s="9" t="str">
        <x:v>M-96 Mattock Auto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Modèle répertorié dans Infiltrator.</x:v>
      </x:c>
      <x:c r="G7" s="9" t="str">
        <x:v>Tir soutenu avec accumulation de chaleur proposée.</x:v>
      </x:c>
      <x:c r="H7" s="9" t="str">
        <x:v>Réglage ATB proposé : Tir soutenu avec accumulation de chaleur proposée.</x:v>
      </x:c>
      <x:c r="I7" s="9" t="str">
        <x:v>Fusil long, finitions Cerberus à relever.</x:v>
      </x:c>
      <x:c r="J7" s="9" t="str"/>
      <x:c r="K7" s="9" t="str"/>
      <x:c r="L7" s="9" t="str"/>
      <x:c r="M7" s="9" t="str"/>
      <x:c r="N7" s="9" t="str">
        <x:v>La fiche distingue dégâts de base, protection ciblée et coût proposés.</x:v>
      </x:c>
      <x:c r="O7" s="9" t="str"/>
      <x:c r="P7" s="9" t="str">
        <x:v>Armes</x:v>
      </x:c>
      <x:c r="Q7" s="9" t="str">
        <x:v>INF-EQUIP, INF-STORE</x:v>
      </x:c>
      <x:c r="R7" s="20" t="str">
        <x:v>https://masseffect.fandom.com/wiki/Equipment_(Mass_Effect:_Infiltrator)
https://masseffect.fandom.com/wiki/Store_(Mass_Effect:_Infiltrator)</x:v>
      </x:c>
      <x:c r="S7" s="20" t="str"/>
    </x:row>
    <x:row r="8" ht="44" customHeight="1">
      <x:c r="A8" s="19" t="str">
        <x:v>INF-WPN-EVISCERATOR</x:v>
      </x:c>
      <x:c r="B8" s="7" t="str">
        <x:v>M-22 Eviscerator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Modèle répertorié dans Infiltrator.</x:v>
      </x:c>
      <x:c r="G8" s="7" t="str">
        <x:v>Tir court en cône ; bonus de proximité proposé.</x:v>
      </x:c>
      <x:c r="H8" s="7" t="str">
        <x:v>Réglage ATB proposé : Tir court en cône ; bonus de proximité proposé.</x:v>
      </x:c>
      <x:c r="I8" s="7" t="str">
        <x:v>Pompe compacte et canon large.</x:v>
      </x:c>
      <x:c r="J8" s="7" t="str"/>
      <x:c r="K8" s="7" t="str"/>
      <x:c r="L8" s="7" t="str"/>
      <x:c r="M8" s="7" t="str"/>
      <x:c r="N8" s="7" t="str">
        <x:v>La fiche distingue dégâts de base, protection ciblée et coût proposés.</x:v>
      </x:c>
      <x:c r="O8" s="7" t="str"/>
      <x:c r="P8" s="7" t="str">
        <x:v>Armes</x:v>
      </x:c>
      <x:c r="Q8" s="7" t="str">
        <x:v>INF-EQUIP, INF-STORE</x:v>
      </x:c>
      <x:c r="R8" s="21" t="str">
        <x:v>https://masseffect.fandom.com/wiki/Equipment_(Mass_Effect:_Infiltrator)
https://masseffect.fandom.com/wiki/Store_(Mass_Effect:_Infiltrator)</x:v>
      </x:c>
      <x:c r="S8" s="21" t="str"/>
    </x:row>
    <x:row r="9" ht="44" customHeight="1">
      <x:c r="A9" s="18" t="str">
        <x:v>INF-WPN-INCISOR</x:v>
      </x:c>
      <x:c r="B9" s="9" t="str">
        <x:v>M-29 Incisor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Modèle répertorié dans Infiltrator.</x:v>
      </x:c>
      <x:c r="G9" s="9" t="str">
        <x:v>Visée sur une cible ; rafale groupée proposée.</x:v>
      </x:c>
      <x:c r="H9" s="9" t="str">
        <x:v>Réglage ATB proposé : Visée sur une cible ; rafale groupée proposée.</x:v>
      </x:c>
      <x:c r="I9" s="9" t="str">
        <x:v>Silhouette à lunette.</x:v>
      </x:c>
      <x:c r="J9" s="9" t="str"/>
      <x:c r="K9" s="9" t="str"/>
      <x:c r="L9" s="9" t="str"/>
      <x:c r="M9" s="9" t="str"/>
      <x:c r="N9" s="9" t="str">
        <x:v>La fiche distingue dégâts de base, protection ciblée et coût proposés.</x:v>
      </x:c>
      <x:c r="O9" s="9" t="str"/>
      <x:c r="P9" s="9" t="str">
        <x:v>Armes</x:v>
      </x:c>
      <x:c r="Q9" s="9" t="str">
        <x:v>INF-EQUIP, INF-STORE</x:v>
      </x:c>
      <x:c r="R9" s="20" t="str">
        <x:v>https://masseffect.fandom.com/wiki/Equipment_(Mass_Effect:_Infiltrator)
https://masseffect.fandom.com/wiki/Store_(Mass_Effect:_Infiltrator)</x:v>
      </x:c>
      <x:c r="S9" s="20" t="str"/>
    </x:row>
    <x:row r="10" ht="44" customHeight="1">
      <x:c r="A10" s="19" t="str">
        <x:v>INF-WPN-PARTICLE</x:v>
      </x:c>
      <x:c r="B10" s="7" t="str">
        <x:v>M-333 Particle Beam</x:v>
      </x:c>
      <x:c r="C10" s="15" t="str">
        <x:v>Défini</x:v>
      </x:c>
      <x:c r="D10" s="17" t="str">
        <x:v>Établi</x:v>
      </x:c>
      <x:c r="E10" s="17" t="str">
        <x:v>P1</x:v>
      </x:c>
      <x:c r="F10" s="7" t="str">
        <x:v>Modèle répertorié dans Infiltrator.</x:v>
      </x:c>
      <x:c r="G10" s="7" t="str">
        <x:v>Canalisation qui bloque le déplacement et reste interruptible.</x:v>
      </x:c>
      <x:c r="H10" s="7" t="str">
        <x:v>Réglage ATB proposé : Canalisation qui bloque le déplacement et reste interruptible.</x:v>
      </x:c>
      <x:c r="I10" s="7" t="str">
        <x:v>Faisceau continu, noyau lumineux limité.</x:v>
      </x:c>
      <x:c r="J10" s="7" t="str"/>
      <x:c r="K10" s="7" t="str"/>
      <x:c r="L10" s="7" t="str"/>
      <x:c r="M10" s="7" t="str"/>
      <x:c r="N10" s="7" t="str">
        <x:v>La fiche distingue dégâts de base, protection ciblée et coût proposés.</x:v>
      </x:c>
      <x:c r="O10" s="7" t="str"/>
      <x:c r="P10" s="7" t="str">
        <x:v>Armes</x:v>
      </x:c>
      <x:c r="Q10" s="7" t="str">
        <x:v>INF-EQUIP, INF-STORE</x:v>
      </x:c>
      <x:c r="R10" s="21" t="str">
        <x:v>https://masseffect.fandom.com/wiki/Equipment_(Mass_Effect:_Infiltrator)
https://masseffect.fandom.com/wiki/Store_(Mass_Effect:_Infiltrator)</x:v>
      </x:c>
      <x:c r="S10" s="21" t="str"/>
    </x:row>
  </x:sheetData>
  <x:conditionalFormatting sqref="D7:D10">
    <x:cfRule type="cellIs" dxfId="56" priority="1" operator="equal">
      <x:formula>"À vérifier"</x:formula>
    </x:cfRule>
    <x:cfRule type="cellIs" dxfId="57" priority="2" operator="equal">
      <x:formula>"Extrapolation"</x:formula>
    </x:cfRule>
  </x:conditionalFormatting>
  <x:conditionalFormatting sqref="C7:C10">
    <x:cfRule type="cellIs" dxfId="58" priority="3" operator="equal">
      <x:formula>"Validé"</x:formula>
    </x:cfRule>
  </x:conditionalFormatting>
  <x:conditionalFormatting sqref="E7:E10">
    <x:cfRule type="cellIs" dxfId="59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44b3b7d29f40ee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Armures et équipement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Protections, modules et consommables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INF-EQ-BODY</x:v>
      </x:c>
      <x:c r="B7" s="9" t="str">
        <x:v>Armure de corps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Armure et casque sont des pièces distinctes.</x:v>
      </x:c>
      <x:c r="G7" s="9" t="str">
        <x:v>Dissocier survie et recharge dans l’écran d’équipement.</x:v>
      </x:c>
      <x:c r="H7" s="9" t="str">
        <x:v>Bonus relatifs proposés ; visualiser avant achat.</x:v>
      </x:c>
      <x:c r="I7" s="9" t="str">
        <x:v>Plaques et emplacements de casque compatibles.</x:v>
      </x:c>
      <x:c r="J7" s="9" t="str"/>
      <x:c r="K7" s="9" t="str"/>
      <x:c r="L7" s="9" t="str"/>
      <x:c r="M7" s="9" t="str"/>
      <x:c r="N7" s="9" t="str">
        <x:v>Changer de casque ne duplique pas le bonus de corps.</x:v>
      </x:c>
      <x:c r="O7" s="9" t="str"/>
      <x:c r="P7" s="9" t="str">
        <x:v>Conception du fan game</x:v>
      </x:c>
      <x:c r="Q7" s="9" t="str">
        <x:v>INF-EQUIP</x:v>
      </x:c>
      <x:c r="R7" s="20" t="str">
        <x:v>https://masseffect.fandom.com/wiki/Equipment_(Mass_Effect:_Infiltrator)</x:v>
      </x:c>
      <x:c r="S7" s="20" t="str"/>
    </x:row>
    <x:row r="8" ht="44" customHeight="1">
      <x:c r="A8" s="19" t="str">
        <x:v>INF-EQ-INTEL</x:v>
      </x:c>
      <x:c r="B8" s="7" t="str">
        <x:v>Données de Cerberus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Ressource du parcours.</x:v>
      </x:c>
      <x:c r="G8" s="7" t="str">
        <x:v>Inventaire de preuves et conversion locale optionnelle.</x:v>
      </x:c>
      <x:c r="H8" s="7" t="str">
        <x:v>Conversion irréversible avec aperçu de la valeur.</x:v>
      </x:c>
      <x:c r="I8" s="7" t="str">
        <x:v>Icône tablette orange.</x:v>
      </x:c>
      <x:c r="J8" s="7" t="str"/>
      <x:c r="K8" s="7" t="str"/>
      <x:c r="L8" s="7" t="str"/>
      <x:c r="M8" s="7" t="str"/>
      <x:c r="N8" s="7" t="str">
        <x:v>Une conversion persiste après chargement.</x:v>
      </x:c>
      <x:c r="O8" s="7" t="str"/>
      <x:c r="P8" s="7" t="str">
        <x:v>Conception du fan game</x:v>
      </x:c>
      <x:c r="Q8" s="7" t="str">
        <x:v>INF-OFFICIAL</x:v>
      </x:c>
      <x:c r="R8" s="21" t="str">
        <x:v>https://koolhausgames.com/portfolio/mass-effect-3/</x:v>
      </x:c>
      <x:c r="S8" s="21" t="str"/>
    </x:row>
  </x:sheetData>
  <x:conditionalFormatting sqref="D7:D8">
    <x:cfRule type="cellIs" dxfId="60" priority="1" operator="equal">
      <x:formula>"À vérifier"</x:formula>
    </x:cfRule>
    <x:cfRule type="cellIs" dxfId="61" priority="2" operator="equal">
      <x:formula>"Extrapolation"</x:formula>
    </x:cfRule>
  </x:conditionalFormatting>
  <x:conditionalFormatting sqref="C7:C8">
    <x:cfRule type="cellIs" dxfId="62" priority="3" operator="equal">
      <x:formula>"Validé"</x:formula>
    </x:cfRule>
  </x:conditionalFormatting>
  <x:conditionalFormatting sqref="E7:E8">
    <x:cfRule type="cellIs" dxfId="6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ea4d57e3504568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10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Pouvoirs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Capacités canoniques et traduction ATB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INF-PWR-PULL</x:v>
      </x:c>
      <x:c r="B7" s="9" t="str">
        <x:v>Pull</x:v>
      </x:c>
      <x:c r="C7" s="15" t="str">
        <x:v>Défini</x:v>
      </x:c>
      <x:c r="D7" s="16" t="str">
        <x:v>À vérifier</x:v>
      </x:c>
      <x:c r="E7" s="16" t="str">
        <x:v>P1</x:v>
      </x:c>
      <x:c r="F7" s="9" t="str">
        <x:v>Capacité mentionnée dans l’index de la boutique ; présence et intitulé à confirmer.</x:v>
      </x:c>
      <x:c r="G7" s="9" t="str">
        <x:v>Traduction ATB : Sortir une cible légère de son couvert.</x:v>
      </x:c>
      <x:c r="H7" s="9" t="str">
        <x:v>Sortir une cible légère de son couvert. Coût et durée à régler, sans reprise de valeurs officielles.</x:v>
      </x:c>
      <x:c r="I7" s="9" t="str">
        <x:v>Effet directionnel lisible devant les sprites.</x:v>
      </x:c>
      <x:c r="J7" s="9" t="str"/>
      <x:c r="K7" s="9" t="str"/>
      <x:c r="L7" s="9" t="str"/>
      <x:c r="M7" s="9" t="str">
        <x:v>Confirmer le nom, le déblocage et l’effet dans une version jouable ou une capture complète.</x:v>
      </x:c>
      <x:c r="N7" s="9" t="str">
        <x:v>L’interface expose les cibles immunisées avant dépense.</x:v>
      </x:c>
      <x:c r="O7" s="9" t="str"/>
      <x:c r="P7" s="9" t="str">
        <x:v>Index des capacités</x:v>
      </x:c>
      <x:c r="Q7" s="9" t="str">
        <x:v>INF-STORE</x:v>
      </x:c>
      <x:c r="R7" s="20" t="str">
        <x:v>https://masseffect.fandom.com/wiki/Store_(Mass_Effect:_Infiltrator)</x:v>
      </x:c>
      <x:c r="S7" s="20" t="str">
        <x:v>Source secondaire partielle. Les règles ATB proposées ne constituent pas une validation de la capacité originale.</x:v>
      </x:c>
    </x:row>
    <x:row r="8" ht="44" customHeight="1">
      <x:c r="A8" s="19" t="str">
        <x:v>INF-PWR-LEASH</x:v>
      </x:c>
      <x:c r="B8" s="7" t="str">
        <x:v>Leash</x:v>
      </x:c>
      <x:c r="C8" s="15" t="str">
        <x:v>Défini</x:v>
      </x:c>
      <x:c r="D8" s="17" t="str">
        <x:v>À vérifier</x:v>
      </x:c>
      <x:c r="E8" s="17" t="str">
        <x:v>P1</x:v>
      </x:c>
      <x:c r="F8" s="7" t="str">
        <x:v>Capacité mentionnée dans l’index de la boutique ; présence et intitulé à confirmer.</x:v>
      </x:c>
      <x:c r="G8" s="7" t="str">
        <x:v>Traduction ATB : Déplacer une cible exposée vers une case libre.</x:v>
      </x:c>
      <x:c r="H8" s="7" t="str">
        <x:v>Déplacer une cible exposée vers une case libre. Coût et durée à régler, sans reprise de valeurs officielles.</x:v>
      </x:c>
      <x:c r="I8" s="7" t="str">
        <x:v>Effet directionnel lisible devant les sprites.</x:v>
      </x:c>
      <x:c r="J8" s="7" t="str"/>
      <x:c r="K8" s="7" t="str"/>
      <x:c r="L8" s="7" t="str"/>
      <x:c r="M8" s="7" t="str">
        <x:v>Confirmer le nom, le déblocage et l’effet dans une version jouable ou une capture complète.</x:v>
      </x:c>
      <x:c r="N8" s="7" t="str">
        <x:v>L’interface expose les cibles immunisées avant dépense.</x:v>
      </x:c>
      <x:c r="O8" s="7" t="str"/>
      <x:c r="P8" s="7" t="str">
        <x:v>Index des capacités</x:v>
      </x:c>
      <x:c r="Q8" s="7" t="str">
        <x:v>INF-STORE</x:v>
      </x:c>
      <x:c r="R8" s="21" t="str">
        <x:v>https://masseffect.fandom.com/wiki/Store_(Mass_Effect:_Infiltrator)</x:v>
      </x:c>
      <x:c r="S8" s="21" t="str">
        <x:v>Source secondaire partielle. Les règles ATB proposées ne constituent pas une validation de la capacité originale.</x:v>
      </x:c>
    </x:row>
    <x:row r="9" ht="44" customHeight="1">
      <x:c r="A9" s="18" t="str">
        <x:v>INF-PWR-STORM</x:v>
      </x:c>
      <x:c r="B9" s="9" t="str">
        <x:v>Storm</x:v>
      </x:c>
      <x:c r="C9" s="15" t="str">
        <x:v>Défini</x:v>
      </x:c>
      <x:c r="D9" s="16" t="str">
        <x:v>À vérifier</x:v>
      </x:c>
      <x:c r="E9" s="16" t="str">
        <x:v>P1</x:v>
      </x:c>
      <x:c r="F9" s="9" t="str">
        <x:v>Capacité mentionnée dans l’index de la boutique ; présence et intitulé à confirmer.</x:v>
      </x:c>
      <x:c r="G9" s="9" t="str">
        <x:v>Traduction ATB : Zone biotique de contrôle temporaire proposée.</x:v>
      </x:c>
      <x:c r="H9" s="9" t="str">
        <x:v>Zone biotique de contrôle temporaire proposée. Coût et durée à régler, sans reprise de valeurs officielles.</x:v>
      </x:c>
      <x:c r="I9" s="9" t="str">
        <x:v>Effet directionnel lisible devant les sprites.</x:v>
      </x:c>
      <x:c r="J9" s="9" t="str"/>
      <x:c r="K9" s="9" t="str"/>
      <x:c r="L9" s="9" t="str"/>
      <x:c r="M9" s="9" t="str">
        <x:v>Confirmer le nom, le déblocage et l’effet dans une version jouable ou une capture complète.</x:v>
      </x:c>
      <x:c r="N9" s="9" t="str">
        <x:v>L’interface expose les cibles immunisées avant dépense.</x:v>
      </x:c>
      <x:c r="O9" s="9" t="str"/>
      <x:c r="P9" s="9" t="str">
        <x:v>Index des capacités</x:v>
      </x:c>
      <x:c r="Q9" s="9" t="str">
        <x:v>INF-STORE</x:v>
      </x:c>
      <x:c r="R9" s="20" t="str">
        <x:v>https://masseffect.fandom.com/wiki/Store_(Mass_Effect:_Infiltrator)</x:v>
      </x:c>
      <x:c r="S9" s="20" t="str">
        <x:v>Source secondaire partielle. Les règles ATB proposées ne constituent pas une validation de la capacité originale.</x:v>
      </x:c>
    </x:row>
    <x:row r="10" ht="54" customHeight="1">
      <x:c r="A10" s="19" t="str">
        <x:v>INF-PWR-SALVO</x:v>
      </x:c>
      <x:c r="B10" s="7" t="str">
        <x:v>Salvo</x:v>
      </x:c>
      <x:c r="C10" s="15" t="str">
        <x:v>Défini</x:v>
      </x:c>
      <x:c r="D10" s="17" t="str">
        <x:v>À vérifier</x:v>
      </x:c>
      <x:c r="E10" s="17" t="str">
        <x:v>P1</x:v>
      </x:c>
      <x:c r="F10" s="7" t="str">
        <x:v>Capacité mentionnée dans l’index de la boutique ; présence et intitulé à confirmer.</x:v>
      </x:c>
      <x:c r="G10" s="7" t="str">
        <x:v>Traduction ATB : Salve sur cibles distinctes, jamais de doublon sur une cible morte.</x:v>
      </x:c>
      <x:c r="H10" s="7" t="str">
        <x:v>Salve sur cibles distinctes, jamais de doublon sur une cible morte. Coût et durée à régler, sans reprise de valeurs officielles.</x:v>
      </x:c>
      <x:c r="I10" s="7" t="str">
        <x:v>Effet directionnel lisible devant les sprites.</x:v>
      </x:c>
      <x:c r="J10" s="7" t="str"/>
      <x:c r="K10" s="7" t="str"/>
      <x:c r="L10" s="7" t="str"/>
      <x:c r="M10" s="7" t="str">
        <x:v>Confirmer le nom, le déblocage et l’effet dans une version jouable ou une capture complète.</x:v>
      </x:c>
      <x:c r="N10" s="7" t="str">
        <x:v>L’interface expose les cibles immunisées avant dépense.</x:v>
      </x:c>
      <x:c r="O10" s="7" t="str"/>
      <x:c r="P10" s="7" t="str">
        <x:v>Index des capacités</x:v>
      </x:c>
      <x:c r="Q10" s="7" t="str">
        <x:v>INF-STORE</x:v>
      </x:c>
      <x:c r="R10" s="21" t="str">
        <x:v>https://masseffect.fandom.com/wiki/Store_(Mass_Effect:_Infiltrator)</x:v>
      </x:c>
      <x:c r="S10" s="21" t="str">
        <x:v>Source secondaire partielle. Les règles ATB proposées ne constituent pas une validation de la capacité originale.</x:v>
      </x:c>
    </x:row>
    <x:row r="11" ht="54" customHeight="1">
      <x:c r="A11" s="18" t="str">
        <x:v>INF-PWR-CLOAK</x:v>
      </x:c>
      <x:c r="B11" s="9" t="str">
        <x:v>Cloak</x:v>
      </x:c>
      <x:c r="C11" s="15" t="str">
        <x:v>Défini</x:v>
      </x:c>
      <x:c r="D11" s="16" t="str">
        <x:v>À vérifier</x:v>
      </x:c>
      <x:c r="E11" s="16" t="str">
        <x:v>P1</x:v>
      </x:c>
      <x:c r="F11" s="9" t="str">
        <x:v>Capacité mentionnée dans l’index de la boutique ; présence et intitulé à confirmer.</x:v>
      </x:c>
      <x:c r="G11" s="9" t="str">
        <x:v>Traduction ATB : Réduire la priorité de ciblage et repositionner Randall.</x:v>
      </x:c>
      <x:c r="H11" s="9" t="str">
        <x:v>Réduire la priorité de ciblage et repositionner Randall. Coût et durée à régler, sans reprise de valeurs officielles.</x:v>
      </x:c>
      <x:c r="I11" s="9" t="str">
        <x:v>Contour réfracté avec silhouette accessible.</x:v>
      </x:c>
      <x:c r="J11" s="9" t="str"/>
      <x:c r="K11" s="9" t="str"/>
      <x:c r="L11" s="9" t="str"/>
      <x:c r="M11" s="9" t="str">
        <x:v>Confirmer le nom, le déblocage et l’effet dans une version jouable ou une capture complète.</x:v>
      </x:c>
      <x:c r="N11" s="9" t="str">
        <x:v>L’interface expose les cibles immunisées avant dépense.</x:v>
      </x:c>
      <x:c r="O11" s="9" t="str"/>
      <x:c r="P11" s="9" t="str">
        <x:v>Index des capacités</x:v>
      </x:c>
      <x:c r="Q11" s="9" t="str">
        <x:v>INF-STORE</x:v>
      </x:c>
      <x:c r="R11" s="20" t="str">
        <x:v>https://masseffect.fandom.com/wiki/Store_(Mass_Effect:_Infiltrator)</x:v>
      </x:c>
      <x:c r="S11" s="20" t="str">
        <x:v>Source secondaire partielle. Les règles ATB proposées ne constituent pas une validation de la capacité originale.</x:v>
      </x:c>
    </x:row>
    <x:row r="12" ht="44" customHeight="1">
      <x:c r="A12" s="19" t="str">
        <x:v>INF-PWR-SPRINT</x:v>
      </x:c>
      <x:c r="B12" s="7" t="str">
        <x:v>Sprint</x:v>
      </x:c>
      <x:c r="C12" s="15" t="str">
        <x:v>Défini</x:v>
      </x:c>
      <x:c r="D12" s="17" t="str">
        <x:v>À vérifier</x:v>
      </x:c>
      <x:c r="E12" s="17" t="str">
        <x:v>P1</x:v>
      </x:c>
      <x:c r="F12" s="7" t="str">
        <x:v>Capacité mentionnée dans l’index de la boutique ; présence et intitulé à confirmer.</x:v>
      </x:c>
      <x:c r="G12" s="7" t="str">
        <x:v>Traduction ATB : Rejoindre un couvert sans attaque.</x:v>
      </x:c>
      <x:c r="H12" s="7" t="str">
        <x:v>Rejoindre un couvert sans attaque. Coût et durée à régler, sans reprise de valeurs officielles.</x:v>
      </x:c>
      <x:c r="I12" s="7" t="str">
        <x:v>Effet directionnel lisible devant les sprites.</x:v>
      </x:c>
      <x:c r="J12" s="7" t="str"/>
      <x:c r="K12" s="7" t="str"/>
      <x:c r="L12" s="7" t="str"/>
      <x:c r="M12" s="7" t="str">
        <x:v>Confirmer le nom, le déblocage et l’effet dans une version jouable ou une capture complète.</x:v>
      </x:c>
      <x:c r="N12" s="7" t="str">
        <x:v>L’interface expose les cibles immunisées avant dépense.</x:v>
      </x:c>
      <x:c r="O12" s="7" t="str"/>
      <x:c r="P12" s="7" t="str">
        <x:v>Index des capacités</x:v>
      </x:c>
      <x:c r="Q12" s="7" t="str">
        <x:v>INF-STORE</x:v>
      </x:c>
      <x:c r="R12" s="21" t="str">
        <x:v>https://masseffect.fandom.com/wiki/Store_(Mass_Effect:_Infiltrator)</x:v>
      </x:c>
      <x:c r="S12" s="21" t="str">
        <x:v>Source secondaire partielle. Les règles ATB proposées ne constituent pas une validation de la capacité originale.</x:v>
      </x:c>
    </x:row>
    <x:row r="13" ht="54" customHeight="1">
      <x:c r="A13" s="18" t="str">
        <x:v>INF-PWR-SLIDE</x:v>
      </x:c>
      <x:c r="B13" s="9" t="str">
        <x:v>Slide</x:v>
      </x:c>
      <x:c r="C13" s="15" t="str">
        <x:v>Défini</x:v>
      </x:c>
      <x:c r="D13" s="16" t="str">
        <x:v>À vérifier</x:v>
      </x:c>
      <x:c r="E13" s="16" t="str">
        <x:v>P1</x:v>
      </x:c>
      <x:c r="F13" s="9" t="str">
        <x:v>Capacité mentionnée dans l’index de la boutique ; présence et intitulé à confirmer.</x:v>
      </x:c>
      <x:c r="G13" s="9" t="str">
        <x:v>Traduction ATB : Glisser sous la ligne de tir et conserver le pivot aux pieds.</x:v>
      </x:c>
      <x:c r="H13" s="9" t="str">
        <x:v>Glisser sous la ligne de tir et conserver le pivot aux pieds. Coût et durée à régler, sans reprise de valeurs officielles.</x:v>
      </x:c>
      <x:c r="I13" s="9" t="str">
        <x:v>Effet directionnel lisible devant les sprites.</x:v>
      </x:c>
      <x:c r="J13" s="9" t="str"/>
      <x:c r="K13" s="9" t="str"/>
      <x:c r="L13" s="9" t="str"/>
      <x:c r="M13" s="9" t="str">
        <x:v>Confirmer le nom, le déblocage et l’effet dans une version jouable ou une capture complète.</x:v>
      </x:c>
      <x:c r="N13" s="9" t="str">
        <x:v>L’interface expose les cibles immunisées avant dépense.</x:v>
      </x:c>
      <x:c r="O13" s="9" t="str"/>
      <x:c r="P13" s="9" t="str">
        <x:v>Index des capacités</x:v>
      </x:c>
      <x:c r="Q13" s="9" t="str">
        <x:v>INF-STORE</x:v>
      </x:c>
      <x:c r="R13" s="20" t="str">
        <x:v>https://masseffect.fandom.com/wiki/Store_(Mass_Effect:_Infiltrator)</x:v>
      </x:c>
      <x:c r="S13" s="20" t="str">
        <x:v>Source secondaire partielle. Les règles ATB proposées ne constituent pas une validation de la capacité originale.</x:v>
      </x:c>
    </x:row>
    <x:row r="14" ht="44" customHeight="1">
      <x:c r="A14" s="19" t="str">
        <x:v>INF-PWR-PUNCH</x:v>
      </x:c>
      <x:c r="B14" s="7" t="str">
        <x:v>Punch</x:v>
      </x:c>
      <x:c r="C14" s="15" t="str">
        <x:v>Défini</x:v>
      </x:c>
      <x:c r="D14" s="17" t="str">
        <x:v>À vérifier</x:v>
      </x:c>
      <x:c r="E14" s="17" t="str">
        <x:v>P1</x:v>
      </x:c>
      <x:c r="F14" s="7" t="str">
        <x:v>Capacité mentionnée dans l’index de la boutique ; présence et intitulé à confirmer.</x:v>
      </x:c>
      <x:c r="G14" s="7" t="str">
        <x:v>Traduction ATB : Coup de proximité simple.</x:v>
      </x:c>
      <x:c r="H14" s="7" t="str">
        <x:v>Coup de proximité simple. Coût et durée à régler, sans reprise de valeurs officielles.</x:v>
      </x:c>
      <x:c r="I14" s="7" t="str">
        <x:v>Effet directionnel lisible devant les sprites.</x:v>
      </x:c>
      <x:c r="J14" s="7" t="str"/>
      <x:c r="K14" s="7" t="str"/>
      <x:c r="L14" s="7" t="str"/>
      <x:c r="M14" s="7" t="str">
        <x:v>Confirmer le nom, le déblocage et l’effet dans une version jouable ou une capture complète.</x:v>
      </x:c>
      <x:c r="N14" s="7" t="str">
        <x:v>L’interface expose les cibles immunisées avant dépense.</x:v>
      </x:c>
      <x:c r="O14" s="7" t="str"/>
      <x:c r="P14" s="7" t="str">
        <x:v>Index des capacités</x:v>
      </x:c>
      <x:c r="Q14" s="7" t="str">
        <x:v>INF-STORE</x:v>
      </x:c>
      <x:c r="R14" s="21" t="str">
        <x:v>https://masseffect.fandom.com/wiki/Store_(Mass_Effect:_Infiltrator)</x:v>
      </x:c>
      <x:c r="S14" s="21" t="str">
        <x:v>Source secondaire partielle. Les règles ATB proposées ne constituent pas une validation de la capacité originale.</x:v>
      </x:c>
    </x:row>
    <x:row r="15" ht="44" customHeight="1">
      <x:c r="A15" s="18" t="str">
        <x:v>INF-PWR-PUSH</x:v>
      </x:c>
      <x:c r="B15" s="9" t="str">
        <x:v>Push</x:v>
      </x:c>
      <x:c r="C15" s="15" t="str">
        <x:v>Défini</x:v>
      </x:c>
      <x:c r="D15" s="16" t="str">
        <x:v>À vérifier</x:v>
      </x:c>
      <x:c r="E15" s="16" t="str">
        <x:v>P1</x:v>
      </x:c>
      <x:c r="F15" s="9" t="str">
        <x:v>Capacité mentionnée dans l’index de la boutique ; présence et intitulé à confirmer.</x:v>
      </x:c>
      <x:c r="G15" s="9" t="str">
        <x:v>Traduction ATB : Repousser pour dégager un passage.</x:v>
      </x:c>
      <x:c r="H15" s="9" t="str">
        <x:v>Repousser pour dégager un passage. Coût et durée à régler, sans reprise de valeurs officielles.</x:v>
      </x:c>
      <x:c r="I15" s="9" t="str">
        <x:v>Effet directionnel lisible devant les sprites.</x:v>
      </x:c>
      <x:c r="J15" s="9" t="str"/>
      <x:c r="K15" s="9" t="str"/>
      <x:c r="L15" s="9" t="str"/>
      <x:c r="M15" s="9" t="str">
        <x:v>Confirmer le nom, le déblocage et l’effet dans une version jouable ou une capture complète.</x:v>
      </x:c>
      <x:c r="N15" s="9" t="str">
        <x:v>L’interface expose les cibles immunisées avant dépense.</x:v>
      </x:c>
      <x:c r="O15" s="9" t="str"/>
      <x:c r="P15" s="9" t="str">
        <x:v>Index des capacités</x:v>
      </x:c>
      <x:c r="Q15" s="9" t="str">
        <x:v>INF-STORE</x:v>
      </x:c>
      <x:c r="R15" s="20" t="str">
        <x:v>https://masseffect.fandom.com/wiki/Store_(Mass_Effect:_Infiltrator)</x:v>
      </x:c>
      <x:c r="S15" s="20" t="str">
        <x:v>Source secondaire partielle. Les règles ATB proposées ne constituent pas une validation de la capacité originale.</x:v>
      </x:c>
    </x:row>
    <x:row r="16" ht="44" customHeight="1">
      <x:c r="A16" s="19" t="str">
        <x:v>INF-PWR-CHARGE</x:v>
      </x:c>
      <x:c r="B16" s="7" t="str">
        <x:v>Charge</x:v>
      </x:c>
      <x:c r="C16" s="15" t="str">
        <x:v>Défini</x:v>
      </x:c>
      <x:c r="D16" s="17" t="str">
        <x:v>À vérifier</x:v>
      </x:c>
      <x:c r="E16" s="17" t="str">
        <x:v>P1</x:v>
      </x:c>
      <x:c r="F16" s="7" t="str">
        <x:v>Capacité mentionnée dans l’index de la boutique ; présence et intitulé à confirmer.</x:v>
      </x:c>
      <x:c r="G16" s="7" t="str">
        <x:v>Traduction ATB : Mêlée d’approche avec cible et chemin valides.</x:v>
      </x:c>
      <x:c r="H16" s="7" t="str">
        <x:v>Mêlée d’approche avec cible et chemin valides. Coût et durée à régler, sans reprise de valeurs officielles.</x:v>
      </x:c>
      <x:c r="I16" s="7" t="str">
        <x:v>Effet directionnel lisible devant les sprites.</x:v>
      </x:c>
      <x:c r="J16" s="7" t="str"/>
      <x:c r="K16" s="7" t="str"/>
      <x:c r="L16" s="7" t="str"/>
      <x:c r="M16" s="7" t="str">
        <x:v>Confirmer le nom, le déblocage et l’effet dans une version jouable ou une capture complète.</x:v>
      </x:c>
      <x:c r="N16" s="7" t="str">
        <x:v>L’interface expose les cibles immunisées avant dépense.</x:v>
      </x:c>
      <x:c r="O16" s="7" t="str"/>
      <x:c r="P16" s="7" t="str">
        <x:v>Index des capacités</x:v>
      </x:c>
      <x:c r="Q16" s="7" t="str">
        <x:v>INF-STORE</x:v>
      </x:c>
      <x:c r="R16" s="21" t="str">
        <x:v>https://masseffect.fandom.com/wiki/Store_(Mass_Effect:_Infiltrator)</x:v>
      </x:c>
      <x:c r="S16" s="21" t="str">
        <x:v>Source secondaire partielle. Les règles ATB proposées ne constituent pas une validation de la capacité originale.</x:v>
      </x:c>
    </x:row>
  </x:sheetData>
  <x:conditionalFormatting sqref="D7:D16">
    <x:cfRule type="cellIs" dxfId="64" priority="1" operator="equal">
      <x:formula>"À vérifier"</x:formula>
    </x:cfRule>
    <x:cfRule type="cellIs" dxfId="65" priority="2" operator="equal">
      <x:formula>"Extrapolation"</x:formula>
    </x:cfRule>
  </x:conditionalFormatting>
  <x:conditionalFormatting sqref="C7:C16">
    <x:cfRule type="cellIs" dxfId="66" priority="3" operator="equal">
      <x:formula>"Validé"</x:formula>
    </x:cfRule>
  </x:conditionalFormatting>
  <x:conditionalFormatting sqref="E7:E16">
    <x:cfRule type="cellIs" dxfId="67" priority="4" operator="equal">
      <x:formula>"P0"</x:formula>
    </x:cfRule>
  </x:conditionalFormatting>
  <x:dataValidations count="3">
    <x:dataValidation type="list" sqref="C7:C16">
      <x:formula1>"Défini,Prototype,Intégré,Validé"</x:formula1>
    </x:dataValidation>
    <x:dataValidation type="list" sqref="D7:D16">
      <x:formula1>"Établi,À vérifier,Extrapolation,Coupé attesté,Concept abandonné,Allégation écartée"</x:formula1>
    </x:dataValidation>
    <x:dataValidation type="list" sqref="E7:E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e1a7c143f34349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alliés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Actions et contraintes par équipier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INF-MOV-BURST</x:v>
      </x:c>
      <x:c r="B7" s="9" t="str">
        <x:v>Rafale de couverture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Action proposée pour Randall.</x:v>
      </x:c>
      <x:c r="G7" s="9" t="str">
        <x:v>Retarder une attaque ennemie déjà signalée.</x:v>
      </x:c>
      <x:c r="H7" s="9" t="str">
        <x:v>Retarder une attaque ennemie déjà signalée. Contrepartie : Ne repousse pas un boss lourd.</x:v>
      </x:c>
      <x:c r="I7" s="9" t="str">
        <x:v>Canon pointé et flash bref.</x:v>
      </x:c>
      <x:c r="J7" s="9" t="str">
        <x:v>Anticipation lisible, pose de libération, récupération. Canon pointé et flash bref.</x:v>
      </x:c>
      <x:c r="K7" s="9" t="str">
        <x:v>Signal d’activation distinct du signal de disponibilité. Sous-titre des alertes.</x:v>
      </x:c>
      <x:c r="L7" s="9" t="str">
        <x:v>Action de données inf_burst. Coût retiré une seule fois.</x:v>
      </x:c>
      <x:c r="M7" s="9" t="str">
        <x:v>Aucun coût numérique ne décrit une statistique officielle.</x:v>
      </x:c>
      <x:c r="N7" s="9" t="str">
        <x:v>La commande expose cible, coût et résultat avant confirmation.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54" customHeight="1">
      <x:c r="A8" s="19" t="str">
        <x:v>INF-MOV-LIFT</x:v>
      </x:c>
      <x:c r="B8" s="7" t="str">
        <x:v>Extraction biotique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Action proposée pour Randall.</x:v>
      </x:c>
      <x:c r="G8" s="7" t="str">
        <x:v>Combiner sortie de couvert et tir de précision.</x:v>
      </x:c>
      <x:c r="H8" s="7" t="str">
        <x:v>Combiner sortie de couvert et tir de précision. Contrepartie : Cible lourde uniquement marquée, jamais projetée.</x:v>
      </x:c>
      <x:c r="I8" s="7" t="str">
        <x:v>Main tendue puis cible soulevée.</x:v>
      </x:c>
      <x:c r="J8" s="7" t="str">
        <x:v>Anticipation lisible, pose de libération, récupération. Main tendue puis cible soulevée.</x:v>
      </x:c>
      <x:c r="K8" s="7" t="str">
        <x:v>Signal d’activation distinct du signal de disponibilité. Sous-titre des alertes.</x:v>
      </x:c>
      <x:c r="L8" s="7" t="str">
        <x:v>Action de données inf_lift. Coût retiré une seule fois.</x:v>
      </x:c>
      <x:c r="M8" s="7" t="str">
        <x:v>Aucun coût numérique ne décrit une statistique officielle.</x:v>
      </x:c>
      <x:c r="N8" s="7" t="str">
        <x:v>La commande expose cible, coût et résultat avant confirmation.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54" customHeight="1">
      <x:c r="A9" s="18" t="str">
        <x:v>INF-MOV-ESCAPE</x:v>
      </x:c>
      <x:c r="B9" s="9" t="str">
        <x:v>Évasion sous camouflage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Action proposée pour Prisonnier turien.</x:v>
      </x:c>
      <x:c r="G9" s="9" t="str">
        <x:v>Réduire les cibles hostiles pendant un changement de ligne.</x:v>
      </x:c>
      <x:c r="H9" s="9" t="str">
        <x:v>Réduire les cibles hostiles pendant un changement de ligne. Contrepartie : Aucun pouvoir biotique ajouté au prisonnier.</x:v>
      </x:c>
      <x:c r="I9" s="9" t="str">
        <x:v>Contour et déplacement rapide.</x:v>
      </x:c>
      <x:c r="J9" s="9" t="str">
        <x:v>Anticipation lisible, pose de libération, récupération. Contour et déplacement rapide.</x:v>
      </x:c>
      <x:c r="K9" s="9" t="str">
        <x:v>Signal d’activation distinct du signal de disponibilité. Sous-titre des alertes.</x:v>
      </x:c>
      <x:c r="L9" s="9" t="str">
        <x:v>Action de données inf_escape. Coût retiré une seule fois.</x:v>
      </x:c>
      <x:c r="M9" s="9" t="str">
        <x:v>Aucun coût numérique ne décrit une statistique officielle.</x:v>
      </x:c>
      <x:c r="N9" s="9" t="str">
        <x:v>La commande expose cible, coût et résultat avant confirmation.</x:v>
      </x:c>
      <x:c r="O9" s="9" t="str"/>
      <x:c r="P9" s="9" t="str">
        <x:v>Conception du fan game</x:v>
      </x:c>
      <x:c r="Q9" s="9" t="str"/>
      <x:c r="R9" s="20" t="str"/>
      <x:c r="S9" s="20" t="str"/>
    </x:row>
  </x:sheetData>
  <x:conditionalFormatting sqref="D7:D9">
    <x:cfRule type="cellIs" dxfId="68" priority="1" operator="equal">
      <x:formula>"À vérifier"</x:formula>
    </x:cfRule>
    <x:cfRule type="cellIs" dxfId="69" priority="2" operator="equal">
      <x:formula>"Extrapolation"</x:formula>
    </x:cfRule>
  </x:conditionalFormatting>
  <x:conditionalFormatting sqref="C7:C9">
    <x:cfRule type="cellIs" dxfId="70" priority="3" operator="equal">
      <x:formula>"Validé"</x:formula>
    </x:cfRule>
  </x:conditionalFormatting>
  <x:conditionalFormatting sqref="E7:E9">
    <x:cfRule type="cellIs" dxfId="7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8609572f7a4202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ennemis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Télégraphes, actions et réponses tactiques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INF-EMV-TROOPER</x:v>
      </x:c>
      <x:c r="B7" s="9" t="str">
        <x:v>Soldat de Cerberus : boucle de combat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IA et télégraphes originaux.</x:v>
      </x:c>
      <x:c r="G7" s="9" t="str">
        <x:v>Rafale puis changement de couvert.</x:v>
      </x:c>
      <x:c r="H7" s="9" t="str">
        <x:v>Priorité IA : cible valide, anticipation, résolution, temps de récupération. Interrompre le déplacement ou briser sa protection.</x:v>
      </x:c>
      <x:c r="I7" s="9" t="str">
        <x:v>Armure claire, visière sombre ; détails à comparer.</x:v>
      </x:c>
      <x:c r="J7" s="9" t="str">
        <x:v>Anticipation propre à Soldat de Cerberus, attaque et état de rupture distincts.</x:v>
      </x:c>
      <x:c r="K7" s="9" t="str">
        <x:v>Avertissement sonore doublé par forme et texte, sans dépendance exclusive à la couleur.</x:v>
      </x:c>
      <x:c r="L7" s="9" t="str"/>
      <x:c r="M7" s="9" t="str"/>
      <x:c r="N7" s="9" t="str">
        <x:v>Une action interrompue ne s’exécute pas après la mort. Le télégraphe précède toujours les dégâts.</x:v>
      </x:c>
      <x:c r="O7" s="9" t="str">
        <x:v>INF-ENM-TROOPER</x:v>
      </x:c>
      <x:c r="P7" s="9" t="str">
        <x:v>Conception du fan game</x:v>
      </x:c>
      <x:c r="Q7" s="9" t="str"/>
      <x:c r="R7" s="20" t="str"/>
      <x:c r="S7" s="20" t="str"/>
    </x:row>
    <x:row r="8" ht="54" customHeight="1">
      <x:c r="A8" s="19" t="str">
        <x:v>INF-EMV-MECH</x:v>
      </x:c>
      <x:c r="B8" s="7" t="str">
        <x:v>Mech de Cerberus : boucle de combat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IA et télégraphes originaux.</x:v>
      </x:c>
      <x:c r="G8" s="7" t="str">
        <x:v>Verrouillage puis rafale lourde.</x:v>
      </x:c>
      <x:c r="H8" s="7" t="str">
        <x:v>Priorité IA : cible valide, anticipation, résolution, temps de récupération. Sortir du secteur marqué avant résolution.</x:v>
      </x:c>
      <x:c r="I8" s="7" t="str">
        <x:v>Châssis massif et articulation lumineuse proposée.</x:v>
      </x:c>
      <x:c r="J8" s="7" t="str">
        <x:v>Anticipation propre à Mech de Cerberus, attaque et état de rupture distincts.</x:v>
      </x:c>
      <x:c r="K8" s="7" t="str">
        <x:v>Avertissement sonore doublé par forme et texte, sans dépendance exclusive à la couleur.</x:v>
      </x:c>
      <x:c r="L8" s="7" t="str"/>
      <x:c r="M8" s="7" t="str"/>
      <x:c r="N8" s="7" t="str">
        <x:v>Une action interrompue ne s’exécute pas après la mort. Le télégraphe précède toujours les dégâts.</x:v>
      </x:c>
      <x:c r="O8" s="7" t="str">
        <x:v>INF-ENM-MECH</x:v>
      </x:c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INF-EMV-SUBJECT</x:v>
      </x:c>
      <x:c r="B9" s="9" t="str">
        <x:v>Sujet évadé : boucle de combat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IA et télégraphes originaux.</x:v>
      </x:c>
      <x:c r="G9" s="9" t="str">
        <x:v>Charge au plus proche puis récupération longue.</x:v>
      </x:c>
      <x:c r="H9" s="9" t="str">
        <x:v>Priorité IA : cible valide, anticipation, résolution, temps de récupération. Garder un point de recul libre.</x:v>
      </x:c>
      <x:c r="I9" s="9" t="str">
        <x:v>Silhouette altérée et posture asymétrique.</x:v>
      </x:c>
      <x:c r="J9" s="9" t="str">
        <x:v>Anticipation propre à Sujet évadé, attaque et état de rupture distincts.</x:v>
      </x:c>
      <x:c r="K9" s="9" t="str">
        <x:v>Avertissement sonore doublé par forme et texte, sans dépendance exclusive à la couleur.</x:v>
      </x:c>
      <x:c r="L9" s="9" t="str"/>
      <x:c r="M9" s="9" t="str"/>
      <x:c r="N9" s="9" t="str">
        <x:v>Une action interrompue ne s’exécute pas après la mort. Le télégraphe précède toujours les dégâts.</x:v>
      </x:c>
      <x:c r="O9" s="9" t="str">
        <x:v>INF-ENM-SUBJECT</x:v>
      </x:c>
      <x:c r="P9" s="9" t="str">
        <x:v>Conception du fan game</x:v>
      </x:c>
      <x:c r="Q9" s="9" t="str"/>
      <x:c r="R9" s="20" t="str"/>
      <x:c r="S9" s="20" t="str"/>
    </x:row>
    <x:row r="10" ht="54" customHeight="1">
      <x:c r="A10" s="19" t="str">
        <x:v>INF-EMV-X1</x:v>
      </x:c>
      <x:c r="B10" s="7" t="str">
        <x:v>X1 : boucle de combat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IA et télégraphes originaux.</x:v>
      </x:c>
      <x:c r="G10" s="7" t="str">
        <x:v>Charge, frappe au sol puis vulnérabilité du dos.</x:v>
      </x:c>
      <x:c r="H10" s="7" t="str">
        <x:v>Priorité IA : cible valide, anticipation, résolution, temps de récupération. Casser la ligne de charge avec un pilier.</x:v>
      </x:c>
      <x:c r="I10" s="7" t="str">
        <x:v>Masse krogan augmentée, échelle renforcée.</x:v>
      </x:c>
      <x:c r="J10" s="7" t="str">
        <x:v>Anticipation propre à X1, attaque et état de rupture distincts.</x:v>
      </x:c>
      <x:c r="K10" s="7" t="str">
        <x:v>Avertissement sonore doublé par forme et texte, sans dépendance exclusive à la couleur.</x:v>
      </x:c>
      <x:c r="L10" s="7" t="str"/>
      <x:c r="M10" s="7" t="str"/>
      <x:c r="N10" s="7" t="str">
        <x:v>Une action interrompue ne s’exécute pas après la mort. Le télégraphe précède toujours les dégâts.</x:v>
      </x:c>
      <x:c r="O10" s="7" t="str">
        <x:v>INF-ENM-X1</x:v>
      </x:c>
      <x:c r="P10" s="7" t="str">
        <x:v>Conception du fan game</x:v>
      </x:c>
      <x:c r="Q10" s="7" t="str"/>
      <x:c r="R10" s="21" t="str"/>
      <x:c r="S10" s="21" t="str"/>
    </x:row>
    <x:row r="11" ht="54" customHeight="1">
      <x:c r="A11" s="18" t="str">
        <x:v>INF-EMV-INALI</x:v>
      </x:c>
      <x:c r="B11" s="9" t="str">
        <x:v>Inali augmentée : boucle de combat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IA et télégraphes originaux.</x:v>
      </x:c>
      <x:c r="G11" s="9" t="str">
        <x:v>Phases protection, armure, contrôle du Directeur.</x:v>
      </x:c>
      <x:c r="H11" s="9" t="str">
        <x:v>Priorité IA : cible valide, anticipation, résolution, temps de récupération. Détruire la protection sans perdre la lecture du choix final.</x:v>
      </x:c>
      <x:c r="I11" s="9" t="str">
        <x:v>Silhouette transformée à relever sur référence.</x:v>
      </x:c>
      <x:c r="J11" s="9" t="str">
        <x:v>Anticipation propre à Inali augmentée, attaque et état de rupture distincts.</x:v>
      </x:c>
      <x:c r="K11" s="9" t="str">
        <x:v>Avertissement sonore doublé par forme et texte, sans dépendance exclusive à la couleur.</x:v>
      </x:c>
      <x:c r="L11" s="9" t="str"/>
      <x:c r="M11" s="9" t="str"/>
      <x:c r="N11" s="9" t="str">
        <x:v>Une action interrompue ne s’exécute pas après la mort. Le télégraphe précède toujours les dégâts.</x:v>
      </x:c>
      <x:c r="O11" s="9" t="str">
        <x:v>INF-ENM-INALI</x:v>
      </x:c>
      <x:c r="P11" s="9" t="str">
        <x:v>Conception du fan game</x:v>
      </x:c>
      <x:c r="Q11" s="9" t="str"/>
      <x:c r="R11" s="20" t="str"/>
      <x:c r="S11" s="20" t="str"/>
    </x:row>
    <x:row r="12" ht="54" customHeight="1">
      <x:c r="A12" s="19" t="str">
        <x:v>INF-EMV-OGRE</x:v>
      </x:c>
      <x:c r="B12" s="7" t="str">
        <x:v>Ogre Mech : boucle de combat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IA et télégraphes originaux.</x:v>
      </x:c>
      <x:c r="G12" s="7" t="str">
        <x:v>Bombardement central et appel de renforts.</x:v>
      </x:c>
      <x:c r="H12" s="7" t="str">
        <x:v>Priorité IA : cible valide, anticipation, résolution, temps de récupération. Prioriser les unités de soutien pendant la récupération.</x:v>
      </x:c>
      <x:c r="I12" s="7" t="str">
        <x:v>Structure lourde et canon distinct.</x:v>
      </x:c>
      <x:c r="J12" s="7" t="str">
        <x:v>Anticipation propre à Ogre Mech, attaque et état de rupture distincts.</x:v>
      </x:c>
      <x:c r="K12" s="7" t="str">
        <x:v>Avertissement sonore doublé par forme et texte, sans dépendance exclusive à la couleur.</x:v>
      </x:c>
      <x:c r="L12" s="7" t="str"/>
      <x:c r="M12" s="7" t="str"/>
      <x:c r="N12" s="7" t="str">
        <x:v>Une action interrompue ne s’exécute pas après la mort. Le télégraphe précède toujours les dégâts.</x:v>
      </x:c>
      <x:c r="O12" s="7" t="str">
        <x:v>INF-ENM-OGRE</x:v>
      </x:c>
      <x:c r="P12" s="7" t="str">
        <x:v>Conception du fan game</x:v>
      </x:c>
      <x:c r="Q12" s="7" t="str"/>
      <x:c r="R12" s="21" t="str"/>
      <x:c r="S12" s="21" t="str"/>
    </x:row>
    <x:row r="13" ht="44" customHeight="1">
      <x:c r="A13" s="18" t="str">
        <x:v>INF-EMV-ORCUS</x:v>
      </x:c>
      <x:c r="B13" s="9" t="str">
        <x:v>Orcus Mech : boucle de combat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IA et télégraphes originaux.</x:v>
      </x:c>
      <x:c r="G13" s="9" t="str">
        <x:v>Pression à distance en groupe.</x:v>
      </x:c>
      <x:c r="H13" s="9" t="str">
        <x:v>Priorité IA : cible valide, anticipation, résolution, temps de récupération. Réserver un espace de repli.</x:v>
      </x:c>
      <x:c r="I13" s="9" t="str">
        <x:v>Petite silhouette mécanique répétable.</x:v>
      </x:c>
      <x:c r="J13" s="9" t="str">
        <x:v>Anticipation propre à Orcus Mech, attaque et état de rupture distincts.</x:v>
      </x:c>
      <x:c r="K13" s="9" t="str">
        <x:v>Avertissement sonore doublé par forme et texte, sans dépendance exclusive à la couleur.</x:v>
      </x:c>
      <x:c r="L13" s="9" t="str"/>
      <x:c r="M13" s="9" t="str"/>
      <x:c r="N13" s="9" t="str">
        <x:v>Une action interrompue ne s’exécute pas après la mort. Le télégraphe précède toujours les dégâts.</x:v>
      </x:c>
      <x:c r="O13" s="9" t="str">
        <x:v>INF-ENM-ORCUS</x:v>
      </x:c>
      <x:c r="P13" s="9" t="str">
        <x:v>Conception du fan game</x:v>
      </x:c>
      <x:c r="Q13" s="9" t="str"/>
      <x:c r="R13" s="20" t="str"/>
      <x:c r="S13" s="20" t="str"/>
    </x:row>
  </x:sheetData>
  <x:conditionalFormatting sqref="D7:D13">
    <x:cfRule type="cellIs" dxfId="72" priority="1" operator="equal">
      <x:formula>"À vérifier"</x:formula>
    </x:cfRule>
    <x:cfRule type="cellIs" dxfId="73" priority="2" operator="equal">
      <x:formula>"Extrapolation"</x:formula>
    </x:cfRule>
  </x:conditionalFormatting>
  <x:conditionalFormatting sqref="C7:C13">
    <x:cfRule type="cellIs" dxfId="74" priority="3" operator="equal">
      <x:formula>"Validé"</x:formula>
    </x:cfRule>
  </x:conditionalFormatting>
  <x:conditionalFormatting sqref="E7:E13">
    <x:cfRule type="cellIs" dxfId="75" priority="4" operator="equal">
      <x:formula>"P0"</x:formula>
    </x:cfRule>
  </x:conditionalFormatting>
  <x:dataValidations count="3">
    <x:dataValidation type="list" sqref="C7:C13">
      <x:formula1>"Défini,Prototype,Intégré,Validé"</x:formula1>
    </x:dataValidation>
    <x:dataValidation type="list" sqref="D7:D13">
      <x:formula1>"Établi,À vérifier,Extrapolation,Coupé attesté,Concept abandonné,Allégation écartée"</x:formula1>
    </x:dataValidation>
    <x:dataValidation type="list" sqref="E7:E1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3f699fd8494043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Animations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Bibliothèque d’animation pour sprites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INF-ANM-SLIDE</x:v>
      </x:c>
      <x:c r="B7" s="9" t="str">
        <x:v>Glissade vers couvert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Animation proposée.</x:v>
      </x:c>
      <x:c r="G7" s="9" t="str">
        <x:v>Déplacer le pivot sans changer la hauteur des pieds après récupération.</x:v>
      </x:c>
      <x:c r="H7" s="9" t="str">
        <x:v>Réglage proposé : anticipation 2 poses, translation 4, redressement 3.</x:v>
      </x:c>
      <x:c r="I7" s="9" t="str">
        <x:v>Silhouette basse, arme protégée.</x:v>
      </x:c>
      <x:c r="J7" s="9" t="str"/>
      <x:c r="K7" s="9" t="str"/>
      <x:c r="L7" s="9" t="str"/>
      <x:c r="M7" s="9" t="str"/>
      <x:c r="N7" s="9" t="str">
        <x:v>La hitbox suit l’action et ne reste pas basse après celle-ci.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INF-ANM-X1</x:v>
      </x:c>
      <x:c r="B8" s="7" t="str">
        <x:v>Charge de X1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Animation de boss proposée.</x:v>
      </x:c>
      <x:c r="G8" s="7" t="str">
        <x:v>Lever d’épaule, départ, impact ou arrêt, reprise.</x:v>
      </x:c>
      <x:c r="H8" s="7" t="str">
        <x:v>L’impact est attaché à un événement unique.</x:v>
      </x:c>
      <x:c r="I8" s="7" t="str">
        <x:v>Volume de silhouette constant durant les rotations.</x:v>
      </x:c>
      <x:c r="J8" s="7" t="str"/>
      <x:c r="K8" s="7" t="str"/>
      <x:c r="L8" s="7" t="str"/>
      <x:c r="M8" s="7" t="str"/>
      <x:c r="N8" s="7" t="str">
        <x:v>Une charge interrompue ne déclenche pas l’onde d’impact.</x:v>
      </x:c>
      <x:c r="O8" s="7" t="str"/>
      <x:c r="P8" s="7" t="str">
        <x:v>Conception du fan game</x:v>
      </x:c>
      <x:c r="Q8" s="7" t="str"/>
      <x:c r="R8" s="21" t="str"/>
      <x:c r="S8" s="21" t="str"/>
    </x:row>
  </x:sheetData>
  <x:conditionalFormatting sqref="D7:D8">
    <x:cfRule type="cellIs" dxfId="76" priority="1" operator="equal">
      <x:formula>"À vérifier"</x:formula>
    </x:cfRule>
    <x:cfRule type="cellIs" dxfId="77" priority="2" operator="equal">
      <x:formula>"Extrapolation"</x:formula>
    </x:cfRule>
  </x:conditionalFormatting>
  <x:conditionalFormatting sqref="C7:C8">
    <x:cfRule type="cellIs" dxfId="78" priority="3" operator="equal">
      <x:formula>"Validé"</x:formula>
    </x:cfRule>
  </x:conditionalFormatting>
  <x:conditionalFormatting sqref="E7:E8">
    <x:cfRule type="cellIs" dxfId="79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fc1f34bae349df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8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Sprites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Livrables 2D, portraits et variantes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INF-SPR-RANDALL</x:v>
      </x:c>
      <x:c r="B7" s="9" t="str">
        <x:v>Sprite et portrait de Randall Ezno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Livrable 2D proposé.</x:v>
      </x:c>
      <x:c r="G7" s="9" t="str">
        <x:v>Créer un atlas de déplacement et un portrait de dialogue pour Randall Ezno.</x:v>
      </x:c>
      <x:c r="H7" s="9" t="str">
        <x:v>Réglage proposé : 8 directions, 6 poses de marche par direction, pivot aux pieds.</x:v>
      </x:c>
      <x:c r="I7" s="9" t="str">
        <x:v>Proposition : armure segmentée gris clair, marquages Cerberus à contrôler, implants visibles au portrait.</x:v>
      </x:c>
      <x:c r="J7" s="9" t="str">
        <x:v>Course basse, tir à deux mains, glissade et déstabilisation des implants.</x:v>
      </x:c>
      <x:c r="K7" s="9" t="str"/>
      <x:c r="L7" s="9" t="str">
        <x:v>Asset prévu : inf/sprites/randall.png et atlas JSON. Aucun fichier livré par cette fiche.</x:v>
      </x:c>
      <x:c r="M7" s="9" t="str">
        <x:v>Référence costume et palette validée avant déclinaisons.</x:v>
      </x:c>
      <x:c r="N7" s="9" t="str">
        <x:v>Aucun membre tronqué, même taille apparente dans chaque direction, silhouette lisible à 96 px.</x:v>
      </x:c>
      <x:c r="O7" s="9" t="str">
        <x:v>INF-CHR-RANDALL</x:v>
      </x:c>
      <x:c r="P7" s="9" t="str">
        <x:v>Conception du fan game</x:v>
      </x:c>
      <x:c r="Q7" s="9" t="str"/>
      <x:c r="R7" s="20" t="str"/>
      <x:c r="S7" s="20" t="str">
        <x:v>Le nombre de poses est une cible de production, pas une donnée du jeu source.</x:v>
      </x:c>
    </x:row>
    <x:row r="8" ht="44" customHeight="1">
      <x:c r="A8" s="19" t="str">
        <x:v>INF-SPR-TURIAN</x:v>
      </x:c>
      <x:c r="B8" s="7" t="str">
        <x:v>Sprite et portrait de Prisonnier turien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Livrable 2D proposé.</x:v>
      </x:c>
      <x:c r="G8" s="7" t="str">
        <x:v>Créer un atlas de déplacement et un portrait de dialogue pour Prisonnier turien.</x:v>
      </x:c>
      <x:c r="H8" s="7" t="str">
        <x:v>Réglage proposé : 8 directions, 6 poses de marche par direction, pivot aux pieds.</x:v>
      </x:c>
      <x:c r="I8" s="7" t="str">
        <x:v>Crête turienne, jambes digitigrades, tenue de sujet d’expérience à relever.</x:v>
      </x:c>
      <x:c r="J8" s="7" t="str">
        <x:v>Locomotion distincte de Randall, gestes douloureux et tir sous pression.</x:v>
      </x:c>
      <x:c r="K8" s="7" t="str"/>
      <x:c r="L8" s="7" t="str">
        <x:v>Asset prévu : inf/sprites/turian.png et atlas JSON. Aucun fichier livré par cette fiche.</x:v>
      </x:c>
      <x:c r="M8" s="7" t="str">
        <x:v>Référence costume et palette validée avant déclinaisons.</x:v>
      </x:c>
      <x:c r="N8" s="7" t="str">
        <x:v>Aucun membre tronqué, même taille apparente dans chaque direction, silhouette lisible à 96 px.</x:v>
      </x:c>
      <x:c r="O8" s="7" t="str">
        <x:v>INF-CHR-TURIAN</x:v>
      </x:c>
      <x:c r="P8" s="7" t="str">
        <x:v>Conception du fan game</x:v>
      </x:c>
      <x:c r="Q8" s="7" t="str"/>
      <x:c r="R8" s="21" t="str"/>
      <x:c r="S8" s="21" t="str">
        <x:v>Le nombre de poses est une cible de production, pas une donnée du jeu source.</x:v>
      </x:c>
    </x:row>
    <x:row r="9" ht="44" customHeight="1">
      <x:c r="A9" s="18" t="str">
        <x:v>INF-ASSET-NPC-INALI</x:v>
      </x:c>
      <x:c r="B9" s="9" t="str">
        <x:v>Portraits : Inali Renata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Livrable graphique proposé.</x:v>
      </x:c>
      <x:c r="G9" s="9" t="str">
        <x:v>Dessiner Inali Renata en face et trois-quarts avec expressions liées à ses échanges.</x:v>
      </x:c>
      <x:c r="H9" s="9" t="str">
        <x:v>Proposition : neutre, désaccord, alerte et conclusion. Ne pas fabriquer une réaction absente du scénario.</x:v>
      </x:c>
      <x:c r="I9" s="9" t="str">
        <x:v>Uniforme et prothèses à relever dans les cinématiques.</x:v>
      </x:c>
      <x:c r="J9" s="9" t="str">
        <x:v>Transitions discrètes entre expressions ; pas de déplacement du cadre.</x:v>
      </x:c>
      <x:c r="K9" s="9" t="str"/>
      <x:c r="L9" s="9" t="str">
        <x:v>Livrable prévu : atlas inf_npc-inali, métadonnées des pivots et fichier de référence visuelle.</x:v>
      </x:c>
      <x:c r="M9" s="9" t="str">
        <x:v>Référence visuelle validée avant les variantes. Les cases manquantes sont suivies explicitement.</x:v>
      </x:c>
      <x:c r="N9" s="9" t="str">
        <x:v>Le nom Inali Renata reste identifiable à petite taille et les expressions ne modifient pas les traits.</x:v>
      </x:c>
      <x:c r="O9" s="9" t="str">
        <x:v>INF-NPC-INALI</x:v>
      </x:c>
      <x:c r="P9" s="9" t="str">
        <x:v>Conception du fan game</x:v>
      </x:c>
      <x:c r="Q9" s="9" t="str"/>
      <x:c r="R9" s="20" t="str"/>
      <x:c r="S9" s="20" t="str">
        <x:v>Fiche de production uniquement. Aucun sprite supplémentaire n’a été généré par ce classeur.</x:v>
      </x:c>
    </x:row>
    <x:row r="10" ht="44" customHeight="1">
      <x:c r="A10" s="19" t="str">
        <x:v>INF-ASSET-NPC-DIRECTOR</x:v>
      </x:c>
      <x:c r="B10" s="7" t="str">
        <x:v>Portraits : Le Directeur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Livrable graphique proposé.</x:v>
      </x:c>
      <x:c r="G10" s="7" t="str">
        <x:v>Dessiner Le Directeur en face et trois-quarts avec expressions liées à ses échanges.</x:v>
      </x:c>
      <x:c r="H10" s="7" t="str">
        <x:v>Proposition : neutre, désaccord, alerte et conclusion. Ne pas fabriquer une réaction absente du scénario.</x:v>
      </x:c>
      <x:c r="I10" s="7" t="str">
        <x:v>Écrans et cadrage froid proposés.</x:v>
      </x:c>
      <x:c r="J10" s="7" t="str">
        <x:v>Transitions discrètes entre expressions ; pas de déplacement du cadre.</x:v>
      </x:c>
      <x:c r="K10" s="7" t="str"/>
      <x:c r="L10" s="7" t="str">
        <x:v>Livrable prévu : atlas inf_npc-director, métadonnées des pivots et fichier de référence visuelle.</x:v>
      </x:c>
      <x:c r="M10" s="7" t="str">
        <x:v>Référence visuelle validée avant les variantes. Les cases manquantes sont suivies explicitement.</x:v>
      </x:c>
      <x:c r="N10" s="7" t="str">
        <x:v>Le nom Le Directeur reste identifiable à petite taille et les expressions ne modifient pas les traits.</x:v>
      </x:c>
      <x:c r="O10" s="7" t="str">
        <x:v>INF-NPC-DIRECTOR</x:v>
      </x:c>
      <x:c r="P10" s="7" t="str">
        <x:v>Conception du fan game</x:v>
      </x:c>
      <x:c r="Q10" s="7" t="str"/>
      <x:c r="R10" s="21" t="str"/>
      <x:c r="S10" s="21" t="str">
        <x:v>Fiche de production uniquement. Aucun sprite supplémentaire n’a été généré par ce classeur.</x:v>
      </x:c>
    </x:row>
    <x:row r="11" ht="44" customHeight="1">
      <x:c r="A11" s="18" t="str">
        <x:v>INF-ASSET-NPC-VOLUS</x:v>
      </x:c>
      <x:c r="B11" s="9" t="str">
        <x:v>Portraits : Allié volus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Livrable graphique proposé.</x:v>
      </x:c>
      <x:c r="G11" s="9" t="str">
        <x:v>Dessiner Allié volus en face et trois-quarts avec expressions liées à ses échanges.</x:v>
      </x:c>
      <x:c r="H11" s="9" t="str">
        <x:v>Proposition : neutre, désaccord, alerte et conclusion. Ne pas fabriquer une réaction absente du scénario.</x:v>
      </x:c>
      <x:c r="I11" s="9" t="str">
        <x:v>Combinaison pressurisée, portrait masqué.</x:v>
      </x:c>
      <x:c r="J11" s="9" t="str">
        <x:v>Transitions discrètes entre expressions ; pas de déplacement du cadre.</x:v>
      </x:c>
      <x:c r="K11" s="9" t="str"/>
      <x:c r="L11" s="9" t="str">
        <x:v>Livrable prévu : atlas inf_npc-volus, métadonnées des pivots et fichier de référence visuelle.</x:v>
      </x:c>
      <x:c r="M11" s="9" t="str">
        <x:v>Référence visuelle validée avant les variantes. Les cases manquantes sont suivies explicitement.</x:v>
      </x:c>
      <x:c r="N11" s="9" t="str">
        <x:v>Le nom Allié volus reste identifiable à petite taille et les expressions ne modifient pas les traits.</x:v>
      </x:c>
      <x:c r="O11" s="9" t="str">
        <x:v>INF-NPC-VOLUS</x:v>
      </x:c>
      <x:c r="P11" s="9" t="str">
        <x:v>Conception du fan game</x:v>
      </x:c>
      <x:c r="Q11" s="9" t="str"/>
      <x:c r="R11" s="20" t="str"/>
      <x:c r="S11" s="20" t="str">
        <x:v>Fiche de production uniquement. Aucun sprite supplémentaire n’a été généré par ce classeur.</x:v>
      </x:c>
    </x:row>
    <x:row r="12" ht="68" customHeight="1">
      <x:c r="A12" s="19" t="str">
        <x:v>INF-ASSET-ENM-TROOPER</x:v>
      </x:c>
      <x:c r="B12" s="7" t="str">
        <x:v>Atlas de combat : Soldat de Cerberus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Livrable graphique proposé.</x:v>
      </x:c>
      <x:c r="G12" s="7" t="str">
        <x:v>Construire les poses de Soldat de Cerberus nécessaires à sa boucle de combat.</x:v>
      </x:c>
      <x:c r="H12" s="7" t="str">
        <x:v>Proposition : attente, anticipation, attaque, impact, rupture et sortie. La boucle à rendre lisible est : Proposition : Rafale puis changement de couvert. Réponse : Interrompre le déplacement ou briser sa protection.</x:v>
      </x:c>
      <x:c r="I12" s="7" t="str">
        <x:v>Armure claire, visière sombre ; détails à comparer.</x:v>
      </x:c>
      <x:c r="J12" s="7" t="str">
        <x:v>Huit directions pour les unités mobiles ; vue fixe possible pour un boss ancré. Événements d’impact séparés des poses.</x:v>
      </x:c>
      <x:c r="K12" s="7" t="str"/>
      <x:c r="L12" s="7" t="str">
        <x:v>Livrable prévu : atlas inf_enm-trooper, métadonnées des pivots et fichier de référence visuelle.</x:v>
      </x:c>
      <x:c r="M12" s="7" t="str">
        <x:v>Référence visuelle validée avant les variantes. Les cases manquantes sont suivies explicitement.</x:v>
      </x:c>
      <x:c r="N12" s="7" t="str">
        <x:v>Le télégraphe de Soldat de Cerberus reste identifiable en silhouette ; aucune pose ne change le pivot aux pieds.</x:v>
      </x:c>
      <x:c r="O12" s="7" t="str">
        <x:v>INF-ENM-TROOPER</x:v>
      </x:c>
      <x:c r="P12" s="7" t="str">
        <x:v>Conception du fan game</x:v>
      </x:c>
      <x:c r="Q12" s="7" t="str"/>
      <x:c r="R12" s="21" t="str"/>
      <x:c r="S12" s="21" t="str">
        <x:v>Fiche de production uniquement. Aucun sprite supplémentaire n’a été généré par ce classeur.</x:v>
      </x:c>
    </x:row>
    <x:row r="13" ht="68" customHeight="1">
      <x:c r="A13" s="18" t="str">
        <x:v>INF-ASSET-ENM-MECH</x:v>
      </x:c>
      <x:c r="B13" s="9" t="str">
        <x:v>Atlas de combat : Mech de Cerberus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Livrable graphique proposé.</x:v>
      </x:c>
      <x:c r="G13" s="9" t="str">
        <x:v>Construire les poses de Mech de Cerberus nécessaires à sa boucle de combat.</x:v>
      </x:c>
      <x:c r="H13" s="9" t="str">
        <x:v>Proposition : attente, anticipation, attaque, impact, rupture et sortie. La boucle à rendre lisible est : Proposition : Verrouillage puis rafale lourde. Réponse : Sortir du secteur marqué avant résolution.</x:v>
      </x:c>
      <x:c r="I13" s="9" t="str">
        <x:v>Châssis massif et articulation lumineuse proposée.</x:v>
      </x:c>
      <x:c r="J13" s="9" t="str">
        <x:v>Huit directions pour les unités mobiles ; vue fixe possible pour un boss ancré. Événements d’impact séparés des poses.</x:v>
      </x:c>
      <x:c r="K13" s="9" t="str"/>
      <x:c r="L13" s="9" t="str">
        <x:v>Livrable prévu : atlas inf_enm-mech, métadonnées des pivots et fichier de référence visuelle.</x:v>
      </x:c>
      <x:c r="M13" s="9" t="str">
        <x:v>Référence visuelle validée avant les variantes. Les cases manquantes sont suivies explicitement.</x:v>
      </x:c>
      <x:c r="N13" s="9" t="str">
        <x:v>Le télégraphe de Mech de Cerberus reste identifiable en silhouette ; aucune pose ne change le pivot aux pieds.</x:v>
      </x:c>
      <x:c r="O13" s="9" t="str">
        <x:v>INF-ENM-MECH</x:v>
      </x:c>
      <x:c r="P13" s="9" t="str">
        <x:v>Conception du fan game</x:v>
      </x:c>
      <x:c r="Q13" s="9" t="str"/>
      <x:c r="R13" s="20" t="str"/>
      <x:c r="S13" s="20" t="str">
        <x:v>Fiche de production uniquement. Aucun sprite supplémentaire n’a été généré par ce classeur.</x:v>
      </x:c>
    </x:row>
    <x:row r="14" ht="68" customHeight="1">
      <x:c r="A14" s="19" t="str">
        <x:v>INF-ASSET-ENM-SUBJECT</x:v>
      </x:c>
      <x:c r="B14" s="7" t="str">
        <x:v>Atlas de combat : Sujet évadé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Livrable graphique proposé.</x:v>
      </x:c>
      <x:c r="G14" s="7" t="str">
        <x:v>Construire les poses de Sujet évadé nécessaires à sa boucle de combat.</x:v>
      </x:c>
      <x:c r="H14" s="7" t="str">
        <x:v>Proposition : attente, anticipation, attaque, impact, rupture et sortie. La boucle à rendre lisible est : Proposition : Charge au plus proche puis récupération longue. Réponse : Garder un point de recul libre.</x:v>
      </x:c>
      <x:c r="I14" s="7" t="str">
        <x:v>Silhouette altérée et posture asymétrique.</x:v>
      </x:c>
      <x:c r="J14" s="7" t="str">
        <x:v>Huit directions pour les unités mobiles ; vue fixe possible pour un boss ancré. Événements d’impact séparés des poses.</x:v>
      </x:c>
      <x:c r="K14" s="7" t="str"/>
      <x:c r="L14" s="7" t="str">
        <x:v>Livrable prévu : atlas inf_enm-subject, métadonnées des pivots et fichier de référence visuelle.</x:v>
      </x:c>
      <x:c r="M14" s="7" t="str">
        <x:v>Référence visuelle validée avant les variantes. Les cases manquantes sont suivies explicitement.</x:v>
      </x:c>
      <x:c r="N14" s="7" t="str">
        <x:v>Le télégraphe de Sujet évadé reste identifiable en silhouette ; aucune pose ne change le pivot aux pieds.</x:v>
      </x:c>
      <x:c r="O14" s="7" t="str">
        <x:v>INF-ENM-SUBJECT</x:v>
      </x:c>
      <x:c r="P14" s="7" t="str">
        <x:v>Conception du fan game</x:v>
      </x:c>
      <x:c r="Q14" s="7" t="str"/>
      <x:c r="R14" s="21" t="str"/>
      <x:c r="S14" s="21" t="str">
        <x:v>Fiche de production uniquement. Aucun sprite supplémentaire n’a été généré par ce classeur.</x:v>
      </x:c>
    </x:row>
    <x:row r="15" ht="68" customHeight="1">
      <x:c r="A15" s="18" t="str">
        <x:v>INF-ASSET-ENM-X1</x:v>
      </x:c>
      <x:c r="B15" s="9" t="str">
        <x:v>Atlas de combat : X1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Livrable graphique proposé.</x:v>
      </x:c>
      <x:c r="G15" s="9" t="str">
        <x:v>Construire les poses de X1 nécessaires à sa boucle de combat.</x:v>
      </x:c>
      <x:c r="H15" s="9" t="str">
        <x:v>Proposition : attente, anticipation, attaque, impact, rupture et sortie. La boucle à rendre lisible est : Proposition : Charge, frappe au sol puis vulnérabilité du dos. Réponse : Casser la ligne de charge avec un pilier.</x:v>
      </x:c>
      <x:c r="I15" s="9" t="str">
        <x:v>Masse krogan augmentée, échelle renforcée.</x:v>
      </x:c>
      <x:c r="J15" s="9" t="str">
        <x:v>Huit directions pour les unités mobiles ; vue fixe possible pour un boss ancré. Événements d’impact séparés des poses.</x:v>
      </x:c>
      <x:c r="K15" s="9" t="str"/>
      <x:c r="L15" s="9" t="str">
        <x:v>Livrable prévu : atlas inf_enm-x1, métadonnées des pivots et fichier de référence visuelle.</x:v>
      </x:c>
      <x:c r="M15" s="9" t="str">
        <x:v>Référence visuelle validée avant les variantes. Les cases manquantes sont suivies explicitement.</x:v>
      </x:c>
      <x:c r="N15" s="9" t="str">
        <x:v>Le télégraphe de X1 reste identifiable en silhouette ; aucune pose ne change le pivot aux pieds.</x:v>
      </x:c>
      <x:c r="O15" s="9" t="str">
        <x:v>INF-ENM-X1</x:v>
      </x:c>
      <x:c r="P15" s="9" t="str">
        <x:v>Conception du fan game</x:v>
      </x:c>
      <x:c r="Q15" s="9" t="str"/>
      <x:c r="R15" s="20" t="str"/>
      <x:c r="S15" s="20" t="str">
        <x:v>Fiche de production uniquement. Aucun sprite supplémentaire n’a été généré par ce classeur.</x:v>
      </x:c>
    </x:row>
    <x:row r="16" ht="82" customHeight="1">
      <x:c r="A16" s="19" t="str">
        <x:v>INF-ASSET-ENM-INALI</x:v>
      </x:c>
      <x:c r="B16" s="7" t="str">
        <x:v>Atlas de combat : Inali augmentée</x:v>
      </x:c>
      <x:c r="C16" s="15" t="str">
        <x:v>Défini</x:v>
      </x:c>
      <x:c r="D16" s="17" t="str">
        <x:v>Extrapolation</x:v>
      </x:c>
      <x:c r="E16" s="17" t="str">
        <x:v>P0</x:v>
      </x:c>
      <x:c r="F16" s="7" t="str">
        <x:v>Livrable graphique proposé.</x:v>
      </x:c>
      <x:c r="G16" s="7" t="str">
        <x:v>Construire les poses de Inali augmentée nécessaires à sa boucle de combat.</x:v>
      </x:c>
      <x:c r="H16" s="7" t="str">
        <x:v>Proposition : attente, anticipation, attaque, impact, rupture et sortie. La boucle à rendre lisible est : Proposition : Phases protection, armure, contrôle du Directeur. Réponse : Détruire la protection sans perdre la lecture du choix final.</x:v>
      </x:c>
      <x:c r="I16" s="7" t="str">
        <x:v>Silhouette transformée à relever sur référence.</x:v>
      </x:c>
      <x:c r="J16" s="7" t="str">
        <x:v>Huit directions pour les unités mobiles ; vue fixe possible pour un boss ancré. Événements d’impact séparés des poses.</x:v>
      </x:c>
      <x:c r="K16" s="7" t="str"/>
      <x:c r="L16" s="7" t="str">
        <x:v>Livrable prévu : atlas inf_enm-inali, métadonnées des pivots et fichier de référence visuelle.</x:v>
      </x:c>
      <x:c r="M16" s="7" t="str">
        <x:v>Référence visuelle validée avant les variantes. Les cases manquantes sont suivies explicitement.</x:v>
      </x:c>
      <x:c r="N16" s="7" t="str">
        <x:v>Le télégraphe de Inali augmentée reste identifiable en silhouette ; aucune pose ne change le pivot aux pieds.</x:v>
      </x:c>
      <x:c r="O16" s="7" t="str">
        <x:v>INF-ENM-INALI</x:v>
      </x:c>
      <x:c r="P16" s="7" t="str">
        <x:v>Conception du fan game</x:v>
      </x:c>
      <x:c r="Q16" s="7" t="str"/>
      <x:c r="R16" s="21" t="str"/>
      <x:c r="S16" s="21" t="str">
        <x:v>Fiche de production uniquement. Aucun sprite supplémentaire n’a été généré par ce classeur.</x:v>
      </x:c>
    </x:row>
    <x:row r="17" ht="82" customHeight="1">
      <x:c r="A17" s="18" t="str">
        <x:v>INF-ASSET-ENM-OGRE</x:v>
      </x:c>
      <x:c r="B17" s="9" t="str">
        <x:v>Atlas de combat : Ogre Mech</x:v>
      </x:c>
      <x:c r="C17" s="15" t="str">
        <x:v>Défini</x:v>
      </x:c>
      <x:c r="D17" s="16" t="str">
        <x:v>Extrapolation</x:v>
      </x:c>
      <x:c r="E17" s="16" t="str">
        <x:v>P1</x:v>
      </x:c>
      <x:c r="F17" s="9" t="str">
        <x:v>Livrable graphique proposé.</x:v>
      </x:c>
      <x:c r="G17" s="9" t="str">
        <x:v>Construire les poses de Ogre Mech nécessaires à sa boucle de combat.</x:v>
      </x:c>
      <x:c r="H17" s="9" t="str">
        <x:v>Proposition : attente, anticipation, attaque, impact, rupture et sortie. La boucle à rendre lisible est : Proposition : Bombardement central et appel de renforts. Réponse : Prioriser les unités de soutien pendant la récupération.</x:v>
      </x:c>
      <x:c r="I17" s="9" t="str">
        <x:v>Structure lourde et canon distinct.</x:v>
      </x:c>
      <x:c r="J17" s="9" t="str">
        <x:v>Huit directions pour les unités mobiles ; vue fixe possible pour un boss ancré. Événements d’impact séparés des poses.</x:v>
      </x:c>
      <x:c r="K17" s="9" t="str"/>
      <x:c r="L17" s="9" t="str">
        <x:v>Livrable prévu : atlas inf_enm-ogre, métadonnées des pivots et fichier de référence visuelle.</x:v>
      </x:c>
      <x:c r="M17" s="9" t="str">
        <x:v>Référence visuelle validée avant les variantes. Les cases manquantes sont suivies explicitement.</x:v>
      </x:c>
      <x:c r="N17" s="9" t="str">
        <x:v>Le télégraphe de Ogre Mech reste identifiable en silhouette ; aucune pose ne change le pivot aux pieds.</x:v>
      </x:c>
      <x:c r="O17" s="9" t="str">
        <x:v>INF-ENM-OGRE</x:v>
      </x:c>
      <x:c r="P17" s="9" t="str">
        <x:v>Conception du fan game</x:v>
      </x:c>
      <x:c r="Q17" s="9" t="str"/>
      <x:c r="R17" s="20" t="str"/>
      <x:c r="S17" s="20" t="str">
        <x:v>Fiche de production uniquement. Aucun sprite supplémentaire n’a été généré par ce classeur.</x:v>
      </x:c>
    </x:row>
    <x:row r="18" ht="68" customHeight="1">
      <x:c r="A18" s="19" t="str">
        <x:v>INF-ASSET-ENM-ORCUS</x:v>
      </x:c>
      <x:c r="B18" s="7" t="str">
        <x:v>Atlas de combat : Orcus Mech</x:v>
      </x:c>
      <x:c r="C18" s="15" t="str">
        <x:v>Défini</x:v>
      </x:c>
      <x:c r="D18" s="17" t="str">
        <x:v>Extrapolation</x:v>
      </x:c>
      <x:c r="E18" s="17" t="str">
        <x:v>P1</x:v>
      </x:c>
      <x:c r="F18" s="7" t="str">
        <x:v>Livrable graphique proposé.</x:v>
      </x:c>
      <x:c r="G18" s="7" t="str">
        <x:v>Construire les poses de Orcus Mech nécessaires à sa boucle de combat.</x:v>
      </x:c>
      <x:c r="H18" s="7" t="str">
        <x:v>Proposition : attente, anticipation, attaque, impact, rupture et sortie. La boucle à rendre lisible est : Proposition : Pression à distance en groupe. Réponse : Réserver un espace de repli.</x:v>
      </x:c>
      <x:c r="I18" s="7" t="str">
        <x:v>Petite silhouette mécanique répétable.</x:v>
      </x:c>
      <x:c r="J18" s="7" t="str">
        <x:v>Huit directions pour les unités mobiles ; vue fixe possible pour un boss ancré. Événements d’impact séparés des poses.</x:v>
      </x:c>
      <x:c r="K18" s="7" t="str"/>
      <x:c r="L18" s="7" t="str">
        <x:v>Livrable prévu : atlas inf_enm-orcus, métadonnées des pivots et fichier de référence visuelle.</x:v>
      </x:c>
      <x:c r="M18" s="7" t="str">
        <x:v>Référence visuelle validée avant les variantes. Les cases manquantes sont suivies explicitement.</x:v>
      </x:c>
      <x:c r="N18" s="7" t="str">
        <x:v>Le télégraphe de Orcus Mech reste identifiable en silhouette ; aucune pose ne change le pivot aux pieds.</x:v>
      </x:c>
      <x:c r="O18" s="7" t="str">
        <x:v>INF-ENM-ORCUS</x:v>
      </x:c>
      <x:c r="P18" s="7" t="str">
        <x:v>Conception du fan game</x:v>
      </x:c>
      <x:c r="Q18" s="7" t="str"/>
      <x:c r="R18" s="21" t="str"/>
      <x:c r="S18" s="21" t="str">
        <x:v>Fiche de production uniquement. Aucun sprite supplémentaire n’a été généré par ce classeur.</x:v>
      </x:c>
    </x:row>
  </x:sheetData>
  <x:conditionalFormatting sqref="D7:D18">
    <x:cfRule type="cellIs" dxfId="80" priority="1" operator="equal">
      <x:formula>"À vérifier"</x:formula>
    </x:cfRule>
    <x:cfRule type="cellIs" dxfId="81" priority="2" operator="equal">
      <x:formula>"Extrapolation"</x:formula>
    </x:cfRule>
  </x:conditionalFormatting>
  <x:conditionalFormatting sqref="C7:C18">
    <x:cfRule type="cellIs" dxfId="82" priority="3" operator="equal">
      <x:formula>"Validé"</x:formula>
    </x:cfRule>
  </x:conditionalFormatting>
  <x:conditionalFormatting sqref="E7:E18">
    <x:cfRule type="cellIs" dxfId="83" priority="4" operator="equal">
      <x:formula>"P0"</x:formula>
    </x:cfRule>
  </x:conditionalFormatting>
  <x:dataValidations count="3">
    <x:dataValidation type="list" sqref="C7:C18">
      <x:formula1>"Défini,Prototype,Intégré,Validé"</x:formula1>
    </x:dataValidation>
    <x:dataValidation type="list" sqref="D7:D18">
      <x:formula1>"Établi,À vérifier,Extrapolation,Coupé attesté,Concept abandonné,Allégation écartée"</x:formula1>
    </x:dataValidation>
    <x:dataValidation type="list" sqref="E7:E1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9361c217f04ef8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VFX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Effets visuels et lisibilité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INF-VFX-CLOAK</x:v>
      </x:c>
      <x:c r="B7" s="9" t="str">
        <x:v>Camouflage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Effet proposé.</x:v>
      </x:c>
      <x:c r="G7" s="9" t="str">
        <x:v>Dissoudre progressivement la couleur du sprite en gardant un liseré optionnel.</x:v>
      </x:c>
      <x:c r="H7" s="9" t="str">
        <x:v>Ne pas retirer l’indicateur de sélection.</x:v>
      </x:c>
      <x:c r="I7" s="9" t="str">
        <x:v>Réfraction faible, pas de flash blanc.</x:v>
      </x:c>
      <x:c r="J7" s="9" t="str"/>
      <x:c r="K7" s="9" t="str"/>
      <x:c r="L7" s="9" t="str"/>
      <x:c r="M7" s="9" t="str"/>
      <x:c r="N7" s="9" t="str">
        <x:v>Randall reste localisable sur fond clair.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INF-VFX-BIOTIC</x:v>
      </x:c>
      <x:c r="B8" s="7" t="str">
        <x:v>Biotique de laboratoire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Effet proposé.</x:v>
      </x:c>
      <x:c r="G8" s="7" t="str">
        <x:v>Rubans bleu-violet devant et derrière la cible.</x:v>
      </x:c>
      <x:c r="H8" s="7" t="str">
        <x:v>Z-order et fin liés à l’état de la cible.</x:v>
      </x:c>
      <x:c r="I8" s="7" t="str">
        <x:v>Émission limitée sur verre blanc.</x:v>
      </x:c>
      <x:c r="J8" s="7" t="str"/>
      <x:c r="K8" s="7" t="str"/>
      <x:c r="L8" s="7" t="str"/>
      <x:c r="M8" s="7" t="str"/>
      <x:c r="N8" s="7" t="str">
        <x:v>L’effet disparaît à l’interruption et au chargement.</x:v>
      </x:c>
      <x:c r="O8" s="7" t="str"/>
      <x:c r="P8" s="7" t="str">
        <x:v>Conception du fan game</x:v>
      </x:c>
      <x:c r="Q8" s="7" t="str"/>
      <x:c r="R8" s="21" t="str"/>
      <x:c r="S8" s="21" t="str"/>
    </x:row>
  </x:sheetData>
  <x:conditionalFormatting sqref="D7:D8">
    <x:cfRule type="cellIs" dxfId="84" priority="1" operator="equal">
      <x:formula>"À vérifier"</x:formula>
    </x:cfRule>
    <x:cfRule type="cellIs" dxfId="85" priority="2" operator="equal">
      <x:formula>"Extrapolation"</x:formula>
    </x:cfRule>
  </x:conditionalFormatting>
  <x:conditionalFormatting sqref="C7:C8">
    <x:cfRule type="cellIs" dxfId="86" priority="3" operator="equal">
      <x:formula>"Validé"</x:formula>
    </x:cfRule>
  </x:conditionalFormatting>
  <x:conditionalFormatting sqref="E7:E8">
    <x:cfRule type="cellIs" dxfId="87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d87bcab2c74a36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Audio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Ambiances, effets et musique originale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INF-AUD-BARN</x:v>
      </x:c>
      <x:c r="B7" s="9" t="str">
        <x:v>Ambiance du Barn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Création sonore originale.</x:v>
      </x:c>
      <x:c r="G7" s="9" t="str">
        <x:v>Ventilation, bips médicaux et alarmes selon les secteurs.</x:v>
      </x:c>
      <x:c r="H7" s="9" t="str">
        <x:v>Les alarmes baissent pendant les communications.</x:v>
      </x:c>
      <x:c r="I7" s="9" t="str">
        <x:v>Repère visuel des alarmes dans le HUD.</x:v>
      </x:c>
      <x:c r="J7" s="9" t="str"/>
      <x:c r="K7" s="9" t="str"/>
      <x:c r="L7" s="9" t="str"/>
      <x:c r="M7" s="9" t="str"/>
      <x:c r="N7" s="9" t="str">
        <x:v>Aucun pic sonore ne masque une instruction.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44" customHeight="1">
      <x:c r="A8" s="19" t="str">
        <x:v>INF-AUD-CHASE</x:v>
      </x:c>
      <x:c r="B8" s="7" t="str">
        <x:v>Musique de fuite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Composition originale proposée.</x:v>
      </x:c>
      <x:c r="G8" s="7" t="str">
        <x:v>Pulsation synthétique avec couches selon intensité et présence du boss.</x:v>
      </x:c>
      <x:c r="H8" s="7" t="str">
        <x:v>Transitions sur mesures, pas de redémarrage après chaque ennemi.</x:v>
      </x:c>
      <x:c r="I8" s="7" t="str"/>
      <x:c r="J8" s="7" t="str"/>
      <x:c r="K8" s="7" t="str"/>
      <x:c r="L8" s="7" t="str"/>
      <x:c r="M8" s="7" t="str"/>
      <x:c r="N8" s="7" t="str">
        <x:v>Le niveau sonore demeure stable entre exploration et combat.</x:v>
      </x:c>
      <x:c r="O8" s="7" t="str"/>
      <x:c r="P8" s="7" t="str">
        <x:v>Conception du fan game</x:v>
      </x:c>
      <x:c r="Q8" s="7" t="str"/>
      <x:c r="R8" s="21" t="str"/>
      <x:c r="S8" s="21" t="str"/>
    </x:row>
  </x:sheetData>
  <x:conditionalFormatting sqref="D7:D8">
    <x:cfRule type="cellIs" dxfId="88" priority="1" operator="equal">
      <x:formula>"À vérifier"</x:formula>
    </x:cfRule>
    <x:cfRule type="cellIs" dxfId="89" priority="2" operator="equal">
      <x:formula>"Extrapolation"</x:formula>
    </x:cfRule>
  </x:conditionalFormatting>
  <x:conditionalFormatting sqref="C7:C8">
    <x:cfRule type="cellIs" dxfId="90" priority="3" operator="equal">
      <x:formula>"Validé"</x:formula>
    </x:cfRule>
  </x:conditionalFormatting>
  <x:conditionalFormatting sqref="E7:E8">
    <x:cfRule type="cellIs" dxfId="91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60ed85c4a34b92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Systèmes et 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Interface et règles de jeu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INF-SYS-ATB</x:v>
      </x:c>
      <x:c r="B7" s="9" t="str">
        <x:v>ATB avec pause des commandes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Système original du fan game.</x:v>
      </x:c>
      <x:c r="G7" s="9" t="str">
        <x:v>Garder une jauge par acteur, la chronologie des attaques et un mode Attente.</x:v>
      </x:c>
      <x:c r="H7" s="9" t="str">
        <x:v>Réglage proposé : une commande consomme une jauge pleine. Une anticipation ennemie engagée reste visible.</x:v>
      </x:c>
      <x:c r="I7" s="9" t="str">
        <x:v>Barre bleu acier pour attente, icône et libellé pour interruption.</x:v>
      </x:c>
      <x:c r="J7" s="9" t="str"/>
      <x:c r="K7" s="9" t="str"/>
      <x:c r="L7" s="9" t="str"/>
      <x:c r="M7" s="9" t="str"/>
      <x:c r="N7" s="9" t="str">
        <x:v>Changer de mode ne crée ni double tour ni perte de commande.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54" customHeight="1">
      <x:c r="A8" s="19" t="str">
        <x:v>INF-SYS-SAVE</x:v>
      </x:c>
      <x:c r="B8" s="7" t="str">
        <x:v>Sauvegarde de campagne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Schéma de sauvegarde proposé.</x:v>
      </x:c>
      <x:c r="G8" s="7" t="str">
        <x:v>Conserver checkpoints, rangs, achats, preuves et décisions de Randall. Séparer la sauvegarde du prisonnier turien.</x:v>
      </x:c>
      <x:c r="H8" s="7" t="str">
        <x:v>Versionner les états de mission, l’inventaire, les choix et le point de retour.</x:v>
      </x:c>
      <x:c r="I8" s="7" t="str">
        <x:v>Menu à trois emplacements avec chapitre et objectif.</x:v>
      </x:c>
      <x:c r="J8" s="7" t="str"/>
      <x:c r="K8" s="7" t="str"/>
      <x:c r="L8" s="7" t="str"/>
      <x:c r="M8" s="7" t="str"/>
      <x:c r="N8" s="7" t="str">
        <x:v>Charger avant et après un embranchement restitue le même état.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INF-SYS-CAMERA</x:v>
      </x:c>
      <x:c r="B9" s="9" t="str">
        <x:v>Caméras fixes et sprites dans le décor 3D</x:v>
      </x:c>
      <x:c r="C9" s="15" t="str">
        <x:v>Défini</x:v>
      </x:c>
      <x:c r="D9" s="16" t="str">
        <x:v>Extrapolation</x:v>
      </x:c>
      <x:c r="E9" s="16" t="str">
        <x:v>P0</x:v>
      </x:c>
      <x:c r="F9" s="9" t="str">
        <x:v>Règle de présentation proposée.</x:v>
      </x:c>
      <x:c r="G9" s="9" t="str">
        <x:v>Conserver la mise en scène propre à Infiltrator.</x:v>
      </x:c>
      <x:c r="H9" s="9" t="str">
        <x:v>Calculer la direction du sprite dans le repère caméra. Conserver les axes de déplacement lors des raccords.</x:v>
      </x:c>
      <x:c r="I9" s="9" t="str">
        <x:v>Perspective douce, contours lisibles, profondeur et ombres de contact.</x:v>
      </x:c>
      <x:c r="J9" s="9" t="str"/>
      <x:c r="K9" s="9" t="str"/>
      <x:c r="L9" s="9" t="str"/>
      <x:c r="M9" s="9" t="str"/>
      <x:c r="N9" s="9" t="str">
        <x:v>Un personnage derrière un pilier disparaît proprement sans passer devant le sol.</x:v>
      </x:c>
      <x:c r="O9" s="9" t="str"/>
      <x:c r="P9" s="9" t="str">
        <x:v>Conception du fan game</x:v>
      </x:c>
      <x:c r="Q9" s="9" t="str"/>
      <x:c r="R9" s="20" t="str"/>
      <x:c r="S9" s="20" t="str"/>
    </x:row>
    <x:row r="10" ht="44" customHeight="1">
      <x:c r="A10" s="19" t="str">
        <x:v>INF-SYS-ACCESS</x:v>
      </x:c>
      <x:c r="B10" s="7" t="str">
        <x:v>Commandes et lisibilité</x:v>
      </x:c>
      <x:c r="C10" s="15" t="str">
        <x:v>Défini</x:v>
      </x:c>
      <x:c r="D10" s="17" t="str">
        <x:v>Extrapolation</x:v>
      </x:c>
      <x:c r="E10" s="17" t="str">
        <x:v>P0</x:v>
      </x:c>
      <x:c r="F10" s="7" t="str">
        <x:v>Spécification d’accès au jeu.</x:v>
      </x:c>
      <x:c r="G10" s="7" t="str">
        <x:v>Clavier, manette et interface tactile facultative.</x:v>
      </x:c>
      <x:c r="H10" s="7" t="str">
        <x:v>Reconfigurer les touches, accélérer les animations, afficher les résistances par texte.</x:v>
      </x:c>
      <x:c r="I10" s="7" t="str">
        <x:v>Contraste des textes, taille réglable, réduction du flash et du mouvement.</x:v>
      </x:c>
      <x:c r="J10" s="7" t="str"/>
      <x:c r="K10" s="7" t="str"/>
      <x:c r="L10" s="7" t="str"/>
      <x:c r="M10" s="7" t="str"/>
      <x:c r="N10" s="7" t="str">
        <x:v>Toutes les commandes et le journal restent utilisables sans souris.</x:v>
      </x:c>
      <x:c r="O10" s="7" t="str"/>
      <x:c r="P10" s="7" t="str">
        <x:v>Conception du fan game</x:v>
      </x:c>
      <x:c r="Q10" s="7" t="str"/>
      <x:c r="R10" s="21" t="str"/>
      <x:c r="S10" s="21" t="str"/>
    </x:row>
    <x:row r="11" ht="44" customHeight="1">
      <x:c r="A11" s="18" t="str">
        <x:v>INF-SYS-SOURCES</x:v>
      </x:c>
      <x:c r="B11" s="9" t="str">
        <x:v>Registre de références</x:v>
      </x:c>
      <x:c r="C11" s="15" t="str">
        <x:v>Défini</x:v>
      </x:c>
      <x:c r="D11" s="16" t="str">
        <x:v>Extrapolation</x:v>
      </x:c>
      <x:c r="E11" s="16" t="str">
        <x:v>P0</x:v>
      </x:c>
      <x:c r="F11" s="9" t="str">
        <x:v>Suivi de production.</x:v>
      </x:c>
      <x:c r="G11" s="9" t="str">
        <x:v>Conserver les références visuelles et leur provenance par asset.</x:v>
      </x:c>
      <x:c r="H11" s="9" t="str">
        <x:v>Un élément change de statut uniquement après contrôle documenté.</x:v>
      </x:c>
      <x:c r="I11" s="9" t="str">
        <x:v>Guide lisible avec source et limite de couverture.</x:v>
      </x:c>
      <x:c r="J11" s="9" t="str"/>
      <x:c r="K11" s="9" t="str"/>
      <x:c r="L11" s="9" t="str"/>
      <x:c r="M11" s="9" t="str"/>
      <x:c r="N11" s="9" t="str">
        <x:v>Aucune fiche de conception n’est automatiquement marquée Intégré.</x:v>
      </x:c>
      <x:c r="O11" s="9" t="str"/>
      <x:c r="P11" s="9" t="str">
        <x:v>Conception du fan game</x:v>
      </x:c>
      <x:c r="Q11" s="9" t="str"/>
      <x:c r="R11" s="20" t="str"/>
      <x:c r="S11" s="20" t="str"/>
    </x:row>
  </x:sheetData>
  <x:conditionalFormatting sqref="D7:D11">
    <x:cfRule type="cellIs" dxfId="92" priority="1" operator="equal">
      <x:formula>"À vérifier"</x:formula>
    </x:cfRule>
    <x:cfRule type="cellIs" dxfId="93" priority="2" operator="equal">
      <x:formula>"Extrapolation"</x:formula>
    </x:cfRule>
  </x:conditionalFormatting>
  <x:conditionalFormatting sqref="C7:C11">
    <x:cfRule type="cellIs" dxfId="94" priority="3" operator="equal">
      <x:formula>"Validé"</x:formula>
    </x:cfRule>
  </x:conditionalFormatting>
  <x:conditionalFormatting sqref="E7:E11">
    <x:cfRule type="cellIs" dxfId="95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6cd8666bfe4246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QA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Critères de test et contrôles de fidélité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44" customHeight="1">
      <x:c r="A7" s="18" t="str">
        <x:v>INF-QA-PATH</x:v>
      </x:c>
      <x:c r="B7" s="9" t="str">
        <x:v>Parcours de bout en bout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Scénario de recette proposé.</x:v>
      </x:c>
      <x:c r="G7" s="9" t="str">
        <x:v>Exécuter le parcours prévu de Infiltrator.</x:v>
      </x:c>
      <x:c r="H7" s="9" t="str">
        <x:v>Tester une victoire, une défaite puis un rechargement dans chaque chapitre.</x:v>
      </x:c>
      <x:c r="I7" s="9" t="str"/>
      <x:c r="J7" s="9" t="str"/>
      <x:c r="K7" s="9" t="str"/>
      <x:c r="L7" s="9" t="str"/>
      <x:c r="M7" s="9" t="str"/>
      <x:c r="N7" s="9" t="str">
        <x:v>Chaque objectif peut se terminer sans commande de débogage.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54" customHeight="1">
      <x:c r="A8" s="19" t="str">
        <x:v>INF-QA-BRANCH</x:v>
      </x:c>
      <x:c r="B8" s="7" t="str">
        <x:v>Choix et états persistants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Recette des embranchements.</x:v>
      </x:c>
      <x:c r="G8" s="7" t="str">
        <x:v>Conserver checkpoints, rangs, achats, preuves et décisions de Randall. Séparer la sauvegarde du prisonnier turien.</x:v>
      </x:c>
      <x:c r="H8" s="7" t="str">
        <x:v>Tester chaque condition vraie/fausse, ainsi que l’absence de donnée dans une vieille sauvegarde.</x:v>
      </x:c>
      <x:c r="I8" s="7" t="str"/>
      <x:c r="J8" s="7" t="str"/>
      <x:c r="K8" s="7" t="str"/>
      <x:c r="L8" s="7" t="str"/>
      <x:c r="M8" s="7" t="str"/>
      <x:c r="N8" s="7" t="str">
        <x:v>Les choix ne s’écrasent pas et le journal explique les objectifs indisponibles.</x:v>
      </x:c>
      <x:c r="O8" s="7" t="str"/>
      <x:c r="P8" s="7" t="str">
        <x:v>Conception du fan game</x:v>
      </x:c>
      <x:c r="Q8" s="7" t="str"/>
      <x:c r="R8" s="21" t="str"/>
      <x:c r="S8" s="21" t="str"/>
    </x:row>
    <x:row r="9" ht="44" customHeight="1">
      <x:c r="A9" s="18" t="str">
        <x:v>INF-QA-VISUAL</x:v>
      </x:c>
      <x:c r="B9" s="9" t="str">
        <x:v>Contrôle de référence et de lisibilité</x:v>
      </x:c>
      <x:c r="C9" s="15" t="str">
        <x:v>Défini</x:v>
      </x:c>
      <x:c r="D9" s="16" t="str">
        <x:v>Extrapolation</x:v>
      </x:c>
      <x:c r="E9" s="16" t="str">
        <x:v>P0</x:v>
      </x:c>
      <x:c r="F9" s="9" t="str">
        <x:v>Recette artistique avant validation.</x:v>
      </x:c>
      <x:c r="G9" s="9" t="str">
        <x:v>Comparer silhouette, tenue, palette et décor de Infiltrator aux références détenues.</x:v>
      </x:c>
      <x:c r="H9" s="9" t="str">
        <x:v>Capturer les mêmes poses et angles. Séparer écart voulu et erreur.</x:v>
      </x:c>
      <x:c r="I9" s="9" t="str"/>
      <x:c r="J9" s="9" t="str"/>
      <x:c r="K9" s="9" t="str"/>
      <x:c r="L9" s="9" t="str"/>
      <x:c r="M9" s="9" t="str"/>
      <x:c r="N9" s="9" t="str">
        <x:v>Chaque écart est corrigé ou signalé dans la fiche de l’asset.</x:v>
      </x:c>
      <x:c r="O9" s="9" t="str"/>
      <x:c r="P9" s="9" t="str">
        <x:v>Conception du fan game</x:v>
      </x:c>
      <x:c r="Q9" s="9" t="str"/>
      <x:c r="R9" s="20" t="str"/>
      <x:c r="S9" s="20" t="str"/>
    </x:row>
    <x:row r="10" ht="44" customHeight="1">
      <x:c r="A10" s="19" t="str">
        <x:v>INF-QA-BALANCE</x:v>
      </x:c>
      <x:c r="B10" s="7" t="str">
        <x:v>Coûts, immunités et boss</x:v>
      </x:c>
      <x:c r="C10" s="15" t="str">
        <x:v>Défini</x:v>
      </x:c>
      <x:c r="D10" s="17" t="str">
        <x:v>Extrapolation</x:v>
      </x:c>
      <x:c r="E10" s="17" t="str">
        <x:v>P0</x:v>
      </x:c>
      <x:c r="F10" s="7" t="str">
        <x:v>Recette des règles proposées.</x:v>
      </x:c>
      <x:c r="G10" s="7" t="str">
        <x:v>Vérifier les coûts avant et après interruption et la lecture des résistances.</x:v>
      </x:c>
      <x:c r="H10" s="7" t="str">
        <x:v>Tester une cible morte, immunisée, hors champ et dépourvue de protection.</x:v>
      </x:c>
      <x:c r="I10" s="7" t="str"/>
      <x:c r="J10" s="7" t="str"/>
      <x:c r="K10" s="7" t="str"/>
      <x:c r="L10" s="7" t="str"/>
      <x:c r="M10" s="7" t="str"/>
      <x:c r="N10" s="7" t="str">
        <x:v>Aucun combat ne dépend d’une faiblesse non annoncée.</x:v>
      </x:c>
      <x:c r="O10" s="7" t="str"/>
      <x:c r="P10" s="7" t="str">
        <x:v>Conception du fan game</x:v>
      </x:c>
      <x:c r="Q10" s="7" t="str"/>
      <x:c r="R10" s="21" t="str"/>
      <x:c r="S10" s="21" t="str"/>
    </x:row>
    <x:row r="11" ht="54" customHeight="1">
      <x:c r="A11" s="18" t="str">
        <x:v>INF-QA-SCOPE</x:v>
      </x:c>
      <x:c r="B11" s="9" t="str">
        <x:v>Limites de fidélité</x:v>
      </x:c>
      <x:c r="C11" s="15" t="str">
        <x:v>Défini</x:v>
      </x:c>
      <x:c r="D11" s="16" t="str">
        <x:v>Extrapolation</x:v>
      </x:c>
      <x:c r="E11" s="16" t="str">
        <x:v>P0</x:v>
      </x:c>
      <x:c r="F11" s="9" t="str">
        <x:v>Contrôle de publication.</x:v>
      </x:c>
      <x:c r="G11" s="9" t="str">
        <x:v>Aucun service Galaxy at War historique n’est requis. Les données exportées restent locales ; aucun lien fonctionnel avec un compte EA n’est promis.</x:v>
      </x:c>
      <x:c r="H11" s="9" t="str">
        <x:v>Vérifier les mentions Établi, À vérifier et Extrapolation à chaque export.</x:v>
      </x:c>
      <x:c r="I11" s="9" t="str"/>
      <x:c r="J11" s="9" t="str"/>
      <x:c r="K11" s="9" t="str"/>
      <x:c r="L11" s="9" t="str"/>
      <x:c r="M11" s="9" t="str"/>
      <x:c r="N11" s="9" t="str">
        <x:v>Aucune scène créée ne devient un fait officiel dans le journal ou les crédits.</x:v>
      </x:c>
      <x:c r="O11" s="9" t="str"/>
      <x:c r="P11" s="9" t="str">
        <x:v>Conception du fan game</x:v>
      </x:c>
      <x:c r="Q11" s="9" t="str"/>
      <x:c r="R11" s="20" t="str"/>
      <x:c r="S11" s="20" t="str"/>
    </x:row>
  </x:sheetData>
  <x:conditionalFormatting sqref="D7:D11">
    <x:cfRule type="cellIs" dxfId="96" priority="1" operator="equal">
      <x:formula>"À vérifier"</x:formula>
    </x:cfRule>
    <x:cfRule type="cellIs" dxfId="97" priority="2" operator="equal">
      <x:formula>"Extrapolation"</x:formula>
    </x:cfRule>
  </x:conditionalFormatting>
  <x:conditionalFormatting sqref="C7:C11">
    <x:cfRule type="cellIs" dxfId="98" priority="3" operator="equal">
      <x:formula>"Validé"</x:formula>
    </x:cfRule>
  </x:conditionalFormatting>
  <x:conditionalFormatting sqref="E7:E11">
    <x:cfRule type="cellIs" dxfId="99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4a64a86c0f4e49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Continuité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Infiltrator — États persistants, chronologie et limites de l’adaptation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30" t="str">
        <x:v>Identifiant</x:v>
      </x:c>
      <x:c r="B6" s="31" t="str">
        <x:v>Élément</x:v>
      </x:c>
      <x:c r="C6" s="31" t="str">
        <x:v>Contenu</x:v>
      </x:c>
      <x:c r="D6" s="31" t="str">
        <x:v>Nature de la référence</x:v>
      </x:c>
      <x:c r="E6" s="31" t="str">
        <x:v>Priorité</x:v>
      </x:c>
      <x:c r="F6" s="31" t="str">
        <x:v>Fait ou hypothèse</x:v>
      </x:c>
      <x:c r="G6" s="31" t="str">
        <x:v>Adaptation proposée</x:v>
      </x:c>
      <x:c r="H6" s="31" t="str">
        <x:v>Règles et moveset proposés</x:v>
      </x:c>
      <x:c r="I6" s="31" t="str">
        <x:v>Direction visuelle</x:v>
      </x:c>
      <x:c r="J6" s="31" t="str">
        <x:v>Animation</x:v>
      </x:c>
      <x:c r="K6" s="31" t="str">
        <x:v>Audio et accessibilité</x:v>
      </x:c>
      <x:c r="L6" s="31" t="str">
        <x:v>Mise en œuvre prévue</x:v>
      </x:c>
      <x:c r="M6" s="31" t="str">
        <x:v>Conditions et variantes</x:v>
      </x:c>
      <x:c r="N6" s="31" t="str">
        <x:v>Critère d’acceptation</x:v>
      </x:c>
      <x:c r="O6" s="31" t="str">
        <x:v>Dépendances</x:v>
      </x:c>
      <x:c r="P6" s="31" t="str">
        <x:v>Repère dans l’œuvre</x:v>
      </x:c>
      <x:c r="Q6" s="31" t="str">
        <x:v>Sources</x:v>
      </x:c>
      <x:c r="R6" s="31" t="str">
        <x:v>Sources URL</x:v>
      </x:c>
      <x:c r="S6" s="32" t="str">
        <x:v>Notes et limites</x:v>
      </x:c>
    </x:row>
    <x:row r="7" ht="54" customHeight="1">
      <x:c r="A7" s="18" t="str">
        <x:v>INF-CNT-FLAGS</x:v>
      </x:c>
      <x:c r="B7" s="9" t="str">
        <x:v>Transfert de progression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Contrat de continuité proposé.</x:v>
      </x:c>
      <x:c r="G7" s="9" t="str">
        <x:v>Conserver checkpoints, rangs, achats, preuves et décisions de Randall. Séparer la sauvegarde du prisonnier turien.</x:v>
      </x:c>
      <x:c r="H7" s="9" t="str">
        <x:v>Importer uniquement les clés explicitement déclarées ; ignorer les valeurs inconnues avec message.</x:v>
      </x:c>
      <x:c r="I7" s="9" t="str"/>
      <x:c r="J7" s="9" t="str"/>
      <x:c r="K7" s="9" t="str"/>
      <x:c r="L7" s="9" t="str"/>
      <x:c r="M7" s="9" t="str"/>
      <x:c r="N7" s="9" t="str">
        <x:v>Le jeu de base peut démarrer sans ce module.</x:v>
      </x:c>
      <x:c r="O7" s="9" t="str"/>
      <x:c r="P7" s="9" t="str">
        <x:v>Conception du fan game</x:v>
      </x:c>
      <x:c r="Q7" s="9" t="str"/>
      <x:c r="R7" s="20" t="str"/>
      <x:c r="S7" s="20" t="str"/>
    </x:row>
    <x:row r="8" ht="54" customHeight="1">
      <x:c r="A8" s="19" t="str">
        <x:v>INF-CNT-SCOPE</x:v>
      </x:c>
      <x:c r="B8" s="7" t="str">
        <x:v>Périmètre et variantes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Règle de continuité du catalogue.</x:v>
      </x:c>
      <x:c r="G8" s="7" t="str">
        <x:v>Aucun service Galaxy at War historique n’est requis. Les données exportées restent locales ; aucun lien fonctionnel avec un compte EA n’est promis.</x:v>
      </x:c>
      <x:c r="H8" s="7" t="str">
        <x:v>Conserver une campagne source et un profil d’adaptation séparés.</x:v>
      </x:c>
      <x:c r="I8" s="7" t="str"/>
      <x:c r="J8" s="7" t="str"/>
      <x:c r="K8" s="7" t="str"/>
      <x:c r="L8" s="7" t="str"/>
      <x:c r="M8" s="7" t="str"/>
      <x:c r="N8" s="7" t="str">
        <x:v>Le joueur sait quelle version de l’histoire est sélectionnée.</x:v>
      </x:c>
      <x:c r="O8" s="7" t="str"/>
      <x:c r="P8" s="7" t="str">
        <x:v>Conception du fan game</x:v>
      </x:c>
      <x:c r="Q8" s="7" t="str"/>
      <x:c r="R8" s="21" t="str"/>
      <x:c r="S8" s="21" t="str"/>
    </x:row>
  </x:sheetData>
  <x:conditionalFormatting sqref="D7:D8">
    <x:cfRule type="cellIs" dxfId="100" priority="1" operator="equal">
      <x:formula>"À vérifier"</x:formula>
    </x:cfRule>
    <x:cfRule type="cellIs" dxfId="101" priority="2" operator="equal">
      <x:formula>"Extrapolation"</x:formula>
    </x:cfRule>
  </x:conditionalFormatting>
  <x:conditionalFormatting sqref="C7:C8">
    <x:cfRule type="cellIs" dxfId="102" priority="3" operator="equal">
      <x:formula>"Validé"</x:formula>
    </x:cfRule>
  </x:conditionalFormatting>
  <x:conditionalFormatting sqref="E7:E8">
    <x:cfRule type="cellIs" dxfId="10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46edfaa74f44e5"/>
  </x:tableParts>
</x:worksheet>
</file>

<file path=xl/worksheets/sheet28.xml><?xml version="1.0" encoding="utf-8"?>
<x:worksheet xmlns:x="http://schemas.openxmlformats.org/spreadsheetml/2006/main">
  <x:sheetPr>
    <x:tabColor rgb="FF7892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67" hidden="0" customWidth="1"/>
    <x:col min="3" max="3" width="47" hidden="0" customWidth="1"/>
    <x:col min="4" max="4" width="90" hidden="0" customWidth="1"/>
    <x:col min="5" max="5" width="48" hidden="0" customWidth="1"/>
    <x:col min="6" max="6" width="6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Guide du catalogue</x:v>
      </x:c>
      <x:c r="B2" s="2"/>
      <x:c r="C2" s="2"/>
      <x:c r="D2" s="2"/>
      <x:c r="E2" s="2"/>
      <x:c r="F2" s="2"/>
    </x:row>
    <x:row r="3" ht="22" customHeight="1">
      <x:c r="A3" s="4" t="str">
        <x:v>Mass Effect: Infiltrator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</x:row>
    <x:row r="5" ht="22" customHeight="1">
      <x:c r="A5" s="2"/>
      <x:c r="B5" s="2"/>
      <x:c r="C5" s="2"/>
      <x:c r="D5" s="2"/>
      <x:c r="E5" s="2"/>
      <x:c r="F5" s="2"/>
    </x:row>
    <x:row r="6" ht="34" customHeight="1">
      <x:c r="A6" s="30" t="str">
        <x:v>Champ</x:v>
      </x:c>
      <x:c r="B6" s="32" t="str">
        <x:v>Définition</x:v>
      </x:c>
      <x:c r="C6" s="2"/>
      <x:c r="D6" s="2"/>
      <x:c r="E6" s="2"/>
      <x:c r="F6" s="2"/>
    </x:row>
    <x:row r="7" ht="30" customHeight="1">
      <x:c r="A7" s="7" t="str">
        <x:v>Œuvre</x:v>
      </x:c>
      <x:c r="B7" s="7" t="str">
        <x:v>Mass Effect: Infiltrator</x:v>
      </x:c>
      <x:c r="C7" s="2"/>
      <x:c r="D7" s="2"/>
      <x:c r="E7" s="2"/>
      <x:c r="F7" s="2"/>
    </x:row>
    <x:row r="8" ht="30" customHeight="1">
      <x:c r="A8" s="7" t="str">
        <x:v>Support</x:v>
      </x:c>
      <x:c r="B8" s="7" t="str">
        <x:v>Jeu mobile</x:v>
      </x:c>
      <x:c r="C8" s="2"/>
      <x:c r="D8" s="2"/>
      <x:c r="E8" s="2"/>
      <x:c r="F8" s="2"/>
    </x:row>
    <x:row r="9" ht="40" customHeight="1">
      <x:c r="A9" s="7" t="str">
        <x:v>Périmètre</x:v>
      </x:c>
      <x:c r="B9" s="7" t="str">
        <x:v>Campagne de Randall, mission bonus turienne et systèmes adaptés.</x:v>
      </x:c>
      <x:c r="C9" s="2"/>
      <x:c r="D9" s="2"/>
      <x:c r="E9" s="2"/>
      <x:c r="F9" s="2"/>
    </x:row>
    <x:row r="10" ht="68" customHeight="1">
      <x:c r="A10" s="7" t="str">
        <x:v>Projet</x:v>
      </x:c>
      <x:c r="B10" s="7" t="str">
        <x:v>Un parcours d’infiltration et de fuite réinterprété en ATB avec sprites 2D et environnements 3D. Prototype partiel : 1 profils sélectionnables et 0 équipements en Chroniques ; le reste demeure documentaire.</x:v>
      </x:c>
      <x:c r="C10" s="2"/>
      <x:c r="D10" s="2"/>
      <x:c r="E10" s="2"/>
      <x:c r="F10" s="2"/>
    </x:row>
    <x:row r="11" ht="54" customHeight="1">
      <x:c r="A11" s="7" t="str">
        <x:v>Références et limites</x:v>
      </x:c>
      <x:c r="B11" s="7" t="str">
        <x:v>Les faits de base sont référencés. Plans, statistiques, bruitages et animations proposés ne constituent pas un relevé 1:1.</x:v>
      </x:c>
      <x:c r="C11" s="2"/>
      <x:c r="D11" s="2"/>
      <x:c r="E11" s="2"/>
      <x:c r="F11" s="2"/>
    </x:row>
    <x:row r="12" ht="30" customHeight="1">
      <x:c r="A12" s="7" t="str">
        <x:v>Date de référence</x:v>
      </x:c>
      <x:c r="B12" s="44" t="d">
        <x:v>2026-10-22T12:00:00.000Z</x:v>
      </x:c>
      <x:c r="C12" s="2"/>
      <x:c r="D12" s="2"/>
      <x:c r="E12" s="2"/>
      <x:c r="F12" s="2"/>
    </x:row>
    <x:row r="13" ht="40" customHeight="1">
      <x:c r="A13" s="7" t="str">
        <x:v>Statut Défini</x:v>
      </x:c>
      <x:c r="B13" s="7" t="str">
        <x:v>Fiche de conception à réaliser. Aucun asset ou code supplémentaire n’est prouvé par cette valeur.</x:v>
      </x:c>
      <x:c r="C13" s="2"/>
      <x:c r="D13" s="2"/>
      <x:c r="E13" s="2"/>
      <x:c r="F13" s="2"/>
    </x:row>
    <x:row r="14" ht="40" customHeight="1">
      <x:c r="A14" s="7" t="str">
        <x:v>Établi</x:v>
      </x:c>
      <x:c r="B14" s="7" t="str">
        <x:v>Fait de référence documenté. Les colonnes adaptation, règles, visuel et animation décrivent la production envisagée.</x:v>
      </x:c>
      <x:c r="C14" s="2"/>
      <x:c r="D14" s="2"/>
      <x:c r="E14" s="2"/>
      <x:c r="F14" s="2"/>
    </x:row>
    <x:row r="15" ht="40" customHeight="1">
      <x:c r="A15" s="7" t="str">
        <x:v>À vérifier</x:v>
      </x:c>
      <x:c r="B15" s="7" t="str">
        <x:v>Information partielle, indexée ou nécessitant un contrôle dans l’œuvre originale.</x:v>
      </x:c>
      <x:c r="C15" s="2"/>
      <x:c r="D15" s="2"/>
      <x:c r="E15" s="2"/>
      <x:c r="F15" s="2"/>
    </x:row>
    <x:row r="16" ht="40" customHeight="1">
      <x:c r="A16" s="7" t="str">
        <x:v>Extrapolation</x:v>
      </x:c>
      <x:c r="B16" s="7" t="str">
        <x:v>Création ou interprétation pour le fan game. Ne décrit pas un contenu officiel.</x:v>
      </x:c>
      <x:c r="C16" s="2"/>
      <x:c r="D16" s="2"/>
      <x:c r="E16" s="2"/>
      <x:c r="F16" s="2"/>
    </x:row>
    <x:row r="17" ht="40" customHeight="1">
      <x:c r="A17" s="7" t="str">
        <x:v>Coupé attesté</x:v>
      </x:c>
      <x:c r="B17" s="7" t="str">
        <x:v>Contenu retiré appuyé par une source identifiée. Son état exact peut rester à relever.</x:v>
      </x:c>
      <x:c r="C17" s="2"/>
      <x:c r="D17" s="2"/>
      <x:c r="E17" s="2"/>
      <x:c r="F17" s="2"/>
    </x:row>
    <x:row r="18" ht="40" customHeight="1">
      <x:c r="A18" s="7" t="str">
        <x:v>Concept abandonné</x:v>
      </x:c>
      <x:c r="B18" s="7" t="str">
        <x:v>Piste ou prototype documenté, sans scénario final officiel présumé.</x:v>
      </x:c>
      <x:c r="C18" s="2"/>
      <x:c r="D18" s="2"/>
      <x:c r="E18" s="2"/>
      <x:c r="F18" s="2"/>
    </x:row>
    <x:row r="19" ht="40" customHeight="1">
      <x:c r="A19" s="7" t="str">
        <x:v>Allégation écartée</x:v>
      </x:c>
      <x:c r="B19" s="7" t="str">
        <x:v>Hypothèse exclue de la continuité de production. Motif donné dans la fiche.</x:v>
      </x:c>
      <x:c r="C19" s="2"/>
      <x:c r="D19" s="2"/>
      <x:c r="E19" s="2"/>
      <x:c r="F19" s="2"/>
    </x:row>
    <x:row r="20" ht="40" customHeight="1">
      <x:c r="A20" s="7" t="str">
        <x:v>Priorités</x:v>
      </x:c>
      <x:c r="B20" s="7" t="str">
        <x:v>P0 : dépendance structurante. P1 : production du module. P2 : enrichissement ultérieur.</x:v>
      </x:c>
      <x:c r="C20" s="2"/>
      <x:c r="D20" s="2"/>
      <x:c r="E20" s="2"/>
      <x:c r="F20" s="2"/>
    </x:row>
    <x:row r="21" ht="54" customHeight="1">
      <x:c r="A21" s="7" t="str">
        <x:v>Édition</x:v>
      </x:c>
      <x:c r="B21" s="7" t="str">
        <x:v>Les statuts se modifient dans les cellules ambre. Les compteurs se recalculent. Les modifications Excel ne sont pas réimportées automatiquement.</x:v>
      </x:c>
      <x:c r="C21" s="2"/>
      <x:c r="D21" s="2"/>
      <x:c r="E21" s="2"/>
      <x:c r="F21" s="2"/>
    </x:row>
    <x:row r="22" ht="40" customHeight="1">
      <x:c r="A22" s="7" t="str">
        <x:v>Régénération</x:v>
      </x:c>
      <x:c r="B22" s="7" t="str">
        <x:v>Conserver les décisions approuvées dans le catalogue JSON du dépôt avant de régénérer ce classeur.</x:v>
      </x:c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34" customHeight="1">
      <x:c r="A26" s="30" t="str">
        <x:v>Source</x:v>
      </x:c>
      <x:c r="B26" s="31" t="str">
        <x:v>Titre</x:v>
      </x:c>
      <x:c r="C26" s="31" t="str">
        <x:v>Type</x:v>
      </x:c>
      <x:c r="D26" s="31" t="str">
        <x:v>URL</x:v>
      </x:c>
      <x:c r="E26" s="31" t="str">
        <x:v>Périmètre</x:v>
      </x:c>
      <x:c r="F26" s="32" t="str">
        <x:v>Accès et limites</x:v>
      </x:c>
    </x:row>
    <x:row r="27" ht="42" customHeight="1">
      <x:c r="A27" s="6" t="str">
        <x:v>INF-OFFICIAL</x:v>
      </x:c>
      <x:c r="B27" s="6" t="str">
        <x:v>Koolhaus Games : Mass Effect Infiltrator</x:v>
      </x:c>
      <x:c r="C27" s="6" t="str">
        <x:v>Source développeur</x:v>
      </x:c>
      <x:c r="D27" s="6" t="str">
        <x:v>https://koolhausgames.com/portfolio/mass-effect-3/</x:v>
      </x:c>
      <x:c r="E27" s="6" t="str">
        <x:v>Prémisse, combat, bonus turien et ancienne liaison Galaxy at War.</x:v>
      </x:c>
      <x:c r="F27" s="6" t="str">
        <x:v>Consulté le 22/10/2026.</x:v>
      </x:c>
    </x:row>
    <x:row r="28" ht="42" customHeight="1">
      <x:c r="A28" s="6" t="str">
        <x:v>INF-WIKI</x:v>
      </x:c>
      <x:c r="B28" s="6" t="str">
        <x:v>Mass Effect Wiki : Infiltrator</x:v>
      </x:c>
      <x:c r="C28" s="6" t="str">
        <x:v>Wiki</x:v>
      </x:c>
      <x:c r="D28" s="6" t="str">
        <x:v>https://masseffect.fandom.com/wiki/Mass_Effect:_Infiltrator</x:v>
      </x:c>
      <x:c r="E28" s="6" t="str">
        <x:v>Personnages, lieux et déroulement général.</x:v>
      </x:c>
      <x:c r="F28" s="6" t="str">
        <x:v>Consulté le 22/10/2026.</x:v>
      </x:c>
    </x:row>
    <x:row r="29" ht="42" customHeight="1">
      <x:c r="A29" s="6" t="str">
        <x:v>INF-GUIDE</x:v>
      </x:c>
      <x:c r="B29" s="6" t="str">
        <x:v>Guide Infiltrator</x:v>
      </x:c>
      <x:c r="C29" s="6" t="str">
        <x:v>Wiki</x:v>
      </x:c>
      <x:c r="D29" s="6" t="str">
        <x:v>https://masseffect.fandom.com/wiki/Mass_Effect:_Infiltrator_Guide</x:v>
      </x:c>
      <x:c r="E29" s="6" t="str">
        <x:v>Neuf missions principales, checkpoints et Incarceration.</x:v>
      </x:c>
      <x:c r="F29" s="6" t="str">
        <x:v>Consulté le 22/10/2026.</x:v>
      </x:c>
    </x:row>
    <x:row r="30" ht="42" customHeight="1">
      <x:c r="A30" s="6" t="str">
        <x:v>INF-ABIL</x:v>
      </x:c>
      <x:c r="B30" s="6" t="str">
        <x:v>Capacités Infiltrator</x:v>
      </x:c>
      <x:c r="C30" s="6" t="str">
        <x:v>Wiki indexé</x:v>
      </x:c>
      <x:c r="D30" s="6" t="str">
        <x:v>https://masseffect.fandom.com/wiki/Abilities_(Mass_Effect:_Infiltrator)</x:v>
      </x:c>
      <x:c r="E30" s="6" t="str">
        <x:v>Noms des pouvoirs et principales fonctions.</x:v>
      </x:c>
      <x:c r="F30" s="6" t="str">
        <x:v>Ouverture directe refusée ; extraits indexés consultés. Chiffres source non repris.</x:v>
      </x:c>
    </x:row>
    <x:row r="31" ht="42" customHeight="1">
      <x:c r="A31" s="6" t="str">
        <x:v>INF-EQUIP</x:v>
      </x:c>
      <x:c r="B31" s="6" t="str">
        <x:v>Équipement Infiltrator</x:v>
      </x:c>
      <x:c r="C31" s="6" t="str">
        <x:v>Wiki indexé</x:v>
      </x:c>
      <x:c r="D31" s="6" t="str">
        <x:v>https://masseffect.fandom.com/wiki/Equipment_(Mass_Effect:_Infiltrator)</x:v>
      </x:c>
      <x:c r="E31" s="6" t="str">
        <x:v>Quatre armes de Randall et équipement.</x:v>
      </x:c>
      <x:c r="F31" s="6" t="str">
        <x:v>Ouverture directe refusée ; résultats indexés consultés.</x:v>
      </x:c>
    </x:row>
    <x:row r="32" ht="42" customHeight="1">
      <x:c r="A32" s="6" t="str">
        <x:v>INF-STORE</x:v>
      </x:c>
      <x:c r="B32" s="6" t="str">
        <x:v>Boutique Infiltrator</x:v>
      </x:c>
      <x:c r="C32" s="6" t="str">
        <x:v>Wiki indexé</x:v>
      </x:c>
      <x:c r="D32" s="6" t="str">
        <x:v>https://masseffect.fandom.com/wiki/Store_(Mass_Effect:_Infiltrator)</x:v>
      </x:c>
      <x:c r="E32" s="6" t="str">
        <x:v>Listes armes, biotiques, capacités, mêlée.</x:v>
      </x:c>
      <x:c r="F32" s="6" t="str">
        <x:v>Résultats indexés consultés. Fiche à confirmer dans une capture du jeu.</x:v>
      </x:c>
    </x:row>
    <x:row r="33" ht="22" customHeight="1">
      <x:c r="A33" s="2"/>
      <x:c r="B33" s="2"/>
      <x:c r="C33" s="2"/>
      <x:c r="D33" s="2"/>
      <x:c r="E33" s="2"/>
      <x:c r="F33" s="2"/>
    </x:row>
    <x:row r="34" ht="22" customHeight="1">
      <x:c r="A34" s="2"/>
      <x:c r="B34" s="2"/>
      <x:c r="C34" s="2"/>
      <x:c r="D34" s="2"/>
      <x:c r="E34" s="2"/>
      <x:c r="F34" s="2"/>
    </x:row>
    <x:row r="35" ht="22" customHeight="1">
      <x:c r="A35" s="2"/>
      <x:c r="B35" s="2"/>
      <x:c r="C35" s="2"/>
      <x:c r="D35" s="2"/>
      <x:c r="E35" s="2"/>
      <x:c r="F35" s="2"/>
    </x:row>
    <x:row r="36" ht="34" customHeight="1">
      <x:c r="A36" s="30" t="str">
        <x:v>Domaine</x:v>
      </x:c>
      <x:c r="B36" s="31" t="str">
        <x:v>Couverture actuelle</x:v>
      </x:c>
      <x:c r="C36" s="32" t="str">
        <x:v>Travail restant</x:v>
      </x:c>
      <x:c r="D36" s="2"/>
      <x:c r="E36" s="2"/>
      <x:c r="F36" s="2"/>
    </x:row>
    <x:row r="37" ht="68" customHeight="1">
      <x:c r="A37" s="6" t="str">
        <x:v>Campagne</x:v>
      </x:c>
      <x:c r="B37" s="6" t="str">
        <x:v>Les neuf missions principales et le bonus Incarceration sont répertoriés, avec leurs nombres de checkpoints issus du guide.</x:v>
      </x:c>
      <x:c r="C37" s="6" t="str">
        <x:v>Positions exactes des objets, tous les segments visuels, répliques et variantes à relever dans une version exécutable ou une capture complète.</x:v>
      </x:c>
      <x:c r="D37" s="2"/>
      <x:c r="E37" s="2"/>
      <x:c r="F37" s="2"/>
    </x:row>
    <x:row r="38" ht="54" customHeight="1">
      <x:c r="A38" s="6" t="str">
        <x:v>Personnages et combat</x:v>
      </x:c>
      <x:c r="B38" s="6" t="str">
        <x:v>Identités principales, adversaires, armes, pouvoirs, actions ATB et planches graphiques à produire.</x:v>
      </x:c>
      <x:c r="C38" s="6" t="str">
        <x:v>Statistiques originales non relevées. Les paramètres proposés nécessitent un prototype et ne sont pas une équivalence 1:1.</x:v>
      </x:c>
      <x:c r="D38" s="2"/>
      <x:c r="E38" s="2"/>
      <x:c r="F38" s="2"/>
    </x:row>
    <x:row r="39" ht="68" customHeight="1">
      <x:c r="A39" s="6" t="str">
        <x:v>Décors et cartes</x:v>
      </x:c>
      <x:c r="B39" s="6" t="str">
        <x:v>Destinations, plans de travail, liaisons, accessoires et règles d’occlusion 2D/3D.</x:v>
      </x:c>
      <x:c r="C39" s="6" t="str">
        <x:v>Les plans sont des conceptions originales ; dimensions, colliders et positions doivent être comparés au jeu source avant toute revendication de fidélité.</x:v>
      </x:c>
      <x:c r="D39" s="2"/>
      <x:c r="E39" s="2"/>
      <x:c r="F39" s="2"/>
    </x:row>
    <x:row r="40" ht="68" customHeight="1">
      <x:c r="A40" s="6" t="str">
        <x:v>Production et contrôles</x:v>
      </x:c>
      <x:c r="B40" s="6" t="str">
        <x:v>Animation, VFX, audio original, sauvegarde, UI, critères de recette et limites de continuité.</x:v>
      </x:c>
      <x:c r="C40" s="6" t="str">
        <x:v>Aucun asset ni niveau de ce module n’est réalisé par la rédaction du classeur. Les critères QA décrivent des tests futurs du jeu.</x:v>
      </x:c>
      <x:c r="D40" s="2"/>
      <x:c r="E40" s="2"/>
      <x:c r="F40" s="2"/>
    </x:row>
    <x:row r="41" ht="96" customHeight="1">
      <x:c r="A41" s="6" t="str">
        <x:v>Prototype Chroniques indépendant</x:v>
      </x:c>
      <x:c r="B41" s="6" t="str">
        <x:v>1 personnages sélectionnables, 0 équipements utilisables sous restrictions d’œuvre, segment, scène et porteur ; preuves dans implementationPaths et evidence des seules lignes Prototype.</x:v>
      </x:c>
      <x:c r="C41" s="6" t="str">
        <x:v>Campagne complète, dialogues, acquisition canonique, sprites, costumes, animations et statistiques originales à réaliser ou vérifier. Les ateliers sont des essais de préparation ATB, sans progression canonique ni transfert ME1.</x:v>
      </x:c>
      <x:c r="D41" s="2"/>
      <x:c r="E41" s="2"/>
      <x:c r="F41" s="2"/>
    </x:row>
    <x:row r="42" ht="22" customHeight="1">
      <x:c r="A42" s="2"/>
      <x:c r="B42" s="2"/>
      <x:c r="C42" s="2"/>
      <x:c r="D42" s="2"/>
      <x:c r="E42" s="2"/>
      <x:c r="F42" s="2"/>
    </x:row>
    <x:row r="43" ht="22" customHeight="1">
      <x:c r="A43" s="2"/>
      <x:c r="B43" s="2"/>
      <x:c r="C43" s="2"/>
      <x:c r="D43" s="2"/>
      <x:c r="E43" s="2"/>
      <x:c r="F43" s="2"/>
    </x:row>
    <x:row r="44" ht="22" customHeight="1">
      <x:c r="A44" s="2"/>
      <x:c r="B44" s="2"/>
      <x:c r="C44" s="2"/>
      <x:c r="D44" s="2"/>
      <x:c r="E44" s="2"/>
      <x:c r="F44" s="2"/>
    </x:row>
    <x:row r="45" ht="22" customHeight="1">
      <x:c r="A45" s="2"/>
      <x:c r="B45" s="2"/>
      <x:c r="C45" s="2"/>
      <x:c r="D45" s="2"/>
      <x:c r="E45" s="2"/>
      <x:c r="F45" s="2"/>
    </x:row>
    <x:row r="46" ht="22" customHeight="1">
      <x:c r="A46" s="2"/>
      <x:c r="B46" s="2"/>
      <x:c r="C46" s="2"/>
      <x:c r="D46" s="2"/>
      <x:c r="E46" s="2"/>
      <x:c r="F46" s="2"/>
    </x:row>
    <x:row r="47" ht="22" customHeight="1">
      <x:c r="A47" s="2"/>
      <x:c r="B47" s="2"/>
      <x:c r="C47" s="2"/>
      <x:c r="D47" s="2"/>
      <x:c r="E47" s="2"/>
      <x:c r="F47" s="2"/>
    </x:row>
    <x:row r="48" ht="22" customHeight="1">
      <x:c r="A48" s="2"/>
      <x:c r="B48" s="2"/>
      <x:c r="C48" s="2"/>
      <x:c r="D48" s="2"/>
      <x:c r="E48" s="2"/>
      <x:c r="F48" s="2"/>
    </x:row>
    <x:row r="49" ht="22" customHeight="1">
      <x:c r="A49" s="2"/>
      <x:c r="B49" s="2"/>
      <x:c r="C49" s="2"/>
      <x:c r="D49" s="2"/>
      <x:c r="E49" s="2"/>
      <x:c r="F49" s="2"/>
    </x:row>
    <x:row r="50" ht="22" customHeight="1">
      <x:c r="A50" s="2"/>
      <x:c r="B50" s="2"/>
      <x:c r="C50" s="2"/>
      <x:c r="D50" s="2"/>
      <x:c r="E50" s="2"/>
      <x:c r="F50" s="2"/>
    </x:row>
    <x:row r="51" ht="22" customHeight="1">
      <x:c r="A51" s="2"/>
      <x:c r="B51" s="2"/>
      <x:c r="C51" s="2"/>
      <x:c r="D51" s="2"/>
      <x:c r="E51" s="2"/>
      <x:c r="F51" s="2"/>
    </x:row>
    <x:row r="52" ht="22" customHeight="1">
      <x:c r="A52" s="2"/>
      <x:c r="B52" s="2"/>
      <x:c r="C52" s="2"/>
      <x:c r="D52" s="2"/>
      <x:c r="E52" s="2"/>
      <x:c r="F52" s="2"/>
    </x:row>
    <x:row r="53" ht="22" customHeight="1">
      <x:c r="A53" s="2"/>
      <x:c r="B53" s="2"/>
      <x:c r="C53" s="2"/>
      <x:c r="D53" s="2"/>
      <x:c r="E53" s="2"/>
      <x:c r="F53" s="2"/>
    </x:row>
    <x:row r="54" ht="22" customHeight="1">
      <x:c r="A54" s="2"/>
      <x:c r="B54" s="2"/>
      <x:c r="C54" s="2"/>
      <x:c r="D54" s="2"/>
      <x:c r="E54" s="2"/>
      <x:c r="F54" s="2"/>
    </x:row>
    <x:row r="55" ht="22" customHeight="1">
      <x:c r="A55" s="2"/>
      <x:c r="B55" s="2"/>
      <x:c r="C55" s="2"/>
      <x:c r="D55" s="2"/>
      <x:c r="E55" s="2"/>
      <x:c r="F55" s="2"/>
    </x:row>
    <x:row r="56" ht="22" customHeight="1">
      <x:c r="A56" s="2"/>
      <x:c r="B56" s="2"/>
      <x:c r="C56" s="2"/>
      <x:c r="D56" s="2"/>
      <x:c r="E56" s="2"/>
      <x:c r="F56" s="2"/>
    </x:row>
    <x:row r="57" ht="22" customHeight="1">
      <x:c r="A57" s="2"/>
      <x:c r="B57" s="2"/>
      <x:c r="C57" s="2"/>
      <x:c r="D57" s="2"/>
      <x:c r="E57" s="2"/>
      <x:c r="F57" s="2"/>
    </x:row>
    <x:row r="58" ht="22" customHeight="1">
      <x:c r="A58" s="2"/>
      <x:c r="B58" s="2"/>
      <x:c r="C58" s="2"/>
      <x:c r="D58" s="2"/>
      <x:c r="E58" s="2"/>
      <x:c r="F58" s="2"/>
    </x:row>
    <x:row r="59" ht="22" customHeight="1">
      <x:c r="A59" s="2"/>
      <x:c r="B59" s="2"/>
      <x:c r="C59" s="2"/>
      <x:c r="D59" s="2"/>
      <x:c r="E59" s="2"/>
      <x:c r="F59" s="2"/>
    </x:row>
    <x:row r="60" ht="22" customHeight="1">
      <x:c r="A60" s="2"/>
      <x:c r="B60" s="2"/>
      <x:c r="C60" s="2"/>
      <x:c r="D60" s="2"/>
      <x:c r="E60" s="2"/>
      <x:c r="F60" s="2"/>
    </x:row>
    <x:row r="61" ht="22" customHeight="1">
      <x:c r="A61" s="2"/>
      <x:c r="B61" s="2"/>
      <x:c r="C61" s="2"/>
      <x:c r="D61" s="2"/>
      <x:c r="E61" s="2"/>
      <x:c r="F61" s="2"/>
    </x:row>
    <x:row r="62" ht="22" customHeight="1">
      <x:c r="A62" s="2"/>
      <x:c r="B62" s="2"/>
      <x:c r="C62" s="2"/>
      <x:c r="D62" s="2"/>
      <x:c r="E62" s="2"/>
      <x:c r="F62" s="2"/>
    </x:row>
    <x:row r="63" ht="22" customHeight="1">
      <x:c r="A63" s="2"/>
      <x:c r="B63" s="2"/>
      <x:c r="C63" s="2"/>
      <x:c r="D63" s="2"/>
      <x:c r="E63" s="2"/>
      <x:c r="F63" s="2"/>
    </x:row>
    <x:row r="64" ht="22" customHeight="1">
      <x:c r="A64" s="2"/>
      <x:c r="B64" s="2"/>
      <x:c r="C64" s="2"/>
      <x:c r="D64" s="2"/>
      <x:c r="E64" s="2"/>
      <x:c r="F64" s="2"/>
    </x:row>
    <x:row r="65" ht="22" customHeight="1">
      <x:c r="A65" s="2"/>
      <x:c r="B65" s="2"/>
      <x:c r="C65" s="2"/>
      <x:c r="D65" s="2"/>
      <x:c r="E65" s="2"/>
      <x:c r="F65" s="2"/>
    </x:row>
    <x:row r="66" ht="22" customHeight="1">
      <x:c r="A66" s="2"/>
      <x:c r="B66" s="2"/>
      <x:c r="C66" s="2"/>
      <x:c r="D66" s="2"/>
      <x:c r="E66" s="2"/>
      <x:c r="F66" s="2"/>
    </x:row>
    <x:row r="67" ht="22" customHeight="1">
      <x:c r="A67" s="2"/>
      <x:c r="B67" s="2"/>
      <x:c r="C67" s="2"/>
      <x:c r="D67" s="2"/>
      <x:c r="E67" s="2"/>
      <x:c r="F67" s="2"/>
    </x:row>
    <x:row r="68" ht="22" customHeight="1">
      <x:c r="A68" s="2"/>
      <x:c r="B68" s="2"/>
      <x:c r="C68" s="2"/>
      <x:c r="D68" s="2"/>
      <x:c r="E68" s="2"/>
      <x:c r="F68" s="2"/>
    </x:row>
    <x:row r="69" ht="22" customHeight="1">
      <x:c r="A69" s="2"/>
      <x:c r="B69" s="2"/>
      <x:c r="C69" s="2"/>
      <x:c r="D69" s="2"/>
      <x:c r="E69" s="2"/>
      <x:c r="F69" s="2"/>
    </x:row>
    <x:row r="70" ht="22" customHeight="1">
      <x:c r="A70" s="2"/>
      <x:c r="B70" s="2"/>
      <x:c r="C70" s="2"/>
      <x:c r="D70" s="2"/>
      <x:c r="E70" s="2"/>
      <x:c r="F70" s="2"/>
    </x:row>
    <x:row r="71" ht="22" customHeight="1">
      <x:c r="A71" s="2"/>
      <x:c r="B71" s="2"/>
      <x:c r="C71" s="2"/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22" customHeight="1">
      <x:c r="A74" s="2"/>
      <x:c r="B74" s="2"/>
      <x:c r="C74" s="2"/>
      <x:c r="D74" s="2"/>
      <x:c r="E74" s="2"/>
      <x:c r="F74" s="2"/>
    </x:row>
    <x:row r="75" ht="22" customHeight="1">
      <x:c r="A75" s="2"/>
      <x:c r="B75" s="2"/>
      <x:c r="C75" s="2"/>
      <x:c r="D75" s="2"/>
      <x:c r="E75" s="2"/>
      <x:c r="F75" s="2"/>
    </x:row>
    <x:row r="76" ht="22" customHeight="1">
      <x:c r="A76" s="2"/>
      <x:c r="B76" s="2"/>
      <x:c r="C76" s="2"/>
      <x:c r="D76" s="2"/>
      <x:c r="E76" s="2"/>
      <x:c r="F76" s="2"/>
    </x:row>
    <x:row r="77" ht="22" customHeight="1">
      <x:c r="A77" s="2"/>
      <x:c r="B77" s="2"/>
      <x:c r="C77" s="2"/>
      <x:c r="D77" s="2"/>
      <x:c r="E77" s="2"/>
      <x:c r="F77" s="2"/>
    </x:row>
    <x:row r="78" ht="22" customHeight="1">
      <x:c r="A78" s="2"/>
      <x:c r="B78" s="2"/>
      <x:c r="C78" s="2"/>
      <x:c r="D78" s="2"/>
      <x:c r="E78" s="2"/>
      <x:c r="F78" s="2"/>
    </x:row>
    <x:row r="79" ht="22" customHeight="1">
      <x:c r="A79" s="2"/>
      <x:c r="B79" s="2"/>
      <x:c r="C79" s="2"/>
      <x:c r="D79" s="2"/>
      <x:c r="E79" s="2"/>
      <x:c r="F79" s="2"/>
    </x:row>
    <x:row r="80" ht="22" customHeight="1">
      <x:c r="A80" s="2"/>
      <x:c r="B80" s="2"/>
      <x:c r="C80" s="2"/>
      <x:c r="D80" s="2"/>
      <x:c r="E80" s="2"/>
      <x:c r="F80" s="2"/>
    </x:row>
    <x:row r="81" ht="22" customHeight="1">
      <x:c r="A81" s="2"/>
      <x:c r="B81" s="2"/>
      <x:c r="C81" s="2"/>
      <x:c r="D81" s="2"/>
      <x:c r="E81" s="2"/>
      <x:c r="F81" s="2"/>
    </x:row>
    <x:row r="82" ht="22" customHeight="1">
      <x:c r="A82" s="2"/>
      <x:c r="B82" s="2"/>
      <x:c r="C82" s="2"/>
      <x:c r="D82" s="2"/>
      <x:c r="E82" s="2"/>
      <x:c r="F82" s="2"/>
    </x:row>
    <x:row r="83" ht="22" customHeight="1">
      <x:c r="A83" s="2"/>
      <x:c r="B83" s="2"/>
      <x:c r="C83" s="2"/>
      <x:c r="D83" s="2"/>
      <x:c r="E83" s="2"/>
      <x:c r="F83" s="2"/>
    </x:row>
    <x:row r="84" ht="22" customHeight="1">
      <x:c r="A84" s="2"/>
      <x:c r="B84" s="2"/>
      <x:c r="C84" s="2"/>
      <x:c r="D84" s="2"/>
      <x:c r="E84" s="2"/>
      <x:c r="F84" s="2"/>
    </x:row>
    <x:row r="85" ht="22" customHeight="1">
      <x:c r="A85" s="2"/>
      <x:c r="B85" s="2"/>
      <x:c r="C85" s="2"/>
      <x:c r="D85" s="2"/>
      <x:c r="E85" s="2"/>
      <x:c r="F85" s="2"/>
    </x:row>
    <x:row r="86" ht="22" customHeight="1">
      <x:c r="A86" s="2"/>
      <x:c r="B86" s="2"/>
      <x:c r="C86" s="2"/>
      <x:c r="D86" s="2"/>
      <x:c r="E86" s="2"/>
      <x:c r="F86" s="2"/>
    </x:row>
    <x:row r="87" ht="22" customHeight="1">
      <x:c r="A87" s="2"/>
      <x:c r="B87" s="2"/>
      <x:c r="C87" s="2"/>
      <x:c r="D87" s="2"/>
      <x:c r="E87" s="2"/>
      <x:c r="F87" s="2"/>
    </x:row>
    <x:row r="88" ht="22" customHeight="1">
      <x:c r="A88" s="2"/>
      <x:c r="B88" s="2"/>
      <x:c r="C88" s="2"/>
      <x:c r="D88" s="2"/>
      <x:c r="E88" s="2"/>
      <x:c r="F88" s="2"/>
    </x:row>
    <x:row r="89" ht="22" customHeight="1">
      <x:c r="A89" s="2"/>
      <x:c r="B89" s="2"/>
      <x:c r="C89" s="2"/>
      <x:c r="D89" s="2"/>
      <x:c r="E89" s="2"/>
      <x:c r="F89" s="2"/>
    </x:row>
    <x:row r="90" ht="22" customHeight="1">
      <x:c r="A90" s="2"/>
      <x:c r="B90" s="2"/>
      <x:c r="C90" s="2"/>
      <x:c r="D90" s="2"/>
      <x:c r="E90" s="2"/>
      <x:c r="F90" s="2"/>
    </x:row>
    <x:row r="91" ht="22" customHeight="1">
      <x:c r="A91" s="2"/>
      <x:c r="B91" s="2"/>
      <x:c r="C91" s="2"/>
      <x:c r="D91" s="2"/>
      <x:c r="E91" s="2"/>
      <x:c r="F91" s="2"/>
    </x:row>
    <x:row r="92" ht="22" customHeight="1">
      <x:c r="A92" s="2"/>
      <x:c r="B92" s="2"/>
      <x:c r="C92" s="2"/>
      <x:c r="D92" s="2"/>
      <x:c r="E92" s="2"/>
      <x:c r="F92" s="2"/>
    </x:row>
    <x:row r="93" ht="22" customHeight="1">
      <x:c r="A93" s="2"/>
      <x:c r="B93" s="2"/>
      <x:c r="C93" s="2"/>
      <x:c r="D93" s="2"/>
      <x:c r="E93" s="2"/>
      <x:c r="F93" s="2"/>
    </x:row>
    <x:row r="94" ht="22" customHeight="1">
      <x:c r="A94" s="2"/>
      <x:c r="B94" s="2"/>
      <x:c r="C94" s="2"/>
      <x:c r="D94" s="2"/>
      <x:c r="E94" s="2"/>
      <x:c r="F94" s="2"/>
    </x:row>
    <x:row r="95" ht="22" customHeight="1">
      <x:c r="A95" s="2"/>
      <x:c r="B95" s="2"/>
      <x:c r="C95" s="2"/>
      <x:c r="D95" s="2"/>
      <x:c r="E95" s="2"/>
      <x:c r="F95" s="2"/>
    </x:row>
    <x:row r="96" ht="22" customHeight="1">
      <x:c r="A96" s="2"/>
      <x:c r="B96" s="2"/>
      <x:c r="C96" s="2"/>
      <x:c r="D96" s="2"/>
      <x:c r="E96" s="2"/>
      <x:c r="F96" s="2"/>
    </x:row>
    <x:row r="97" ht="22" customHeight="1">
      <x:c r="A97" s="2"/>
      <x:c r="B97" s="2"/>
      <x:c r="C97" s="2"/>
      <x:c r="D97" s="2"/>
      <x:c r="E97" s="2"/>
      <x:c r="F97" s="2"/>
    </x:row>
    <x:row r="98" ht="22" customHeight="1">
      <x:c r="A98" s="2"/>
      <x:c r="B98" s="2"/>
      <x:c r="C98" s="2"/>
      <x:c r="D98" s="2"/>
      <x:c r="E98" s="2"/>
      <x:c r="F98" s="2"/>
    </x:row>
    <x:row r="99" ht="22" customHeight="1">
      <x:c r="A99" s="2"/>
      <x:c r="B99" s="2"/>
      <x:c r="C99" s="2"/>
      <x:c r="D99" s="2"/>
      <x:c r="E99" s="2"/>
      <x:c r="F99" s="2"/>
    </x:row>
    <x:row r="100" ht="22" customHeight="1">
      <x:c r="A100" s="2"/>
      <x:c r="B100" s="2"/>
      <x:c r="C100" s="2"/>
      <x:c r="D100" s="2"/>
      <x:c r="E100" s="2"/>
      <x:c r="F100" s="2"/>
    </x:row>
    <x:row r="101" ht="22" customHeight="1">
      <x:c r="A101" s="2"/>
      <x:c r="B101" s="2"/>
      <x:c r="C101" s="2"/>
      <x:c r="D101" s="2"/>
      <x:c r="E101" s="2"/>
      <x:c r="F101" s="2"/>
    </x:row>
    <x:row r="102" ht="22" customHeight="1">
      <x:c r="A102" s="2"/>
      <x:c r="B102" s="2"/>
      <x:c r="C102" s="2"/>
      <x:c r="D102" s="2"/>
      <x:c r="E102" s="2"/>
      <x:c r="F102" s="2"/>
    </x:row>
    <x:row r="103" ht="22" customHeight="1">
      <x:c r="A103" s="2"/>
      <x:c r="B103" s="2"/>
      <x:c r="C103" s="2"/>
      <x:c r="D103" s="2"/>
      <x:c r="E103" s="2"/>
      <x:c r="F103" s="2"/>
    </x:row>
    <x:row r="104" ht="22" customHeight="1">
      <x:c r="A104" s="2"/>
      <x:c r="B104" s="2"/>
      <x:c r="C104" s="2"/>
      <x:c r="D104" s="2"/>
      <x:c r="E104" s="2"/>
      <x:c r="F104" s="2"/>
    </x:row>
    <x:row r="105" ht="22" customHeight="1">
      <x:c r="A105" s="2"/>
      <x:c r="B105" s="2"/>
      <x:c r="C105" s="2"/>
      <x:c r="D105" s="2"/>
      <x:c r="E105" s="2"/>
      <x:c r="F105" s="2"/>
    </x:row>
    <x:row r="106" ht="22" customHeight="1">
      <x:c r="A106" s="2"/>
      <x:c r="B106" s="2"/>
      <x:c r="C106" s="2"/>
      <x:c r="D106" s="2"/>
      <x:c r="E106" s="2"/>
      <x:c r="F106" s="2"/>
    </x:row>
    <x:row r="107" ht="22" customHeight="1">
      <x:c r="A107" s="2"/>
      <x:c r="B107" s="2"/>
      <x:c r="C107" s="2"/>
      <x:c r="D107" s="2"/>
      <x:c r="E107" s="2"/>
      <x:c r="F107" s="2"/>
    </x:row>
    <x:row r="108" ht="22" customHeight="1">
      <x:c r="A108" s="2"/>
      <x:c r="B108" s="2"/>
      <x:c r="C108" s="2"/>
      <x:c r="D108" s="2"/>
      <x:c r="E108" s="2"/>
      <x:c r="F108" s="2"/>
    </x:row>
    <x:row r="109" ht="22" customHeight="1">
      <x:c r="A109" s="2"/>
      <x:c r="B109" s="2"/>
      <x:c r="C109" s="2"/>
      <x:c r="D109" s="2"/>
      <x:c r="E109" s="2"/>
      <x:c r="F109" s="2"/>
    </x:row>
    <x:row r="110" ht="22" customHeight="1">
      <x:c r="A110" s="2"/>
      <x:c r="B110" s="2"/>
      <x:c r="C110" s="2"/>
      <x:c r="D110" s="2"/>
      <x:c r="E110" s="2"/>
      <x:c r="F110" s="2"/>
    </x:row>
    <x:row r="111" ht="22" customHeight="1">
      <x:c r="A111" s="2"/>
      <x:c r="B111" s="2"/>
      <x:c r="C111" s="2"/>
      <x:c r="D111" s="2"/>
      <x:c r="E111" s="2"/>
      <x:c r="F111" s="2"/>
    </x:row>
  </x:sheetData>
  <x:pageMargins left="0.7" right="0.7" top="0.75" bottom="0.75" header="0.3" footer="0.3"/>
</x:worksheet>
</file>