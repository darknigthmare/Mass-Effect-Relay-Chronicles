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42b827e13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9ab7c19a104502"/>
    <x:sheet xmlns:r="http://schemas.openxmlformats.org/officeDocument/2006/relationships" name="Personnages" sheetId="2" r:id="R29dc6bae8fa04575"/>
    <x:sheet xmlns:r="http://schemas.openxmlformats.org/officeDocument/2006/relationships" name="PNJ" sheetId="3" r:id="R3e829feaa4ed45b3"/>
    <x:sheet xmlns:r="http://schemas.openxmlformats.org/officeDocument/2006/relationships" name="Especes_factions" sheetId="4" r:id="Rfee307e0273b47bd"/>
    <x:sheet xmlns:r="http://schemas.openxmlformats.org/officeDocument/2006/relationships" name="Mondes" sheetId="5" r:id="R21b32a3a0fe54e9b"/>
    <x:sheet xmlns:r="http://schemas.openxmlformats.org/officeDocument/2006/relationships" name="Zones" sheetId="6" r:id="R4848c0e75a074181"/>
    <x:sheet xmlns:r="http://schemas.openxmlformats.org/officeDocument/2006/relationships" name="Liaisons" sheetId="7" r:id="Rff93edb80895402c"/>
    <x:sheet xmlns:r="http://schemas.openxmlformats.org/officeDocument/2006/relationships" name="Decors" sheetId="8" r:id="R97b03c1ce76f4982"/>
    <x:sheet xmlns:r="http://schemas.openxmlformats.org/officeDocument/2006/relationships" name="Props" sheetId="9" r:id="R1a130cb47cc4475c"/>
    <x:sheet xmlns:r="http://schemas.openxmlformats.org/officeDocument/2006/relationships" name="Ennemis_boss" sheetId="10" r:id="Rbe16d20fc0d84c70"/>
    <x:sheet xmlns:r="http://schemas.openxmlformats.org/officeDocument/2006/relationships" name="Missions" sheetId="11" r:id="Rcbb93f72632f43e7"/>
    <x:sheet xmlns:r="http://schemas.openxmlformats.org/officeDocument/2006/relationships" name="Secondaires_DLC" sheetId="12" r:id="R1fc289f5c232483c"/>
    <x:sheet xmlns:r="http://schemas.openxmlformats.org/officeDocument/2006/relationships" name="Choix_relations" sheetId="13" r:id="R22840b5de61441ae"/>
    <x:sheet xmlns:r="http://schemas.openxmlformats.org/officeDocument/2006/relationships" name="Dialogues" sheetId="14" r:id="R39324d2d423f4eaf"/>
    <x:sheet xmlns:r="http://schemas.openxmlformats.org/officeDocument/2006/relationships" name="Cinematiques" sheetId="15" r:id="Rb9fdf50e844140cb"/>
    <x:sheet xmlns:r="http://schemas.openxmlformats.org/officeDocument/2006/relationships" name="Armes" sheetId="16" r:id="R177f96170c0a4923"/>
    <x:sheet xmlns:r="http://schemas.openxmlformats.org/officeDocument/2006/relationships" name="Armures_equipement" sheetId="17" r:id="Re11d40ca07414bc4"/>
    <x:sheet xmlns:r="http://schemas.openxmlformats.org/officeDocument/2006/relationships" name="Pouvoirs" sheetId="18" r:id="Rfb759710abde47dc"/>
    <x:sheet xmlns:r="http://schemas.openxmlformats.org/officeDocument/2006/relationships" name="Movesets_allies" sheetId="19" r:id="R8f18953164c7410d"/>
    <x:sheet xmlns:r="http://schemas.openxmlformats.org/officeDocument/2006/relationships" name="Movesets_ennemis" sheetId="20" r:id="Reb53357f8c83441c"/>
    <x:sheet xmlns:r="http://schemas.openxmlformats.org/officeDocument/2006/relationships" name="Animations" sheetId="21" r:id="R392e8db8a06443f7"/>
    <x:sheet xmlns:r="http://schemas.openxmlformats.org/officeDocument/2006/relationships" name="Sprites" sheetId="22" r:id="Rfa1e5120c09f41b2"/>
    <x:sheet xmlns:r="http://schemas.openxmlformats.org/officeDocument/2006/relationships" name="VFX" sheetId="23" r:id="Rc341c504d50b4f2d"/>
    <x:sheet xmlns:r="http://schemas.openxmlformats.org/officeDocument/2006/relationships" name="Audio" sheetId="24" r:id="Rd2acdf257ef94fc3"/>
    <x:sheet xmlns:r="http://schemas.openxmlformats.org/officeDocument/2006/relationships" name="UI_systemes" sheetId="25" r:id="Rea13fe589b714e32"/>
    <x:sheet xmlns:r="http://schemas.openxmlformats.org/officeDocument/2006/relationships" name="QA" sheetId="26" r:id="Rfa2e7795d72a41ce"/>
    <x:sheet xmlns:r="http://schemas.openxmlformats.org/officeDocument/2006/relationships" name="Continuite" sheetId="27" r:id="Ra0233c92271e4479"/>
    <x:sheet xmlns:r="http://schemas.openxmlformats.org/officeDocument/2006/relationships" name="Guide" sheetId="28" r:id="R9dd642161cef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0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8e6ddeb6849a7" /><Relationship Type="http://schemas.openxmlformats.org/officeDocument/2006/relationships/theme" Target="/xl/theme/theme1.xml" Id="R03d5d9132d344850" /><Relationship Type="http://schemas.openxmlformats.org/officeDocument/2006/relationships/sharedStrings" Target="/xl/sharedStrings.xml" Id="R5fa2bc5c676943b9" /><Relationship Type="http://schemas.openxmlformats.org/officeDocument/2006/relationships/worksheet" Target="/xl/worksheets/sheet1.xml" Id="R069ab7c19a104502" /><Relationship Type="http://schemas.openxmlformats.org/officeDocument/2006/relationships/worksheet" Target="/xl/worksheets/sheet2.xml" Id="R29dc6bae8fa04575" /><Relationship Type="http://schemas.openxmlformats.org/officeDocument/2006/relationships/worksheet" Target="/xl/worksheets/sheet3.xml" Id="R3e829feaa4ed45b3" /><Relationship Type="http://schemas.openxmlformats.org/officeDocument/2006/relationships/worksheet" Target="/xl/worksheets/sheet4.xml" Id="Rfee307e0273b47bd" /><Relationship Type="http://schemas.openxmlformats.org/officeDocument/2006/relationships/worksheet" Target="/xl/worksheets/sheet5.xml" Id="R21b32a3a0fe54e9b" /><Relationship Type="http://schemas.openxmlformats.org/officeDocument/2006/relationships/worksheet" Target="/xl/worksheets/sheet6.xml" Id="R4848c0e75a074181" /><Relationship Type="http://schemas.openxmlformats.org/officeDocument/2006/relationships/worksheet" Target="/xl/worksheets/sheet7.xml" Id="Rff93edb80895402c" /><Relationship Type="http://schemas.openxmlformats.org/officeDocument/2006/relationships/worksheet" Target="/xl/worksheets/sheet8.xml" Id="R97b03c1ce76f4982" /><Relationship Type="http://schemas.openxmlformats.org/officeDocument/2006/relationships/worksheet" Target="/xl/worksheets/sheet9.xml" Id="R1a130cb47cc4475c" /><Relationship Type="http://schemas.openxmlformats.org/officeDocument/2006/relationships/worksheet" Target="/xl/worksheets/sheet10.xml" Id="Rbe16d20fc0d84c70" /><Relationship Type="http://schemas.openxmlformats.org/officeDocument/2006/relationships/worksheet" Target="/xl/worksheets/sheet11.xml" Id="Rcbb93f72632f43e7" /><Relationship Type="http://schemas.openxmlformats.org/officeDocument/2006/relationships/worksheet" Target="/xl/worksheets/sheet12.xml" Id="R1fc289f5c232483c" /><Relationship Type="http://schemas.openxmlformats.org/officeDocument/2006/relationships/worksheet" Target="/xl/worksheets/sheet13.xml" Id="R22840b5de61441ae" /><Relationship Type="http://schemas.openxmlformats.org/officeDocument/2006/relationships/worksheet" Target="/xl/worksheets/sheet14.xml" Id="R39324d2d423f4eaf" /><Relationship Type="http://schemas.openxmlformats.org/officeDocument/2006/relationships/worksheet" Target="/xl/worksheets/sheet15.xml" Id="Rb9fdf50e844140cb" /><Relationship Type="http://schemas.openxmlformats.org/officeDocument/2006/relationships/worksheet" Target="/xl/worksheets/sheet16.xml" Id="R177f96170c0a4923" /><Relationship Type="http://schemas.openxmlformats.org/officeDocument/2006/relationships/worksheet" Target="/xl/worksheets/sheet17.xml" Id="Re11d40ca07414bc4" /><Relationship Type="http://schemas.openxmlformats.org/officeDocument/2006/relationships/worksheet" Target="/xl/worksheets/sheet18.xml" Id="Rfb759710abde47dc" /><Relationship Type="http://schemas.openxmlformats.org/officeDocument/2006/relationships/worksheet" Target="/xl/worksheets/sheet19.xml" Id="R8f18953164c7410d" /><Relationship Type="http://schemas.openxmlformats.org/officeDocument/2006/relationships/worksheet" Target="/xl/worksheets/sheet20.xml" Id="Reb53357f8c83441c" /><Relationship Type="http://schemas.openxmlformats.org/officeDocument/2006/relationships/worksheet" Target="/xl/worksheets/sheet21.xml" Id="R392e8db8a06443f7" /><Relationship Type="http://schemas.openxmlformats.org/officeDocument/2006/relationships/worksheet" Target="/xl/worksheets/sheet22.xml" Id="Rfa1e5120c09f41b2" /><Relationship Type="http://schemas.openxmlformats.org/officeDocument/2006/relationships/worksheet" Target="/xl/worksheets/sheet23.xml" Id="Rc341c504d50b4f2d" /><Relationship Type="http://schemas.openxmlformats.org/officeDocument/2006/relationships/worksheet" Target="/xl/worksheets/sheet24.xml" Id="Rd2acdf257ef94fc3" /><Relationship Type="http://schemas.openxmlformats.org/officeDocument/2006/relationships/worksheet" Target="/xl/worksheets/sheet25.xml" Id="Rea13fe589b714e32" /><Relationship Type="http://schemas.openxmlformats.org/officeDocument/2006/relationships/worksheet" Target="/xl/worksheets/sheet26.xml" Id="Rfa2e7795d72a41ce" /><Relationship Type="http://schemas.openxmlformats.org/officeDocument/2006/relationships/worksheet" Target="/xl/worksheets/sheet27.xml" Id="Ra0233c92271e4479" /><Relationship Type="http://schemas.openxmlformats.org/officeDocument/2006/relationships/worksheet" Target="/xl/worksheets/sheet28.xml" Id="R9dd642161cef49c5" /></Relationships>
</file>

<file path=xl/tables/table1.xml><?xml version="1.0" encoding="utf-8"?>
<x:table xmlns:x="http://schemas.openxmlformats.org/spreadsheetml/2006/main" id="1" name="DEC_characters" displayName="DEC_character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_npcs" displayName="DEC_npc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_lore" displayName="DEC_lore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_worlds" displayName="DEC_world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_zones" displayName="DEC_zon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_links" displayName="DEC_link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_scenery" displayName="DEC_scenery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_props" displayName="DEC_prop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C_enemies" displayName="DEC_enemi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C_main_quests" displayName="DEC_main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C_side_quests" displayName="DEC_side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EC_choices" displayName="DEC_choic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EC_dialogues" displayName="DEC_dialogu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EC_cinematics" displayName="DEC_cinematic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EC_equipment" displayName="DEC_equipment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C_powers" displayName="DEC_pow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EC_ally_moves" displayName="DEC_ally_mov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EC_enemy_moves" displayName="DEC_enem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EC_animations" displayName="DEC_animation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EC_sprites" displayName="DEC_sprit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EC_vfx" displayName="DEC_vfx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EC_audio" displayName="DEC_audio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EC_systems" displayName="DEC_system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EC_qa" displayName="DEC_qa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EC_continuity" displayName="DEC_continuity" ref="A6:S17" headerRowCount="1" totalsRowCount="0" totalsRowShown="0">
  <x:autoFilter ref="A6:S1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f6c1a9834449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4154cd8e94f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0acbb622b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df26b77cf0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04791c56940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b7ee1c780e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fab03681664c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9d1576ec8443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da5e7867dc40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e428101bcb4c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3bc4554e5b4b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f3fc2cf58df45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5fbf3709da845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423202270d647f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6894f2c0cad24ec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4700fafa7174b5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443fb34c61b748c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8208727797c646a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57cfb54e5644c9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0a2c78c4883746d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53ab0d1b96b64a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1b257ea01823405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19f5ae51d86b470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d2bdc8acd1da435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f5efed2a14e44ec3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Deception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2" t="n">
        <x:f>SUM(B10:B35)</x:f>
        <x:v>160</x:v>
      </x:c>
      <x:c r="C5" s="2"/>
      <x:c r="D5" s="2" t="str">
        <x:v>Intégrés</x:v>
      </x:c>
      <x:c r="E5" s="32" t="n">
        <x:f>SUM(E10:F35)</x:f>
        <x:v>0</x:v>
      </x:c>
      <x:c r="F5" s="2"/>
      <x:c r="G5" s="2" t="str">
        <x:v>À vérifier</x:v>
      </x:c>
      <x:c r="H5" s="32" t="n">
        <x:f>SUM(H10:H35)</x:f>
        <x:v>18</x:v>
      </x:c>
      <x:c r="I5" s="2"/>
      <x:c r="J5" s="2" t="str">
        <x:v>Extrapolations</x:v>
      </x:c>
      <x:c r="K5" s="32" t="n">
        <x:f>SUM(I10:I35)</x:f>
        <x:v>132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3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8" t="str">
        <x:v>Domaine</x:v>
      </x:c>
      <x:c r="B9" s="29" t="str">
        <x:v>Total</x:v>
      </x:c>
      <x:c r="C9" s="29" t="str">
        <x:v>Défini</x:v>
      </x:c>
      <x:c r="D9" s="29" t="str">
        <x:v>Prototype</x:v>
      </x:c>
      <x:c r="E9" s="29" t="str">
        <x:v>Intégré</x:v>
      </x:c>
      <x:c r="F9" s="29" t="str">
        <x:v>Validé</x:v>
      </x:c>
      <x:c r="G9" s="29" t="str">
        <x:v>Établi</x:v>
      </x:c>
      <x:c r="H9" s="29" t="str">
        <x:v>À vérifier</x:v>
      </x:c>
      <x:c r="I9" s="29" t="str">
        <x:v>Extrapolation</x:v>
      </x:c>
      <x:c r="J9" s="29" t="str">
        <x:v>Coupé attesté</x:v>
      </x:c>
      <x:c r="K9" s="29" t="str">
        <x:v>Concept abandonné</x:v>
      </x:c>
      <x:c r="L9" s="29" t="str">
        <x:v>Allégation écartée</x:v>
      </x:c>
      <x:c r="M9" s="30" t="str">
        <x:v>Priorité P0</x:v>
      </x:c>
    </x:row>
    <x:row r="10" ht="22" customHeight="1">
      <x:c r="A10" s="34" t="str">
        <x:v>Personnages</x:v>
      </x:c>
      <x:c r="B10" s="38" t="n">
        <x:f>COUNTA('Personnages'!$A$7:$A$10)</x:f>
        <x:v>4</x:v>
      </x:c>
      <x:c r="C10" s="38" t="n">
        <x:f>COUNTIFS('Personnages'!$C$7:$C$10,"Défini")</x:f>
        <x:v>4</x:v>
      </x:c>
      <x:c r="D10" s="38" t="n">
        <x:f>COUNTIFS('Personnages'!$C$7:$C$10,"Prototype")</x:f>
        <x:v>0</x:v>
      </x:c>
      <x:c r="E10" s="38" t="n">
        <x:f>COUNTIFS('Personnages'!$C$7:$C$10,"Intégré")</x:f>
        <x:v>0</x:v>
      </x:c>
      <x:c r="F10" s="38" t="n">
        <x:f>COUNTIFS('Personnages'!$C$7:$C$10,"Validé")</x:f>
        <x:v>0</x:v>
      </x:c>
      <x:c r="G10" s="38" t="n">
        <x:f>COUNTIFS('Personnages'!$D$7:$D$10,"Établi")</x:f>
        <x:v>0</x:v>
      </x:c>
      <x:c r="H10" s="38" t="n">
        <x:f>COUNTIFS('Personnages'!$D$7:$D$10,"À vérifier")</x:f>
        <x:v>4</x:v>
      </x:c>
      <x:c r="I10" s="38" t="n">
        <x:f>COUNTIFS('Personnages'!$D$7:$D$10,"Extrapolation")</x:f>
        <x:v>0</x:v>
      </x:c>
      <x:c r="J10" s="38" t="n">
        <x:f>COUNTIFS('Personnages'!$D$7:$D$10,"Coupé attesté")</x:f>
        <x:v>0</x:v>
      </x:c>
      <x:c r="K10" s="38" t="n">
        <x:f>COUNTIFS('Personnages'!$D$7:$D$10,"Concept abandonné")</x:f>
        <x:v>0</x:v>
      </x:c>
      <x:c r="L10" s="38" t="n">
        <x:f>COUNTIFS('Personnages'!$D$7:$D$10,"Allégation écartée")</x:f>
        <x:v>0</x:v>
      </x:c>
      <x:c r="M10" s="38" t="n">
        <x:f>COUNTIFS('Personnages'!$E$7:$E$10,"P0")</x:f>
        <x:v>0</x:v>
      </x:c>
    </x:row>
    <x:row r="11" ht="22" customHeight="1">
      <x:c r="A11" s="2" t="str">
        <x:v>PNJ</x:v>
      </x:c>
      <x:c r="B11" s="39" t="n">
        <x:f>COUNTA('PNJ'!$A$7:$A$12)</x:f>
        <x:v>6</x:v>
      </x:c>
      <x:c r="C11" s="39" t="n">
        <x:f>COUNTIFS('PNJ'!$C$7:$C$12,"Défini")</x:f>
        <x:v>6</x:v>
      </x:c>
      <x:c r="D11" s="39" t="n">
        <x:f>COUNTIFS('PNJ'!$C$7:$C$12,"Prototype")</x:f>
        <x:v>0</x:v>
      </x:c>
      <x:c r="E11" s="39" t="n">
        <x:f>COUNTIFS('PNJ'!$C$7:$C$12,"Intégré")</x:f>
        <x:v>0</x:v>
      </x:c>
      <x:c r="F11" s="39" t="n">
        <x:f>COUNTIFS('PNJ'!$C$7:$C$12,"Validé")</x:f>
        <x:v>0</x:v>
      </x:c>
      <x:c r="G11" s="39" t="n">
        <x:f>COUNTIFS('PNJ'!$D$7:$D$12,"Établi")</x:f>
        <x:v>0</x:v>
      </x:c>
      <x:c r="H11" s="39" t="n">
        <x:f>COUNTIFS('PNJ'!$D$7:$D$12,"À vérifier")</x:f>
        <x:v>6</x:v>
      </x:c>
      <x:c r="I11" s="39" t="n">
        <x:f>COUNTIFS('PNJ'!$D$7:$D$12,"Extrapolation")</x:f>
        <x:v>0</x:v>
      </x:c>
      <x:c r="J11" s="39" t="n">
        <x:f>COUNTIFS('PNJ'!$D$7:$D$12,"Coupé attesté")</x:f>
        <x:v>0</x:v>
      </x:c>
      <x:c r="K11" s="39" t="n">
        <x:f>COUNTIFS('PNJ'!$D$7:$D$12,"Concept abandonné")</x:f>
        <x:v>0</x:v>
      </x:c>
      <x:c r="L11" s="39" t="n">
        <x:f>COUNTIFS('PNJ'!$D$7:$D$12,"Allégation écartée")</x:f>
        <x:v>0</x:v>
      </x:c>
      <x:c r="M11" s="39" t="n">
        <x:f>COUNTIFS('PNJ'!$E$7:$E$12,"P0")</x:f>
        <x:v>0</x:v>
      </x:c>
    </x:row>
    <x:row r="12" ht="22" customHeight="1">
      <x:c r="A12" s="34" t="str">
        <x:v>Espèces et factions</x:v>
      </x:c>
      <x:c r="B12" s="38" t="n">
        <x:f>COUNTA('Especes_factions'!$A$7:$A$8)</x:f>
        <x:v>2</x:v>
      </x:c>
      <x:c r="C12" s="38" t="n">
        <x:f>COUNTIFS('Especes_factions'!$C$7:$C$8,"Défini")</x:f>
        <x:v>0</x:v>
      </x:c>
      <x:c r="D12" s="38" t="n">
        <x:f>COUNTIFS('Especes_factions'!$C$7:$C$8,"Prototype")</x:f>
        <x:v>2</x:v>
      </x:c>
      <x:c r="E12" s="38" t="n">
        <x:f>COUNTIFS('Especes_factions'!$C$7:$C$8,"Intégré")</x:f>
        <x:v>0</x:v>
      </x:c>
      <x:c r="F12" s="38" t="n">
        <x:f>COUNTIFS('Especes_factions'!$C$7:$C$8,"Validé")</x:f>
        <x:v>0</x:v>
      </x:c>
      <x:c r="G12" s="38" t="n">
        <x:f>COUNTIFS('Especes_factions'!$D$7:$D$8,"Établi")</x:f>
        <x:v>2</x:v>
      </x:c>
      <x:c r="H12" s="38" t="n">
        <x:f>COUNTIFS('Especes_factions'!$D$7:$D$8,"À vérifier")</x:f>
        <x:v>0</x:v>
      </x:c>
      <x:c r="I12" s="38" t="n">
        <x:f>COUNTIFS('Especes_factions'!$D$7:$D$8,"Extrapolation")</x:f>
        <x:v>0</x:v>
      </x:c>
      <x:c r="J12" s="38" t="n">
        <x:f>COUNTIFS('Especes_factions'!$D$7:$D$8,"Coupé attesté")</x:f>
        <x:v>0</x:v>
      </x:c>
      <x:c r="K12" s="38" t="n">
        <x:f>COUNTIFS('Especes_factions'!$D$7:$D$8,"Concept abandonné")</x:f>
        <x:v>0</x:v>
      </x:c>
      <x:c r="L12" s="38" t="n">
        <x:f>COUNTIFS('Especes_factions'!$D$7:$D$8,"Allégation écartée")</x:f>
        <x:v>0</x:v>
      </x:c>
      <x:c r="M12" s="38" t="n">
        <x:f>COUNTIFS('Especes_factions'!$E$7:$E$8,"P0")</x:f>
        <x:v>0</x:v>
      </x:c>
    </x:row>
    <x:row r="13" ht="22" customHeight="1">
      <x:c r="A13" s="2" t="str">
        <x:v>Mondes</x:v>
      </x:c>
      <x:c r="B13" s="39" t="n">
        <x:f>COUNTA('Mondes'!$A$7:$A$8)</x:f>
        <x:v>2</x:v>
      </x:c>
      <x:c r="C13" s="39" t="n">
        <x:f>COUNTIFS('Mondes'!$C$7:$C$8,"Défini")</x:f>
        <x:v>2</x:v>
      </x:c>
      <x:c r="D13" s="39" t="n">
        <x:f>COUNTIFS('Mondes'!$C$7:$C$8,"Prototype")</x:f>
        <x:v>0</x:v>
      </x:c>
      <x:c r="E13" s="39" t="n">
        <x:f>COUNTIFS('Mondes'!$C$7:$C$8,"Intégré")</x:f>
        <x:v>0</x:v>
      </x:c>
      <x:c r="F13" s="39" t="n">
        <x:f>COUNTIFS('Mondes'!$C$7:$C$8,"Validé")</x:f>
        <x:v>0</x:v>
      </x:c>
      <x:c r="G13" s="39" t="n">
        <x:f>COUNTIFS('Mondes'!$D$7:$D$8,"Établi")</x:f>
        <x:v>0</x:v>
      </x:c>
      <x:c r="H13" s="39" t="n">
        <x:f>COUNTIFS('Mondes'!$D$7:$D$8,"À vérifier")</x:f>
        <x:v>2</x:v>
      </x:c>
      <x:c r="I13" s="39" t="n">
        <x:f>COUNTIFS('Mondes'!$D$7:$D$8,"Extrapolation")</x:f>
        <x:v>0</x:v>
      </x:c>
      <x:c r="J13" s="39" t="n">
        <x:f>COUNTIFS('Mondes'!$D$7:$D$8,"Coupé attesté")</x:f>
        <x:v>0</x:v>
      </x:c>
      <x:c r="K13" s="39" t="n">
        <x:f>COUNTIFS('Mondes'!$D$7:$D$8,"Concept abandonné")</x:f>
        <x:v>0</x:v>
      </x:c>
      <x:c r="L13" s="39" t="n">
        <x:f>COUNTIFS('Mondes'!$D$7:$D$8,"Allégation écartée")</x:f>
        <x:v>0</x:v>
      </x:c>
      <x:c r="M13" s="39" t="n">
        <x:f>COUNTIFS('Mondes'!$E$7:$E$8,"P0")</x:f>
        <x:v>0</x:v>
      </x:c>
    </x:row>
    <x:row r="14" ht="22" customHeight="1">
      <x:c r="A14" s="34" t="str">
        <x:v>Zones</x:v>
      </x:c>
      <x:c r="B14" s="38" t="n">
        <x:f>COUNTA('Zones'!$A$7:$A$14)</x:f>
        <x:v>8</x:v>
      </x:c>
      <x:c r="C14" s="38" t="n">
        <x:f>COUNTIFS('Zones'!$C$7:$C$14,"Défini")</x:f>
        <x:v>8</x:v>
      </x:c>
      <x:c r="D14" s="38" t="n">
        <x:f>COUNTIFS('Zones'!$C$7:$C$14,"Prototype")</x:f>
        <x:v>0</x:v>
      </x:c>
      <x:c r="E14" s="38" t="n">
        <x:f>COUNTIFS('Zones'!$C$7:$C$14,"Intégré")</x:f>
        <x:v>0</x:v>
      </x:c>
      <x:c r="F14" s="38" t="n">
        <x:f>COUNTIFS('Zones'!$C$7:$C$14,"Validé")</x:f>
        <x:v>0</x:v>
      </x:c>
      <x:c r="G14" s="38" t="n">
        <x:f>COUNTIFS('Zones'!$D$7:$D$14,"Établi")</x:f>
        <x:v>0</x:v>
      </x:c>
      <x:c r="H14" s="38" t="n">
        <x:f>COUNTIFS('Zones'!$D$7:$D$14,"À vérifier")</x:f>
        <x:v>0</x:v>
      </x:c>
      <x:c r="I14" s="38" t="n">
        <x:f>COUNTIFS('Zones'!$D$7:$D$14,"Extrapolation")</x:f>
        <x:v>8</x:v>
      </x:c>
      <x:c r="J14" s="38" t="n">
        <x:f>COUNTIFS('Zones'!$D$7:$D$14,"Coupé attesté")</x:f>
        <x:v>0</x:v>
      </x:c>
      <x:c r="K14" s="38" t="n">
        <x:f>COUNTIFS('Zones'!$D$7:$D$14,"Concept abandonné")</x:f>
        <x:v>0</x:v>
      </x:c>
      <x:c r="L14" s="38" t="n">
        <x:f>COUNTIFS('Zones'!$D$7:$D$14,"Allégation écartée")</x:f>
        <x:v>0</x:v>
      </x:c>
      <x:c r="M14" s="38" t="n">
        <x:f>COUNTIFS('Zones'!$E$7:$E$14,"P0")</x:f>
        <x:v>0</x:v>
      </x:c>
    </x:row>
    <x:row r="15" ht="22" customHeight="1">
      <x:c r="A15" s="2" t="str">
        <x:v>Liaisons</x:v>
      </x:c>
      <x:c r="B15" s="39" t="n">
        <x:f>COUNTA('Liaisons'!$A$7:$A$14)</x:f>
        <x:v>8</x:v>
      </x:c>
      <x:c r="C15" s="39" t="n">
        <x:f>COUNTIFS('Liaisons'!$C$7:$C$14,"Défini")</x:f>
        <x:v>8</x:v>
      </x:c>
      <x:c r="D15" s="39" t="n">
        <x:f>COUNTIFS('Liaisons'!$C$7:$C$14,"Prototype")</x:f>
        <x:v>0</x:v>
      </x:c>
      <x:c r="E15" s="39" t="n">
        <x:f>COUNTIFS('Liaisons'!$C$7:$C$14,"Intégré")</x:f>
        <x:v>0</x:v>
      </x:c>
      <x:c r="F15" s="39" t="n">
        <x:f>COUNTIFS('Liaisons'!$C$7:$C$14,"Validé")</x:f>
        <x:v>0</x:v>
      </x:c>
      <x:c r="G15" s="39" t="n">
        <x:f>COUNTIFS('Liaisons'!$D$7:$D$14,"Établi")</x:f>
        <x:v>0</x:v>
      </x:c>
      <x:c r="H15" s="39" t="n">
        <x:f>COUNTIFS('Liaisons'!$D$7:$D$14,"À vérifier")</x:f>
        <x:v>0</x:v>
      </x:c>
      <x:c r="I15" s="39" t="n">
        <x:f>COUNTIFS('Liaisons'!$D$7:$D$14,"Extrapolation")</x:f>
        <x:v>8</x:v>
      </x:c>
      <x:c r="J15" s="39" t="n">
        <x:f>COUNTIFS('Liaisons'!$D$7:$D$14,"Coupé attesté")</x:f>
        <x:v>0</x:v>
      </x:c>
      <x:c r="K15" s="39" t="n">
        <x:f>COUNTIFS('Liaisons'!$D$7:$D$14,"Concept abandonné")</x:f>
        <x:v>0</x:v>
      </x:c>
      <x:c r="L15" s="39" t="n">
        <x:f>COUNTIFS('Liaisons'!$D$7:$D$14,"Allégation écartée")</x:f>
        <x:v>0</x:v>
      </x:c>
      <x:c r="M15" s="39" t="n">
        <x:f>COUNTIFS('Liaisons'!$E$7:$E$14,"P0")</x:f>
        <x:v>0</x:v>
      </x:c>
    </x:row>
    <x:row r="16" ht="22" customHeight="1">
      <x:c r="A16" s="34" t="str">
        <x:v>Décors</x:v>
      </x:c>
      <x:c r="B16" s="38" t="n">
        <x:f>COUNTA('Decors'!$A$7:$A$14)</x:f>
        <x:v>8</x:v>
      </x:c>
      <x:c r="C16" s="38" t="n">
        <x:f>COUNTIFS('Decors'!$C$7:$C$14,"Défini")</x:f>
        <x:v>8</x:v>
      </x:c>
      <x:c r="D16" s="38" t="n">
        <x:f>COUNTIFS('Decors'!$C$7:$C$14,"Prototype")</x:f>
        <x:v>0</x:v>
      </x:c>
      <x:c r="E16" s="38" t="n">
        <x:f>COUNTIFS('Decors'!$C$7:$C$14,"Intégré")</x:f>
        <x:v>0</x:v>
      </x:c>
      <x:c r="F16" s="38" t="n">
        <x:f>COUNTIFS('Decors'!$C$7:$C$14,"Validé")</x:f>
        <x:v>0</x:v>
      </x:c>
      <x:c r="G16" s="38" t="n">
        <x:f>COUNTIFS('Decors'!$D$7:$D$14,"Établi")</x:f>
        <x:v>0</x:v>
      </x:c>
      <x:c r="H16" s="38" t="n">
        <x:f>COUNTIFS('Decors'!$D$7:$D$14,"À vérifier")</x:f>
        <x:v>0</x:v>
      </x:c>
      <x:c r="I16" s="38" t="n">
        <x:f>COUNTIFS('Decors'!$D$7:$D$14,"Extrapolation")</x:f>
        <x:v>8</x:v>
      </x:c>
      <x:c r="J16" s="38" t="n">
        <x:f>COUNTIFS('Decors'!$D$7:$D$14,"Coupé attesté")</x:f>
        <x:v>0</x:v>
      </x:c>
      <x:c r="K16" s="38" t="n">
        <x:f>COUNTIFS('Decors'!$D$7:$D$14,"Concept abandonné")</x:f>
        <x:v>0</x:v>
      </x:c>
      <x:c r="L16" s="38" t="n">
        <x:f>COUNTIFS('Decors'!$D$7:$D$14,"Allégation écartée")</x:f>
        <x:v>0</x:v>
      </x:c>
      <x:c r="M16" s="38" t="n">
        <x:f>COUNTIFS('Decors'!$E$7:$E$14,"P0")</x:f>
        <x:v>0</x:v>
      </x:c>
    </x:row>
    <x:row r="17" ht="22" customHeight="1">
      <x:c r="A17" s="2" t="str">
        <x:v>Props</x:v>
      </x:c>
      <x:c r="B17" s="39" t="n">
        <x:f>COUNTA('Props'!$A$7:$A$7)</x:f>
        <x:v>1</x:v>
      </x:c>
      <x:c r="C17" s="39" t="n">
        <x:f>COUNTIFS('Props'!$C$7:$C$7,"Défini")</x:f>
        <x:v>1</x:v>
      </x:c>
      <x:c r="D17" s="39" t="n">
        <x:f>COUNTIFS('Props'!$C$7:$C$7,"Prototype")</x:f>
        <x:v>0</x:v>
      </x:c>
      <x:c r="E17" s="39" t="n">
        <x:f>COUNTIFS('Props'!$C$7:$C$7,"Intégré")</x:f>
        <x:v>0</x:v>
      </x:c>
      <x:c r="F17" s="39" t="n">
        <x:f>COUNTIFS('Props'!$C$7:$C$7,"Validé")</x:f>
        <x:v>0</x:v>
      </x:c>
      <x:c r="G17" s="39" t="n">
        <x:f>COUNTIFS('Props'!$D$7:$D$7,"Établi")</x:f>
        <x:v>0</x:v>
      </x:c>
      <x:c r="H17" s="39" t="n">
        <x:f>COUNTIFS('Props'!$D$7:$D$7,"À vérifier")</x:f>
        <x:v>1</x:v>
      </x:c>
      <x:c r="I17" s="39" t="n">
        <x:f>COUNTIFS('Props'!$D$7:$D$7,"Extrapolation")</x:f>
        <x:v>0</x:v>
      </x:c>
      <x:c r="J17" s="39" t="n">
        <x:f>COUNTIFS('Props'!$D$7:$D$7,"Coupé attesté")</x:f>
        <x:v>0</x:v>
      </x:c>
      <x:c r="K17" s="39" t="n">
        <x:f>COUNTIFS('Props'!$D$7:$D$7,"Concept abandonné")</x:f>
        <x:v>0</x:v>
      </x:c>
      <x:c r="L17" s="39" t="n">
        <x:f>COUNTIFS('Props'!$D$7:$D$7,"Allégation écartée")</x:f>
        <x:v>0</x:v>
      </x:c>
      <x:c r="M17" s="39" t="n">
        <x:f>COUNTIFS('Props'!$E$7:$E$7,"P0")</x:f>
        <x:v>0</x:v>
      </x:c>
    </x:row>
    <x:row r="18" ht="22" customHeight="1">
      <x:c r="A18" s="34" t="str">
        <x:v>Ennemis et boss</x:v>
      </x:c>
      <x:c r="B18" s="38" t="n">
        <x:f>COUNTA('Ennemis_boss'!$A$7:$A$10)</x:f>
        <x:v>4</x:v>
      </x:c>
      <x:c r="C18" s="38" t="n">
        <x:f>COUNTIFS('Ennemis_boss'!$C$7:$C$10,"Défini")</x:f>
        <x:v>4</x:v>
      </x:c>
      <x:c r="D18" s="38" t="n">
        <x:f>COUNTIFS('Ennemis_boss'!$C$7:$C$10,"Prototype")</x:f>
        <x:v>0</x:v>
      </x:c>
      <x:c r="E18" s="38" t="n">
        <x:f>COUNTIFS('Ennemis_boss'!$C$7:$C$10,"Intégré")</x:f>
        <x:v>0</x:v>
      </x:c>
      <x:c r="F18" s="38" t="n">
        <x:f>COUNTIFS('Ennemis_boss'!$C$7:$C$10,"Validé")</x:f>
        <x:v>0</x:v>
      </x:c>
      <x:c r="G18" s="38" t="n">
        <x:f>COUNTIFS('Ennemis_boss'!$D$7:$D$10,"Établi")</x:f>
        <x:v>0</x:v>
      </x:c>
      <x:c r="H18" s="38" t="n">
        <x:f>COUNTIFS('Ennemis_boss'!$D$7:$D$10,"À vérifier")</x:f>
        <x:v>0</x:v>
      </x:c>
      <x:c r="I18" s="38" t="n">
        <x:f>COUNTIFS('Ennemis_boss'!$D$7:$D$10,"Extrapolation")</x:f>
        <x:v>4</x:v>
      </x:c>
      <x:c r="J18" s="38" t="n">
        <x:f>COUNTIFS('Ennemis_boss'!$D$7:$D$10,"Coupé attesté")</x:f>
        <x:v>0</x:v>
      </x:c>
      <x:c r="K18" s="38" t="n">
        <x:f>COUNTIFS('Ennemis_boss'!$D$7:$D$10,"Concept abandonné")</x:f>
        <x:v>0</x:v>
      </x:c>
      <x:c r="L18" s="38" t="n">
        <x:f>COUNTIFS('Ennemis_boss'!$D$7:$D$10,"Allégation écartée")</x:f>
        <x:v>0</x:v>
      </x:c>
      <x:c r="M18" s="38" t="n">
        <x:f>COUNTIFS('Ennemis_boss'!$E$7:$E$10,"P0")</x:f>
        <x:v>0</x:v>
      </x:c>
    </x:row>
    <x:row r="19" ht="22" customHeight="1">
      <x:c r="A19" s="2" t="str">
        <x:v>Missions</x:v>
      </x:c>
      <x:c r="B19" s="39" t="n">
        <x:f>COUNTA('Missions'!$A$7:$A$14)</x:f>
        <x:v>8</x:v>
      </x:c>
      <x:c r="C19" s="39" t="n">
        <x:f>COUNTIFS('Missions'!$C$7:$C$14,"Défini")</x:f>
        <x:v>8</x:v>
      </x:c>
      <x:c r="D19" s="39" t="n">
        <x:f>COUNTIFS('Missions'!$C$7:$C$14,"Prototype")</x:f>
        <x:v>0</x:v>
      </x:c>
      <x:c r="E19" s="39" t="n">
        <x:f>COUNTIFS('Missions'!$C$7:$C$14,"Intégré")</x:f>
        <x:v>0</x:v>
      </x:c>
      <x:c r="F19" s="39" t="n">
        <x:f>COUNTIFS('Missions'!$C$7:$C$14,"Validé")</x:f>
        <x:v>0</x:v>
      </x:c>
      <x:c r="G19" s="39" t="n">
        <x:f>COUNTIFS('Missions'!$D$7:$D$14,"Établi")</x:f>
        <x:v>0</x:v>
      </x:c>
      <x:c r="H19" s="39" t="n">
        <x:f>COUNTIFS('Missions'!$D$7:$D$14,"À vérifier")</x:f>
        <x:v>0</x:v>
      </x:c>
      <x:c r="I19" s="39" t="n">
        <x:f>COUNTIFS('Missions'!$D$7:$D$14,"Extrapolation")</x:f>
        <x:v>8</x:v>
      </x:c>
      <x:c r="J19" s="39" t="n">
        <x:f>COUNTIFS('Missions'!$D$7:$D$14,"Coupé attesté")</x:f>
        <x:v>0</x:v>
      </x:c>
      <x:c r="K19" s="39" t="n">
        <x:f>COUNTIFS('Missions'!$D$7:$D$14,"Concept abandonné")</x:f>
        <x:v>0</x:v>
      </x:c>
      <x:c r="L19" s="39" t="n">
        <x:f>COUNTIFS('Missions'!$D$7:$D$14,"Allégation écartée")</x:f>
        <x:v>0</x:v>
      </x:c>
      <x:c r="M19" s="39" t="n">
        <x:f>COUNTIFS('Missions'!$E$7:$E$14,"P0")</x:f>
        <x:v>8</x:v>
      </x:c>
    </x:row>
    <x:row r="20" ht="22" customHeight="1">
      <x:c r="A20" s="34" t="str">
        <x:v>Secondaires et DLC</x:v>
      </x:c>
      <x:c r="B20" s="38" t="n">
        <x:f>COUNTA('Secondaires_DLC'!$A$7:$A$14)</x:f>
        <x:v>8</x:v>
      </x:c>
      <x:c r="C20" s="38" t="n">
        <x:f>COUNTIFS('Secondaires_DLC'!$C$7:$C$14,"Défini")</x:f>
        <x:v>8</x:v>
      </x:c>
      <x:c r="D20" s="38" t="n">
        <x:f>COUNTIFS('Secondaires_DLC'!$C$7:$C$14,"Prototype")</x:f>
        <x:v>0</x:v>
      </x:c>
      <x:c r="E20" s="38" t="n">
        <x:f>COUNTIFS('Secondaires_DLC'!$C$7:$C$14,"Intégré")</x:f>
        <x:v>0</x:v>
      </x:c>
      <x:c r="F20" s="38" t="n">
        <x:f>COUNTIFS('Secondaires_DLC'!$C$7:$C$14,"Validé")</x:f>
        <x:v>0</x:v>
      </x:c>
      <x:c r="G20" s="38" t="n">
        <x:f>COUNTIFS('Secondaires_DLC'!$D$7:$D$14,"Établi")</x:f>
        <x:v>0</x:v>
      </x:c>
      <x:c r="H20" s="38" t="n">
        <x:f>COUNTIFS('Secondaires_DLC'!$D$7:$D$14,"À vérifier")</x:f>
        <x:v>0</x:v>
      </x:c>
      <x:c r="I20" s="38" t="n">
        <x:f>COUNTIFS('Secondaires_DLC'!$D$7:$D$14,"Extrapolation")</x:f>
        <x:v>8</x:v>
      </x:c>
      <x:c r="J20" s="38" t="n">
        <x:f>COUNTIFS('Secondaires_DLC'!$D$7:$D$14,"Coupé attesté")</x:f>
        <x:v>0</x:v>
      </x:c>
      <x:c r="K20" s="38" t="n">
        <x:f>COUNTIFS('Secondaires_DLC'!$D$7:$D$14,"Concept abandonné")</x:f>
        <x:v>0</x:v>
      </x:c>
      <x:c r="L20" s="38" t="n">
        <x:f>COUNTIFS('Secondaires_DLC'!$D$7:$D$14,"Allégation écartée")</x:f>
        <x:v>0</x:v>
      </x:c>
      <x:c r="M20" s="38" t="n">
        <x:f>COUNTIFS('Secondaires_DLC'!$E$7:$E$14,"P0")</x:f>
        <x:v>0</x:v>
      </x:c>
    </x:row>
    <x:row r="21" ht="22" customHeight="1">
      <x:c r="A21" s="2" t="str">
        <x:v>Choix et relations</x:v>
      </x:c>
      <x:c r="B21" s="39" t="n">
        <x:f>COUNTA('Choix_relations'!$A$7:$A$14)</x:f>
        <x:v>8</x:v>
      </x:c>
      <x:c r="C21" s="39" t="n">
        <x:f>COUNTIFS('Choix_relations'!$C$7:$C$14,"Défini")</x:f>
        <x:v>8</x:v>
      </x:c>
      <x:c r="D21" s="39" t="n">
        <x:f>COUNTIFS('Choix_relations'!$C$7:$C$14,"Prototype")</x:f>
        <x:v>0</x:v>
      </x:c>
      <x:c r="E21" s="39" t="n">
        <x:f>COUNTIFS('Choix_relations'!$C$7:$C$14,"Intégré")</x:f>
        <x:v>0</x:v>
      </x:c>
      <x:c r="F21" s="39" t="n">
        <x:f>COUNTIFS('Choix_relations'!$C$7:$C$14,"Validé")</x:f>
        <x:v>0</x:v>
      </x:c>
      <x:c r="G21" s="39" t="n">
        <x:f>COUNTIFS('Choix_relations'!$D$7:$D$14,"Établi")</x:f>
        <x:v>0</x:v>
      </x:c>
      <x:c r="H21" s="39" t="n">
        <x:f>COUNTIFS('Choix_relations'!$D$7:$D$14,"À vérifier")</x:f>
        <x:v>0</x:v>
      </x:c>
      <x:c r="I21" s="39" t="n">
        <x:f>COUNTIFS('Choix_relations'!$D$7:$D$14,"Extrapolation")</x:f>
        <x:v>8</x:v>
      </x:c>
      <x:c r="J21" s="39" t="n">
        <x:f>COUNTIFS('Choix_relations'!$D$7:$D$14,"Coupé attesté")</x:f>
        <x:v>0</x:v>
      </x:c>
      <x:c r="K21" s="39" t="n">
        <x:f>COUNTIFS('Choix_relations'!$D$7:$D$14,"Concept abandonné")</x:f>
        <x:v>0</x:v>
      </x:c>
      <x:c r="L21" s="39" t="n">
        <x:f>COUNTIFS('Choix_relations'!$D$7:$D$14,"Allégation écartée")</x:f>
        <x:v>0</x:v>
      </x:c>
      <x:c r="M21" s="39" t="n">
        <x:f>COUNTIFS('Choix_relations'!$E$7:$E$14,"P0")</x:f>
        <x:v>0</x:v>
      </x:c>
    </x:row>
    <x:row r="22" ht="22" customHeight="1">
      <x:c r="A22" s="34" t="str">
        <x:v>Dialogues</x:v>
      </x:c>
      <x:c r="B22" s="38" t="n">
        <x:f>COUNTA('Dialogues'!$A$7:$A$16)</x:f>
        <x:v>10</x:v>
      </x:c>
      <x:c r="C22" s="38" t="n">
        <x:f>COUNTIFS('Dialogues'!$C$7:$C$16,"Défini")</x:f>
        <x:v>10</x:v>
      </x:c>
      <x:c r="D22" s="38" t="n">
        <x:f>COUNTIFS('Dialogues'!$C$7:$C$16,"Prototype")</x:f>
        <x:v>0</x:v>
      </x:c>
      <x:c r="E22" s="38" t="n">
        <x:f>COUNTIFS('Dialogues'!$C$7:$C$16,"Intégré")</x:f>
        <x:v>0</x:v>
      </x:c>
      <x:c r="F22" s="38" t="n">
        <x:f>COUNTIFS('Dialogues'!$C$7:$C$16,"Validé")</x:f>
        <x:v>0</x:v>
      </x:c>
      <x:c r="G22" s="38" t="n">
        <x:f>COUNTIFS('Dialogues'!$D$7:$D$16,"Établi")</x:f>
        <x:v>0</x:v>
      </x:c>
      <x:c r="H22" s="38" t="n">
        <x:f>COUNTIFS('Dialogues'!$D$7:$D$16,"À vérifier")</x:f>
        <x:v>0</x:v>
      </x:c>
      <x:c r="I22" s="38" t="n">
        <x:f>COUNTIFS('Dialogues'!$D$7:$D$16,"Extrapolation")</x:f>
        <x:v>10</x:v>
      </x:c>
      <x:c r="J22" s="38" t="n">
        <x:f>COUNTIFS('Dialogues'!$D$7:$D$16,"Coupé attesté")</x:f>
        <x:v>0</x:v>
      </x:c>
      <x:c r="K22" s="38" t="n">
        <x:f>COUNTIFS('Dialogues'!$D$7:$D$16,"Concept abandonné")</x:f>
        <x:v>0</x:v>
      </x:c>
      <x:c r="L22" s="38" t="n">
        <x:f>COUNTIFS('Dialogues'!$D$7:$D$16,"Allégation écartée")</x:f>
        <x:v>0</x:v>
      </x:c>
      <x:c r="M22" s="38" t="n">
        <x:f>COUNTIFS('Dialogues'!$E$7:$E$16,"P0")</x:f>
        <x:v>0</x:v>
      </x:c>
    </x:row>
    <x:row r="23" ht="22" customHeight="1">
      <x:c r="A23" s="2" t="str">
        <x:v>Cinématiques</x:v>
      </x:c>
      <x:c r="B23" s="39" t="n">
        <x:f>COUNTA('Cinematiques'!$A$7:$A$14)</x:f>
        <x:v>8</x:v>
      </x:c>
      <x:c r="C23" s="39" t="n">
        <x:f>COUNTIFS('Cinematiques'!$C$7:$C$14,"Défini")</x:f>
        <x:v>8</x:v>
      </x:c>
      <x:c r="D23" s="39" t="n">
        <x:f>COUNTIFS('Cinematiques'!$C$7:$C$14,"Prototype")</x:f>
        <x:v>0</x:v>
      </x:c>
      <x:c r="E23" s="39" t="n">
        <x:f>COUNTIFS('Cinematiques'!$C$7:$C$14,"Intégré")</x:f>
        <x:v>0</x:v>
      </x:c>
      <x:c r="F23" s="39" t="n">
        <x:f>COUNTIFS('Cinematiques'!$C$7:$C$14,"Validé")</x:f>
        <x:v>0</x:v>
      </x:c>
      <x:c r="G23" s="39" t="n">
        <x:f>COUNTIFS('Cinematiques'!$D$7:$D$14,"Établi")</x:f>
        <x:v>0</x:v>
      </x:c>
      <x:c r="H23" s="39" t="n">
        <x:f>COUNTIFS('Cinematiques'!$D$7:$D$14,"À vérifier")</x:f>
        <x:v>0</x:v>
      </x:c>
      <x:c r="I23" s="39" t="n">
        <x:f>COUNTIFS('Cinematiques'!$D$7:$D$14,"Extrapolation")</x:f>
        <x:v>8</x:v>
      </x:c>
      <x:c r="J23" s="39" t="n">
        <x:f>COUNTIFS('Cinematiques'!$D$7:$D$14,"Coupé attesté")</x:f>
        <x:v>0</x:v>
      </x:c>
      <x:c r="K23" s="39" t="n">
        <x:f>COUNTIFS('Cinematiques'!$D$7:$D$14,"Concept abandonné")</x:f>
        <x:v>0</x:v>
      </x:c>
      <x:c r="L23" s="39" t="n">
        <x:f>COUNTIFS('Cinematiques'!$D$7:$D$14,"Allégation écartée")</x:f>
        <x:v>0</x:v>
      </x:c>
      <x:c r="M23" s="39" t="n">
        <x:f>COUNTIFS('Cinematiques'!$E$7:$E$14,"P0")</x:f>
        <x:v>0</x:v>
      </x:c>
    </x:row>
    <x:row r="24" ht="22" customHeight="1">
      <x:c r="A24" s="34" t="str">
        <x:v>Armes</x:v>
      </x:c>
      <x:c r="B24" s="38" t="n">
        <x:f>COUNTA('Armes'!$A$7:$A$7)</x:f>
        <x:v>0</x:v>
      </x:c>
      <x:c r="C24" s="38" t="n">
        <x:f>COUNTIFS('Armes'!$C$7:$C$7,"Défini")</x:f>
        <x:v>0</x:v>
      </x:c>
      <x:c r="D24" s="38" t="n">
        <x:f>COUNTIFS('Armes'!$C$7:$C$7,"Prototype")</x:f>
        <x:v>0</x:v>
      </x:c>
      <x:c r="E24" s="38" t="n">
        <x:f>COUNTIFS('Armes'!$C$7:$C$7,"Intégré")</x:f>
        <x:v>0</x:v>
      </x:c>
      <x:c r="F24" s="38" t="n">
        <x:f>COUNTIFS('Armes'!$C$7:$C$7,"Validé")</x:f>
        <x:v>0</x:v>
      </x:c>
      <x:c r="G24" s="38" t="n">
        <x:f>COUNTIFS('Armes'!$D$7:$D$7,"Établi")</x:f>
        <x:v>0</x:v>
      </x:c>
      <x:c r="H24" s="38" t="n">
        <x:f>COUNTIFS('Armes'!$D$7:$D$7,"À vérifier")</x:f>
        <x:v>0</x:v>
      </x:c>
      <x:c r="I24" s="38" t="n">
        <x:f>COUNTIFS('Armes'!$D$7:$D$7,"Extrapolation")</x:f>
        <x:v>0</x:v>
      </x:c>
      <x:c r="J24" s="38" t="n">
        <x:f>COUNTIFS('Armes'!$D$7:$D$7,"Coupé attesté")</x:f>
        <x:v>0</x:v>
      </x:c>
      <x:c r="K24" s="38" t="n">
        <x:f>COUNTIFS('Armes'!$D$7:$D$7,"Concept abandonné")</x:f>
        <x:v>0</x:v>
      </x:c>
      <x:c r="L24" s="38" t="n">
        <x:f>COUNTIFS('Armes'!$D$7:$D$7,"Allégation écartée")</x:f>
        <x:v>0</x:v>
      </x:c>
      <x:c r="M24" s="38" t="n">
        <x:f>COUNTIFS('Armes'!$E$7:$E$7,"P0")</x:f>
        <x:v>0</x:v>
      </x:c>
    </x:row>
    <x:row r="25" ht="22" customHeight="1">
      <x:c r="A25" s="2" t="str">
        <x:v>Armures et équipement</x:v>
      </x:c>
      <x:c r="B25" s="39" t="n">
        <x:f>COUNTA('Armures_equipement'!$A$7:$A$9)</x:f>
        <x:v>3</x:v>
      </x:c>
      <x:c r="C25" s="39" t="n">
        <x:f>COUNTIFS('Armures_equipement'!$C$7:$C$9,"Défini")</x:f>
        <x:v>3</x:v>
      </x:c>
      <x:c r="D25" s="39" t="n">
        <x:f>COUNTIFS('Armures_equipement'!$C$7:$C$9,"Prototype")</x:f>
        <x:v>0</x:v>
      </x:c>
      <x:c r="E25" s="39" t="n">
        <x:f>COUNTIFS('Armures_equipement'!$C$7:$C$9,"Intégré")</x:f>
        <x:v>0</x:v>
      </x:c>
      <x:c r="F25" s="39" t="n">
        <x:f>COUNTIFS('Armures_equipement'!$C$7:$C$9,"Validé")</x:f>
        <x:v>0</x:v>
      </x:c>
      <x:c r="G25" s="39" t="n">
        <x:f>COUNTIFS('Armures_equipement'!$D$7:$D$9,"Établi")</x:f>
        <x:v>0</x:v>
      </x:c>
      <x:c r="H25" s="39" t="n">
        <x:f>COUNTIFS('Armures_equipement'!$D$7:$D$9,"À vérifier")</x:f>
        <x:v>3</x:v>
      </x:c>
      <x:c r="I25" s="39" t="n">
        <x:f>COUNTIFS('Armures_equipement'!$D$7:$D$9,"Extrapolation")</x:f>
        <x:v>0</x:v>
      </x:c>
      <x:c r="J25" s="39" t="n">
        <x:f>COUNTIFS('Armures_equipement'!$D$7:$D$9,"Coupé attesté")</x:f>
        <x:v>0</x:v>
      </x:c>
      <x:c r="K25" s="39" t="n">
        <x:f>COUNTIFS('Armures_equipement'!$D$7:$D$9,"Concept abandonné")</x:f>
        <x:v>0</x:v>
      </x:c>
      <x:c r="L25" s="39" t="n">
        <x:f>COUNTIFS('Armures_equipement'!$D$7:$D$9,"Allégation écartée")</x:f>
        <x:v>0</x:v>
      </x:c>
      <x:c r="M25" s="39" t="n">
        <x:f>COUNTIFS('Armures_equipement'!$E$7:$E$9,"P0")</x:f>
        <x:v>0</x:v>
      </x:c>
    </x:row>
    <x:row r="26" ht="22" customHeight="1">
      <x:c r="A26" s="34" t="str">
        <x:v>Pouvoirs</x:v>
      </x:c>
      <x:c r="B26" s="38" t="n">
        <x:f>COUNTA('Pouvoirs'!$A$7:$A$8)</x:f>
        <x:v>2</x:v>
      </x:c>
      <x:c r="C26" s="38" t="n">
        <x:f>COUNTIFS('Pouvoirs'!$C$7:$C$8,"Défini")</x:f>
        <x:v>2</x:v>
      </x:c>
      <x:c r="D26" s="38" t="n">
        <x:f>COUNTIFS('Pouvoirs'!$C$7:$C$8,"Prototype")</x:f>
        <x:v>0</x:v>
      </x:c>
      <x:c r="E26" s="38" t="n">
        <x:f>COUNTIFS('Pouvoirs'!$C$7:$C$8,"Intégré")</x:f>
        <x:v>0</x:v>
      </x:c>
      <x:c r="F26" s="38" t="n">
        <x:f>COUNTIFS('Pouvoirs'!$C$7:$C$8,"Validé")</x:f>
        <x:v>0</x:v>
      </x:c>
      <x:c r="G26" s="38" t="n">
        <x:f>COUNTIFS('Pouvoirs'!$D$7:$D$8,"Établi")</x:f>
        <x:v>0</x:v>
      </x:c>
      <x:c r="H26" s="38" t="n">
        <x:f>COUNTIFS('Pouvoirs'!$D$7:$D$8,"À vérifier")</x:f>
        <x:v>2</x:v>
      </x:c>
      <x:c r="I26" s="38" t="n">
        <x:f>COUNTIFS('Pouvoirs'!$D$7:$D$8,"Extrapolation")</x:f>
        <x:v>0</x:v>
      </x:c>
      <x:c r="J26" s="38" t="n">
        <x:f>COUNTIFS('Pouvoirs'!$D$7:$D$8,"Coupé attesté")</x:f>
        <x:v>0</x:v>
      </x:c>
      <x:c r="K26" s="38" t="n">
        <x:f>COUNTIFS('Pouvoirs'!$D$7:$D$8,"Concept abandonné")</x:f>
        <x:v>0</x:v>
      </x:c>
      <x:c r="L26" s="38" t="n">
        <x:f>COUNTIFS('Pouvoirs'!$D$7:$D$8,"Allégation écartée")</x:f>
        <x:v>0</x:v>
      </x:c>
      <x:c r="M26" s="38" t="n">
        <x:f>COUNTIFS('Pouvoirs'!$E$7:$E$8,"P0")</x:f>
        <x:v>0</x:v>
      </x:c>
    </x:row>
    <x:row r="27" ht="22" customHeight="1">
      <x:c r="A27" s="2" t="str">
        <x:v>Movesets alliés</x:v>
      </x:c>
      <x:c r="B27" s="39" t="n">
        <x:f>COUNTA('Movesets_allies'!$A$7:$A$12)</x:f>
        <x:v>6</x:v>
      </x:c>
      <x:c r="C27" s="39" t="n">
        <x:f>COUNTIFS('Movesets_allies'!$C$7:$C$12,"Défini")</x:f>
        <x:v>6</x:v>
      </x:c>
      <x:c r="D27" s="39" t="n">
        <x:f>COUNTIFS('Movesets_allies'!$C$7:$C$12,"Prototype")</x:f>
        <x:v>0</x:v>
      </x:c>
      <x:c r="E27" s="39" t="n">
        <x:f>COUNTIFS('Movesets_allies'!$C$7:$C$12,"Intégré")</x:f>
        <x:v>0</x:v>
      </x:c>
      <x:c r="F27" s="39" t="n">
        <x:f>COUNTIFS('Movesets_allies'!$C$7:$C$12,"Validé")</x:f>
        <x:v>0</x:v>
      </x:c>
      <x:c r="G27" s="39" t="n">
        <x:f>COUNTIFS('Movesets_allies'!$D$7:$D$12,"Établi")</x:f>
        <x:v>0</x:v>
      </x:c>
      <x:c r="H27" s="39" t="n">
        <x:f>COUNTIFS('Movesets_allies'!$D$7:$D$12,"À vérifier")</x:f>
        <x:v>0</x:v>
      </x:c>
      <x:c r="I27" s="39" t="n">
        <x:f>COUNTIFS('Movesets_allies'!$D$7:$D$12,"Extrapolation")</x:f>
        <x:v>6</x:v>
      </x:c>
      <x:c r="J27" s="39" t="n">
        <x:f>COUNTIFS('Movesets_allies'!$D$7:$D$12,"Coupé attesté")</x:f>
        <x:v>0</x:v>
      </x:c>
      <x:c r="K27" s="39" t="n">
        <x:f>COUNTIFS('Movesets_allies'!$D$7:$D$12,"Concept abandonné")</x:f>
        <x:v>0</x:v>
      </x:c>
      <x:c r="L27" s="39" t="n">
        <x:f>COUNTIFS('Movesets_allies'!$D$7:$D$12,"Allégation écartée")</x:f>
        <x:v>0</x:v>
      </x:c>
      <x:c r="M27" s="39" t="n">
        <x:f>COUNTIFS('Movesets_allies'!$E$7:$E$12,"P0")</x:f>
        <x:v>0</x:v>
      </x:c>
    </x:row>
    <x:row r="28" ht="22" customHeight="1">
      <x:c r="A28" s="34" t="str">
        <x:v>Movesets ennemis</x:v>
      </x:c>
      <x:c r="B28" s="38" t="n">
        <x:f>COUNTA('Movesets_ennemis'!$A$7:$A$10)</x:f>
        <x:v>4</x:v>
      </x:c>
      <x:c r="C28" s="38" t="n">
        <x:f>COUNTIFS('Movesets_ennemis'!$C$7:$C$10,"Défini")</x:f>
        <x:v>4</x:v>
      </x:c>
      <x:c r="D28" s="38" t="n">
        <x:f>COUNTIFS('Movesets_ennemis'!$C$7:$C$10,"Prototype")</x:f>
        <x:v>0</x:v>
      </x:c>
      <x:c r="E28" s="38" t="n">
        <x:f>COUNTIFS('Movesets_ennemis'!$C$7:$C$10,"Intégré")</x:f>
        <x:v>0</x:v>
      </x:c>
      <x:c r="F28" s="38" t="n">
        <x:f>COUNTIFS('Movesets_ennemis'!$C$7:$C$10,"Validé")</x:f>
        <x:v>0</x:v>
      </x:c>
      <x:c r="G28" s="38" t="n">
        <x:f>COUNTIFS('Movesets_ennemis'!$D$7:$D$10,"Établi")</x:f>
        <x:v>0</x:v>
      </x:c>
      <x:c r="H28" s="38" t="n">
        <x:f>COUNTIFS('Movesets_ennemis'!$D$7:$D$10,"À vérifier")</x:f>
        <x:v>0</x:v>
      </x:c>
      <x:c r="I28" s="38" t="n">
        <x:f>COUNTIFS('Movesets_ennemis'!$D$7:$D$10,"Extrapolation")</x:f>
        <x:v>4</x:v>
      </x:c>
      <x:c r="J28" s="38" t="n">
        <x:f>COUNTIFS('Movesets_ennemis'!$D$7:$D$10,"Coupé attesté")</x:f>
        <x:v>0</x:v>
      </x:c>
      <x:c r="K28" s="38" t="n">
        <x:f>COUNTIFS('Movesets_ennemis'!$D$7:$D$10,"Concept abandonné")</x:f>
        <x:v>0</x:v>
      </x:c>
      <x:c r="L28" s="38" t="n">
        <x:f>COUNTIFS('Movesets_ennemis'!$D$7:$D$10,"Allégation écartée")</x:f>
        <x:v>0</x:v>
      </x:c>
      <x:c r="M28" s="38" t="n">
        <x:f>COUNTIFS('Movesets_ennemis'!$E$7:$E$10,"P0")</x:f>
        <x:v>0</x:v>
      </x:c>
    </x:row>
    <x:row r="29" ht="22" customHeight="1">
      <x:c r="A29" s="2" t="str">
        <x:v>Animations</x:v>
      </x:c>
      <x:c r="B29" s="39" t="n">
        <x:f>COUNTA('Animations'!$A$7:$A$16)</x:f>
        <x:v>10</x:v>
      </x:c>
      <x:c r="C29" s="39" t="n">
        <x:f>COUNTIFS('Animations'!$C$7:$C$16,"Défini")</x:f>
        <x:v>10</x:v>
      </x:c>
      <x:c r="D29" s="39" t="n">
        <x:f>COUNTIFS('Animations'!$C$7:$C$16,"Prototype")</x:f>
        <x:v>0</x:v>
      </x:c>
      <x:c r="E29" s="39" t="n">
        <x:f>COUNTIFS('Animations'!$C$7:$C$16,"Intégré")</x:f>
        <x:v>0</x:v>
      </x:c>
      <x:c r="F29" s="39" t="n">
        <x:f>COUNTIFS('Animations'!$C$7:$C$16,"Validé")</x:f>
        <x:v>0</x:v>
      </x:c>
      <x:c r="G29" s="39" t="n">
        <x:f>COUNTIFS('Animations'!$D$7:$D$16,"Établi")</x:f>
        <x:v>0</x:v>
      </x:c>
      <x:c r="H29" s="39" t="n">
        <x:f>COUNTIFS('Animations'!$D$7:$D$16,"À vérifier")</x:f>
        <x:v>0</x:v>
      </x:c>
      <x:c r="I29" s="39" t="n">
        <x:f>COUNTIFS('Animations'!$D$7:$D$16,"Extrapolation")</x:f>
        <x:v>10</x:v>
      </x:c>
      <x:c r="J29" s="39" t="n">
        <x:f>COUNTIFS('Animations'!$D$7:$D$16,"Coupé attesté")</x:f>
        <x:v>0</x:v>
      </x:c>
      <x:c r="K29" s="39" t="n">
        <x:f>COUNTIFS('Animations'!$D$7:$D$16,"Concept abandonné")</x:f>
        <x:v>0</x:v>
      </x:c>
      <x:c r="L29" s="39" t="n">
        <x:f>COUNTIFS('Animations'!$D$7:$D$16,"Allégation écartée")</x:f>
        <x:v>0</x:v>
      </x:c>
      <x:c r="M29" s="39" t="n">
        <x:f>COUNTIFS('Animations'!$E$7:$E$16,"P0")</x:f>
        <x:v>0</x:v>
      </x:c>
    </x:row>
    <x:row r="30" ht="22" customHeight="1">
      <x:c r="A30" s="34" t="str">
        <x:v>Sprites</x:v>
      </x:c>
      <x:c r="B30" s="38" t="n">
        <x:f>COUNTA('Sprites'!$A$7:$A$16)</x:f>
        <x:v>10</x:v>
      </x:c>
      <x:c r="C30" s="38" t="n">
        <x:f>COUNTIFS('Sprites'!$C$7:$C$16,"Défini")</x:f>
        <x:v>10</x:v>
      </x:c>
      <x:c r="D30" s="38" t="n">
        <x:f>COUNTIFS('Sprites'!$C$7:$C$16,"Prototype")</x:f>
        <x:v>0</x:v>
      </x:c>
      <x:c r="E30" s="38" t="n">
        <x:f>COUNTIFS('Sprites'!$C$7:$C$16,"Intégré")</x:f>
        <x:v>0</x:v>
      </x:c>
      <x:c r="F30" s="38" t="n">
        <x:f>COUNTIFS('Sprites'!$C$7:$C$16,"Validé")</x:f>
        <x:v>0</x:v>
      </x:c>
      <x:c r="G30" s="38" t="n">
        <x:f>COUNTIFS('Sprites'!$D$7:$D$16,"Établi")</x:f>
        <x:v>0</x:v>
      </x:c>
      <x:c r="H30" s="38" t="n">
        <x:f>COUNTIFS('Sprites'!$D$7:$D$16,"À vérifier")</x:f>
        <x:v>0</x:v>
      </x:c>
      <x:c r="I30" s="38" t="n">
        <x:f>COUNTIFS('Sprites'!$D$7:$D$16,"Extrapolation")</x:f>
        <x:v>10</x:v>
      </x:c>
      <x:c r="J30" s="38" t="n">
        <x:f>COUNTIFS('Sprites'!$D$7:$D$16,"Coupé attesté")</x:f>
        <x:v>0</x:v>
      </x:c>
      <x:c r="K30" s="38" t="n">
        <x:f>COUNTIFS('Sprites'!$D$7:$D$16,"Concept abandonné")</x:f>
        <x:v>0</x:v>
      </x:c>
      <x:c r="L30" s="38" t="n">
        <x:f>COUNTIFS('Sprites'!$D$7:$D$16,"Allégation écartée")</x:f>
        <x:v>0</x:v>
      </x:c>
      <x:c r="M30" s="38" t="n">
        <x:f>COUNTIFS('Sprites'!$E$7:$E$16,"P0")</x:f>
        <x:v>0</x:v>
      </x:c>
    </x:row>
    <x:row r="31" ht="22" customHeight="1">
      <x:c r="A31" s="2" t="str">
        <x:v>VFX</x:v>
      </x:c>
      <x:c r="B31" s="39" t="n">
        <x:f>COUNTA('VFX'!$A$7:$A$10)</x:f>
        <x:v>4</x:v>
      </x:c>
      <x:c r="C31" s="39" t="n">
        <x:f>COUNTIFS('VFX'!$C$7:$C$10,"Défini")</x:f>
        <x:v>4</x:v>
      </x:c>
      <x:c r="D31" s="39" t="n">
        <x:f>COUNTIFS('VFX'!$C$7:$C$10,"Prototype")</x:f>
        <x:v>0</x:v>
      </x:c>
      <x:c r="E31" s="39" t="n">
        <x:f>COUNTIFS('VFX'!$C$7:$C$10,"Intégré")</x:f>
        <x:v>0</x:v>
      </x:c>
      <x:c r="F31" s="39" t="n">
        <x:f>COUNTIFS('VFX'!$C$7:$C$10,"Validé")</x:f>
        <x:v>0</x:v>
      </x:c>
      <x:c r="G31" s="39" t="n">
        <x:f>COUNTIFS('VFX'!$D$7:$D$10,"Établi")</x:f>
        <x:v>0</x:v>
      </x:c>
      <x:c r="H31" s="39" t="n">
        <x:f>COUNTIFS('VFX'!$D$7:$D$10,"À vérifier")</x:f>
        <x:v>0</x:v>
      </x:c>
      <x:c r="I31" s="39" t="n">
        <x:f>COUNTIFS('VFX'!$D$7:$D$10,"Extrapolation")</x:f>
        <x:v>4</x:v>
      </x:c>
      <x:c r="J31" s="39" t="n">
        <x:f>COUNTIFS('VFX'!$D$7:$D$10,"Coupé attesté")</x:f>
        <x:v>0</x:v>
      </x:c>
      <x:c r="K31" s="39" t="n">
        <x:f>COUNTIFS('VFX'!$D$7:$D$10,"Concept abandonné")</x:f>
        <x:v>0</x:v>
      </x:c>
      <x:c r="L31" s="39" t="n">
        <x:f>COUNTIFS('VFX'!$D$7:$D$10,"Allégation écartée")</x:f>
        <x:v>0</x:v>
      </x:c>
      <x:c r="M31" s="39" t="n">
        <x:f>COUNTIFS('VFX'!$E$7:$E$10,"P0")</x:f>
        <x:v>0</x:v>
      </x:c>
    </x:row>
    <x:row r="32" ht="22" customHeight="1">
      <x:c r="A32" s="34" t="str">
        <x:v>Audio</x:v>
      </x:c>
      <x:c r="B32" s="38" t="n">
        <x:f>COUNTA('Audio'!$A$7:$A$11)</x:f>
        <x:v>5</x:v>
      </x:c>
      <x:c r="C32" s="38" t="n">
        <x:f>COUNTIFS('Audio'!$C$7:$C$11,"Défini")</x:f>
        <x:v>5</x:v>
      </x:c>
      <x:c r="D32" s="38" t="n">
        <x:f>COUNTIFS('Audio'!$C$7:$C$11,"Prototype")</x:f>
        <x:v>0</x:v>
      </x:c>
      <x:c r="E32" s="38" t="n">
        <x:f>COUNTIFS('Audio'!$C$7:$C$11,"Intégré")</x:f>
        <x:v>0</x:v>
      </x:c>
      <x:c r="F32" s="38" t="n">
        <x:f>COUNTIFS('Audio'!$C$7:$C$11,"Validé")</x:f>
        <x:v>0</x:v>
      </x:c>
      <x:c r="G32" s="38" t="n">
        <x:f>COUNTIFS('Audio'!$D$7:$D$11,"Établi")</x:f>
        <x:v>0</x:v>
      </x:c>
      <x:c r="H32" s="38" t="n">
        <x:f>COUNTIFS('Audio'!$D$7:$D$11,"À vérifier")</x:f>
        <x:v>0</x:v>
      </x:c>
      <x:c r="I32" s="38" t="n">
        <x:f>COUNTIFS('Audio'!$D$7:$D$11,"Extrapolation")</x:f>
        <x:v>5</x:v>
      </x:c>
      <x:c r="J32" s="38" t="n">
        <x:f>COUNTIFS('Audio'!$D$7:$D$11,"Coupé attesté")</x:f>
        <x:v>0</x:v>
      </x:c>
      <x:c r="K32" s="38" t="n">
        <x:f>COUNTIFS('Audio'!$D$7:$D$11,"Concept abandonné")</x:f>
        <x:v>0</x:v>
      </x:c>
      <x:c r="L32" s="38" t="n">
        <x:f>COUNTIFS('Audio'!$D$7:$D$11,"Allégation écartée")</x:f>
        <x:v>0</x:v>
      </x:c>
      <x:c r="M32" s="38" t="n">
        <x:f>COUNTIFS('Audio'!$E$7:$E$11,"P0")</x:f>
        <x:v>0</x:v>
      </x:c>
    </x:row>
    <x:row r="33" ht="22" customHeight="1">
      <x:c r="A33" s="2" t="str">
        <x:v>Systèmes et UI</x:v>
      </x:c>
      <x:c r="B33" s="39" t="n">
        <x:f>COUNTA('UI_systemes'!$A$7:$A$14)</x:f>
        <x:v>8</x:v>
      </x:c>
      <x:c r="C33" s="39" t="n">
        <x:f>COUNTIFS('UI_systemes'!$C$7:$C$14,"Défini")</x:f>
        <x:v>8</x:v>
      </x:c>
      <x:c r="D33" s="39" t="n">
        <x:f>COUNTIFS('UI_systemes'!$C$7:$C$14,"Prototype")</x:f>
        <x:v>0</x:v>
      </x:c>
      <x:c r="E33" s="39" t="n">
        <x:f>COUNTIFS('UI_systemes'!$C$7:$C$14,"Intégré")</x:f>
        <x:v>0</x:v>
      </x:c>
      <x:c r="F33" s="39" t="n">
        <x:f>COUNTIFS('UI_systemes'!$C$7:$C$14,"Validé")</x:f>
        <x:v>0</x:v>
      </x:c>
      <x:c r="G33" s="39" t="n">
        <x:f>COUNTIFS('UI_systemes'!$D$7:$D$14,"Établi")</x:f>
        <x:v>0</x:v>
      </x:c>
      <x:c r="H33" s="39" t="n">
        <x:f>COUNTIFS('UI_systemes'!$D$7:$D$14,"À vérifier")</x:f>
        <x:v>0</x:v>
      </x:c>
      <x:c r="I33" s="39" t="n">
        <x:f>COUNTIFS('UI_systemes'!$D$7:$D$14,"Extrapolation")</x:f>
        <x:v>8</x:v>
      </x:c>
      <x:c r="J33" s="39" t="n">
        <x:f>COUNTIFS('UI_systemes'!$D$7:$D$14,"Coupé attesté")</x:f>
        <x:v>0</x:v>
      </x:c>
      <x:c r="K33" s="39" t="n">
        <x:f>COUNTIFS('UI_systemes'!$D$7:$D$14,"Concept abandonné")</x:f>
        <x:v>0</x:v>
      </x:c>
      <x:c r="L33" s="39" t="n">
        <x:f>COUNTIFS('UI_systemes'!$D$7:$D$14,"Allégation écartée")</x:f>
        <x:v>0</x:v>
      </x:c>
      <x:c r="M33" s="39" t="n">
        <x:f>COUNTIFS('UI_systemes'!$E$7:$E$14,"P0")</x:f>
        <x:v>2</x:v>
      </x:c>
    </x:row>
    <x:row r="34" ht="22" customHeight="1">
      <x:c r="A34" s="34" t="str">
        <x:v>QA</x:v>
      </x:c>
      <x:c r="B34" s="38" t="n">
        <x:f>COUNTA('QA'!$A$7:$A$18)</x:f>
        <x:v>12</x:v>
      </x:c>
      <x:c r="C34" s="38" t="n">
        <x:f>COUNTIFS('QA'!$C$7:$C$18,"Défini")</x:f>
        <x:v>12</x:v>
      </x:c>
      <x:c r="D34" s="38" t="n">
        <x:f>COUNTIFS('QA'!$C$7:$C$18,"Prototype")</x:f>
        <x:v>0</x:v>
      </x:c>
      <x:c r="E34" s="38" t="n">
        <x:f>COUNTIFS('QA'!$C$7:$C$18,"Intégré")</x:f>
        <x:v>0</x:v>
      </x:c>
      <x:c r="F34" s="38" t="n">
        <x:f>COUNTIFS('QA'!$C$7:$C$18,"Validé")</x:f>
        <x:v>0</x:v>
      </x:c>
      <x:c r="G34" s="38" t="n">
        <x:f>COUNTIFS('QA'!$D$7:$D$18,"Établi")</x:f>
        <x:v>0</x:v>
      </x:c>
      <x:c r="H34" s="38" t="n">
        <x:f>COUNTIFS('QA'!$D$7:$D$18,"À vérifier")</x:f>
        <x:v>0</x:v>
      </x:c>
      <x:c r="I34" s="38" t="n">
        <x:f>COUNTIFS('QA'!$D$7:$D$18,"Extrapolation")</x:f>
        <x:v>12</x:v>
      </x:c>
      <x:c r="J34" s="38" t="n">
        <x:f>COUNTIFS('QA'!$D$7:$D$18,"Coupé attesté")</x:f>
        <x:v>0</x:v>
      </x:c>
      <x:c r="K34" s="38" t="n">
        <x:f>COUNTIFS('QA'!$D$7:$D$18,"Concept abandonné")</x:f>
        <x:v>0</x:v>
      </x:c>
      <x:c r="L34" s="38" t="n">
        <x:f>COUNTIFS('QA'!$D$7:$D$18,"Allégation écartée")</x:f>
        <x:v>0</x:v>
      </x:c>
      <x:c r="M34" s="38" t="n">
        <x:f>COUNTIFS('QA'!$E$7:$E$18,"P0")</x:f>
        <x:v>3</x:v>
      </x:c>
    </x:row>
    <x:row r="35" ht="22" customHeight="1">
      <x:c r="A35" s="2" t="str">
        <x:v>Continuité</x:v>
      </x:c>
      <x:c r="B35" s="39" t="n">
        <x:f>COUNTA('Continuite'!$A$7:$A$17)</x:f>
        <x:v>11</x:v>
      </x:c>
      <x:c r="C35" s="39" t="n">
        <x:f>COUNTIFS('Continuite'!$C$7:$C$17,"Défini")</x:f>
        <x:v>6</x:v>
      </x:c>
      <x:c r="D35" s="39" t="n">
        <x:f>COUNTIFS('Continuite'!$C$7:$C$17,"Prototype")</x:f>
        <x:v>5</x:v>
      </x:c>
      <x:c r="E35" s="39" t="n">
        <x:f>COUNTIFS('Continuite'!$C$7:$C$17,"Intégré")</x:f>
        <x:v>0</x:v>
      </x:c>
      <x:c r="F35" s="39" t="n">
        <x:f>COUNTIFS('Continuite'!$C$7:$C$17,"Validé")</x:f>
        <x:v>0</x:v>
      </x:c>
      <x:c r="G35" s="39" t="n">
        <x:f>COUNTIFS('Continuite'!$D$7:$D$17,"Établi")</x:f>
        <x:v>8</x:v>
      </x:c>
      <x:c r="H35" s="39" t="n">
        <x:f>COUNTIFS('Continuite'!$D$7:$D$17,"À vérifier")</x:f>
        <x:v>0</x:v>
      </x:c>
      <x:c r="I35" s="39" t="n">
        <x:f>COUNTIFS('Continuite'!$D$7:$D$17,"Extrapolation")</x:f>
        <x:v>3</x:v>
      </x:c>
      <x:c r="J35" s="39" t="n">
        <x:f>COUNTIFS('Continuite'!$D$7:$D$17,"Coupé attesté")</x:f>
        <x:v>0</x:v>
      </x:c>
      <x:c r="K35" s="39" t="n">
        <x:f>COUNTIFS('Continuite'!$D$7:$D$17,"Concept abandonné")</x:f>
        <x:v>0</x:v>
      </x:c>
      <x:c r="L35" s="39" t="n">
        <x:f>COUNTIFS('Continuite'!$D$7:$D$17,"Allégation écartée")</x:f>
        <x:v>0</x:v>
      </x:c>
      <x:c r="M35" s="39" t="n">
        <x:f>COUNTIFS('Continuite'!$E$7:$E$17,"P0")</x:f>
        <x:v>11</x:v>
      </x:c>
    </x:row>
    <x:row r="36" ht="22" customHeight="1">
      <x:c r="A36" s="2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</x:row>
    <x:row r="37" ht="28" customHeight="1">
      <x:c r="A37" s="21" t="str">
        <x:v>TOTAL</x:v>
      </x:c>
      <x:c r="B37" s="40" t="n">
        <x:f>SUM(B10:B35)</x:f>
        <x:v>160</x:v>
      </x:c>
      <x:c r="C37" s="40" t="n">
        <x:f>SUM(C10:C35)</x:f>
        <x:v>153</x:v>
      </x:c>
      <x:c r="D37" s="40" t="n">
        <x:f>SUM(D10:D35)</x:f>
        <x:v>7</x:v>
      </x:c>
      <x:c r="E37" s="40" t="n">
        <x:f>SUM(E10:E35)</x:f>
        <x:v>0</x:v>
      </x:c>
      <x:c r="F37" s="40" t="n">
        <x:f>SUM(F10:F35)</x:f>
        <x:v>0</x:v>
      </x:c>
      <x:c r="G37" s="40" t="n">
        <x:f>SUM(G10:G35)</x:f>
        <x:v>10</x:v>
      </x:c>
      <x:c r="H37" s="40" t="n">
        <x:f>SUM(H10:H35)</x:f>
        <x:v>18</x:v>
      </x:c>
      <x:c r="I37" s="40" t="n">
        <x:f>SUM(I10:I35)</x:f>
        <x:v>132</x:v>
      </x:c>
      <x:c r="J37" s="40" t="n">
        <x:f>SUM(J10:J35)</x:f>
        <x:v>0</x:v>
      </x:c>
      <x:c r="K37" s="40" t="n">
        <x:f>SUM(K10:K35)</x:f>
        <x:v>0</x:v>
      </x:c>
      <x:c r="L37" s="40" t="n">
        <x:f>SUM(L10:L35)</x:f>
        <x:v>0</x:v>
      </x:c>
      <x:c r="M37" s="40" t="n">
        <x:f>SUM(M10:M35)</x:f>
        <x:v>24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DEC-CHR-GILLIAN</x:v>
      </x:c>
      <x:c r="B7" s="9" t="str">
        <x:v>Gillian Grayson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Dans l’édition décrite, Gillian cherche à venger son père.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actor.dec.gillian ; rôle de référence : équipier.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DEC-SRC-PUB</x:v>
      </x:c>
      <x:c r="R7" s="9" t="str">
        <x:v>https://www.penguinrandomhouse.com/books/200763/mass-effect-deception-by-william-c-dietz/paperback/</x:v>
      </x:c>
      <x:c r="S7" s="9" t="str">
        <x:v>Le costume proposé dans les fiches de production n’est pas un modèle officiel.</x:v>
      </x:c>
    </x:row>
    <x:row r="8" ht="82" customHeight="1">
      <x:c r="A8" s="19" t="str">
        <x:v>DEC-CHR-HENDEL</x:v>
      </x:c>
      <x:c r="B8" s="7" t="str">
        <x:v>Hendel Mitra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Il accompagne Gillian depuis l’Idenna.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actor.dec.hendel ; rôle de référence : équipier.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DEC-SRC-HEN</x:v>
      </x:c>
      <x:c r="R8" s="7" t="str">
        <x:v>https://masseffect.fandom.com/wiki/Hendel_Mitra</x:v>
      </x:c>
      <x:c r="S8" s="7" t="str">
        <x:v>Le costume proposé dans les fiches de production n’est pas un modèle officiel.</x:v>
      </x:c>
    </x:row>
    <x:row r="9" ht="82" customHeight="1">
      <x:c r="A9" s="18" t="str">
        <x:v>DEC-CHR-KAHLEE</x:v>
      </x:c>
      <x:c r="B9" s="9" t="str">
        <x:v>Kahlee Sanders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Elle présente avec Anderson des preuves liées aux Moissonneurs.</x:v>
      </x:c>
      <x:c r="G9" s="9" t="str">
        <x:v>Référence narrative ; proposition visuelle et interaction dans les fiches liées.</x:v>
      </x:c>
      <x:c r="H9" s="9" t="str"/>
      <x:c r="I9" s="9" t="str"/>
      <x:c r="J9" s="9" t="str"/>
      <x:c r="K9" s="9" t="str"/>
      <x:c r="L9" s="9" t="str">
        <x:v>Réserver actor.dec.kahlee ; rôle de référence : équipier.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Nom, rôle et présence confirmés dans la source indiquée ; aucune compétence chiffrée déduite du roman.</x:v>
      </x:c>
      <x:c r="O9" s="9" t="str"/>
      <x:c r="P9" s="9" t="str">
        <x:v>Notice de personnage ou présentation de l’œuvre ; pas de chapitre attribué.</x:v>
      </x:c>
      <x:c r="Q9" s="9" t="str">
        <x:v>DEC-SRC-AND</x:v>
      </x:c>
      <x:c r="R9" s="9" t="str">
        <x:v>https://masseffect.fandom.com/wiki/David_Anderson</x:v>
      </x:c>
      <x:c r="S9" s="9" t="str">
        <x:v>Le costume proposé dans les fiches de production n’est pas un modèle officiel.</x:v>
      </x:c>
    </x:row>
    <x:row r="10" ht="82" customHeight="1">
      <x:c r="A10" s="19" t="str">
        <x:v>DEC-CHR-ANDERSON</x:v>
      </x:c>
      <x:c r="B10" s="7" t="str">
        <x:v>David Anderson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Il accompagne Kahlee sur la Citadelle dans cette enquête.</x:v>
      </x:c>
      <x:c r="G10" s="7" t="str">
        <x:v>Référence narrative ; proposition visuelle et interaction dans les fiches liées.</x:v>
      </x:c>
      <x:c r="H10" s="7" t="str"/>
      <x:c r="I10" s="7" t="str"/>
      <x:c r="J10" s="7" t="str"/>
      <x:c r="K10" s="7" t="str"/>
      <x:c r="L10" s="7" t="str">
        <x:v>Réserver actor.dec.anderson ; rôle de référence : équipier.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Nom, rôle et présence confirmés dans la source indiquée ; aucune compétence chiffrée déduite du roman.</x:v>
      </x:c>
      <x:c r="O10" s="7" t="str"/>
      <x:c r="P10" s="7" t="str">
        <x:v>Notice de personnage ou présentation de l’œuvre ; pas de chapitre attribué.</x:v>
      </x:c>
      <x:c r="Q10" s="7" t="str">
        <x:v>DEC-SRC-AND</x:v>
      </x:c>
      <x:c r="R10" s="7" t="str">
        <x:v>https://masseffect.fandom.com/wiki/David_Anderson</x:v>
      </x:c>
      <x:c r="S10" s="7" t="str">
        <x:v>Le costume proposé dans les fiches de production n’est pas un modèle officiel.</x:v>
      </x:c>
    </x:row>
  </x:sheetData>
  <x:conditionalFormatting sqref="D7:D10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10">
    <x:cfRule type="cellIs" dxfId="2" priority="3" operator="equal">
      <x:formula>"Validé"</x:formula>
    </x:cfRule>
  </x:conditionalFormatting>
  <x:conditionalFormatting sqref="E7:E10">
    <x:cfRule type="cellIs" dxfId="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f6c1a9834449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DEC-CHR-NICK</x:v>
      </x:c>
      <x:c r="B7" s="9" t="str">
        <x:v>Nick Donahue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Nick rejoint le Biotic Underground dans l’édition initiale décrite.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actor.dec.nick ; rôle de référence : interlocuteur.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DEC-SRC-NICK</x:v>
      </x:c>
      <x:c r="R7" s="9" t="str">
        <x:v>https://masseffect.fandom.com/wiki/Nick_Donahue</x:v>
      </x:c>
      <x:c r="S7" s="9" t="str">
        <x:v>Le costume proposé dans les fiches de production n’est pas un modèle officiel.</x:v>
      </x:c>
    </x:row>
    <x:row r="8" ht="82" customHeight="1">
      <x:c r="A8" s="19" t="str">
        <x:v>DEC-CHR-KAILENG</x:v>
      </x:c>
      <x:c r="B8" s="7" t="str">
        <x:v>Kai Leng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Assassin de Cerberus impliqué dans l’affrontement avec Gillian.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actor.dec.kaileng ; rôle de référence : adversaire.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DEC-SRC-TIMELINE</x:v>
      </x:c>
      <x:c r="R8" s="7" t="str">
        <x:v>https://masseffect.fandom.com/wiki/Timeline</x:v>
      </x:c>
      <x:c r="S8" s="7" t="str">
        <x:v>Le costume proposé dans les fiches de production n’est pas un modèle officiel.</x:v>
      </x:c>
    </x:row>
    <x:row r="9" ht="82" customHeight="1">
      <x:c r="A9" s="18" t="str">
        <x:v>DEC-CHR-ILLUSIVE</x:v>
      </x:c>
      <x:c r="B9" s="9" t="str">
        <x:v>Homme Trouble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Cible de la vengeance de Gillian et dirigeant de Cerberus.</x:v>
      </x:c>
      <x:c r="G9" s="9" t="str">
        <x:v>Référence narrative ; proposition visuelle et interaction dans les fiches liées.</x:v>
      </x:c>
      <x:c r="H9" s="9" t="str"/>
      <x:c r="I9" s="9" t="str"/>
      <x:c r="J9" s="9" t="str"/>
      <x:c r="K9" s="9" t="str"/>
      <x:c r="L9" s="9" t="str">
        <x:v>Réserver actor.dec.illusive ; rôle de référence : interlocuteur.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Nom, rôle et présence confirmés dans la source indiquée ; aucune compétence chiffrée déduite du roman.</x:v>
      </x:c>
      <x:c r="O9" s="9" t="str"/>
      <x:c r="P9" s="9" t="str">
        <x:v>Notice de personnage ou présentation de l’œuvre ; pas de chapitre attribué.</x:v>
      </x:c>
      <x:c r="Q9" s="9" t="str">
        <x:v>DEC-SRC-PUB</x:v>
      </x:c>
      <x:c r="R9" s="9" t="str">
        <x:v>https://www.penguinrandomhouse.com/books/200763/mass-effect-deception-by-william-c-dietz/paperback/</x:v>
      </x:c>
      <x:c r="S9" s="9" t="str">
        <x:v>Le costume proposé dans les fiches de production n’est pas un modèle officiel.</x:v>
      </x:c>
    </x:row>
    <x:row r="10" ht="82" customHeight="1">
      <x:c r="A10" s="19" t="str">
        <x:v>DEC-CHR-HAL</x:v>
      </x:c>
      <x:c r="B10" s="7" t="str">
        <x:v>Hal McCann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Il apprend à Gillian la mort de son père après l’attaque du vaisseau esclavagiste.</x:v>
      </x:c>
      <x:c r="G10" s="7" t="str">
        <x:v>Référence narrative ; proposition visuelle et interaction dans les fiches liées.</x:v>
      </x:c>
      <x:c r="H10" s="7" t="str"/>
      <x:c r="I10" s="7" t="str"/>
      <x:c r="J10" s="7" t="str"/>
      <x:c r="K10" s="7" t="str"/>
      <x:c r="L10" s="7" t="str">
        <x:v>Réserver actor.dec.hal ; rôle de référence : interlocuteur.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Nom, rôle et présence confirmés dans la source indiquée ; aucune compétence chiffrée déduite du roman.</x:v>
      </x:c>
      <x:c r="O10" s="7" t="str"/>
      <x:c r="P10" s="7" t="str">
        <x:v>Notice de personnage ou présentation de l’œuvre ; pas de chapitre attribué.</x:v>
      </x:c>
      <x:c r="Q10" s="7" t="str">
        <x:v>DEC-SRC-GIL</x:v>
      </x:c>
      <x:c r="R10" s="7" t="str">
        <x:v>https://masseffect.fandom.com/wiki/Gillian_Grayson</x:v>
      </x:c>
      <x:c r="S10" s="7" t="str">
        <x:v>Le costume proposé dans les fiches de production n’est pas un modèle officiel.</x:v>
      </x:c>
    </x:row>
    <x:row r="11" ht="82" customHeight="1">
      <x:c r="A11" s="18" t="str">
        <x:v>DEC-CHR-UGHO</x:v>
      </x:c>
      <x:c r="B11" s="9" t="str">
        <x:v>Ugho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Responsable de sécurité quarien cité lors de l’attaque de l’Idenna.</x:v>
      </x:c>
      <x:c r="G11" s="9" t="str">
        <x:v>Référence narrative ; proposition visuelle et interaction dans les fiches liées.</x:v>
      </x:c>
      <x:c r="H11" s="9" t="str"/>
      <x:c r="I11" s="9" t="str"/>
      <x:c r="J11" s="9" t="str"/>
      <x:c r="K11" s="9" t="str"/>
      <x:c r="L11" s="9" t="str">
        <x:v>Réserver actor.dec.ugho ; rôle de référence : interlocuteur.</x:v>
      </x:c>
      <x:c r="M11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1" s="9" t="str">
        <x:v>Nom, rôle et présence confirmés dans la source indiquée ; aucune compétence chiffrée déduite du roman.</x:v>
      </x:c>
      <x:c r="O11" s="9" t="str"/>
      <x:c r="P11" s="9" t="str">
        <x:v>Notice de personnage ou présentation de l’œuvre ; pas de chapitre attribué.</x:v>
      </x:c>
      <x:c r="Q11" s="9" t="str">
        <x:v>DEC-SRC-HEN</x:v>
      </x:c>
      <x:c r="R11" s="9" t="str">
        <x:v>https://masseffect.fandom.com/wiki/Hendel_Mitra</x:v>
      </x:c>
      <x:c r="S11" s="9" t="str">
        <x:v>Le costume proposé dans les fiches de production n’est pas un modèle officiel.</x:v>
      </x:c>
    </x:row>
    <x:row r="12" ht="82" customHeight="1">
      <x:c r="A12" s="19" t="str">
        <x:v>DEC-CHR-ARIA</x:v>
      </x:c>
      <x:c r="B12" s="7" t="str">
        <x:v>Aria T’Loak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Omega reste un point de liaison entre ses réseaux et Cerberus.</x:v>
      </x:c>
      <x:c r="G12" s="7" t="str">
        <x:v>Référence narrative ; proposition visuelle et interaction dans les fiches liées.</x:v>
      </x:c>
      <x:c r="H12" s="7" t="str"/>
      <x:c r="I12" s="7" t="str"/>
      <x:c r="J12" s="7" t="str"/>
      <x:c r="K12" s="7" t="str"/>
      <x:c r="L12" s="7" t="str">
        <x:v>Réserver actor.dec.aria ; rôle de référence : interlocuteur.</x:v>
      </x:c>
      <x:c r="M12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2" s="7" t="str">
        <x:v>Nom, rôle et présence confirmés dans la source indiquée ; aucune compétence chiffrée déduite du roman.</x:v>
      </x:c>
      <x:c r="O12" s="7" t="str"/>
      <x:c r="P12" s="7" t="str">
        <x:v>Notice de personnage ou présentation de l’œuvre ; pas de chapitre attribué.</x:v>
      </x:c>
      <x:c r="Q12" s="7" t="str">
        <x:v>DEC-SRC-STORY</x:v>
      </x:c>
      <x:c r="R12" s="7" t="str">
        <x:v>https://masseffect.fandom.com/wiki/Storyline_III</x:v>
      </x:c>
      <x:c r="S12" s="7" t="str">
        <x:v>Le costume proposé dans les fiches de production n’est pas un modèle officiel.</x:v>
      </x:c>
    </x:row>
  </x:sheetData>
  <x:conditionalFormatting sqref="D7:D12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2">
    <x:cfRule type="cellIs" dxfId="6" priority="3" operator="equal">
      <x:formula>"Validé"</x:formula>
    </x:cfRule>
  </x:conditionalFormatting>
  <x:conditionalFormatting sqref="E7:E12">
    <x:cfRule type="cellIs" dxfId="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4154cd8e94f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DEC-REF-CERBERUS</x:v>
      </x:c>
      <x:c r="B7" s="9" t="str">
        <x:v>Cerberus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L’organisation est la cible de Gillian et une menace pour les enquêteurs.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Référence documentaire DEC-REF-CERBERUS consultable dans les lectures dec-reperes de src/chronicle-story.js, avec sources et progression séparée. Aucune scène, carte, animation ni incarnation de personnage produite par cette fiche.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DEC-SRC-PUB</x:v>
      </x:c>
      <x:c r="R7" s="9" t="str">
        <x:v>https://www.penguinrandomhouse.com/books/200763/mass-effect-deception-by-william-c-dietz/paperback/</x:v>
      </x:c>
      <x:c r="S7" s="9" t="str">
        <x:v>Ce relevé n’est ni un inventaire exhaustif ni un résumé scène par scène.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  <x:row r="8" ht="82" customHeight="1">
      <x:c r="A8" s="19" t="str">
        <x:v>DEC-REF-UNDERGROUND</x:v>
      </x:c>
      <x:c r="B8" s="7" t="str">
        <x:v>Biotic Underground</x:v>
      </x:c>
      <x:c r="C8" s="15" t="str">
        <x:v>Prototype</x:v>
      </x:c>
      <x:c r="D8" s="17" t="str">
        <x:v>Établi</x:v>
      </x:c>
      <x:c r="E8" s="17" t="str">
        <x:v>P1</x:v>
      </x:c>
      <x:c r="F8" s="7" t="str">
        <x:v>Le groupe suprémaciste biotique attire Nick.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Référence documentaire DEC-REF-UNDERGROUND consultable dans les lectures dec-reperes de src/chronicle-story.js, avec sources et progression séparée. Aucune scène, carte, animation ni incarnation de personnage produite par cette fiche.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DEC-SRC-NICK</x:v>
      </x:c>
      <x:c r="R8" s="7" t="str">
        <x:v>https://masseffect.fandom.com/wiki/Nick_Donahue</x:v>
      </x:c>
      <x:c r="S8" s="7" t="str">
        <x:v>Ce relevé n’est ni un inventaire exhaustif ni un résumé scène par scène.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</x:sheetData>
  <x:conditionalFormatting sqref="D7:D8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8">
    <x:cfRule type="cellIs" dxfId="10" priority="3" operator="equal">
      <x:formula>"Validé"</x:formula>
    </x:cfRule>
  </x:conditionalFormatting>
  <x:conditionalFormatting sqref="E7:E8">
    <x:cfRule type="cellIs" dxfId="1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0acbb622b14d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DEC-REF-CITADEL</x:v>
      </x:c>
      <x:c r="B7" s="9" t="str">
        <x:v>Citadelle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Anderson et Kahlee y présentent le corps de Grayson comme preuve.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ref.dec.citadel ; affichage bref avec source.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DEC-SRC-AND</x:v>
      </x:c>
      <x:c r="R7" s="9" t="str">
        <x:v>https://masseffect.fandom.com/wiki/David_Anderson</x:v>
      </x:c>
      <x:c r="S7" s="9" t="str">
        <x:v>Ce relevé n’est ni un inventaire exhaustif ni un résumé scène par scène.</x:v>
      </x:c>
    </x:row>
    <x:row r="8" ht="82" customHeight="1">
      <x:c r="A8" s="19" t="str">
        <x:v>DEC-REF-OMEGA</x:v>
      </x:c>
      <x:c r="B8" s="7" t="str">
        <x:v>Omega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Des liens logistiques avec Cerberus y persistent dans le récit décrit.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ref.dec.omega ; affichage bref avec source.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DEC-SRC-STORY</x:v>
      </x:c>
      <x:c r="R8" s="7" t="str">
        <x:v>https://masseffect.fandom.com/wiki/Storyline_III</x:v>
      </x:c>
      <x:c r="S8" s="7" t="str">
        <x:v>Ce relevé n’est ni un inventaire exhaustif ni un résumé scène par scène.</x:v>
      </x:c>
    </x:row>
  </x:sheetData>
  <x:conditionalFormatting sqref="D7:D8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8">
    <x:cfRule type="cellIs" dxfId="14" priority="3" operator="equal">
      <x:formula>"Validé"</x:formula>
    </x:cfRule>
  </x:conditionalFormatting>
  <x:conditionalFormatting sqref="E7:E8">
    <x:cfRule type="cellIs" dxfId="1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f26b77cf04c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DEC-MAP-CITADEL</x:v>
      </x:c>
      <x:c r="B7" s="9" t="str">
        <x:v>Dépendance administrative proposée — carte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Bloc de niveau original autour de Dépendance administrative proposée. Le plan n’est pas fourni par la source.</x:v>
      </x:c>
      <x:c r="G7" s="9" t="str">
        <x:v>Décor 3D à caméra fixe et personnages sprites. Hall, salle de dépôt et bureau d’examen.</x:v>
      </x:c>
      <x:c r="H7" s="9" t="str">
        <x:v>Les documents incomplets ne passent pas le contrôle. Les passages importants restent accessibles en mode pause tactique.</x:v>
      </x:c>
      <x:c r="I7" s="9" t="str">
        <x:v>Surface claire, chariot scellé abstrait, marques de confidentialité. Séparer sol praticable, couvert et fond par valeur lumineuse.</x:v>
      </x:c>
      <x:c r="J7" s="9" t="str">
        <x:v>Occlusion douce des parois devant le groupe ; portes synchronisées avec les collisions.</x:v>
      </x:c>
      <x:c r="K7" s="9" t="str">
        <x:v>Tension d’enquête, communications et ambiance de bord discrète. Un signal directionnel accompagne le danger local, doublé par une icône.</x:v>
      </x:c>
      <x:c r="L7" s="9" t="str">
        <x:v>maps/dec/citadel.scene ; navmesh, colliders, ancrages d’entrée et sorties nommés.</x:v>
      </x:c>
      <x:c r="M7" s="9" t="str">
        <x:v>Aucune scène longue du Conseil reconstituée.</x:v>
      </x:c>
      <x:c r="N7" s="9" t="str">
        <x:v>Entrée, objectif et sortie sont reliés sans traverser une collision ; lisibilité des sprites aux carrefours.</x:v>
      </x:c>
      <x:c r="O7" s="9" t="str"/>
      <x:c r="P7" s="9" t="str"/>
      <x:c r="Q7" s="9" t="str"/>
      <x:c r="R7" s="9" t="str"/>
      <x:c r="S7" s="9" t="str">
        <x:v>Dimensions, connexions et accessoires de cette carte sont des propositions originales.</x:v>
      </x:c>
    </x:row>
    <x:row r="8" ht="54" customHeight="1">
      <x:c r="A8" s="19" t="str">
        <x:v>DEC-MAP-IDENNA</x:v>
      </x:c>
      <x:c r="B8" s="7" t="str">
        <x:v>Poste de sécurité de l’Idenna proposé — carte proposée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Bloc de niveau original autour de Poste de sécurité de l’Idenna proposé. Le plan n’est pas fourni par la source.</x:v>
      </x:c>
      <x:c r="G8" s="7" t="str">
        <x:v>Décor 3D à caméra fixe et personnages sprites. Table tactique, sas et couloir de regroupement.</x:v>
      </x:c>
      <x:c r="H8" s="7" t="str">
        <x:v>Organiser un passage de protection sous alerte. Les passages importants restent accessibles en mode pause tactique.</x:v>
      </x:c>
      <x:c r="I8" s="7" t="str">
        <x:v>Architecture de vaisseau réemployé et combinaisons closes. Séparer sol praticable, couvert et fond par valeur lumineuse.</x:v>
      </x:c>
      <x:c r="J8" s="7" t="str">
        <x:v>Occlusion douce des parois devant le groupe ; portes synchronisées avec les collisions.</x:v>
      </x:c>
      <x:c r="K8" s="7" t="str">
        <x:v>Tension d’enquête, communications et ambiance de bord discrète. Un signal directionnel accompagne le danger local, doublé par une icône.</x:v>
      </x:c>
      <x:c r="L8" s="7" t="str">
        <x:v>maps/dec/idenna.scene ; navmesh, colliders, ancrages d’entrée et sorties nommés.</x:v>
      </x:c>
      <x:c r="M8" s="7" t="str">
        <x:v>Mise en scène bloquée tant que la présence de chaque PNJ n’est pas vérifiée.</x:v>
      </x:c>
      <x:c r="N8" s="7" t="str">
        <x:v>Entrée, objectif et sortie sont reliés sans traverser une collision ; lisibilité des sprites aux carrefours.</x:v>
      </x:c>
      <x:c r="O8" s="7" t="str"/>
      <x:c r="P8" s="7" t="str"/>
      <x:c r="Q8" s="7" t="str"/>
      <x:c r="R8" s="7" t="str"/>
      <x:c r="S8" s="7" t="str">
        <x:v>Dimensions, connexions et accessoires de cette carte sont des propositions originales.</x:v>
      </x:c>
    </x:row>
    <x:row r="9" ht="54" customHeight="1">
      <x:c r="A9" s="18" t="str">
        <x:v>DEC-MAP-GLORY</x:v>
      </x:c>
      <x:c r="B9" s="9" t="str">
        <x:v>Compartiment du Glory proposé — carte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Bloc de niveau original autour de Compartiment du Glory proposé. Le plan n’est pas fourni par la source.</x:v>
      </x:c>
      <x:c r="G9" s="9" t="str">
        <x:v>Décor 3D à caméra fixe et personnages sprites. Couloir central, cabine de témoins et sortie cargo.</x:v>
      </x:c>
      <x:c r="H9" s="9" t="str">
        <x:v>Libérer les accès sans transformer les captifs en ressources. Les passages importants restent accessibles en mode pause tactique.</x:v>
      </x:c>
      <x:c r="I9" s="9" t="str">
        <x:v>Contrastes durcis, verrous extérieurs et objets civils distincts. Séparer sol praticable, couvert et fond par valeur lumineuse.</x:v>
      </x:c>
      <x:c r="J9" s="9" t="str">
        <x:v>Occlusion douce des parois devant le groupe ; portes synchronisées avec les collisions.</x:v>
      </x:c>
      <x:c r="K9" s="9" t="str">
        <x:v>Tension d’enquête, communications et ambiance de bord discrète. Un signal directionnel accompagne le danger local, doublé par une icône.</x:v>
      </x:c>
      <x:c r="L9" s="9" t="str">
        <x:v>maps/dec/glory.scene ; navmesh, colliders, ancrages d’entrée et sorties nommés.</x:v>
      </x:c>
      <x:c r="M9" s="9" t="str">
        <x:v>Pas de statistiques de traite ou scène d’humiliation ajoutée.</x:v>
      </x:c>
      <x:c r="N9" s="9" t="str">
        <x:v>Entrée, objectif et sortie sont reliés sans traverser une collision ; lisibilité des sprites aux carrefours.</x:v>
      </x:c>
      <x:c r="O9" s="9" t="str"/>
      <x:c r="P9" s="9" t="str"/>
      <x:c r="Q9" s="9" t="str"/>
      <x:c r="R9" s="9" t="str"/>
      <x:c r="S9" s="9" t="str">
        <x:v>Dimensions, connexions et accessoires de cette carte sont des propositions originales.</x:v>
      </x:c>
    </x:row>
    <x:row r="10" ht="54" customHeight="1">
      <x:c r="A10" s="19" t="str">
        <x:v>DEC-MAP-TRANSIT</x:v>
      </x:c>
      <x:c r="B10" s="7" t="str">
        <x:v>Cabine de discussion proposée — carte proposée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Bloc de niveau original autour de Cabine de discussion proposée. Le plan n’est pas fourni par la source.</x:v>
      </x:c>
      <x:c r="G10" s="7" t="str">
        <x:v>Décor 3D à caméra fixe et personnages sprites. Poste de route, banc et casier de preuves.</x:v>
      </x:c>
      <x:c r="H10" s="7" t="str">
        <x:v>Confronter les versions d’un fait sans décision de combat. Les passages importants restent accessibles en mode pause tactique.</x:v>
      </x:c>
      <x:c r="I10" s="7" t="str">
        <x:v>Espace réduit, lumière constante, portraits lisibles. Séparer sol praticable, couvert et fond par valeur lumineuse.</x:v>
      </x:c>
      <x:c r="J10" s="7" t="str">
        <x:v>Occlusion douce des parois devant le groupe ; portes synchronisées avec les collisions.</x:v>
      </x:c>
      <x:c r="K10" s="7" t="str">
        <x:v>Tension d’enquête, communications et ambiance de bord discrète. Un signal directionnel accompagne le danger local, doublé par une icône.</x:v>
      </x:c>
      <x:c r="L10" s="7" t="str">
        <x:v>maps/dec/transit.scene ; navmesh, colliders, ancrages d’entrée et sorties nommés.</x:v>
      </x:c>
      <x:c r="M10" s="7" t="str">
        <x:v>Âge, dates et sobriquets restent affichés comme points de contrôle.</x:v>
      </x:c>
      <x:c r="N10" s="7" t="str">
        <x:v>Entrée, objectif et sortie sont reliés sans traverser une collision ; lisibilité des sprites aux carrefours.</x:v>
      </x:c>
      <x:c r="O10" s="7" t="str"/>
      <x:c r="P10" s="7" t="str"/>
      <x:c r="Q10" s="7" t="str"/>
      <x:c r="R10" s="7" t="str"/>
      <x:c r="S10" s="7" t="str">
        <x:v>Dimensions, connexions et accessoires de cette carte sont des propositions originales.</x:v>
      </x:c>
    </x:row>
    <x:row r="11" ht="54" customHeight="1">
      <x:c r="A11" s="18" t="str">
        <x:v>DEC-MAP-OMEGA</x:v>
      </x:c>
      <x:c r="B11" s="9" t="str">
        <x:v>Relais d’information proposé — carte proposée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Bloc de niveau original autour de Relais d’information proposé. Le plan n’est pas fourni par la source.</x:v>
      </x:c>
      <x:c r="G11" s="9" t="str">
        <x:v>Décor 3D à caméra fixe et personnages sprites. Comptoir, arrière-salle et voie extérieure.</x:v>
      </x:c>
      <x:c r="H11" s="9" t="str">
        <x:v>Distinguer rumeur publique et information négociée. Les passages importants restent accessibles en mode pause tactique.</x:v>
      </x:c>
      <x:c r="I11" s="9" t="str">
        <x:v>Enseignes originales et espace d’écoute visible. Séparer sol praticable, couvert et fond par valeur lumineuse.</x:v>
      </x:c>
      <x:c r="J11" s="9" t="str">
        <x:v>Occlusion douce des parois devant le groupe ; portes synchronisées avec les collisions.</x:v>
      </x:c>
      <x:c r="K11" s="9" t="str">
        <x:v>Tension d’enquête, communications et ambiance de bord discrète. Un signal directionnel accompagne le danger local, doublé par une icône.</x:v>
      </x:c>
      <x:c r="L11" s="9" t="str">
        <x:v>maps/dec/omega.scene ; navmesh, colliders, ancrages d’entrée et sorties nommés.</x:v>
      </x:c>
      <x:c r="M11" s="9" t="str">
        <x:v>Aucune absence de médias d’Omega décrétée comme règle canonique.</x:v>
      </x:c>
      <x:c r="N11" s="9" t="str">
        <x:v>Entrée, objectif et sortie sont reliés sans traverser une collision ; lisibilité des sprites aux carrefours.</x:v>
      </x:c>
      <x:c r="O11" s="9" t="str"/>
      <x:c r="P11" s="9" t="str"/>
      <x:c r="Q11" s="9" t="str"/>
      <x:c r="R11" s="9" t="str"/>
      <x:c r="S11" s="9" t="str">
        <x:v>Dimensions, connexions et accessoires de cette carte sont des propositions originales.</x:v>
      </x:c>
    </x:row>
    <x:row r="12" ht="54" customHeight="1">
      <x:c r="A12" s="19" t="str">
        <x:v>DEC-MAP-CELL</x:v>
      </x:c>
      <x:c r="B12" s="7" t="str">
        <x:v>Local d’un groupe biotique proposé — carte proposée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Bloc de niveau original autour de Local d’un groupe biotique proposé. Le plan n’est pas fourni par la source.</x:v>
      </x:c>
      <x:c r="G12" s="7" t="str">
        <x:v>Décor 3D à caméra fixe et personnages sprites. Salle de réunion, entraînement abstrait et issue secondaire.</x:v>
      </x:c>
      <x:c r="H12" s="7" t="str">
        <x:v>Une conversation peut révéler un argument manipulatoire. Les passages importants restent accessibles en mode pause tactique.</x:v>
      </x:c>
      <x:c r="I12" s="7" t="str">
        <x:v>Affiches originales de propagande sans citation du livre. Séparer sol praticable, couvert et fond par valeur lumineuse.</x:v>
      </x:c>
      <x:c r="J12" s="7" t="str">
        <x:v>Occlusion douce des parois devant le groupe ; portes synchronisées avec les collisions.</x:v>
      </x:c>
      <x:c r="K12" s="7" t="str">
        <x:v>Tension d’enquête, communications et ambiance de bord discrète. Un signal directionnel accompagne le danger local, doublé par une icône.</x:v>
      </x:c>
      <x:c r="L12" s="7" t="str">
        <x:v>maps/dec/cell.scene ; navmesh, colliders, ancrages d’entrée et sorties nommés.</x:v>
      </x:c>
      <x:c r="M12" s="7" t="str">
        <x:v>Le Biotic Underground ne représente pas tous les biotiques.</x:v>
      </x:c>
      <x:c r="N12" s="7" t="str">
        <x:v>Entrée, objectif et sortie sont reliés sans traverser une collision ; lisibilité des sprites aux carrefours.</x:v>
      </x:c>
      <x:c r="O12" s="7" t="str"/>
      <x:c r="P12" s="7" t="str"/>
      <x:c r="Q12" s="7" t="str"/>
      <x:c r="R12" s="7" t="str"/>
      <x:c r="S12" s="7" t="str">
        <x:v>Dimensions, connexions et accessoires de cette carte sont des propositions originales.</x:v>
      </x:c>
    </x:row>
    <x:row r="13" ht="54" customHeight="1">
      <x:c r="A13" s="18" t="str">
        <x:v>DEC-MAP-DEPOT</x:v>
      </x:c>
      <x:c r="B13" s="9" t="str">
        <x:v>Dépôt d’échange proposé — carte proposée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Bloc de niveau original autour de Dépôt d’échange proposé. Le plan n’est pas fourni par la source.</x:v>
      </x:c>
      <x:c r="G13" s="9" t="str">
        <x:v>Décor 3D à caméra fixe et personnages sprites. Deux entrées, point de remise et sortie couverte.</x:v>
      </x:c>
      <x:c r="H13" s="9" t="str">
        <x:v>Sécuriser un objet de preuve et garder une échappée. Les passages importants restent accessibles en mode pause tactique.</x:v>
      </x:c>
      <x:c r="I13" s="9" t="str">
        <x:v>Palettes et lumière verticale, indicateur de sécurité local. Séparer sol praticable, couvert et fond par valeur lumineuse.</x:v>
      </x:c>
      <x:c r="J13" s="9" t="str">
        <x:v>Occlusion douce des parois devant le groupe ; portes synchronisées avec les collisions.</x:v>
      </x:c>
      <x:c r="K13" s="9" t="str">
        <x:v>Tension d’enquête, communications et ambiance de bord discrète. Un signal directionnel accompagne le danger local, doublé par une icône.</x:v>
      </x:c>
      <x:c r="L13" s="9" t="str">
        <x:v>maps/dec/depot.scene ; navmesh, colliders, ancrages d’entrée et sorties nommés.</x:v>
      </x:c>
      <x:c r="M13" s="9" t="str">
        <x:v>Pas de nouvelle victoire définitive sur l’Homme Trouble.</x:v>
      </x:c>
      <x:c r="N13" s="9" t="str">
        <x:v>Entrée, objectif et sortie sont reliés sans traverser une collision ; lisibilité des sprites aux carrefours.</x:v>
      </x:c>
      <x:c r="O13" s="9" t="str"/>
      <x:c r="P13" s="9" t="str"/>
      <x:c r="Q13" s="9" t="str"/>
      <x:c r="R13" s="9" t="str"/>
      <x:c r="S13" s="9" t="str">
        <x:v>Dimensions, connexions et accessoires de cette carte sont des propositions originales.</x:v>
      </x:c>
    </x:row>
    <x:row r="14" ht="54" customHeight="1">
      <x:c r="A14" s="19" t="str">
        <x:v>DEC-MAP-ARCHIVE</x:v>
      </x:c>
      <x:c r="B14" s="7" t="str">
        <x:v>Atelier de relecture proposé — carte proposée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Bloc de niveau original autour de Atelier de relecture proposé. Le plan n’est pas fourni par la source.</x:v>
      </x:c>
      <x:c r="G14" s="7" t="str">
        <x:v>Décor 3D à caméra fixe et personnages sprites. Console de chronologie, table de rapport et sortie menu.</x:v>
      </x:c>
      <x:c r="H14" s="7" t="str">
        <x:v>Comparer les états avant d’activer un contenu. Les passages importants restent accessibles en mode pause tactique.</x:v>
      </x:c>
      <x:c r="I14" s="7" t="str">
        <x:v>Présentation sobre de versions et mentions de réserve. Séparer sol praticable, couvert et fond par valeur lumineuse.</x:v>
      </x:c>
      <x:c r="J14" s="7" t="str">
        <x:v>Occlusion douce des parois devant le groupe ; portes synchronisées avec les collisions.</x:v>
      </x:c>
      <x:c r="K14" s="7" t="str">
        <x:v>Tension d’enquête, communications et ambiance de bord discrète. Un signal directionnel accompagne le danger local, doublé par une icône.</x:v>
      </x:c>
      <x:c r="L14" s="7" t="str">
        <x:v>maps/dec/archive.scene ; navmesh, colliders, ancrages d’entrée et sorties nommés.</x:v>
      </x:c>
      <x:c r="M14" s="7" t="str">
        <x:v>Espace de production hors fiction pour arbitrage éditorial.</x:v>
      </x:c>
      <x:c r="N14" s="7" t="str">
        <x:v>Entrée, objectif et sortie sont reliés sans traverser une collision ; lisibilité des sprites aux carrefours.</x:v>
      </x:c>
      <x:c r="O14" s="7" t="str"/>
      <x:c r="P14" s="7" t="str"/>
      <x:c r="Q14" s="7" t="str"/>
      <x:c r="R14" s="7" t="str"/>
      <x:c r="S14" s="7" t="str">
        <x:v>Dimensions, connexions et accessoires de cette carte sont des propositions originales.</x:v>
      </x:c>
    </x:row>
  </x:sheetData>
  <x:conditionalFormatting sqref="D7:D14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4">
    <x:cfRule type="cellIs" dxfId="18" priority="3" operator="equal">
      <x:formula>"Validé"</x:formula>
    </x:cfRule>
  </x:conditionalFormatting>
  <x:conditionalFormatting sqref="E7:E14">
    <x:cfRule type="cellIs" dxfId="1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04791c56940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0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DEC-LNK-CITADEL</x:v>
      </x:c>
      <x:c r="B7" s="9" t="str">
        <x:v>Dépendance administrative proposée — transition de module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Liaison de niveau proposée, sans prétendre établir une géographie officielle.</x:v>
      </x:c>
      <x:c r="G7" s="9" t="str">
        <x:v>Associer un point de départ dans Dépendance administrative proposée au bloc Poste de sécurité de l’Idenna proposé; transit masqué lorsque les lieux sont éloignés.</x:v>
      </x:c>
      <x:c r="H7" s="9" t="str">
        <x:v>Sortie inactive pendant une interaction critique ; confirmation uniquement si le retour est temporairement fermé.</x:v>
      </x:c>
      <x:c r="I7" s="9" t="str">
        <x:v>Flèche de sortie et nom du lieu cible ; distinguer voyage spatial et porte adjacente.</x:v>
      </x:c>
      <x:c r="J7" s="9" t="str">
        <x:v>Regroupement des sprites avant fondu ; aucun personnage laissé derrière hors cadre.</x:v>
      </x:c>
      <x:c r="K7" s="9" t="str">
        <x:v>Transition d’ambiance progressive ; sous-titre de lieu affiché après chargement.</x:v>
      </x:c>
      <x:c r="L7" s="9" t="str">
        <x:v>links/dec.json : citadel -&gt; idenna; sauvegarde avant transit, restauration à un ancrage sûr.</x:v>
      </x:c>
      <x:c r="M7" s="9" t="str">
        <x:v>Aucune scène longue du Conseil reconstituée.</x:v>
      </x:c>
      <x:c r="N7" s="9" t="str">
        <x:v>Le groupe arrive au bon ancrage après chargement ; aller-retour ne duplique ni objet ni dialogue.</x:v>
      </x:c>
      <x:c r="O7" s="9" t="str">
        <x:v>DEC-MAP-CITADEL, DEC-MAP-IDENNA</x:v>
      </x:c>
      <x:c r="P7" s="9" t="str"/>
      <x:c r="Q7" s="9" t="str"/>
      <x:c r="R7" s="9" t="str"/>
      <x:c r="S7" s="9" t="str">
        <x:v>Boucle de parcours de production ; la dernière liaison sert à la consultation post-module, pas à remonter le temps.</x:v>
      </x:c>
    </x:row>
    <x:row r="8" ht="68" customHeight="1">
      <x:c r="A8" s="19" t="str">
        <x:v>DEC-LNK-IDENNA</x:v>
      </x:c>
      <x:c r="B8" s="7" t="str">
        <x:v>Poste de sécurité de l’Idenna proposé — transition de module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Liaison de niveau proposée, sans prétendre établir une géographie officielle.</x:v>
      </x:c>
      <x:c r="G8" s="7" t="str">
        <x:v>Associer un point de départ dans Poste de sécurité de l’Idenna proposé au bloc Compartiment du Glory proposé; transit masqué lorsque les lieux sont éloignés.</x:v>
      </x:c>
      <x:c r="H8" s="7" t="str">
        <x:v>Sortie inactive pendant une interaction critique ; confirmation uniquement si le retour est temporairement fermé.</x:v>
      </x:c>
      <x:c r="I8" s="7" t="str">
        <x:v>Flèche de sortie et nom du lieu cible ; distinguer voyage spatial et porte adjacente.</x:v>
      </x:c>
      <x:c r="J8" s="7" t="str">
        <x:v>Regroupement des sprites avant fondu ; aucun personnage laissé derrière hors cadre.</x:v>
      </x:c>
      <x:c r="K8" s="7" t="str">
        <x:v>Transition d’ambiance progressive ; sous-titre de lieu affiché après chargement.</x:v>
      </x:c>
      <x:c r="L8" s="7" t="str">
        <x:v>links/dec.json : idenna -&gt; glory; sauvegarde avant transit, restauration à un ancrage sûr.</x:v>
      </x:c>
      <x:c r="M8" s="7" t="str">
        <x:v>Mise en scène bloquée tant que la présence de chaque PNJ n’est pas vérifiée.</x:v>
      </x:c>
      <x:c r="N8" s="7" t="str">
        <x:v>Le groupe arrive au bon ancrage après chargement ; aller-retour ne duplique ni objet ni dialogue.</x:v>
      </x:c>
      <x:c r="O8" s="7" t="str">
        <x:v>DEC-MAP-IDENNA, DEC-MAP-GLORY</x:v>
      </x:c>
      <x:c r="P8" s="7" t="str"/>
      <x:c r="Q8" s="7" t="str"/>
      <x:c r="R8" s="7" t="str"/>
      <x:c r="S8" s="7" t="str">
        <x:v>Boucle de parcours de production ; la dernière liaison sert à la consultation post-module, pas à remonter le temps.</x:v>
      </x:c>
    </x:row>
    <x:row r="9" ht="54" customHeight="1">
      <x:c r="A9" s="18" t="str">
        <x:v>DEC-LNK-GLORY</x:v>
      </x:c>
      <x:c r="B9" s="9" t="str">
        <x:v>Compartiment du Glory proposé — transition de module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Liaison de niveau proposée, sans prétendre établir une géographie officielle.</x:v>
      </x:c>
      <x:c r="G9" s="9" t="str">
        <x:v>Associer un point de départ dans Compartiment du Glory proposé au bloc Cabine de discussion proposée; transit masqué lorsque les lieux sont éloignés.</x:v>
      </x:c>
      <x:c r="H9" s="9" t="str">
        <x:v>Sortie inactive pendant une interaction critique ; confirmation uniquement si le retour est temporairement fermé.</x:v>
      </x:c>
      <x:c r="I9" s="9" t="str">
        <x:v>Flèche de sortie et nom du lieu cible ; distinguer voyage spatial et porte adjacente.</x:v>
      </x:c>
      <x:c r="J9" s="9" t="str">
        <x:v>Regroupement des sprites avant fondu ; aucun personnage laissé derrière hors cadre.</x:v>
      </x:c>
      <x:c r="K9" s="9" t="str">
        <x:v>Transition d’ambiance progressive ; sous-titre de lieu affiché après chargement.</x:v>
      </x:c>
      <x:c r="L9" s="9" t="str">
        <x:v>links/dec.json : glory -&gt; transit; sauvegarde avant transit, restauration à un ancrage sûr.</x:v>
      </x:c>
      <x:c r="M9" s="9" t="str">
        <x:v>Pas de statistiques de traite ou scène d’humiliation ajoutée.</x:v>
      </x:c>
      <x:c r="N9" s="9" t="str">
        <x:v>Le groupe arrive au bon ancrage après chargement ; aller-retour ne duplique ni objet ni dialogue.</x:v>
      </x:c>
      <x:c r="O9" s="9" t="str">
        <x:v>DEC-MAP-GLORY, DEC-MAP-TRANSIT</x:v>
      </x:c>
      <x:c r="P9" s="9" t="str"/>
      <x:c r="Q9" s="9" t="str"/>
      <x:c r="R9" s="9" t="str"/>
      <x:c r="S9" s="9" t="str">
        <x:v>Boucle de parcours de production ; la dernière liaison sert à la consultation post-module, pas à remonter le temps.</x:v>
      </x:c>
    </x:row>
    <x:row r="10" ht="54" customHeight="1">
      <x:c r="A10" s="19" t="str">
        <x:v>DEC-LNK-TRANSIT</x:v>
      </x:c>
      <x:c r="B10" s="7" t="str">
        <x:v>Cabine de discussion proposée — transition de module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Liaison de niveau proposée, sans prétendre établir une géographie officielle.</x:v>
      </x:c>
      <x:c r="G10" s="7" t="str">
        <x:v>Associer un point de départ dans Cabine de discussion proposée au bloc Relais d’information proposé; transit masqué lorsque les lieux sont éloignés.</x:v>
      </x:c>
      <x:c r="H10" s="7" t="str">
        <x:v>Sortie inactive pendant une interaction critique ; confirmation uniquement si le retour est temporairement fermé.</x:v>
      </x:c>
      <x:c r="I10" s="7" t="str">
        <x:v>Flèche de sortie et nom du lieu cible ; distinguer voyage spatial et porte adjacente.</x:v>
      </x:c>
      <x:c r="J10" s="7" t="str">
        <x:v>Regroupement des sprites avant fondu ; aucun personnage laissé derrière hors cadre.</x:v>
      </x:c>
      <x:c r="K10" s="7" t="str">
        <x:v>Transition d’ambiance progressive ; sous-titre de lieu affiché après chargement.</x:v>
      </x:c>
      <x:c r="L10" s="7" t="str">
        <x:v>links/dec.json : transit -&gt; omega; sauvegarde avant transit, restauration à un ancrage sûr.</x:v>
      </x:c>
      <x:c r="M10" s="7" t="str">
        <x:v>Âge, dates et sobriquets restent affichés comme points de contrôle.</x:v>
      </x:c>
      <x:c r="N10" s="7" t="str">
        <x:v>Le groupe arrive au bon ancrage après chargement ; aller-retour ne duplique ni objet ni dialogue.</x:v>
      </x:c>
      <x:c r="O10" s="7" t="str">
        <x:v>DEC-MAP-TRANSIT, DEC-MAP-OMEGA</x:v>
      </x:c>
      <x:c r="P10" s="7" t="str"/>
      <x:c r="Q10" s="7" t="str"/>
      <x:c r="R10" s="7" t="str"/>
      <x:c r="S10" s="7" t="str">
        <x:v>Boucle de parcours de production ; la dernière liaison sert à la consultation post-module, pas à remonter le temps.</x:v>
      </x:c>
    </x:row>
    <x:row r="11" ht="54" customHeight="1">
      <x:c r="A11" s="18" t="str">
        <x:v>DEC-LNK-OMEGA</x:v>
      </x:c>
      <x:c r="B11" s="9" t="str">
        <x:v>Relais d’information proposé — transition de module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Liaison de niveau proposée, sans prétendre établir une géographie officielle.</x:v>
      </x:c>
      <x:c r="G11" s="9" t="str">
        <x:v>Associer un point de départ dans Relais d’information proposé au bloc Local d’un groupe biotique proposé; transit masqué lorsque les lieux sont éloignés.</x:v>
      </x:c>
      <x:c r="H11" s="9" t="str">
        <x:v>Sortie inactive pendant une interaction critique ; confirmation uniquement si le retour est temporairement fermé.</x:v>
      </x:c>
      <x:c r="I11" s="9" t="str">
        <x:v>Flèche de sortie et nom du lieu cible ; distinguer voyage spatial et porte adjacente.</x:v>
      </x:c>
      <x:c r="J11" s="9" t="str">
        <x:v>Regroupement des sprites avant fondu ; aucun personnage laissé derrière hors cadre.</x:v>
      </x:c>
      <x:c r="K11" s="9" t="str">
        <x:v>Transition d’ambiance progressive ; sous-titre de lieu affiché après chargement.</x:v>
      </x:c>
      <x:c r="L11" s="9" t="str">
        <x:v>links/dec.json : omega -&gt; cell; sauvegarde avant transit, restauration à un ancrage sûr.</x:v>
      </x:c>
      <x:c r="M11" s="9" t="str">
        <x:v>Aucune absence de médias d’Omega décrétée comme règle canonique.</x:v>
      </x:c>
      <x:c r="N11" s="9" t="str">
        <x:v>Le groupe arrive au bon ancrage après chargement ; aller-retour ne duplique ni objet ni dialogue.</x:v>
      </x:c>
      <x:c r="O11" s="9" t="str">
        <x:v>DEC-MAP-OMEGA, DEC-MAP-CELL</x:v>
      </x:c>
      <x:c r="P11" s="9" t="str"/>
      <x:c r="Q11" s="9" t="str"/>
      <x:c r="R11" s="9" t="str"/>
      <x:c r="S11" s="9" t="str">
        <x:v>Boucle de parcours de production ; la dernière liaison sert à la consultation post-module, pas à remonter le temps.</x:v>
      </x:c>
    </x:row>
    <x:row r="12" ht="54" customHeight="1">
      <x:c r="A12" s="19" t="str">
        <x:v>DEC-LNK-CELL</x:v>
      </x:c>
      <x:c r="B12" s="7" t="str">
        <x:v>Local d’un groupe biotique proposé — transition de module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Liaison de niveau proposée, sans prétendre établir une géographie officielle.</x:v>
      </x:c>
      <x:c r="G12" s="7" t="str">
        <x:v>Associer un point de départ dans Local d’un groupe biotique proposé au bloc Dépôt d’échange proposé; transit masqué lorsque les lieux sont éloignés.</x:v>
      </x:c>
      <x:c r="H12" s="7" t="str">
        <x:v>Sortie inactive pendant une interaction critique ; confirmation uniquement si le retour est temporairement fermé.</x:v>
      </x:c>
      <x:c r="I12" s="7" t="str">
        <x:v>Flèche de sortie et nom du lieu cible ; distinguer voyage spatial et porte adjacente.</x:v>
      </x:c>
      <x:c r="J12" s="7" t="str">
        <x:v>Regroupement des sprites avant fondu ; aucun personnage laissé derrière hors cadre.</x:v>
      </x:c>
      <x:c r="K12" s="7" t="str">
        <x:v>Transition d’ambiance progressive ; sous-titre de lieu affiché après chargement.</x:v>
      </x:c>
      <x:c r="L12" s="7" t="str">
        <x:v>links/dec.json : cell -&gt; depot; sauvegarde avant transit, restauration à un ancrage sûr.</x:v>
      </x:c>
      <x:c r="M12" s="7" t="str">
        <x:v>Le Biotic Underground ne représente pas tous les biotiques.</x:v>
      </x:c>
      <x:c r="N12" s="7" t="str">
        <x:v>Le groupe arrive au bon ancrage après chargement ; aller-retour ne duplique ni objet ni dialogue.</x:v>
      </x:c>
      <x:c r="O12" s="7" t="str">
        <x:v>DEC-MAP-CELL, DEC-MAP-DEPOT</x:v>
      </x:c>
      <x:c r="P12" s="7" t="str"/>
      <x:c r="Q12" s="7" t="str"/>
      <x:c r="R12" s="7" t="str"/>
      <x:c r="S12" s="7" t="str">
        <x:v>Boucle de parcours de production ; la dernière liaison sert à la consultation post-module, pas à remonter le temps.</x:v>
      </x:c>
    </x:row>
    <x:row r="13" ht="54" customHeight="1">
      <x:c r="A13" s="18" t="str">
        <x:v>DEC-LNK-DEPOT</x:v>
      </x:c>
      <x:c r="B13" s="9" t="str">
        <x:v>Dépôt d’échange proposé — transition de module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Liaison de niveau proposée, sans prétendre établir une géographie officielle.</x:v>
      </x:c>
      <x:c r="G13" s="9" t="str">
        <x:v>Associer un point de départ dans Dépôt d’échange proposé au bloc Atelier de relecture proposé; transit masqué lorsque les lieux sont éloignés.</x:v>
      </x:c>
      <x:c r="H13" s="9" t="str">
        <x:v>Sortie inactive pendant une interaction critique ; confirmation uniquement si le retour est temporairement fermé.</x:v>
      </x:c>
      <x:c r="I13" s="9" t="str">
        <x:v>Flèche de sortie et nom du lieu cible ; distinguer voyage spatial et porte adjacente.</x:v>
      </x:c>
      <x:c r="J13" s="9" t="str">
        <x:v>Regroupement des sprites avant fondu ; aucun personnage laissé derrière hors cadre.</x:v>
      </x:c>
      <x:c r="K13" s="9" t="str">
        <x:v>Transition d’ambiance progressive ; sous-titre de lieu affiché après chargement.</x:v>
      </x:c>
      <x:c r="L13" s="9" t="str">
        <x:v>links/dec.json : depot -&gt; archive; sauvegarde avant transit, restauration à un ancrage sûr.</x:v>
      </x:c>
      <x:c r="M13" s="9" t="str">
        <x:v>Pas de nouvelle victoire définitive sur l’Homme Trouble.</x:v>
      </x:c>
      <x:c r="N13" s="9" t="str">
        <x:v>Le groupe arrive au bon ancrage après chargement ; aller-retour ne duplique ni objet ni dialogue.</x:v>
      </x:c>
      <x:c r="O13" s="9" t="str">
        <x:v>DEC-MAP-DEPOT, DEC-MAP-ARCHIVE</x:v>
      </x:c>
      <x:c r="P13" s="9" t="str"/>
      <x:c r="Q13" s="9" t="str"/>
      <x:c r="R13" s="9" t="str"/>
      <x:c r="S13" s="9" t="str">
        <x:v>Boucle de parcours de production ; la dernière liaison sert à la consultation post-module, pas à remonter le temps.</x:v>
      </x:c>
    </x:row>
    <x:row r="14" ht="54" customHeight="1">
      <x:c r="A14" s="19" t="str">
        <x:v>DEC-LNK-ARCHIVE</x:v>
      </x:c>
      <x:c r="B14" s="7" t="str">
        <x:v>Atelier de relecture proposé — transition de module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Liaison de niveau proposée, sans prétendre établir une géographie officielle.</x:v>
      </x:c>
      <x:c r="G14" s="7" t="str">
        <x:v>Associer un point de départ dans Atelier de relecture proposé au bloc Dépendance administrative proposée; transit masqué lorsque les lieux sont éloignés.</x:v>
      </x:c>
      <x:c r="H14" s="7" t="str">
        <x:v>Sortie inactive pendant une interaction critique ; confirmation uniquement si le retour est temporairement fermé.</x:v>
      </x:c>
      <x:c r="I14" s="7" t="str">
        <x:v>Flèche de sortie et nom du lieu cible ; distinguer voyage spatial et porte adjacente.</x:v>
      </x:c>
      <x:c r="J14" s="7" t="str">
        <x:v>Regroupement des sprites avant fondu ; aucun personnage laissé derrière hors cadre.</x:v>
      </x:c>
      <x:c r="K14" s="7" t="str">
        <x:v>Transition d’ambiance progressive ; sous-titre de lieu affiché après chargement.</x:v>
      </x:c>
      <x:c r="L14" s="7" t="str">
        <x:v>links/dec.json : archive -&gt; citadel; sauvegarde avant transit, restauration à un ancrage sûr.</x:v>
      </x:c>
      <x:c r="M14" s="7" t="str">
        <x:v>Espace de production hors fiction pour arbitrage éditorial.</x:v>
      </x:c>
      <x:c r="N14" s="7" t="str">
        <x:v>Le groupe arrive au bon ancrage après chargement ; aller-retour ne duplique ni objet ni dialogue.</x:v>
      </x:c>
      <x:c r="O14" s="7" t="str">
        <x:v>DEC-MAP-ARCHIVE, DEC-MAP-CITADEL</x:v>
      </x:c>
      <x:c r="P14" s="7" t="str"/>
      <x:c r="Q14" s="7" t="str"/>
      <x:c r="R14" s="7" t="str"/>
      <x:c r="S14" s="7" t="str">
        <x:v>Boucle de parcours de production ; la dernière liaison sert à la consultation post-module, pas à remonter le temps.</x:v>
      </x:c>
    </x:row>
  </x:sheetData>
  <x:conditionalFormatting sqref="D7:D14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14">
    <x:cfRule type="cellIs" dxfId="22" priority="3" operator="equal">
      <x:formula>"Validé"</x:formula>
    </x:cfRule>
  </x:conditionalFormatting>
  <x:conditionalFormatting sqref="E7:E14">
    <x:cfRule type="cellIs" dxfId="2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b7ee1c780e4f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DEC-SET-CITADEL</x:v>
      </x:c>
      <x:c r="B7" s="9" t="str">
        <x:v>Dépendance administrative proposée — kit de décor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Production originale des éléments fixes de la carte liée.</x:v>
      </x:c>
      <x:c r="G7" s="9" t="str">
        <x:v>Surface claire, chariot scellé abstrait, marques de confidentialité. Construire trois profondeurs de décor avec variantes intacte et perturbée si utiles.</x:v>
      </x:c>
      <x:c r="H7" s="9" t="str">
        <x:v>Le décor signale la règle : Les documents incomplets ne passent pas le contrôle.</x:v>
      </x:c>
      <x:c r="I7" s="9" t="str">
        <x:v>Volumes sans microdétails illisibles ; surfaces dangereuses reconnues également en niveaux de gris.</x:v>
      </x:c>
      <x:c r="J7" s="9" t="str">
        <x:v>Animer seulement les repères actifs ; ne pas déplacer un obstacle statique après le calcul du chemin.</x:v>
      </x:c>
      <x:c r="K7" s="9" t="str">
        <x:v>Boucles très courtes évitées ; matériaux sonores propres aux interactions de cette zone.</x:v>
      </x:c>
      <x:c r="L7" s="9" t="str">
        <x:v>assets/dec/sets/citadel/ ; collider séparé du mesh et des ornements.</x:v>
      </x:c>
      <x:c r="M7" s="9" t="str">
        <x:v>Aucune scène longue du Conseil reconstituée.</x:v>
      </x:c>
      <x:c r="N7" s="9" t="str">
        <x:v>Aucun détail décoratif ne ressemble à tort à une porte ; vue complète vérifiée en petite résolution.</x:v>
      </x:c>
      <x:c r="O7" s="9" t="str">
        <x:v>DEC-MAP-CITADEL</x:v>
      </x:c>
      <x:c r="P7" s="9" t="str"/>
      <x:c r="Q7" s="9" t="str"/>
      <x:c r="R7" s="9" t="str"/>
      <x:c r="S7" s="9" t="str"/>
    </x:row>
    <x:row r="8" ht="54" customHeight="1">
      <x:c r="A8" s="19" t="str">
        <x:v>DEC-SET-IDENNA</x:v>
      </x:c>
      <x:c r="B8" s="7" t="str">
        <x:v>Poste de sécurité de l’Idenna proposé — kit de décor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Production originale des éléments fixes de la carte liée.</x:v>
      </x:c>
      <x:c r="G8" s="7" t="str">
        <x:v>Architecture de vaisseau réemployé et combinaisons closes. Construire trois profondeurs de décor avec variantes intacte et perturbée si utiles.</x:v>
      </x:c>
      <x:c r="H8" s="7" t="str">
        <x:v>Le décor signale la règle : Organiser un passage de protection sous alerte.</x:v>
      </x:c>
      <x:c r="I8" s="7" t="str">
        <x:v>Volumes sans microdétails illisibles ; surfaces dangereuses reconnues également en niveaux de gris.</x:v>
      </x:c>
      <x:c r="J8" s="7" t="str">
        <x:v>Animer seulement les repères actifs ; ne pas déplacer un obstacle statique après le calcul du chemin.</x:v>
      </x:c>
      <x:c r="K8" s="7" t="str">
        <x:v>Boucles très courtes évitées ; matériaux sonores propres aux interactions de cette zone.</x:v>
      </x:c>
      <x:c r="L8" s="7" t="str">
        <x:v>assets/dec/sets/idenna/ ; collider séparé du mesh et des ornements.</x:v>
      </x:c>
      <x:c r="M8" s="7" t="str">
        <x:v>Mise en scène bloquée tant que la présence de chaque PNJ n’est pas vérifiée.</x:v>
      </x:c>
      <x:c r="N8" s="7" t="str">
        <x:v>Aucun détail décoratif ne ressemble à tort à une porte ; vue complète vérifiée en petite résolution.</x:v>
      </x:c>
      <x:c r="O8" s="7" t="str">
        <x:v>DEC-MAP-IDENNA</x:v>
      </x:c>
      <x:c r="P8" s="7" t="str"/>
      <x:c r="Q8" s="7" t="str"/>
      <x:c r="R8" s="7" t="str"/>
      <x:c r="S8" s="7" t="str"/>
    </x:row>
    <x:row r="9" ht="54" customHeight="1">
      <x:c r="A9" s="18" t="str">
        <x:v>DEC-SET-GLORY</x:v>
      </x:c>
      <x:c r="B9" s="9" t="str">
        <x:v>Compartiment du Glory proposé — kit de décor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Production originale des éléments fixes de la carte liée.</x:v>
      </x:c>
      <x:c r="G9" s="9" t="str">
        <x:v>Contrastes durcis, verrous extérieurs et objets civils distincts. Construire trois profondeurs de décor avec variantes intacte et perturbée si utiles.</x:v>
      </x:c>
      <x:c r="H9" s="9" t="str">
        <x:v>Le décor signale la règle : Libérer les accès sans transformer les captifs en ressources.</x:v>
      </x:c>
      <x:c r="I9" s="9" t="str">
        <x:v>Volumes sans microdétails illisibles ; surfaces dangereuses reconnues également en niveaux de gris.</x:v>
      </x:c>
      <x:c r="J9" s="9" t="str">
        <x:v>Animer seulement les repères actifs ; ne pas déplacer un obstacle statique après le calcul du chemin.</x:v>
      </x:c>
      <x:c r="K9" s="9" t="str">
        <x:v>Boucles très courtes évitées ; matériaux sonores propres aux interactions de cette zone.</x:v>
      </x:c>
      <x:c r="L9" s="9" t="str">
        <x:v>assets/dec/sets/glory/ ; collider séparé du mesh et des ornements.</x:v>
      </x:c>
      <x:c r="M9" s="9" t="str">
        <x:v>Pas de statistiques de traite ou scène d’humiliation ajoutée.</x:v>
      </x:c>
      <x:c r="N9" s="9" t="str">
        <x:v>Aucun détail décoratif ne ressemble à tort à une porte ; vue complète vérifiée en petite résolution.</x:v>
      </x:c>
      <x:c r="O9" s="9" t="str">
        <x:v>DEC-MAP-GLORY</x:v>
      </x:c>
      <x:c r="P9" s="9" t="str"/>
      <x:c r="Q9" s="9" t="str"/>
      <x:c r="R9" s="9" t="str"/>
      <x:c r="S9" s="9" t="str"/>
    </x:row>
    <x:row r="10" ht="54" customHeight="1">
      <x:c r="A10" s="19" t="str">
        <x:v>DEC-SET-TRANSIT</x:v>
      </x:c>
      <x:c r="B10" s="7" t="str">
        <x:v>Cabine de discussion proposée — kit de décor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Production originale des éléments fixes de la carte liée.</x:v>
      </x:c>
      <x:c r="G10" s="7" t="str">
        <x:v>Espace réduit, lumière constante, portraits lisibles. Construire trois profondeurs de décor avec variantes intacte et perturbée si utiles.</x:v>
      </x:c>
      <x:c r="H10" s="7" t="str">
        <x:v>Le décor signale la règle : Confronter les versions d’un fait sans décision de combat.</x:v>
      </x:c>
      <x:c r="I10" s="7" t="str">
        <x:v>Volumes sans microdétails illisibles ; surfaces dangereuses reconnues également en niveaux de gris.</x:v>
      </x:c>
      <x:c r="J10" s="7" t="str">
        <x:v>Animer seulement les repères actifs ; ne pas déplacer un obstacle statique après le calcul du chemin.</x:v>
      </x:c>
      <x:c r="K10" s="7" t="str">
        <x:v>Boucles très courtes évitées ; matériaux sonores propres aux interactions de cette zone.</x:v>
      </x:c>
      <x:c r="L10" s="7" t="str">
        <x:v>assets/dec/sets/transit/ ; collider séparé du mesh et des ornements.</x:v>
      </x:c>
      <x:c r="M10" s="7" t="str">
        <x:v>Âge, dates et sobriquets restent affichés comme points de contrôle.</x:v>
      </x:c>
      <x:c r="N10" s="7" t="str">
        <x:v>Aucun détail décoratif ne ressemble à tort à une porte ; vue complète vérifiée en petite résolution.</x:v>
      </x:c>
      <x:c r="O10" s="7" t="str">
        <x:v>DEC-MAP-TRANSIT</x:v>
      </x:c>
      <x:c r="P10" s="7" t="str"/>
      <x:c r="Q10" s="7" t="str"/>
      <x:c r="R10" s="7" t="str"/>
      <x:c r="S10" s="7" t="str"/>
    </x:row>
    <x:row r="11" ht="54" customHeight="1">
      <x:c r="A11" s="18" t="str">
        <x:v>DEC-SET-OMEGA</x:v>
      </x:c>
      <x:c r="B11" s="9" t="str">
        <x:v>Relais d’information proposé — kit de décor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Production originale des éléments fixes de la carte liée.</x:v>
      </x:c>
      <x:c r="G11" s="9" t="str">
        <x:v>Enseignes originales et espace d’écoute visible. Construire trois profondeurs de décor avec variantes intacte et perturbée si utiles.</x:v>
      </x:c>
      <x:c r="H11" s="9" t="str">
        <x:v>Le décor signale la règle : Distinguer rumeur publique et information négociée.</x:v>
      </x:c>
      <x:c r="I11" s="9" t="str">
        <x:v>Volumes sans microdétails illisibles ; surfaces dangereuses reconnues également en niveaux de gris.</x:v>
      </x:c>
      <x:c r="J11" s="9" t="str">
        <x:v>Animer seulement les repères actifs ; ne pas déplacer un obstacle statique après le calcul du chemin.</x:v>
      </x:c>
      <x:c r="K11" s="9" t="str">
        <x:v>Boucles très courtes évitées ; matériaux sonores propres aux interactions de cette zone.</x:v>
      </x:c>
      <x:c r="L11" s="9" t="str">
        <x:v>assets/dec/sets/omega/ ; collider séparé du mesh et des ornements.</x:v>
      </x:c>
      <x:c r="M11" s="9" t="str">
        <x:v>Aucune absence de médias d’Omega décrétée comme règle canonique.</x:v>
      </x:c>
      <x:c r="N11" s="9" t="str">
        <x:v>Aucun détail décoratif ne ressemble à tort à une porte ; vue complète vérifiée en petite résolution.</x:v>
      </x:c>
      <x:c r="O11" s="9" t="str">
        <x:v>DEC-MAP-OMEGA</x:v>
      </x:c>
      <x:c r="P11" s="9" t="str"/>
      <x:c r="Q11" s="9" t="str"/>
      <x:c r="R11" s="9" t="str"/>
      <x:c r="S11" s="9" t="str"/>
    </x:row>
    <x:row r="12" ht="54" customHeight="1">
      <x:c r="A12" s="19" t="str">
        <x:v>DEC-SET-CELL</x:v>
      </x:c>
      <x:c r="B12" s="7" t="str">
        <x:v>Local d’un groupe biotique proposé — kit de décor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Production originale des éléments fixes de la carte liée.</x:v>
      </x:c>
      <x:c r="G12" s="7" t="str">
        <x:v>Affiches originales de propagande sans citation du livre. Construire trois profondeurs de décor avec variantes intacte et perturbée si utiles.</x:v>
      </x:c>
      <x:c r="H12" s="7" t="str">
        <x:v>Le décor signale la règle : Une conversation peut révéler un argument manipulatoire.</x:v>
      </x:c>
      <x:c r="I12" s="7" t="str">
        <x:v>Volumes sans microdétails illisibles ; surfaces dangereuses reconnues également en niveaux de gris.</x:v>
      </x:c>
      <x:c r="J12" s="7" t="str">
        <x:v>Animer seulement les repères actifs ; ne pas déplacer un obstacle statique après le calcul du chemin.</x:v>
      </x:c>
      <x:c r="K12" s="7" t="str">
        <x:v>Boucles très courtes évitées ; matériaux sonores propres aux interactions de cette zone.</x:v>
      </x:c>
      <x:c r="L12" s="7" t="str">
        <x:v>assets/dec/sets/cell/ ; collider séparé du mesh et des ornements.</x:v>
      </x:c>
      <x:c r="M12" s="7" t="str">
        <x:v>Le Biotic Underground ne représente pas tous les biotiques.</x:v>
      </x:c>
      <x:c r="N12" s="7" t="str">
        <x:v>Aucun détail décoratif ne ressemble à tort à une porte ; vue complète vérifiée en petite résolution.</x:v>
      </x:c>
      <x:c r="O12" s="7" t="str">
        <x:v>DEC-MAP-CELL</x:v>
      </x:c>
      <x:c r="P12" s="7" t="str"/>
      <x:c r="Q12" s="7" t="str"/>
      <x:c r="R12" s="7" t="str"/>
      <x:c r="S12" s="7" t="str"/>
    </x:row>
    <x:row r="13" ht="54" customHeight="1">
      <x:c r="A13" s="18" t="str">
        <x:v>DEC-SET-DEPOT</x:v>
      </x:c>
      <x:c r="B13" s="9" t="str">
        <x:v>Dépôt d’échange proposé — kit de décor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Production originale des éléments fixes de la carte liée.</x:v>
      </x:c>
      <x:c r="G13" s="9" t="str">
        <x:v>Palettes et lumière verticale, indicateur de sécurité local. Construire trois profondeurs de décor avec variantes intacte et perturbée si utiles.</x:v>
      </x:c>
      <x:c r="H13" s="9" t="str">
        <x:v>Le décor signale la règle : Sécuriser un objet de preuve et garder une échappée.</x:v>
      </x:c>
      <x:c r="I13" s="9" t="str">
        <x:v>Volumes sans microdétails illisibles ; surfaces dangereuses reconnues également en niveaux de gris.</x:v>
      </x:c>
      <x:c r="J13" s="9" t="str">
        <x:v>Animer seulement les repères actifs ; ne pas déplacer un obstacle statique après le calcul du chemin.</x:v>
      </x:c>
      <x:c r="K13" s="9" t="str">
        <x:v>Boucles très courtes évitées ; matériaux sonores propres aux interactions de cette zone.</x:v>
      </x:c>
      <x:c r="L13" s="9" t="str">
        <x:v>assets/dec/sets/depot/ ; collider séparé du mesh et des ornements.</x:v>
      </x:c>
      <x:c r="M13" s="9" t="str">
        <x:v>Pas de nouvelle victoire définitive sur l’Homme Trouble.</x:v>
      </x:c>
      <x:c r="N13" s="9" t="str">
        <x:v>Aucun détail décoratif ne ressemble à tort à une porte ; vue complète vérifiée en petite résolution.</x:v>
      </x:c>
      <x:c r="O13" s="9" t="str">
        <x:v>DEC-MAP-DEPOT</x:v>
      </x:c>
      <x:c r="P13" s="9" t="str"/>
      <x:c r="Q13" s="9" t="str"/>
      <x:c r="R13" s="9" t="str"/>
      <x:c r="S13" s="9" t="str"/>
    </x:row>
    <x:row r="14" ht="54" customHeight="1">
      <x:c r="A14" s="19" t="str">
        <x:v>DEC-SET-ARCHIVE</x:v>
      </x:c>
      <x:c r="B14" s="7" t="str">
        <x:v>Atelier de relecture proposé — kit de décor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Production originale des éléments fixes de la carte liée.</x:v>
      </x:c>
      <x:c r="G14" s="7" t="str">
        <x:v>Présentation sobre de versions et mentions de réserve. Construire trois profondeurs de décor avec variantes intacte et perturbée si utiles.</x:v>
      </x:c>
      <x:c r="H14" s="7" t="str">
        <x:v>Le décor signale la règle : Comparer les états avant d’activer un contenu.</x:v>
      </x:c>
      <x:c r="I14" s="7" t="str">
        <x:v>Volumes sans microdétails illisibles ; surfaces dangereuses reconnues également en niveaux de gris.</x:v>
      </x:c>
      <x:c r="J14" s="7" t="str">
        <x:v>Animer seulement les repères actifs ; ne pas déplacer un obstacle statique après le calcul du chemin.</x:v>
      </x:c>
      <x:c r="K14" s="7" t="str">
        <x:v>Boucles très courtes évitées ; matériaux sonores propres aux interactions de cette zone.</x:v>
      </x:c>
      <x:c r="L14" s="7" t="str">
        <x:v>assets/dec/sets/archive/ ; collider séparé du mesh et des ornements.</x:v>
      </x:c>
      <x:c r="M14" s="7" t="str">
        <x:v>Espace de production hors fiction pour arbitrage éditorial.</x:v>
      </x:c>
      <x:c r="N14" s="7" t="str">
        <x:v>Aucun détail décoratif ne ressemble à tort à une porte ; vue complète vérifiée en petite résolution.</x:v>
      </x:c>
      <x:c r="O14" s="7" t="str">
        <x:v>DEC-MAP-ARCHIVE</x:v>
      </x:c>
      <x:c r="P14" s="7" t="str"/>
      <x:c r="Q14" s="7" t="str"/>
      <x:c r="R14" s="7" t="str"/>
      <x:c r="S14" s="7" t="str"/>
    </x:row>
  </x:sheetData>
  <x:conditionalFormatting sqref="D7:D14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4">
    <x:cfRule type="cellIs" dxfId="26" priority="3" operator="equal">
      <x:formula>"Validé"</x:formula>
    </x:cfRule>
  </x:conditionalFormatting>
  <x:conditionalFormatting sqref="E7:E14">
    <x:cfRule type="cellIs" dxfId="2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ab03681664c5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DEC-REF-EVIDENCE</x:v>
      </x:c>
      <x:c r="B7" s="9" t="str">
        <x:v>Corps de Grayson comme preuve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Il est présenté au Conseil dans l’édition décrite.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ref.dec.evidence ; affichage bref avec source.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DEC-SRC-AND</x:v>
      </x:c>
      <x:c r="R7" s="9" t="str">
        <x:v>https://masseffect.fandom.com/wiki/David_Anderson</x:v>
      </x:c>
      <x:c r="S7" s="9" t="str">
        <x:v>Ce relevé n’est ni un inventaire exhaustif ni un résumé scène par scène.</x:v>
      </x:c>
    </x:row>
  </x:sheetData>
  <x:conditionalFormatting sqref="D7:D7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7">
    <x:cfRule type="cellIs" dxfId="30" priority="3" operator="equal">
      <x:formula>"Validé"</x:formula>
    </x:cfRule>
  </x:conditionalFormatting>
  <x:conditionalFormatting sqref="E7:E7">
    <x:cfRule type="cellIs" dxfId="3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9d1576ec8443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DEC-ENC-BOARDER</x:v>
      </x:c>
      <x:c r="B7" s="9" t="str">
        <x:v>Abordeur esclavagiste proposé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Rencontre originale proposée : Ennemi ajouté à une annexe de protection de vaisseau.</x:v>
      </x:c>
      <x:c r="G7" s="9" t="str">
        <x:v>Opposition ou crise scénarisée pour le groupe ; ne pas attribuer au roman une barre de vie ou un rang de boss.</x:v>
      </x:c>
      <x:c r="H7" s="9" t="str">
        <x:v>Cherche à fermer la sortie des captifs plutôt qu’à tuer le groupe. Réponse du joueur : Garder la porte accessible et désarmer localement.</x:v>
      </x:c>
      <x:c r="I7" s="9" t="str">
        <x:v>Approche vers le verrou et pictogramme de porte.</x:v>
      </x:c>
      <x:c r="J7" s="9" t="str">
        <x:v>Anticipation identifiable, action, récupération exploitable ; variante de sortie non létale lorsque pertinente.</x:v>
      </x:c>
      <x:c r="K7" s="9" t="str">
        <x:v>Motif de danger spécifique, sous-titre bref et avertissement visuel.</x:v>
      </x:c>
      <x:c r="L7" s="9" t="str">
        <x:v>encounters/dec/boarder.json ; activer seulement dans les zones prévues.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Un joueur découvre la contre-mesure par le télégraphe ; la résolution ne modifie aucun destin établi.</x:v>
      </x:c>
      <x:c r="O7" s="9" t="str"/>
      <x:c r="P7" s="9" t="str"/>
      <x:c r="Q7" s="9" t="str"/>
      <x:c r="R7" s="9" t="str"/>
      <x:c r="S7" s="9" t="str">
        <x:v>Tous comportements et réglages de combat sont du design original.</x:v>
      </x:c>
    </x:row>
    <x:row r="8" ht="82" customHeight="1">
      <x:c r="A8" s="19" t="str">
        <x:v>DEC-ENC-RADICAL</x:v>
      </x:c>
      <x:c r="B8" s="7" t="str">
        <x:v>Sentinelle du local proposée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Rencontre originale proposée : Obstacle d’accès lié à un groupe fictif de soutien.</x:v>
      </x:c>
      <x:c r="G8" s="7" t="str">
        <x:v>Opposition ou crise scénarisée pour le groupe ; ne pas attribuer au roman une barre de vie ou un rang de boss.</x:v>
      </x:c>
      <x:c r="H8" s="7" t="str">
        <x:v>Interrompt une interaction si le groupe traverse sa zone sans autorisation. Réponse du joueur : Obtenir un accès de dialogue ou utiliser le couloir de service.</x:v>
      </x:c>
      <x:c r="I8" s="7" t="str">
        <x:v>Arc de surveillance et avertissement verbal original.</x:v>
      </x:c>
      <x:c r="J8" s="7" t="str">
        <x:v>Anticipation identifiable, action, récupération exploitable ; variante de sortie non létale lorsque pertinente.</x:v>
      </x:c>
      <x:c r="K8" s="7" t="str">
        <x:v>Motif de danger spécifique, sous-titre bref et avertissement visuel.</x:v>
      </x:c>
      <x:c r="L8" s="7" t="str">
        <x:v>encounters/dec/radical.json ; activer seulement dans les zones prévues.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Un joueur découvre la contre-mesure par le télégraphe ; la résolution ne modifie aucun destin établi.</x:v>
      </x:c>
      <x:c r="O8" s="7" t="str"/>
      <x:c r="P8" s="7" t="str"/>
      <x:c r="Q8" s="7" t="str"/>
      <x:c r="R8" s="7" t="str"/>
      <x:c r="S8" s="7" t="str">
        <x:v>Tous comportements et réglages de combat sont du design original.</x:v>
      </x:c>
    </x:row>
    <x:row r="9" ht="82" customHeight="1">
      <x:c r="A9" s="18" t="str">
        <x:v>DEC-ENC-LENG</x:v>
      </x:c>
      <x:c r="B9" s="9" t="str">
        <x:v>Kai Leng — menace de sortie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Rencontre originale proposée : Confrontation de contrôle d’objectif sous réserve de continuité.</x:v>
      </x:c>
      <x:c r="G9" s="9" t="str">
        <x:v>Opposition ou crise scénarisée pour le groupe ; ne pas attribuer au roman une barre de vie ou un rang de boss.</x:v>
      </x:c>
      <x:c r="H9" s="9" t="str">
        <x:v>Feinte une attaque et se replie vers un accès déterminé. Réponse du joueur : Protéger la preuve et préserver une couverture, sans mort canonique ajoutée.</x:v>
      </x:c>
      <x:c r="I9" s="9" t="str">
        <x:v>Direction de retraite signalée après l’anticipation.</x:v>
      </x:c>
      <x:c r="J9" s="9" t="str">
        <x:v>Anticipation identifiable, action, récupération exploitable ; variante de sortie non létale lorsque pertinente.</x:v>
      </x:c>
      <x:c r="K9" s="9" t="str">
        <x:v>Motif de danger spécifique, sous-titre bref et avertissement visuel.</x:v>
      </x:c>
      <x:c r="L9" s="9" t="str">
        <x:v>encounters/dec/leng.json ; activer seulement dans les zones prévues.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Un joueur découvre la contre-mesure par le télégraphe ; la résolution ne modifie aucun destin établi.</x:v>
      </x:c>
      <x:c r="O9" s="9" t="str"/>
      <x:c r="P9" s="9" t="str"/>
      <x:c r="Q9" s="9" t="str"/>
      <x:c r="R9" s="9" t="str"/>
      <x:c r="S9" s="9" t="str">
        <x:v>Tous comportements et réglages de combat sont du design original.</x:v>
      </x:c>
    </x:row>
    <x:row r="10" ht="82" customHeight="1">
      <x:c r="A10" s="19" t="str">
        <x:v>DEC-ENC-LEAK</x:v>
      </x:c>
      <x:c r="B10" s="7" t="str">
        <x:v>Fuite d’information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Rencontre originale proposée : Crise de boss abstraite créée pour l’interface de dossier.</x:v>
      </x:c>
      <x:c r="G10" s="7" t="str">
        <x:v>Opposition ou crise scénarisée pour le groupe ; ne pas attribuer au roman une barre de vie ou un rang de boss.</x:v>
      </x:c>
      <x:c r="H10" s="7" t="str">
        <x:v>Un relais tente de publier une version incomplète du dossier. Réponse du joueur : Suspendre le relais puis fournir la preuve vérifiée.</x:v>
      </x:c>
      <x:c r="I10" s="7" t="str">
        <x:v>Documents colorés et symbole de provenance manquante.</x:v>
      </x:c>
      <x:c r="J10" s="7" t="str">
        <x:v>Anticipation identifiable, action, récupération exploitable ; variante de sortie non létale lorsque pertinente.</x:v>
      </x:c>
      <x:c r="K10" s="7" t="str">
        <x:v>Motif de danger spécifique, sous-titre bref et avertissement visuel.</x:v>
      </x:c>
      <x:c r="L10" s="7" t="str">
        <x:v>encounters/dec/leak.json ; activer seulement dans les zones prévues.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Un joueur découvre la contre-mesure par le télégraphe ; la résolution ne modifie aucun destin établi.</x:v>
      </x:c>
      <x:c r="O10" s="7" t="str"/>
      <x:c r="P10" s="7" t="str"/>
      <x:c r="Q10" s="7" t="str"/>
      <x:c r="R10" s="7" t="str"/>
      <x:c r="S10" s="7" t="str">
        <x:v>Tous comportements et réglages de combat sont du design original.</x:v>
      </x:c>
    </x:row>
  </x:sheetData>
  <x:conditionalFormatting sqref="D7:D10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0">
    <x:cfRule type="cellIs" dxfId="34" priority="3" operator="equal">
      <x:formula>"Validé"</x:formula>
    </x:cfRule>
  </x:conditionalFormatting>
  <x:conditionalFormatting sqref="E7:E10">
    <x:cfRule type="cellIs" dxfId="3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a5e7867dc405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DEC-MIS-DOSSIER</x:v>
      </x:c>
      <x:c r="B7" s="9" t="str">
        <x:v>Présenter une preuve vérifiable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Mission originale d’adaptation, inspirée d’un enjeu général de l’œuvre.</x:v>
      </x:c>
      <x:c r="G7" s="9" t="str">
        <x:v>Préparer une remise de dossier dans une annexe administrative originale.</x:v>
      </x:c>
      <x:c r="H7" s="9" t="str">
        <x:v>Étiqueter origine, chaîne de garde et question restant ouverte ; l’interface distingue constat et conclusion.</x:v>
      </x:c>
      <x:c r="I7" s="9" t="str">
        <x:v>Objectif spatial associé à Dépendance administrative proposée ; états non commencé/en cours/résolu distingués.</x:v>
      </x:c>
      <x:c r="J7" s="9" t="str">
        <x:v>Entrée contrôlée, actions de groupe et fin interruptible avant sauvegarde ; aucune animation ne décide seule du résultat.</x:v>
      </x:c>
      <x:c r="K7" s="9" t="str">
        <x:v>Briefing original concis ; changement de musique à la résolution d’objectif, pas après un délai arbitraire.</x:v>
      </x:c>
      <x:c r="L7" s="9" t="str">
        <x:v>quests/dec/dossier.json ; états offered/active/resolved ; clés de progression propres au module.</x:v>
      </x:c>
      <x:c r="M7" s="9" t="str">
        <x:v>Ne pas ajouter une reconnaissance officielle anticipée des Moissonneurs.</x:v>
      </x:c>
      <x:c r="N7" s="9" t="str">
        <x:v>Le joueur peut accomplir « Préparer une remise de dossier dans une annexe administrative originale. » et la sortie confirme le résultat ; Ne pas ajouter une reconnaissance officielle anticipée des Moissonneurs.</x:v>
      </x:c>
      <x:c r="O7" s="9" t="str">
        <x:v>DEC-MAP-CITADEL</x:v>
      </x:c>
      <x:c r="P7" s="9" t="str"/>
      <x:c r="Q7" s="9" t="str"/>
      <x:c r="R7" s="9" t="str"/>
      <x:c r="S7" s="9" t="str"/>
    </x:row>
    <x:row r="8" ht="68" customHeight="1">
      <x:c r="A8" s="19" t="str">
        <x:v>DEC-MIS-ALERT</x:v>
      </x:c>
      <x:c r="B8" s="7" t="str">
        <x:v>Organiser un sas de protection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Mission originale d’adaptation, inspirée d’un enjeu général de l’œuvre.</x:v>
      </x:c>
      <x:c r="G8" s="7" t="str">
        <x:v>Donner à une équipe de bord une route de repli cohérente.</x:v>
      </x:c>
      <x:c r="H8" s="7" t="str">
        <x:v>Couvrir les portes et déplacer les non-combattants vers un point sécurisé.</x:v>
      </x:c>
      <x:c r="I8" s="7" t="str">
        <x:v>Objectif spatial associé à Poste de sécurité de l’Idenna proposé ; états non commencé/en cours/résolu distingués.</x:v>
      </x:c>
      <x:c r="J8" s="7" t="str">
        <x:v>Entrée contrôlée, actions de groupe et fin interruptible avant sauvegarde ; aucune animation ne décide seule du résultat.</x:v>
      </x:c>
      <x:c r="K8" s="7" t="str">
        <x:v>Briefing original concis ; changement de musique à la résolution d’objectif, pas après un délai arbitraire.</x:v>
      </x:c>
      <x:c r="L8" s="7" t="str">
        <x:v>quests/dec/alert.json ; états offered/active/resolved ; clés de progression propres au module.</x:v>
      </x:c>
      <x:c r="M8" s="7" t="str">
        <x:v>Pas de changement des destins attestés dans l’édition utilisée.</x:v>
      </x:c>
      <x:c r="N8" s="7" t="str">
        <x:v>Le joueur peut accomplir « Donner à une équipe de bord une route de repli cohérente. » et la sortie confirme le résultat ; Pas de changement des destins attestés dans l’édition utilisée.</x:v>
      </x:c>
      <x:c r="O8" s="7" t="str">
        <x:v>DEC-MAP-IDENNA</x:v>
      </x:c>
      <x:c r="P8" s="7" t="str"/>
      <x:c r="Q8" s="7" t="str"/>
      <x:c r="R8" s="7" t="str"/>
      <x:c r="S8" s="7" t="str"/>
    </x:row>
    <x:row r="9" ht="68" customHeight="1">
      <x:c r="A9" s="18" t="str">
        <x:v>DEC-MIS-TESTIMONY</x:v>
      </x:c>
      <x:c r="B9" s="9" t="str">
        <x:v>Écouter un témoin libéré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Mission originale d’adaptation, inspirée d’un enjeu général de l’œuvre.</x:v>
      </x:c>
      <x:c r="G9" s="9" t="str">
        <x:v>Noter ce qu’un témoin sait réellement d’un événement.</x:v>
      </x:c>
      <x:c r="H9" s="9" t="str">
        <x:v>Choisir une question sur date, lieu ou source ; conserver la réponse comme déclaration.</x:v>
      </x:c>
      <x:c r="I9" s="9" t="str">
        <x:v>Objectif spatial associé à Compartiment du Glory proposé ; états non commencé/en cours/résolu distingués.</x:v>
      </x:c>
      <x:c r="J9" s="9" t="str">
        <x:v>Entrée contrôlée, actions de groupe et fin interruptible avant sauvegarde ; aucune animation ne décide seule du résultat.</x:v>
      </x:c>
      <x:c r="K9" s="9" t="str">
        <x:v>Briefing original concis ; changement de musique à la résolution d’objectif, pas après un délai arbitraire.</x:v>
      </x:c>
      <x:c r="L9" s="9" t="str">
        <x:v>quests/dec/testimony.json ; états offered/active/resolved ; clés de progression propres au module.</x:v>
      </x:c>
      <x:c r="M9" s="9" t="str">
        <x:v>Une parole rapportée n’est pas transformée en vérité omnisciente.</x:v>
      </x:c>
      <x:c r="N9" s="9" t="str">
        <x:v>Le joueur peut accomplir « Noter ce qu’un témoin sait réellement d’un événement. » et la sortie confirme le résultat ; Une parole rapportée n’est pas transformée en vérité omnisciente.</x:v>
      </x:c>
      <x:c r="O9" s="9" t="str">
        <x:v>DEC-MAP-GLORY</x:v>
      </x:c>
      <x:c r="P9" s="9" t="str"/>
      <x:c r="Q9" s="9" t="str"/>
      <x:c r="R9" s="9" t="str"/>
      <x:c r="S9" s="9" t="str"/>
    </x:row>
    <x:row r="10" ht="68" customHeight="1">
      <x:c r="A10" s="19" t="str">
        <x:v>DEC-MIS-PURPOSE</x:v>
      </x:c>
      <x:c r="B10" s="7" t="str">
        <x:v>Examiner une piste de vengeance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Mission originale d’adaptation, inspirée d’un enjeu général de l’œuvre.</x:v>
      </x:c>
      <x:c r="G10" s="7" t="str">
        <x:v>Comparer l’objectif immédiat aux risques pour le groupe.</x:v>
      </x:c>
      <x:c r="H10" s="7" t="str">
        <x:v>Lister les faits acquis et les inconnues ; ouvrir un trajet local seulement après confirmation de lecture.</x:v>
      </x:c>
      <x:c r="I10" s="7" t="str">
        <x:v>Objectif spatial associé à Cabine de discussion proposée ; états non commencé/en cours/résolu distingués.</x:v>
      </x:c>
      <x:c r="J10" s="7" t="str">
        <x:v>Entrée contrôlée, actions de groupe et fin interruptible avant sauvegarde ; aucune animation ne décide seule du résultat.</x:v>
      </x:c>
      <x:c r="K10" s="7" t="str">
        <x:v>Briefing original concis ; changement de musique à la résolution d’objectif, pas après un délai arbitraire.</x:v>
      </x:c>
      <x:c r="L10" s="7" t="str">
        <x:v>quests/dec/purpose.json ; états offered/active/resolved ; clés de progression propres au module.</x:v>
      </x:c>
      <x:c r="M10" s="7" t="str">
        <x:v>Ne pas fabriquer une autre personnalité de Gillian pour résoudre une incohérence.</x:v>
      </x:c>
      <x:c r="N10" s="7" t="str">
        <x:v>Le joueur peut accomplir « Comparer l’objectif immédiat aux risques pour le groupe. » et la sortie confirme le résultat ; Ne pas fabriquer une autre personnalité de Gillian pour résoudre une incohérence.</x:v>
      </x:c>
      <x:c r="O10" s="7" t="str">
        <x:v>DEC-MAP-TRANSIT</x:v>
      </x:c>
      <x:c r="P10" s="7" t="str"/>
      <x:c r="Q10" s="7" t="str"/>
      <x:c r="R10" s="7" t="str"/>
      <x:c r="S10" s="7" t="str"/>
    </x:row>
    <x:row r="11" ht="68" customHeight="1">
      <x:c r="A11" s="18" t="str">
        <x:v>DEC-MIS-NETWORK</x:v>
      </x:c>
      <x:c r="B11" s="9" t="str">
        <x:v>Démêler les relais d’Omega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Mission originale d’adaptation, inspirée d’un enjeu général de l’œuvre.</x:v>
      </x:c>
      <x:c r="G11" s="9" t="str">
        <x:v>Identifier quel intermédiaire détient une information locale.</x:v>
      </x:c>
      <x:c r="H11" s="9" t="str">
        <x:v>Croiser trois relais fictifs ; chaque lien possède origine et degré de confiance.</x:v>
      </x:c>
      <x:c r="I11" s="9" t="str">
        <x:v>Objectif spatial associé à Relais d’information proposé ; états non commencé/en cours/résolu distingués.</x:v>
      </x:c>
      <x:c r="J11" s="9" t="str">
        <x:v>Entrée contrôlée, actions de groupe et fin interruptible avant sauvegarde ; aucune animation ne décide seule du résultat.</x:v>
      </x:c>
      <x:c r="K11" s="9" t="str">
        <x:v>Briefing original concis ; changement de musique à la résolution d’objectif, pas après un délai arbitraire.</x:v>
      </x:c>
      <x:c r="L11" s="9" t="str">
        <x:v>quests/dec/network.json ; états offered/active/resolved ; clés de progression propres au module.</x:v>
      </x:c>
      <x:c r="M11" s="9" t="str">
        <x:v>Les intermédiaires supplémentaires sont signalés comme création originale.</x:v>
      </x:c>
      <x:c r="N11" s="9" t="str">
        <x:v>Le joueur peut accomplir « Identifier quel intermédiaire détient une information locale. » et la sortie confirme le résultat ; Les intermédiaires supplémentaires sont signalés comme création originale.</x:v>
      </x:c>
      <x:c r="O11" s="9" t="str">
        <x:v>DEC-MAP-OMEGA</x:v>
      </x:c>
      <x:c r="P11" s="9" t="str"/>
      <x:c r="Q11" s="9" t="str"/>
      <x:c r="R11" s="9" t="str"/>
      <x:c r="S11" s="9" t="str"/>
    </x:row>
    <x:row r="12" ht="68" customHeight="1">
      <x:c r="A12" s="19" t="str">
        <x:v>DEC-MIS-PROMISE</x:v>
      </x:c>
      <x:c r="B12" s="7" t="str">
        <x:v>Reconnaître une promesse dangereuse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Mission originale d’adaptation, inspirée d’un enjeu général de l’œuvre.</x:v>
      </x:c>
      <x:c r="G12" s="7" t="str">
        <x:v>Explorer une conversation originale sur le recrutement radical.</x:v>
      </x:c>
      <x:c r="H12" s="7" t="str">
        <x:v>Repérer un argument qui exclut, un avantage promis et une information omise.</x:v>
      </x:c>
      <x:c r="I12" s="7" t="str">
        <x:v>Objectif spatial associé à Local d’un groupe biotique proposé ; états non commencé/en cours/résolu distingués.</x:v>
      </x:c>
      <x:c r="J12" s="7" t="str">
        <x:v>Entrée contrôlée, actions de groupe et fin interruptible avant sauvegarde ; aucune animation ne décide seule du résultat.</x:v>
      </x:c>
      <x:c r="K12" s="7" t="str">
        <x:v>Briefing original concis ; changement de musique à la résolution d’objectif, pas après un délai arbitraire.</x:v>
      </x:c>
      <x:c r="L12" s="7" t="str">
        <x:v>quests/dec/promise.json ; états offered/active/resolved ; clés de progression propres au module.</x:v>
      </x:c>
      <x:c r="M12" s="7" t="str">
        <x:v>L’appartenance de Nick reste celle de l’édition, sous réserve éditoriale.</x:v>
      </x:c>
      <x:c r="N12" s="7" t="str">
        <x:v>Le joueur peut accomplir « Explorer une conversation originale sur le recrutement radical. » et la sortie confirme le résultat ; L’appartenance de Nick reste celle de l’édition, sous réserve éditoriale.</x:v>
      </x:c>
      <x:c r="O12" s="7" t="str">
        <x:v>DEC-MAP-CELL</x:v>
      </x:c>
      <x:c r="P12" s="7" t="str"/>
      <x:c r="Q12" s="7" t="str"/>
      <x:c r="R12" s="7" t="str"/>
      <x:c r="S12" s="7" t="str"/>
    </x:row>
    <x:row r="13" ht="68" customHeight="1">
      <x:c r="A13" s="18" t="str">
        <x:v>DEC-MIS-EXCHANGE</x:v>
      </x:c>
      <x:c r="B13" s="9" t="str">
        <x:v>Sécuriser une remise locale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Mission originale d’adaptation, inspirée d’un enjeu général de l’œuvre.</x:v>
      </x:c>
      <x:c r="G13" s="9" t="str">
        <x:v>Maintenir l’intégrité d’une preuve pendant une rencontre tendue.</x:v>
      </x:c>
      <x:c r="H13" s="9" t="str">
        <x:v>Deux membres surveillent les issues, un troisième vérifie le conteneur ; priorité à la sortie.</x:v>
      </x:c>
      <x:c r="I13" s="9" t="str">
        <x:v>Objectif spatial associé à Dépôt d’échange proposé ; états non commencé/en cours/résolu distingués.</x:v>
      </x:c>
      <x:c r="J13" s="9" t="str">
        <x:v>Entrée contrôlée, actions de groupe et fin interruptible avant sauvegarde ; aucune animation ne décide seule du résultat.</x:v>
      </x:c>
      <x:c r="K13" s="9" t="str">
        <x:v>Briefing original concis ; changement de musique à la résolution d’objectif, pas après un délai arbitraire.</x:v>
      </x:c>
      <x:c r="L13" s="9" t="str">
        <x:v>quests/dec/exchange.json ; états offered/active/resolved ; clés de progression propres au module.</x:v>
      </x:c>
      <x:c r="M13" s="9" t="str">
        <x:v>Ne pas prétendre que cet échange existe dans le roman.</x:v>
      </x:c>
      <x:c r="N13" s="9" t="str">
        <x:v>Le joueur peut accomplir « Maintenir l’intégrité d’une preuve pendant une rencontre tendue. » et la sortie confirme le résultat ; Ne pas prétendre que cet échange existe dans le roman.</x:v>
      </x:c>
      <x:c r="O13" s="9" t="str">
        <x:v>DEC-MAP-DEPOT</x:v>
      </x:c>
      <x:c r="P13" s="9" t="str"/>
      <x:c r="Q13" s="9" t="str"/>
      <x:c r="R13" s="9" t="str"/>
      <x:c r="S13" s="9" t="str"/>
    </x:row>
    <x:row r="14" ht="82" customHeight="1">
      <x:c r="A14" s="19" t="str">
        <x:v>DEC-MIS-ARBITRATE</x:v>
      </x:c>
      <x:c r="B14" s="7" t="str">
        <x:v>Clore sans effacer les réserves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Mission originale d’adaptation, inspirée d’un enjeu général de l’œuvre.</x:v>
      </x:c>
      <x:c r="G14" s="7" t="str">
        <x:v>Terminer le module en conservant les faits contestés dans leur version documentée.</x:v>
      </x:c>
      <x:c r="H14" s="7" t="str">
        <x:v>Afficher points établis, points contradictoires et propositions ; confirmer la version du scénario retenue.</x:v>
      </x:c>
      <x:c r="I14" s="7" t="str">
        <x:v>Objectif spatial associé à Atelier de relecture proposé ; états non commencé/en cours/résolu distingués.</x:v>
      </x:c>
      <x:c r="J14" s="7" t="str">
        <x:v>Entrée contrôlée, actions de groupe et fin interruptible avant sauvegarde ; aucune animation ne décide seule du résultat.</x:v>
      </x:c>
      <x:c r="K14" s="7" t="str">
        <x:v>Briefing original concis ; changement de musique à la résolution d’objectif, pas après un délai arbitraire.</x:v>
      </x:c>
      <x:c r="L14" s="7" t="str">
        <x:v>quests/dec/arbitrate.json ; états offered/active/resolved ; clés de progression propres au module.</x:v>
      </x:c>
      <x:c r="M14" s="7" t="str">
        <x:v>La fin du module ne certifie pas une édition corrigée inexistante.</x:v>
      </x:c>
      <x:c r="N14" s="7" t="str">
        <x:v>Le joueur peut accomplir « Terminer le module en conservant les faits contestés dans leur version documentée. » et la sortie confirme le résultat ; La fin du module ne certifie pas une édition corrigée inexistante.</x:v>
      </x:c>
      <x:c r="O14" s="7" t="str">
        <x:v>DEC-MAP-ARCHIVE</x:v>
      </x:c>
      <x:c r="P14" s="7" t="str"/>
      <x:c r="Q14" s="7" t="str"/>
      <x:c r="R14" s="7" t="str"/>
      <x:c r="S14" s="7" t="str"/>
    </x:row>
  </x:sheetData>
  <x:conditionalFormatting sqref="D7:D14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4">
    <x:cfRule type="cellIs" dxfId="38" priority="3" operator="equal">
      <x:formula>"Validé"</x:formula>
    </x:cfRule>
  </x:conditionalFormatting>
  <x:conditionalFormatting sqref="E7:E14">
    <x:cfRule type="cellIs" dxfId="3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e428101bcb4ca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DEC-OPT-DOSSIER</x:v>
      </x:c>
      <x:c r="B7" s="9" t="str">
        <x:v>Présenter une preuve vérifiable — tâche annexe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Objectif annexe créé pour l’adaptation.</x:v>
      </x:c>
      <x:c r="G7" s="9" t="str">
        <x:v>Retrouver un reçu de transfert pour compléter la chaîne documentaire.</x:v>
      </x:c>
      <x:c r="H7" s="9" t="str">
        <x:v>Récompense proposée : renseignement de terrain, raccourci ou consommable local. Ne débloque aucun savoir anticipé sur la saga.</x:v>
      </x:c>
      <x:c r="I7" s="9" t="str">
        <x:v>Marqueur secondaire distinct du chemin critique et objet d’intérêt cadré lisiblement.</x:v>
      </x:c>
      <x:c r="J7" s="9" t="str">
        <x:v>Interaction brève réutilisant les poses du métier concerné, avec interruption possible.</x:v>
      </x:c>
      <x:c r="K7" s="9" t="str">
        <x:v>Petit signal de découverte ; résultat textuel consultable sans audio.</x:v>
      </x:c>
      <x:c r="L7" s="9" t="str">
        <x:v>optional.dec.dossier ; persister done/skipped, récompenser une seule fois.</x:v>
      </x:c>
      <x:c r="M7" s="9" t="str">
        <x:v>Facultatif ; peut être ignoré sans bloquer la mission. Ne pas ajouter une reconnaissance officielle anticipée des Moissonneurs.</x:v>
      </x:c>
      <x:c r="N7" s="9" t="str">
        <x:v>Ignorer puis terminer la mission fonctionne ; compléter ne verse la récompense qu’une fois.</x:v>
      </x:c>
      <x:c r="O7" s="9" t="str">
        <x:v>DEC-MIS-DOSSIER</x:v>
      </x:c>
      <x:c r="P7" s="9" t="str"/>
      <x:c r="Q7" s="9" t="str"/>
      <x:c r="R7" s="9" t="str"/>
      <x:c r="S7" s="9" t="str"/>
    </x:row>
    <x:row r="8" ht="54" customHeight="1">
      <x:c r="A8" s="19" t="str">
        <x:v>DEC-OPT-ALERT</x:v>
      </x:c>
      <x:c r="B8" s="7" t="str">
        <x:v>Organiser un sas de protection — tâche annexe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Objectif annexe créé pour l’adaptation.</x:v>
      </x:c>
      <x:c r="G8" s="7" t="str">
        <x:v>Récupérer un journal d’équipage pour confirmer les personnes présentes.</x:v>
      </x:c>
      <x:c r="H8" s="7" t="str">
        <x:v>Récompense proposée : renseignement de terrain, raccourci ou consommable local. Ne débloque aucun savoir anticipé sur la saga.</x:v>
      </x:c>
      <x:c r="I8" s="7" t="str">
        <x:v>Marqueur secondaire distinct du chemin critique et objet d’intérêt cadré lisiblement.</x:v>
      </x:c>
      <x:c r="J8" s="7" t="str">
        <x:v>Interaction brève réutilisant les poses du métier concerné, avec interruption possible.</x:v>
      </x:c>
      <x:c r="K8" s="7" t="str">
        <x:v>Petit signal de découverte ; résultat textuel consultable sans audio.</x:v>
      </x:c>
      <x:c r="L8" s="7" t="str">
        <x:v>optional.dec.alert ; persister done/skipped, récompenser une seule fois.</x:v>
      </x:c>
      <x:c r="M8" s="7" t="str">
        <x:v>Facultatif ; peut être ignoré sans bloquer la mission. Pas de changement des destins attestés dans l’édition utilisée.</x:v>
      </x:c>
      <x:c r="N8" s="7" t="str">
        <x:v>Ignorer puis terminer la mission fonctionne ; compléter ne verse la récompense qu’une fois.</x:v>
      </x:c>
      <x:c r="O8" s="7" t="str">
        <x:v>DEC-MIS-ALERT</x:v>
      </x:c>
      <x:c r="P8" s="7" t="str"/>
      <x:c r="Q8" s="7" t="str"/>
      <x:c r="R8" s="7" t="str"/>
      <x:c r="S8" s="7" t="str"/>
    </x:row>
    <x:row r="9" ht="54" customHeight="1">
      <x:c r="A9" s="18" t="str">
        <x:v>DEC-OPT-TESTIMONY</x:v>
      </x:c>
      <x:c r="B9" s="9" t="str">
        <x:v>Écouter un témoin libéré — tâche annexe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Objectif annexe créé pour l’adaptation.</x:v>
      </x:c>
      <x:c r="G9" s="9" t="str">
        <x:v>Restituer un objet civil sans récompense monétaire.</x:v>
      </x:c>
      <x:c r="H9" s="9" t="str">
        <x:v>Récompense proposée : renseignement de terrain, raccourci ou consommable local. Ne débloque aucun savoir anticipé sur la saga.</x:v>
      </x:c>
      <x:c r="I9" s="9" t="str">
        <x:v>Marqueur secondaire distinct du chemin critique et objet d’intérêt cadré lisiblement.</x:v>
      </x:c>
      <x:c r="J9" s="9" t="str">
        <x:v>Interaction brève réutilisant les poses du métier concerné, avec interruption possible.</x:v>
      </x:c>
      <x:c r="K9" s="9" t="str">
        <x:v>Petit signal de découverte ; résultat textuel consultable sans audio.</x:v>
      </x:c>
      <x:c r="L9" s="9" t="str">
        <x:v>optional.dec.testimony ; persister done/skipped, récompenser une seule fois.</x:v>
      </x:c>
      <x:c r="M9" s="9" t="str">
        <x:v>Facultatif ; peut être ignoré sans bloquer la mission. Une parole rapportée n’est pas transformée en vérité omnisciente.</x:v>
      </x:c>
      <x:c r="N9" s="9" t="str">
        <x:v>Ignorer puis terminer la mission fonctionne ; compléter ne verse la récompense qu’une fois.</x:v>
      </x:c>
      <x:c r="O9" s="9" t="str">
        <x:v>DEC-MIS-TESTIMONY</x:v>
      </x:c>
      <x:c r="P9" s="9" t="str"/>
      <x:c r="Q9" s="9" t="str"/>
      <x:c r="R9" s="9" t="str"/>
      <x:c r="S9" s="9" t="str"/>
    </x:row>
    <x:row r="10" ht="54" customHeight="1">
      <x:c r="A10" s="19" t="str">
        <x:v>DEC-OPT-PURPOSE</x:v>
      </x:c>
      <x:c r="B10" s="7" t="str">
        <x:v>Examiner une piste de vengeance — tâche annexe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Objectif annexe créé pour l’adaptation.</x:v>
      </x:c>
      <x:c r="G10" s="7" t="str">
        <x:v>Reconstituer un carnet original de voyage non biographique.</x:v>
      </x:c>
      <x:c r="H10" s="7" t="str">
        <x:v>Récompense proposée : renseignement de terrain, raccourci ou consommable local. Ne débloque aucun savoir anticipé sur la saga.</x:v>
      </x:c>
      <x:c r="I10" s="7" t="str">
        <x:v>Marqueur secondaire distinct du chemin critique et objet d’intérêt cadré lisiblement.</x:v>
      </x:c>
      <x:c r="J10" s="7" t="str">
        <x:v>Interaction brève réutilisant les poses du métier concerné, avec interruption possible.</x:v>
      </x:c>
      <x:c r="K10" s="7" t="str">
        <x:v>Petit signal de découverte ; résultat textuel consultable sans audio.</x:v>
      </x:c>
      <x:c r="L10" s="7" t="str">
        <x:v>optional.dec.purpose ; persister done/skipped, récompenser une seule fois.</x:v>
      </x:c>
      <x:c r="M10" s="7" t="str">
        <x:v>Facultatif ; peut être ignoré sans bloquer la mission. Ne pas fabriquer une autre personnalité de Gillian pour résoudre une incohérence.</x:v>
      </x:c>
      <x:c r="N10" s="7" t="str">
        <x:v>Ignorer puis terminer la mission fonctionne ; compléter ne verse la récompense qu’une fois.</x:v>
      </x:c>
      <x:c r="O10" s="7" t="str">
        <x:v>DEC-MIS-PURPOSE</x:v>
      </x:c>
      <x:c r="P10" s="7" t="str"/>
      <x:c r="Q10" s="7" t="str"/>
      <x:c r="R10" s="7" t="str"/>
      <x:c r="S10" s="7" t="str"/>
    </x:row>
    <x:row r="11" ht="54" customHeight="1">
      <x:c r="A11" s="18" t="str">
        <x:v>DEC-OPT-NETWORK</x:v>
      </x:c>
      <x:c r="B11" s="9" t="str">
        <x:v>Démêler les relais d’Omega — tâche annexe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Objectif annexe créé pour l’adaptation.</x:v>
      </x:c>
      <x:c r="G11" s="9" t="str">
        <x:v>Réparer un panneau d’affichage utile aux résidents.</x:v>
      </x:c>
      <x:c r="H11" s="9" t="str">
        <x:v>Récompense proposée : renseignement de terrain, raccourci ou consommable local. Ne débloque aucun savoir anticipé sur la saga.</x:v>
      </x:c>
      <x:c r="I11" s="9" t="str">
        <x:v>Marqueur secondaire distinct du chemin critique et objet d’intérêt cadré lisiblement.</x:v>
      </x:c>
      <x:c r="J11" s="9" t="str">
        <x:v>Interaction brève réutilisant les poses du métier concerné, avec interruption possible.</x:v>
      </x:c>
      <x:c r="K11" s="9" t="str">
        <x:v>Petit signal de découverte ; résultat textuel consultable sans audio.</x:v>
      </x:c>
      <x:c r="L11" s="9" t="str">
        <x:v>optional.dec.network ; persister done/skipped, récompenser une seule fois.</x:v>
      </x:c>
      <x:c r="M11" s="9" t="str">
        <x:v>Facultatif ; peut être ignoré sans bloquer la mission. Les intermédiaires supplémentaires sont signalés comme création originale.</x:v>
      </x:c>
      <x:c r="N11" s="9" t="str">
        <x:v>Ignorer puis terminer la mission fonctionne ; compléter ne verse la récompense qu’une fois.</x:v>
      </x:c>
      <x:c r="O11" s="9" t="str">
        <x:v>DEC-MIS-NETWORK</x:v>
      </x:c>
      <x:c r="P11" s="9" t="str"/>
      <x:c r="Q11" s="9" t="str"/>
      <x:c r="R11" s="9" t="str"/>
      <x:c r="S11" s="9" t="str"/>
    </x:row>
    <x:row r="12" ht="54" customHeight="1">
      <x:c r="A12" s="19" t="str">
        <x:v>DEC-OPT-PROMISE</x:v>
      </x:c>
      <x:c r="B12" s="7" t="str">
        <x:v>Reconnaître une promesse dangereuse — tâche annexe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Objectif annexe créé pour l’adaptation.</x:v>
      </x:c>
      <x:c r="G12" s="7" t="str">
        <x:v>Récupérer une note d’un ancien membre fictif pour le dossier.</x:v>
      </x:c>
      <x:c r="H12" s="7" t="str">
        <x:v>Récompense proposée : renseignement de terrain, raccourci ou consommable local. Ne débloque aucun savoir anticipé sur la saga.</x:v>
      </x:c>
      <x:c r="I12" s="7" t="str">
        <x:v>Marqueur secondaire distinct du chemin critique et objet d’intérêt cadré lisiblement.</x:v>
      </x:c>
      <x:c r="J12" s="7" t="str">
        <x:v>Interaction brève réutilisant les poses du métier concerné, avec interruption possible.</x:v>
      </x:c>
      <x:c r="K12" s="7" t="str">
        <x:v>Petit signal de découverte ; résultat textuel consultable sans audio.</x:v>
      </x:c>
      <x:c r="L12" s="7" t="str">
        <x:v>optional.dec.promise ; persister done/skipped, récompenser une seule fois.</x:v>
      </x:c>
      <x:c r="M12" s="7" t="str">
        <x:v>Facultatif ; peut être ignoré sans bloquer la mission. L’appartenance de Nick reste celle de l’édition, sous réserve éditoriale.</x:v>
      </x:c>
      <x:c r="N12" s="7" t="str">
        <x:v>Ignorer puis terminer la mission fonctionne ; compléter ne verse la récompense qu’une fois.</x:v>
      </x:c>
      <x:c r="O12" s="7" t="str">
        <x:v>DEC-MIS-PROMISE</x:v>
      </x:c>
      <x:c r="P12" s="7" t="str"/>
      <x:c r="Q12" s="7" t="str"/>
      <x:c r="R12" s="7" t="str"/>
      <x:c r="S12" s="7" t="str"/>
    </x:row>
    <x:row r="13" ht="54" customHeight="1">
      <x:c r="A13" s="18" t="str">
        <x:v>DEC-OPT-EXCHANGE</x:v>
      </x:c>
      <x:c r="B13" s="9" t="str">
        <x:v>Sécuriser une remise locale — tâche annexe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Objectif annexe créé pour l’adaptation.</x:v>
      </x:c>
      <x:c r="G13" s="9" t="str">
        <x:v>Mettre hors tension une tourelle ajoutée pour réduire le danger.</x:v>
      </x:c>
      <x:c r="H13" s="9" t="str">
        <x:v>Récompense proposée : renseignement de terrain, raccourci ou consommable local. Ne débloque aucun savoir anticipé sur la saga.</x:v>
      </x:c>
      <x:c r="I13" s="9" t="str">
        <x:v>Marqueur secondaire distinct du chemin critique et objet d’intérêt cadré lisiblement.</x:v>
      </x:c>
      <x:c r="J13" s="9" t="str">
        <x:v>Interaction brève réutilisant les poses du métier concerné, avec interruption possible.</x:v>
      </x:c>
      <x:c r="K13" s="9" t="str">
        <x:v>Petit signal de découverte ; résultat textuel consultable sans audio.</x:v>
      </x:c>
      <x:c r="L13" s="9" t="str">
        <x:v>optional.dec.exchange ; persister done/skipped, récompenser une seule fois.</x:v>
      </x:c>
      <x:c r="M13" s="9" t="str">
        <x:v>Facultatif ; peut être ignoré sans bloquer la mission. Ne pas prétendre que cet échange existe dans le roman.</x:v>
      </x:c>
      <x:c r="N13" s="9" t="str">
        <x:v>Ignorer puis terminer la mission fonctionne ; compléter ne verse la récompense qu’une fois.</x:v>
      </x:c>
      <x:c r="O13" s="9" t="str">
        <x:v>DEC-MIS-EXCHANGE</x:v>
      </x:c>
      <x:c r="P13" s="9" t="str"/>
      <x:c r="Q13" s="9" t="str"/>
      <x:c r="R13" s="9" t="str"/>
      <x:c r="S13" s="9" t="str"/>
    </x:row>
    <x:row r="14" ht="54" customHeight="1">
      <x:c r="A14" s="19" t="str">
        <x:v>DEC-OPT-ARBITRATE</x:v>
      </x:c>
      <x:c r="B14" s="7" t="str">
        <x:v>Clore sans effacer les réserves — tâche annexe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Objectif annexe créé pour l’adaptation.</x:v>
      </x:c>
      <x:c r="G14" s="7" t="str">
        <x:v>Lier une incohérence à la source antérieure déjà documentée.</x:v>
      </x:c>
      <x:c r="H14" s="7" t="str">
        <x:v>Récompense proposée : renseignement de terrain, raccourci ou consommable local. Ne débloque aucun savoir anticipé sur la saga.</x:v>
      </x:c>
      <x:c r="I14" s="7" t="str">
        <x:v>Marqueur secondaire distinct du chemin critique et objet d’intérêt cadré lisiblement.</x:v>
      </x:c>
      <x:c r="J14" s="7" t="str">
        <x:v>Interaction brève réutilisant les poses du métier concerné, avec interruption possible.</x:v>
      </x:c>
      <x:c r="K14" s="7" t="str">
        <x:v>Petit signal de découverte ; résultat textuel consultable sans audio.</x:v>
      </x:c>
      <x:c r="L14" s="7" t="str">
        <x:v>optional.dec.arbitrate ; persister done/skipped, récompenser une seule fois.</x:v>
      </x:c>
      <x:c r="M14" s="7" t="str">
        <x:v>Facultatif ; peut être ignoré sans bloquer la mission. La fin du module ne certifie pas une édition corrigée inexistante.</x:v>
      </x:c>
      <x:c r="N14" s="7" t="str">
        <x:v>Ignorer puis terminer la mission fonctionne ; compléter ne verse la récompense qu’une fois.</x:v>
      </x:c>
      <x:c r="O14" s="7" t="str">
        <x:v>DEC-MIS-ARBITRATE</x:v>
      </x:c>
      <x:c r="P14" s="7" t="str"/>
      <x:c r="Q14" s="7" t="str"/>
      <x:c r="R14" s="7" t="str"/>
      <x:c r="S14" s="7" t="str"/>
    </x:row>
  </x:sheetData>
  <x:conditionalFormatting sqref="D7:D14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4">
    <x:cfRule type="cellIs" dxfId="42" priority="3" operator="equal">
      <x:formula>"Validé"</x:formula>
    </x:cfRule>
  </x:conditionalFormatting>
  <x:conditionalFormatting sqref="E7:E14">
    <x:cfRule type="cellIs" dxfId="4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bc4554e5b4b8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DEC-CHO-DOSSIER</x:v>
      </x:c>
      <x:c r="B7" s="9" t="str">
        <x:v>Présenter une preuve vérifiable — méthode optionnelle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Bifurcation locale originale ; elle ne crée pas une autre fin officielle.</x:v>
      </x:c>
      <x:c r="G7" s="9" t="str">
        <x:v>Présentation scientifique ou mise en contexte du risque ; mêmes pièces.</x:v>
      </x:c>
      <x:c r="H7" s="9" t="str">
        <x:v>Afficher coût, bénéfice local et condition de retour avant validation ; deux méthodes rejoignent le même verrou de continuité.</x:v>
      </x:c>
      <x:c r="I7" s="9" t="str">
        <x:v>Libellés d’action concrets ; symbole d’effet local ; aucune option désactivée sans motif.</x:v>
      </x:c>
      <x:c r="J7" s="9" t="str">
        <x:v>Réaction courte du groupe ; reprise immédiate des contrôles après résultat.</x:v>
      </x:c>
      <x:c r="K7" s="9" t="str">
        <x:v>Confirmation discrète ; lecture du résultat disponible dans le journal.</x:v>
      </x:c>
      <x:c r="L7" s="9" t="str">
        <x:v>choice.dec.dossier ; stocker la méthode et le coût, jamais une réécriture d’événement source.</x:v>
      </x:c>
      <x:c r="M7" s="9" t="str">
        <x:v>Ne pas ajouter une reconnaissance officielle anticipée des Moissonneurs.</x:v>
      </x:c>
      <x:c r="N7" s="9" t="str">
        <x:v>Les deux branches sont atteignables ; l’état canonique final du module est identique.</x:v>
      </x:c>
      <x:c r="O7" s="9" t="str">
        <x:v>DEC-MIS-DOSSIER</x:v>
      </x:c>
      <x:c r="P7" s="9" t="str"/>
      <x:c r="Q7" s="9" t="str"/>
      <x:c r="R7" s="9" t="str"/>
      <x:c r="S7" s="9" t="str"/>
    </x:row>
    <x:row r="8" ht="54" customHeight="1">
      <x:c r="A8" s="19" t="str">
        <x:v>DEC-CHO-ALERT</x:v>
      </x:c>
      <x:c r="B8" s="7" t="str">
        <x:v>Organiser un sas de protection — méthode optionnelle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Bifurcation locale originale ; elle ne crée pas une autre fin officielle.</x:v>
      </x:c>
      <x:c r="G8" s="7" t="str">
        <x:v>Fermer une section ou tenir le poste ; mêmes états narratifs finaux.</x:v>
      </x:c>
      <x:c r="H8" s="7" t="str">
        <x:v>Afficher coût, bénéfice local et condition de retour avant validation ; deux méthodes rejoignent le même verrou de continuité.</x:v>
      </x:c>
      <x:c r="I8" s="7" t="str">
        <x:v>Libellés d’action concrets ; symbole d’effet local ; aucune option désactivée sans motif.</x:v>
      </x:c>
      <x:c r="J8" s="7" t="str">
        <x:v>Réaction courte du groupe ; reprise immédiate des contrôles après résultat.</x:v>
      </x:c>
      <x:c r="K8" s="7" t="str">
        <x:v>Confirmation discrète ; lecture du résultat disponible dans le journal.</x:v>
      </x:c>
      <x:c r="L8" s="7" t="str">
        <x:v>choice.dec.alert ; stocker la méthode et le coût, jamais une réécriture d’événement source.</x:v>
      </x:c>
      <x:c r="M8" s="7" t="str">
        <x:v>Pas de changement des destins attestés dans l’édition utilisée.</x:v>
      </x:c>
      <x:c r="N8" s="7" t="str">
        <x:v>Les deux branches sont atteignables ; l’état canonique final du module est identique.</x:v>
      </x:c>
      <x:c r="O8" s="7" t="str">
        <x:v>DEC-MIS-ALERT</x:v>
      </x:c>
      <x:c r="P8" s="7" t="str"/>
      <x:c r="Q8" s="7" t="str"/>
      <x:c r="R8" s="7" t="str"/>
      <x:c r="S8" s="7" t="str"/>
    </x:row>
    <x:row r="9" ht="54" customHeight="1">
      <x:c r="A9" s="18" t="str">
        <x:v>DEC-CHO-TESTIMONY</x:v>
      </x:c>
      <x:c r="B9" s="9" t="str">
        <x:v>Écouter un témoin libéré — méthode optionnelle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Bifurcation locale originale ; elle ne crée pas une autre fin officielle.</x:v>
      </x:c>
      <x:c r="G9" s="9" t="str">
        <x:v>Écoute immédiate ou entretien après repos ; même information essentielle.</x:v>
      </x:c>
      <x:c r="H9" s="9" t="str">
        <x:v>Afficher coût, bénéfice local et condition de retour avant validation ; deux méthodes rejoignent le même verrou de continuité.</x:v>
      </x:c>
      <x:c r="I9" s="9" t="str">
        <x:v>Libellés d’action concrets ; symbole d’effet local ; aucune option désactivée sans motif.</x:v>
      </x:c>
      <x:c r="J9" s="9" t="str">
        <x:v>Réaction courte du groupe ; reprise immédiate des contrôles après résultat.</x:v>
      </x:c>
      <x:c r="K9" s="9" t="str">
        <x:v>Confirmation discrète ; lecture du résultat disponible dans le journal.</x:v>
      </x:c>
      <x:c r="L9" s="9" t="str">
        <x:v>choice.dec.testimony ; stocker la méthode et le coût, jamais une réécriture d’événement source.</x:v>
      </x:c>
      <x:c r="M9" s="9" t="str">
        <x:v>Une parole rapportée n’est pas transformée en vérité omnisciente.</x:v>
      </x:c>
      <x:c r="N9" s="9" t="str">
        <x:v>Les deux branches sont atteignables ; l’état canonique final du module est identique.</x:v>
      </x:c>
      <x:c r="O9" s="9" t="str">
        <x:v>DEC-MIS-TESTIMONY</x:v>
      </x:c>
      <x:c r="P9" s="9" t="str"/>
      <x:c r="Q9" s="9" t="str"/>
      <x:c r="R9" s="9" t="str"/>
      <x:c r="S9" s="9" t="str"/>
    </x:row>
    <x:row r="10" ht="54" customHeight="1">
      <x:c r="A10" s="19" t="str">
        <x:v>DEC-CHO-PURPOSE</x:v>
      </x:c>
      <x:c r="B10" s="7" t="str">
        <x:v>Examiner une piste de vengeance — méthode optionnelle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Bifurcation locale originale ; elle ne crée pas une autre fin officielle.</x:v>
      </x:c>
      <x:c r="G10" s="7" t="str">
        <x:v>Vérifier un contact ou préparer le matériel ; l’intention narrative reste fixe.</x:v>
      </x:c>
      <x:c r="H10" s="7" t="str">
        <x:v>Afficher coût, bénéfice local et condition de retour avant validation ; deux méthodes rejoignent le même verrou de continuité.</x:v>
      </x:c>
      <x:c r="I10" s="7" t="str">
        <x:v>Libellés d’action concrets ; symbole d’effet local ; aucune option désactivée sans motif.</x:v>
      </x:c>
      <x:c r="J10" s="7" t="str">
        <x:v>Réaction courte du groupe ; reprise immédiate des contrôles après résultat.</x:v>
      </x:c>
      <x:c r="K10" s="7" t="str">
        <x:v>Confirmation discrète ; lecture du résultat disponible dans le journal.</x:v>
      </x:c>
      <x:c r="L10" s="7" t="str">
        <x:v>choice.dec.purpose ; stocker la méthode et le coût, jamais une réécriture d’événement source.</x:v>
      </x:c>
      <x:c r="M10" s="7" t="str">
        <x:v>Ne pas fabriquer une autre personnalité de Gillian pour résoudre une incohérence.</x:v>
      </x:c>
      <x:c r="N10" s="7" t="str">
        <x:v>Les deux branches sont atteignables ; l’état canonique final du module est identique.</x:v>
      </x:c>
      <x:c r="O10" s="7" t="str">
        <x:v>DEC-MIS-PURPOSE</x:v>
      </x:c>
      <x:c r="P10" s="7" t="str"/>
      <x:c r="Q10" s="7" t="str"/>
      <x:c r="R10" s="7" t="str"/>
      <x:c r="S10" s="7" t="str"/>
    </x:row>
    <x:row r="11" ht="54" customHeight="1">
      <x:c r="A11" s="18" t="str">
        <x:v>DEC-CHO-NETWORK</x:v>
      </x:c>
      <x:c r="B11" s="9" t="str">
        <x:v>Démêler les relais d’Omega — méthode optionnelle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Bifurcation locale originale ; elle ne crée pas une autre fin officielle.</x:v>
      </x:c>
      <x:c r="G11" s="9" t="str">
        <x:v>Observation d’un lieu public ou entretien privé ; même cible finale.</x:v>
      </x:c>
      <x:c r="H11" s="9" t="str">
        <x:v>Afficher coût, bénéfice local et condition de retour avant validation ; deux méthodes rejoignent le même verrou de continuité.</x:v>
      </x:c>
      <x:c r="I11" s="9" t="str">
        <x:v>Libellés d’action concrets ; symbole d’effet local ; aucune option désactivée sans motif.</x:v>
      </x:c>
      <x:c r="J11" s="9" t="str">
        <x:v>Réaction courte du groupe ; reprise immédiate des contrôles après résultat.</x:v>
      </x:c>
      <x:c r="K11" s="9" t="str">
        <x:v>Confirmation discrète ; lecture du résultat disponible dans le journal.</x:v>
      </x:c>
      <x:c r="L11" s="9" t="str">
        <x:v>choice.dec.network ; stocker la méthode et le coût, jamais une réécriture d’événement source.</x:v>
      </x:c>
      <x:c r="M11" s="9" t="str">
        <x:v>Les intermédiaires supplémentaires sont signalés comme création originale.</x:v>
      </x:c>
      <x:c r="N11" s="9" t="str">
        <x:v>Les deux branches sont atteignables ; l’état canonique final du module est identique.</x:v>
      </x:c>
      <x:c r="O11" s="9" t="str">
        <x:v>DEC-MIS-NETWORK</x:v>
      </x:c>
      <x:c r="P11" s="9" t="str"/>
      <x:c r="Q11" s="9" t="str"/>
      <x:c r="R11" s="9" t="str"/>
      <x:c r="S11" s="9" t="str"/>
    </x:row>
    <x:row r="12" ht="54" customHeight="1">
      <x:c r="A12" s="19" t="str">
        <x:v>DEC-CHO-PROMISE</x:v>
      </x:c>
      <x:c r="B12" s="7" t="str">
        <x:v>Reconnaître une promesse dangereuse — méthode optionnelle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Bifurcation locale originale ; elle ne crée pas une autre fin officielle.</x:v>
      </x:c>
      <x:c r="G12" s="7" t="str">
        <x:v>Questionner les moyens ou les conséquences ; aucune jauge d’endoctrinement réelle.</x:v>
      </x:c>
      <x:c r="H12" s="7" t="str">
        <x:v>Afficher coût, bénéfice local et condition de retour avant validation ; deux méthodes rejoignent le même verrou de continuité.</x:v>
      </x:c>
      <x:c r="I12" s="7" t="str">
        <x:v>Libellés d’action concrets ; symbole d’effet local ; aucune option désactivée sans motif.</x:v>
      </x:c>
      <x:c r="J12" s="7" t="str">
        <x:v>Réaction courte du groupe ; reprise immédiate des contrôles après résultat.</x:v>
      </x:c>
      <x:c r="K12" s="7" t="str">
        <x:v>Confirmation discrète ; lecture du résultat disponible dans le journal.</x:v>
      </x:c>
      <x:c r="L12" s="7" t="str">
        <x:v>choice.dec.promise ; stocker la méthode et le coût, jamais une réécriture d’événement source.</x:v>
      </x:c>
      <x:c r="M12" s="7" t="str">
        <x:v>L’appartenance de Nick reste celle de l’édition, sous réserve éditoriale.</x:v>
      </x:c>
      <x:c r="N12" s="7" t="str">
        <x:v>Les deux branches sont atteignables ; l’état canonique final du module est identique.</x:v>
      </x:c>
      <x:c r="O12" s="7" t="str">
        <x:v>DEC-MIS-PROMISE</x:v>
      </x:c>
      <x:c r="P12" s="7" t="str"/>
      <x:c r="Q12" s="7" t="str"/>
      <x:c r="R12" s="7" t="str"/>
      <x:c r="S12" s="7" t="str"/>
    </x:row>
    <x:row r="13" ht="54" customHeight="1">
      <x:c r="A13" s="18" t="str">
        <x:v>DEC-CHO-EXCHANGE</x:v>
      </x:c>
      <x:c r="B13" s="9" t="str">
        <x:v>Sécuriser une remise locale — méthode optionnelle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Bifurcation locale originale ; elle ne crée pas une autre fin officielle.</x:v>
      </x:c>
      <x:c r="G13" s="9" t="str">
        <x:v>Remise sous contrôle visible ou vérification à distance abstraite.</x:v>
      </x:c>
      <x:c r="H13" s="9" t="str">
        <x:v>Afficher coût, bénéfice local et condition de retour avant validation ; deux méthodes rejoignent le même verrou de continuité.</x:v>
      </x:c>
      <x:c r="I13" s="9" t="str">
        <x:v>Libellés d’action concrets ; symbole d’effet local ; aucune option désactivée sans motif.</x:v>
      </x:c>
      <x:c r="J13" s="9" t="str">
        <x:v>Réaction courte du groupe ; reprise immédiate des contrôles après résultat.</x:v>
      </x:c>
      <x:c r="K13" s="9" t="str">
        <x:v>Confirmation discrète ; lecture du résultat disponible dans le journal.</x:v>
      </x:c>
      <x:c r="L13" s="9" t="str">
        <x:v>choice.dec.exchange ; stocker la méthode et le coût, jamais une réécriture d’événement source.</x:v>
      </x:c>
      <x:c r="M13" s="9" t="str">
        <x:v>Ne pas prétendre que cet échange existe dans le roman.</x:v>
      </x:c>
      <x:c r="N13" s="9" t="str">
        <x:v>Les deux branches sont atteignables ; l’état canonique final du module est identique.</x:v>
      </x:c>
      <x:c r="O13" s="9" t="str">
        <x:v>DEC-MIS-EXCHANGE</x:v>
      </x:c>
      <x:c r="P13" s="9" t="str"/>
      <x:c r="Q13" s="9" t="str"/>
      <x:c r="R13" s="9" t="str"/>
      <x:c r="S13" s="9" t="str"/>
    </x:row>
    <x:row r="14" ht="54" customHeight="1">
      <x:c r="A14" s="19" t="str">
        <x:v>DEC-CHO-ARBITRATE</x:v>
      </x:c>
      <x:c r="B14" s="7" t="str">
        <x:v>Clore sans effacer les réserves — méthode optionnelle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Bifurcation locale originale ; elle ne crée pas une autre fin officielle.</x:v>
      </x:c>
      <x:c r="G14" s="7" t="str">
        <x:v>Consulter la chronologie ou le registre des sources ; aucune modification silencieuse.</x:v>
      </x:c>
      <x:c r="H14" s="7" t="str">
        <x:v>Afficher coût, bénéfice local et condition de retour avant validation ; deux méthodes rejoignent le même verrou de continuité.</x:v>
      </x:c>
      <x:c r="I14" s="7" t="str">
        <x:v>Libellés d’action concrets ; symbole d’effet local ; aucune option désactivée sans motif.</x:v>
      </x:c>
      <x:c r="J14" s="7" t="str">
        <x:v>Réaction courte du groupe ; reprise immédiate des contrôles après résultat.</x:v>
      </x:c>
      <x:c r="K14" s="7" t="str">
        <x:v>Confirmation discrète ; lecture du résultat disponible dans le journal.</x:v>
      </x:c>
      <x:c r="L14" s="7" t="str">
        <x:v>choice.dec.arbitrate ; stocker la méthode et le coût, jamais une réécriture d’événement source.</x:v>
      </x:c>
      <x:c r="M14" s="7" t="str">
        <x:v>La fin du module ne certifie pas une édition corrigée inexistante.</x:v>
      </x:c>
      <x:c r="N14" s="7" t="str">
        <x:v>Les deux branches sont atteignables ; l’état canonique final du module est identique.</x:v>
      </x:c>
      <x:c r="O14" s="7" t="str">
        <x:v>DEC-MIS-ARBITRATE</x:v>
      </x:c>
      <x:c r="P14" s="7" t="str"/>
      <x:c r="Q14" s="7" t="str"/>
      <x:c r="R14" s="7" t="str"/>
      <x:c r="S14" s="7" t="str"/>
    </x:row>
  </x:sheetData>
  <x:conditionalFormatting sqref="D7:D14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4">
    <x:cfRule type="cellIs" dxfId="46" priority="3" operator="equal">
      <x:formula>"Validé"</x:formula>
    </x:cfRule>
  </x:conditionalFormatting>
  <x:conditionalFormatting sqref="E7:E14">
    <x:cfRule type="cellIs" dxfId="4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3fc2cf58df456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DEC-DIA-GILLIAN</x:v>
      </x:c>
      <x:c r="B7" s="9" t="str">
        <x:v>Gillian Grayson — échange : vengeance et confiance dans un informateur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Dialogue original à écrire, sans reproduire les répliques de la publication.</x:v>
      </x:c>
      <x:c r="G7" s="9" t="str">
        <x:v>Intentions : aborder vengeance et confiance dans un informateur, poser une question de clarification, puis revenir à l’objectif local.</x:v>
      </x:c>
      <x:c r="H7" s="9" t="str">
        <x:v>Trois intentions proposées : demander un fait, exprimer une réserve, clore. Débloquer un indice local sans imposer une opinion au joueur.</x:v>
      </x:c>
      <x:c r="I7" s="9" t="str">
        <x:v>Portrait Gillian Grayson, interlocuteur actif et indication de la personne qui connaît le fait.</x:v>
      </x:c>
      <x:c r="J7" s="9" t="str">
        <x:v>Pose d’écoute puis réaction sobre ; ne pas boucler une émotion pendant une pause de lecture.</x:v>
      </x:c>
      <x:c r="K7" s="9" t="str">
        <x:v>Texte intégral affiché ; éventuelle voix originale avec débit réglable, sans imitation du casting.</x:v>
      </x:c>
      <x:c r="L7" s="9" t="str">
        <x:v>Dialogue graph dec.gillian.vengeance-et-confiance-dans-un-informateur ; drapeaux de connaissance locaux.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Aucune option ne révèle un savoir futur ; quitter puis reprendre conserve les sujets déjà abordés.</x:v>
      </x:c>
      <x:c r="O7" s="9" t="str">
        <x:v>DEC-CHR-GILLIAN</x:v>
      </x:c>
      <x:c r="P7" s="9" t="str"/>
      <x:c r="Q7" s="9" t="str"/>
      <x:c r="R7" s="9" t="str"/>
      <x:c r="S7" s="9" t="str">
        <x:v>Sujet et intentions sont du design original, pas une transcription.</x:v>
      </x:c>
    </x:row>
    <x:row r="8" ht="82" customHeight="1">
      <x:c r="A8" s="19" t="str">
        <x:v>DEC-DIA-HENDEL</x:v>
      </x:c>
      <x:c r="B8" s="7" t="str">
        <x:v>Hendel Mitra — échange : responsabilité envers Gillian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Dialogue original à écrire, sans reproduire les répliques de la publication.</x:v>
      </x:c>
      <x:c r="G8" s="7" t="str">
        <x:v>Intentions : aborder responsabilité envers Gillian, poser une question de clarification, puis revenir à l’objectif local.</x:v>
      </x:c>
      <x:c r="H8" s="7" t="str">
        <x:v>Trois intentions proposées : demander un fait, exprimer une réserve, clore. Débloquer un indice local sans imposer une opinion au joueur.</x:v>
      </x:c>
      <x:c r="I8" s="7" t="str">
        <x:v>Portrait Hendel Mitra, interlocuteur actif et indication de la personne qui connaît le fait.</x:v>
      </x:c>
      <x:c r="J8" s="7" t="str">
        <x:v>Pose d’écoute puis réaction sobre ; ne pas boucler une émotion pendant une pause de lecture.</x:v>
      </x:c>
      <x:c r="K8" s="7" t="str">
        <x:v>Texte intégral affiché ; éventuelle voix originale avec débit réglable, sans imitation du casting.</x:v>
      </x:c>
      <x:c r="L8" s="7" t="str">
        <x:v>Dialogue graph dec.hendel.responsabilite-envers-gillian ; drapeaux de connaissance locaux.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Aucune option ne révèle un savoir futur ; quitter puis reprendre conserve les sujets déjà abordés.</x:v>
      </x:c>
      <x:c r="O8" s="7" t="str">
        <x:v>DEC-CHR-HENDEL</x:v>
      </x:c>
      <x:c r="P8" s="7" t="str"/>
      <x:c r="Q8" s="7" t="str"/>
      <x:c r="R8" s="7" t="str"/>
      <x:c r="S8" s="7" t="str">
        <x:v>Sujet et intentions sont du design original, pas une transcription.</x:v>
      </x:c>
    </x:row>
    <x:row r="9" ht="82" customHeight="1">
      <x:c r="A9" s="18" t="str">
        <x:v>DEC-DIA-KAHLEE</x:v>
      </x:c>
      <x:c r="B9" s="9" t="str">
        <x:v>Kahlee Sanders — échange : preuve, hypothèse et urgence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Dialogue original à écrire, sans reproduire les répliques de la publication.</x:v>
      </x:c>
      <x:c r="G9" s="9" t="str">
        <x:v>Intentions : aborder preuve, hypothèse et urgence, poser une question de clarification, puis revenir à l’objectif local.</x:v>
      </x:c>
      <x:c r="H9" s="9" t="str">
        <x:v>Trois intentions proposées : demander un fait, exprimer une réserve, clore. Débloquer un indice local sans imposer une opinion au joueur.</x:v>
      </x:c>
      <x:c r="I9" s="9" t="str">
        <x:v>Portrait Kahlee Sanders, interlocuteur actif et indication de la personne qui connaît le fait.</x:v>
      </x:c>
      <x:c r="J9" s="9" t="str">
        <x:v>Pose d’écoute puis réaction sobre ; ne pas boucler une émotion pendant une pause de lecture.</x:v>
      </x:c>
      <x:c r="K9" s="9" t="str">
        <x:v>Texte intégral affiché ; éventuelle voix originale avec débit réglable, sans imitation du casting.</x:v>
      </x:c>
      <x:c r="L9" s="9" t="str">
        <x:v>Dialogue graph dec.kahlee.preuve-hypothese-et-urgence ; drapeaux de connaissance locaux.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Aucune option ne révèle un savoir futur ; quitter puis reprendre conserve les sujets déjà abordés.</x:v>
      </x:c>
      <x:c r="O9" s="9" t="str">
        <x:v>DEC-CHR-KAHLEE</x:v>
      </x:c>
      <x:c r="P9" s="9" t="str"/>
      <x:c r="Q9" s="9" t="str"/>
      <x:c r="R9" s="9" t="str"/>
      <x:c r="S9" s="9" t="str">
        <x:v>Sujet et intentions sont du design original, pas une transcription.</x:v>
      </x:c>
    </x:row>
    <x:row r="10" ht="82" customHeight="1">
      <x:c r="A10" s="19" t="str">
        <x:v>DEC-DIA-ANDERSON</x:v>
      </x:c>
      <x:c r="B10" s="7" t="str">
        <x:v>David Anderson — échange : service public et protection des proches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Dialogue original à écrire, sans reproduire les répliques de la publication.</x:v>
      </x:c>
      <x:c r="G10" s="7" t="str">
        <x:v>Intentions : aborder service public et protection des proches, poser une question de clarification, puis revenir à l’objectif local.</x:v>
      </x:c>
      <x:c r="H10" s="7" t="str">
        <x:v>Trois intentions proposées : demander un fait, exprimer une réserve, clore. Débloquer un indice local sans imposer une opinion au joueur.</x:v>
      </x:c>
      <x:c r="I10" s="7" t="str">
        <x:v>Portrait David Anderson, interlocuteur actif et indication de la personne qui connaît le fait.</x:v>
      </x:c>
      <x:c r="J10" s="7" t="str">
        <x:v>Pose d’écoute puis réaction sobre ; ne pas boucler une émotion pendant une pause de lecture.</x:v>
      </x:c>
      <x:c r="K10" s="7" t="str">
        <x:v>Texte intégral affiché ; éventuelle voix originale avec débit réglable, sans imitation du casting.</x:v>
      </x:c>
      <x:c r="L10" s="7" t="str">
        <x:v>Dialogue graph dec.anderson.service-public-et-protection-des-proches ; drapeaux de connaissance locaux.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Aucune option ne révèle un savoir futur ; quitter puis reprendre conserve les sujets déjà abordés.</x:v>
      </x:c>
      <x:c r="O10" s="7" t="str">
        <x:v>DEC-CHR-ANDERSON</x:v>
      </x:c>
      <x:c r="P10" s="7" t="str"/>
      <x:c r="Q10" s="7" t="str"/>
      <x:c r="R10" s="7" t="str"/>
      <x:c r="S10" s="7" t="str">
        <x:v>Sujet et intentions sont du design original, pas une transcription.</x:v>
      </x:c>
    </x:row>
    <x:row r="11" ht="82" customHeight="1">
      <x:c r="A11" s="18" t="str">
        <x:v>DEC-DIA-NICK</x:v>
      </x:c>
      <x:c r="B11" s="9" t="str">
        <x:v>Nick Donahue — échange : appartenance et manipulation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Dialogue original à écrire, sans reproduire les répliques de la publication.</x:v>
      </x:c>
      <x:c r="G11" s="9" t="str">
        <x:v>Intentions : aborder appartenance et manipulation, poser une question de clarification, puis revenir à l’objectif local.</x:v>
      </x:c>
      <x:c r="H11" s="9" t="str">
        <x:v>Trois intentions proposées : demander un fait, exprimer une réserve, clore. Débloquer un indice local sans imposer une opinion au joueur.</x:v>
      </x:c>
      <x:c r="I11" s="9" t="str">
        <x:v>Portrait Nick Donahue, interlocuteur actif et indication de la personne qui connaît le fait.</x:v>
      </x:c>
      <x:c r="J11" s="9" t="str">
        <x:v>Pose d’écoute puis réaction sobre ; ne pas boucler une émotion pendant une pause de lecture.</x:v>
      </x:c>
      <x:c r="K11" s="9" t="str">
        <x:v>Texte intégral affiché ; éventuelle voix originale avec débit réglable, sans imitation du casting.</x:v>
      </x:c>
      <x:c r="L11" s="9" t="str">
        <x:v>Dialogue graph dec.nick.appartenance-et-manipulation ; drapeaux de connaissance locaux.</x:v>
      </x:c>
      <x:c r="M11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1" s="9" t="str">
        <x:v>Aucune option ne révèle un savoir futur ; quitter puis reprendre conserve les sujets déjà abordés.</x:v>
      </x:c>
      <x:c r="O11" s="9" t="str">
        <x:v>DEC-CHR-NICK</x:v>
      </x:c>
      <x:c r="P11" s="9" t="str"/>
      <x:c r="Q11" s="9" t="str"/>
      <x:c r="R11" s="9" t="str"/>
      <x:c r="S11" s="9" t="str">
        <x:v>Sujet et intentions sont du design original, pas une transcription.</x:v>
      </x:c>
    </x:row>
    <x:row r="12" ht="82" customHeight="1">
      <x:c r="A12" s="19" t="str">
        <x:v>DEC-DIA-KAILENG</x:v>
      </x:c>
      <x:c r="B12" s="7" t="str">
        <x:v>Kai Leng — échange : information instrumentalisée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Dialogue original à écrire, sans reproduire les répliques de la publication.</x:v>
      </x:c>
      <x:c r="G12" s="7" t="str">
        <x:v>Intentions : aborder information instrumentalisée, poser une question de clarification, puis revenir à l’objectif local.</x:v>
      </x:c>
      <x:c r="H12" s="7" t="str">
        <x:v>Trois intentions proposées : demander un fait, exprimer une réserve, clore. Débloquer un indice local sans imposer une opinion au joueur.</x:v>
      </x:c>
      <x:c r="I12" s="7" t="str">
        <x:v>Portrait Kai Leng, interlocuteur actif et indication de la personne qui connaît le fait.</x:v>
      </x:c>
      <x:c r="J12" s="7" t="str">
        <x:v>Pose d’écoute puis réaction sobre ; ne pas boucler une émotion pendant une pause de lecture.</x:v>
      </x:c>
      <x:c r="K12" s="7" t="str">
        <x:v>Texte intégral affiché ; éventuelle voix originale avec débit réglable, sans imitation du casting.</x:v>
      </x:c>
      <x:c r="L12" s="7" t="str">
        <x:v>Dialogue graph dec.kaileng.information-instrumentalisee ; drapeaux de connaissance locaux.</x:v>
      </x:c>
      <x:c r="M12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2" s="7" t="str">
        <x:v>Aucune option ne révèle un savoir futur ; quitter puis reprendre conserve les sujets déjà abordés.</x:v>
      </x:c>
      <x:c r="O12" s="7" t="str">
        <x:v>DEC-CHR-KAILENG</x:v>
      </x:c>
      <x:c r="P12" s="7" t="str"/>
      <x:c r="Q12" s="7" t="str"/>
      <x:c r="R12" s="7" t="str"/>
      <x:c r="S12" s="7" t="str">
        <x:v>Sujet et intentions sont du design original, pas une transcription.</x:v>
      </x:c>
    </x:row>
    <x:row r="13" ht="82" customHeight="1">
      <x:c r="A13" s="18" t="str">
        <x:v>DEC-DIA-ILLUSIVE</x:v>
      </x:c>
      <x:c r="B13" s="9" t="str">
        <x:v>Homme Trouble — échange : usage stratégique du mensonge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Dialogue original à écrire, sans reproduire les répliques de la publication.</x:v>
      </x:c>
      <x:c r="G13" s="9" t="str">
        <x:v>Intentions : aborder usage stratégique du mensonge, poser une question de clarification, puis revenir à l’objectif local.</x:v>
      </x:c>
      <x:c r="H13" s="9" t="str">
        <x:v>Trois intentions proposées : demander un fait, exprimer une réserve, clore. Débloquer un indice local sans imposer une opinion au joueur.</x:v>
      </x:c>
      <x:c r="I13" s="9" t="str">
        <x:v>Portrait Homme Trouble, interlocuteur actif et indication de la personne qui connaît le fait.</x:v>
      </x:c>
      <x:c r="J13" s="9" t="str">
        <x:v>Pose d’écoute puis réaction sobre ; ne pas boucler une émotion pendant une pause de lecture.</x:v>
      </x:c>
      <x:c r="K13" s="9" t="str">
        <x:v>Texte intégral affiché ; éventuelle voix originale avec débit réglable, sans imitation du casting.</x:v>
      </x:c>
      <x:c r="L13" s="9" t="str">
        <x:v>Dialogue graph dec.illusive.usage-strategique-du-mensonge ; drapeaux de connaissance locaux.</x:v>
      </x:c>
      <x:c r="M13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3" s="9" t="str">
        <x:v>Aucune option ne révèle un savoir futur ; quitter puis reprendre conserve les sujets déjà abordés.</x:v>
      </x:c>
      <x:c r="O13" s="9" t="str">
        <x:v>DEC-CHR-ILLUSIVE</x:v>
      </x:c>
      <x:c r="P13" s="9" t="str"/>
      <x:c r="Q13" s="9" t="str"/>
      <x:c r="R13" s="9" t="str"/>
      <x:c r="S13" s="9" t="str">
        <x:v>Sujet et intentions sont du design original, pas une transcription.</x:v>
      </x:c>
    </x:row>
    <x:row r="14" ht="82" customHeight="1">
      <x:c r="A14" s="19" t="str">
        <x:v>DEC-DIA-HAL</x:v>
      </x:c>
      <x:c r="B14" s="7" t="str">
        <x:v>Hal McCann — échange : différence entre souvenir et preuve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Dialogue original à écrire, sans reproduire les répliques de la publication.</x:v>
      </x:c>
      <x:c r="G14" s="7" t="str">
        <x:v>Intentions : aborder différence entre souvenir et preuve, poser une question de clarification, puis revenir à l’objectif local.</x:v>
      </x:c>
      <x:c r="H14" s="7" t="str">
        <x:v>Trois intentions proposées : demander un fait, exprimer une réserve, clore. Débloquer un indice local sans imposer une opinion au joueur.</x:v>
      </x:c>
      <x:c r="I14" s="7" t="str">
        <x:v>Portrait Hal McCann, interlocuteur actif et indication de la personne qui connaît le fait.</x:v>
      </x:c>
      <x:c r="J14" s="7" t="str">
        <x:v>Pose d’écoute puis réaction sobre ; ne pas boucler une émotion pendant une pause de lecture.</x:v>
      </x:c>
      <x:c r="K14" s="7" t="str">
        <x:v>Texte intégral affiché ; éventuelle voix originale avec débit réglable, sans imitation du casting.</x:v>
      </x:c>
      <x:c r="L14" s="7" t="str">
        <x:v>Dialogue graph dec.hal.difference-entre-souvenir-et-preuve ; drapeaux de connaissance locaux.</x:v>
      </x:c>
      <x:c r="M14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4" s="7" t="str">
        <x:v>Aucune option ne révèle un savoir futur ; quitter puis reprendre conserve les sujets déjà abordés.</x:v>
      </x:c>
      <x:c r="O14" s="7" t="str">
        <x:v>DEC-CHR-HAL</x:v>
      </x:c>
      <x:c r="P14" s="7" t="str"/>
      <x:c r="Q14" s="7" t="str"/>
      <x:c r="R14" s="7" t="str"/>
      <x:c r="S14" s="7" t="str">
        <x:v>Sujet et intentions sont du design original, pas une transcription.</x:v>
      </x:c>
    </x:row>
    <x:row r="15" ht="82" customHeight="1">
      <x:c r="A15" s="18" t="str">
        <x:v>DEC-DIA-UGHO</x:v>
      </x:c>
      <x:c r="B15" s="9" t="str">
        <x:v>Ugho — échange : défense de l’équipage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Dialogue original à écrire, sans reproduire les répliques de la publication.</x:v>
      </x:c>
      <x:c r="G15" s="9" t="str">
        <x:v>Intentions : aborder défense de l’équipage, poser une question de clarification, puis revenir à l’objectif local.</x:v>
      </x:c>
      <x:c r="H15" s="9" t="str">
        <x:v>Trois intentions proposées : demander un fait, exprimer une réserve, clore. Débloquer un indice local sans imposer une opinion au joueur.</x:v>
      </x:c>
      <x:c r="I15" s="9" t="str">
        <x:v>Portrait Ugho, interlocuteur actif et indication de la personne qui connaît le fait.</x:v>
      </x:c>
      <x:c r="J15" s="9" t="str">
        <x:v>Pose d’écoute puis réaction sobre ; ne pas boucler une émotion pendant une pause de lecture.</x:v>
      </x:c>
      <x:c r="K15" s="9" t="str">
        <x:v>Texte intégral affiché ; éventuelle voix originale avec débit réglable, sans imitation du casting.</x:v>
      </x:c>
      <x:c r="L15" s="9" t="str">
        <x:v>Dialogue graph dec.ugho.defense-de-lequipage ; drapeaux de connaissance locaux.</x:v>
      </x:c>
      <x:c r="M15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5" s="9" t="str">
        <x:v>Aucune option ne révèle un savoir futur ; quitter puis reprendre conserve les sujets déjà abordés.</x:v>
      </x:c>
      <x:c r="O15" s="9" t="str">
        <x:v>DEC-CHR-UGHO</x:v>
      </x:c>
      <x:c r="P15" s="9" t="str"/>
      <x:c r="Q15" s="9" t="str"/>
      <x:c r="R15" s="9" t="str"/>
      <x:c r="S15" s="9" t="str">
        <x:v>Sujet et intentions sont du design original, pas une transcription.</x:v>
      </x:c>
    </x:row>
    <x:row r="16" ht="82" customHeight="1">
      <x:c r="A16" s="19" t="str">
        <x:v>DEC-DIA-ARIA</x:v>
      </x:c>
      <x:c r="B16" s="7" t="str">
        <x:v>Aria T’Loak — échange : contrôle des réseaux et intérêt personnel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Dialogue original à écrire, sans reproduire les répliques de la publication.</x:v>
      </x:c>
      <x:c r="G16" s="7" t="str">
        <x:v>Intentions : aborder contrôle des réseaux et intérêt personnel, poser une question de clarification, puis revenir à l’objectif local.</x:v>
      </x:c>
      <x:c r="H16" s="7" t="str">
        <x:v>Trois intentions proposées : demander un fait, exprimer une réserve, clore. Débloquer un indice local sans imposer une opinion au joueur.</x:v>
      </x:c>
      <x:c r="I16" s="7" t="str">
        <x:v>Portrait Aria T’Loak, interlocuteur actif et indication de la personne qui connaît le fait.</x:v>
      </x:c>
      <x:c r="J16" s="7" t="str">
        <x:v>Pose d’écoute puis réaction sobre ; ne pas boucler une émotion pendant une pause de lecture.</x:v>
      </x:c>
      <x:c r="K16" s="7" t="str">
        <x:v>Texte intégral affiché ; éventuelle voix originale avec débit réglable, sans imitation du casting.</x:v>
      </x:c>
      <x:c r="L16" s="7" t="str">
        <x:v>Dialogue graph dec.aria.controle-des-reseaux-et-interet-personnel ; drapeaux de connaissance locaux.</x:v>
      </x:c>
      <x:c r="M16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6" s="7" t="str">
        <x:v>Aucune option ne révèle un savoir futur ; quitter puis reprendre conserve les sujets déjà abordés.</x:v>
      </x:c>
      <x:c r="O16" s="7" t="str">
        <x:v>DEC-CHR-ARIA</x:v>
      </x:c>
      <x:c r="P16" s="7" t="str"/>
      <x:c r="Q16" s="7" t="str"/>
      <x:c r="R16" s="7" t="str"/>
      <x:c r="S16" s="7" t="str">
        <x:v>Sujet et intentions sont du design original, pas une transcription.</x:v>
      </x:c>
    </x:row>
  </x:sheetData>
  <x:conditionalFormatting sqref="D7:D16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16">
    <x:cfRule type="cellIs" dxfId="50" priority="3" operator="equal">
      <x:formula>"Validé"</x:formula>
    </x:cfRule>
  </x:conditionalFormatting>
  <x:conditionalFormatting sqref="E7:E16">
    <x:cfRule type="cellIs" dxfId="51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fbf3709da845d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DEC-CIN-DOSSIER</x:v>
      </x:c>
      <x:c r="B7" s="9" t="str">
        <x:v>Présenter une preuve vérifiable — transition narrative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Mise en scène originale compacte, sans reconstituer les dialogues de l’œuvre.</x:v>
      </x:c>
      <x:c r="G7" s="9" t="str">
        <x:v>Le dossier accepté reste marqué comme contesté.</x:v>
      </x:c>
      <x:c r="H7" s="9" t="str">
        <x:v>Caméra et texte uniquement ; aucune commande de combat pendant la transition ; reprise au même état en cas de saut.</x:v>
      </x:c>
      <x:c r="I7" s="9" t="str">
        <x:v>Composition 3D sobre, silhouettes 2D au premier plan ; contrôler l’échelle des personnages.</x:v>
      </x:c>
      <x:c r="J7" s="9" t="str">
        <x:v>Deux ou trois plans courts proposés ; sortie anticipée applique les mêmes drapeaux que lecture complète.</x:v>
      </x:c>
      <x:c r="K7" s="9" t="str">
        <x:v>Musique originale sous les sous-titres ; aucun extrait de bande sonore officielle.</x:v>
      </x:c>
      <x:c r="L7" s="9" t="str">
        <x:v>cinematics/dec/dossier.timeline ; événements idempotents.</x:v>
      </x:c>
      <x:c r="M7" s="9" t="str">
        <x:v>Ne pas ajouter une reconnaissance officielle anticipée des Moissonneurs.</x:v>
      </x:c>
      <x:c r="N7" s="9" t="str">
        <x:v>Version regardée et version sautée donnent les mêmes inventaire, équipe, carte et objectifs.</x:v>
      </x:c>
      <x:c r="O7" s="9" t="str">
        <x:v>DEC-MIS-DOSSIER</x:v>
      </x:c>
      <x:c r="P7" s="9" t="str"/>
      <x:c r="Q7" s="9" t="str"/>
      <x:c r="R7" s="9" t="str"/>
      <x:c r="S7" s="9" t="str"/>
    </x:row>
    <x:row r="8" ht="54" customHeight="1">
      <x:c r="A8" s="19" t="str">
        <x:v>DEC-CIN-ALERT</x:v>
      </x:c>
      <x:c r="B8" s="7" t="str">
        <x:v>Organiser un sas de protection — transition narrative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Mise en scène originale compacte, sans reconstituer les dialogues de l’œuvre.</x:v>
      </x:c>
      <x:c r="G8" s="7" t="str">
        <x:v>Écran tactique puis plan court du couloir fermé.</x:v>
      </x:c>
      <x:c r="H8" s="7" t="str">
        <x:v>Caméra et texte uniquement ; aucune commande de combat pendant la transition ; reprise au même état en cas de saut.</x:v>
      </x:c>
      <x:c r="I8" s="7" t="str">
        <x:v>Composition 3D sobre, silhouettes 2D au premier plan ; contrôler l’échelle des personnages.</x:v>
      </x:c>
      <x:c r="J8" s="7" t="str">
        <x:v>Deux ou trois plans courts proposés ; sortie anticipée applique les mêmes drapeaux que lecture complète.</x:v>
      </x:c>
      <x:c r="K8" s="7" t="str">
        <x:v>Musique originale sous les sous-titres ; aucun extrait de bande sonore officielle.</x:v>
      </x:c>
      <x:c r="L8" s="7" t="str">
        <x:v>cinematics/dec/alert.timeline ; événements idempotents.</x:v>
      </x:c>
      <x:c r="M8" s="7" t="str">
        <x:v>Pas de changement des destins attestés dans l’édition utilisée.</x:v>
      </x:c>
      <x:c r="N8" s="7" t="str">
        <x:v>Version regardée et version sautée donnent les mêmes inventaire, équipe, carte et objectifs.</x:v>
      </x:c>
      <x:c r="O8" s="7" t="str">
        <x:v>DEC-MIS-ALERT</x:v>
      </x:c>
      <x:c r="P8" s="7" t="str"/>
      <x:c r="Q8" s="7" t="str"/>
      <x:c r="R8" s="7" t="str"/>
      <x:c r="S8" s="7" t="str"/>
    </x:row>
    <x:row r="9" ht="54" customHeight="1">
      <x:c r="A9" s="18" t="str">
        <x:v>DEC-CIN-TESTIMONY</x:v>
      </x:c>
      <x:c r="B9" s="9" t="str">
        <x:v>Écouter un témoin libéré — transition narrative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Mise en scène originale compacte, sans reconstituer les dialogues de l’œuvre.</x:v>
      </x:c>
      <x:c r="G9" s="9" t="str">
        <x:v>Un portrait écoute et l’interface souligne la provenance.</x:v>
      </x:c>
      <x:c r="H9" s="9" t="str">
        <x:v>Caméra et texte uniquement ; aucune commande de combat pendant la transition ; reprise au même état en cas de saut.</x:v>
      </x:c>
      <x:c r="I9" s="9" t="str">
        <x:v>Composition 3D sobre, silhouettes 2D au premier plan ; contrôler l’échelle des personnages.</x:v>
      </x:c>
      <x:c r="J9" s="9" t="str">
        <x:v>Deux ou trois plans courts proposés ; sortie anticipée applique les mêmes drapeaux que lecture complète.</x:v>
      </x:c>
      <x:c r="K9" s="9" t="str">
        <x:v>Musique originale sous les sous-titres ; aucun extrait de bande sonore officielle.</x:v>
      </x:c>
      <x:c r="L9" s="9" t="str">
        <x:v>cinematics/dec/testimony.timeline ; événements idempotents.</x:v>
      </x:c>
      <x:c r="M9" s="9" t="str">
        <x:v>Une parole rapportée n’est pas transformée en vérité omnisciente.</x:v>
      </x:c>
      <x:c r="N9" s="9" t="str">
        <x:v>Version regardée et version sautée donnent les mêmes inventaire, équipe, carte et objectifs.</x:v>
      </x:c>
      <x:c r="O9" s="9" t="str">
        <x:v>DEC-MIS-TESTIMONY</x:v>
      </x:c>
      <x:c r="P9" s="9" t="str"/>
      <x:c r="Q9" s="9" t="str"/>
      <x:c r="R9" s="9" t="str"/>
      <x:c r="S9" s="9" t="str"/>
    </x:row>
    <x:row r="10" ht="54" customHeight="1">
      <x:c r="A10" s="19" t="str">
        <x:v>DEC-CIN-PURPOSE</x:v>
      </x:c>
      <x:c r="B10" s="7" t="str">
        <x:v>Examiner une piste de vengeance — transition narrative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Mise en scène originale compacte, sans reconstituer les dialogues de l’œuvre.</x:v>
      </x:c>
      <x:c r="G10" s="7" t="str">
        <x:v>Silence bref entre les deux interlocuteurs, sans monologue copié.</x:v>
      </x:c>
      <x:c r="H10" s="7" t="str">
        <x:v>Caméra et texte uniquement ; aucune commande de combat pendant la transition ; reprise au même état en cas de saut.</x:v>
      </x:c>
      <x:c r="I10" s="7" t="str">
        <x:v>Composition 3D sobre, silhouettes 2D au premier plan ; contrôler l’échelle des personnages.</x:v>
      </x:c>
      <x:c r="J10" s="7" t="str">
        <x:v>Deux ou trois plans courts proposés ; sortie anticipée applique les mêmes drapeaux que lecture complète.</x:v>
      </x:c>
      <x:c r="K10" s="7" t="str">
        <x:v>Musique originale sous les sous-titres ; aucun extrait de bande sonore officielle.</x:v>
      </x:c>
      <x:c r="L10" s="7" t="str">
        <x:v>cinematics/dec/purpose.timeline ; événements idempotents.</x:v>
      </x:c>
      <x:c r="M10" s="7" t="str">
        <x:v>Ne pas fabriquer une autre personnalité de Gillian pour résoudre une incohérence.</x:v>
      </x:c>
      <x:c r="N10" s="7" t="str">
        <x:v>Version regardée et version sautée donnent les mêmes inventaire, équipe, carte et objectifs.</x:v>
      </x:c>
      <x:c r="O10" s="7" t="str">
        <x:v>DEC-MIS-PURPOSE</x:v>
      </x:c>
      <x:c r="P10" s="7" t="str"/>
      <x:c r="Q10" s="7" t="str"/>
      <x:c r="R10" s="7" t="str"/>
      <x:c r="S10" s="7" t="str"/>
    </x:row>
    <x:row r="11" ht="54" customHeight="1">
      <x:c r="A11" s="18" t="str">
        <x:v>DEC-CIN-NETWORK</x:v>
      </x:c>
      <x:c r="B11" s="9" t="str">
        <x:v>Démêler les relais d’Omega — transition narrative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Mise en scène originale compacte, sans reconstituer les dialogues de l’œuvre.</x:v>
      </x:c>
      <x:c r="G11" s="9" t="str">
        <x:v>La carte de réseau se réduit à une piste exploitable.</x:v>
      </x:c>
      <x:c r="H11" s="9" t="str">
        <x:v>Caméra et texte uniquement ; aucune commande de combat pendant la transition ; reprise au même état en cas de saut.</x:v>
      </x:c>
      <x:c r="I11" s="9" t="str">
        <x:v>Composition 3D sobre, silhouettes 2D au premier plan ; contrôler l’échelle des personnages.</x:v>
      </x:c>
      <x:c r="J11" s="9" t="str">
        <x:v>Deux ou trois plans courts proposés ; sortie anticipée applique les mêmes drapeaux que lecture complète.</x:v>
      </x:c>
      <x:c r="K11" s="9" t="str">
        <x:v>Musique originale sous les sous-titres ; aucun extrait de bande sonore officielle.</x:v>
      </x:c>
      <x:c r="L11" s="9" t="str">
        <x:v>cinematics/dec/network.timeline ; événements idempotents.</x:v>
      </x:c>
      <x:c r="M11" s="9" t="str">
        <x:v>Les intermédiaires supplémentaires sont signalés comme création originale.</x:v>
      </x:c>
      <x:c r="N11" s="9" t="str">
        <x:v>Version regardée et version sautée donnent les mêmes inventaire, équipe, carte et objectifs.</x:v>
      </x:c>
      <x:c r="O11" s="9" t="str">
        <x:v>DEC-MIS-NETWORK</x:v>
      </x:c>
      <x:c r="P11" s="9" t="str"/>
      <x:c r="Q11" s="9" t="str"/>
      <x:c r="R11" s="9" t="str"/>
      <x:c r="S11" s="9" t="str"/>
    </x:row>
    <x:row r="12" ht="54" customHeight="1">
      <x:c r="A12" s="19" t="str">
        <x:v>DEC-CIN-PROMISE</x:v>
      </x:c>
      <x:c r="B12" s="7" t="str">
        <x:v>Reconnaître une promesse dangereuse — transition narrative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Mise en scène originale compacte, sans reconstituer les dialogues de l’œuvre.</x:v>
      </x:c>
      <x:c r="G12" s="7" t="str">
        <x:v>Plan sur une chaise vide plutôt que scène d’endoctrinement spectaculaire.</x:v>
      </x:c>
      <x:c r="H12" s="7" t="str">
        <x:v>Caméra et texte uniquement ; aucune commande de combat pendant la transition ; reprise au même état en cas de saut.</x:v>
      </x:c>
      <x:c r="I12" s="7" t="str">
        <x:v>Composition 3D sobre, silhouettes 2D au premier plan ; contrôler l’échelle des personnages.</x:v>
      </x:c>
      <x:c r="J12" s="7" t="str">
        <x:v>Deux ou trois plans courts proposés ; sortie anticipée applique les mêmes drapeaux que lecture complète.</x:v>
      </x:c>
      <x:c r="K12" s="7" t="str">
        <x:v>Musique originale sous les sous-titres ; aucun extrait de bande sonore officielle.</x:v>
      </x:c>
      <x:c r="L12" s="7" t="str">
        <x:v>cinematics/dec/promise.timeline ; événements idempotents.</x:v>
      </x:c>
      <x:c r="M12" s="7" t="str">
        <x:v>L’appartenance de Nick reste celle de l’édition, sous réserve éditoriale.</x:v>
      </x:c>
      <x:c r="N12" s="7" t="str">
        <x:v>Version regardée et version sautée donnent les mêmes inventaire, équipe, carte et objectifs.</x:v>
      </x:c>
      <x:c r="O12" s="7" t="str">
        <x:v>DEC-MIS-PROMISE</x:v>
      </x:c>
      <x:c r="P12" s="7" t="str"/>
      <x:c r="Q12" s="7" t="str"/>
      <x:c r="R12" s="7" t="str"/>
      <x:c r="S12" s="7" t="str"/>
    </x:row>
    <x:row r="13" ht="54" customHeight="1">
      <x:c r="A13" s="18" t="str">
        <x:v>DEC-CIN-EXCHANGE</x:v>
      </x:c>
      <x:c r="B13" s="9" t="str">
        <x:v>Sécuriser une remise locale — transition narrative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Mise en scène originale compacte, sans reconstituer les dialogues de l’œuvre.</x:v>
      </x:c>
      <x:c r="G13" s="9" t="str">
        <x:v>La main se retire du conteneur après le signal de validation.</x:v>
      </x:c>
      <x:c r="H13" s="9" t="str">
        <x:v>Caméra et texte uniquement ; aucune commande de combat pendant la transition ; reprise au même état en cas de saut.</x:v>
      </x:c>
      <x:c r="I13" s="9" t="str">
        <x:v>Composition 3D sobre, silhouettes 2D au premier plan ; contrôler l’échelle des personnages.</x:v>
      </x:c>
      <x:c r="J13" s="9" t="str">
        <x:v>Deux ou trois plans courts proposés ; sortie anticipée applique les mêmes drapeaux que lecture complète.</x:v>
      </x:c>
      <x:c r="K13" s="9" t="str">
        <x:v>Musique originale sous les sous-titres ; aucun extrait de bande sonore officielle.</x:v>
      </x:c>
      <x:c r="L13" s="9" t="str">
        <x:v>cinematics/dec/exchange.timeline ; événements idempotents.</x:v>
      </x:c>
      <x:c r="M13" s="9" t="str">
        <x:v>Ne pas prétendre que cet échange existe dans le roman.</x:v>
      </x:c>
      <x:c r="N13" s="9" t="str">
        <x:v>Version regardée et version sautée donnent les mêmes inventaire, équipe, carte et objectifs.</x:v>
      </x:c>
      <x:c r="O13" s="9" t="str">
        <x:v>DEC-MIS-EXCHANGE</x:v>
      </x:c>
      <x:c r="P13" s="9" t="str"/>
      <x:c r="Q13" s="9" t="str"/>
      <x:c r="R13" s="9" t="str"/>
      <x:c r="S13" s="9" t="str"/>
    </x:row>
    <x:row r="14" ht="54" customHeight="1">
      <x:c r="A14" s="19" t="str">
        <x:v>DEC-CIN-ARBITRATE</x:v>
      </x:c>
      <x:c r="B14" s="7" t="str">
        <x:v>Clore sans effacer les réserves — transition narrative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Mise en scène originale compacte, sans reconstituer les dialogues de l’œuvre.</x:v>
      </x:c>
      <x:c r="G14" s="7" t="str">
        <x:v>Écran de provenance concis, séparé de la fiction.</x:v>
      </x:c>
      <x:c r="H14" s="7" t="str">
        <x:v>Caméra et texte uniquement ; aucune commande de combat pendant la transition ; reprise au même état en cas de saut.</x:v>
      </x:c>
      <x:c r="I14" s="7" t="str">
        <x:v>Composition 3D sobre, silhouettes 2D au premier plan ; contrôler l’échelle des personnages.</x:v>
      </x:c>
      <x:c r="J14" s="7" t="str">
        <x:v>Deux ou trois plans courts proposés ; sortie anticipée applique les mêmes drapeaux que lecture complète.</x:v>
      </x:c>
      <x:c r="K14" s="7" t="str">
        <x:v>Musique originale sous les sous-titres ; aucun extrait de bande sonore officielle.</x:v>
      </x:c>
      <x:c r="L14" s="7" t="str">
        <x:v>cinematics/dec/arbitrate.timeline ; événements idempotents.</x:v>
      </x:c>
      <x:c r="M14" s="7" t="str">
        <x:v>La fin du module ne certifie pas une édition corrigée inexistante.</x:v>
      </x:c>
      <x:c r="N14" s="7" t="str">
        <x:v>Version regardée et version sautée donnent les mêmes inventaire, équipe, carte et objectifs.</x:v>
      </x:c>
      <x:c r="O14" s="7" t="str">
        <x:v>DEC-MIS-ARBITRATE</x:v>
      </x:c>
      <x:c r="P14" s="7" t="str"/>
      <x:c r="Q14" s="7" t="str"/>
      <x:c r="R14" s="7" t="str"/>
      <x:c r="S14" s="7" t="str"/>
    </x:row>
  </x:sheetData>
  <x:conditionalFormatting sqref="D7:D14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14">
    <x:cfRule type="cellIs" dxfId="54" priority="3" operator="equal">
      <x:formula>"Validé"</x:formula>
    </x:cfRule>
  </x:conditionalFormatting>
  <x:conditionalFormatting sqref="E7:E14">
    <x:cfRule type="cellIs" dxfId="5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3202270d647f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5" hidden="0" customWidth="1"/>
    <x:col min="19" max="19" width="8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22" customHeight="1">
      <x:c r="A7" s="2"/>
      <x:c r="B7" s="31" t="str">
        <x:v>Aucun élément inventorié. Voir les limites dans Guide.</x:v>
      </x:c>
      <x:c r="C7" s="31"/>
      <x:c r="D7" s="31"/>
      <x:c r="E7" s="31"/>
      <x:c r="F7" s="31"/>
      <x:c r="G7" s="31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7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DEC-REF-IDENNA</x:v>
      </x:c>
      <x:c r="B7" s="9" t="str">
        <x:v>Idenna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Gillian et Hendel servent dans sa sécurité au début du récit décrit.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ref.dec.idenna ; affichage bref avec source.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DEC-SRC-HEN</x:v>
      </x:c>
      <x:c r="R7" s="9" t="str">
        <x:v>https://masseffect.fandom.com/wiki/Hendel_Mitra</x:v>
      </x:c>
      <x:c r="S7" s="9" t="str">
        <x:v>Ce relevé n’est ni un inventaire exhaustif ni un résumé scène par scène.</x:v>
      </x:c>
    </x:row>
    <x:row r="8" ht="82" customHeight="1">
      <x:c r="A8" s="19" t="str">
        <x:v>DEC-REF-GLORY</x:v>
      </x:c>
      <x:c r="B8" s="7" t="str">
        <x:v>Glory of Khar’shan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Vaisseau esclavagiste butarien impliqué dans l’attaque de l’Idenna.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ref.dec.glory ; affichage bref avec source.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DEC-SRC-HEN</x:v>
      </x:c>
      <x:c r="R8" s="7" t="str">
        <x:v>https://masseffect.fandom.com/wiki/Hendel_Mitra</x:v>
      </x:c>
      <x:c r="S8" s="7" t="str">
        <x:v>Ce relevé n’est ni un inventaire exhaustif ni un résumé scène par scène.</x:v>
      </x:c>
    </x:row>
    <x:row r="9" ht="82" customHeight="1">
      <x:c r="A9" s="18" t="str">
        <x:v>DEC-REF-SUIT</x:v>
      </x:c>
      <x:c r="B9" s="9" t="str">
        <x:v>Combinaisons quarianes — contrôle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La représentation des vêtements quariens fait partie des erreurs rapportées.</x:v>
      </x:c>
      <x:c r="G9" s="9" t="str">
        <x:v>Ancrage documentaire du module ; aucune statistique officielle inférée.</x:v>
      </x:c>
      <x:c r="H9" s="9" t="str"/>
      <x:c r="I9" s="9" t="str"/>
      <x:c r="J9" s="9" t="str"/>
      <x:c r="K9" s="9" t="str"/>
      <x:c r="L9" s="9" t="str">
        <x:v>Codex ref.dec.suit ; affichage bref avec source.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La source citée atteste précisément cet élément ; modèle, plan détaillé et valeur de combat restent séparés.</x:v>
      </x:c>
      <x:c r="O9" s="9" t="str"/>
      <x:c r="P9" s="9" t="str">
        <x:v>Rubrique consultée ou synopsis éditorial ; localisation précise dans l’œuvre à relever.</x:v>
      </x:c>
      <x:c r="Q9" s="9" t="str">
        <x:v>DEC-SRC-SUITS</x:v>
      </x:c>
      <x:c r="R9" s="9" t="str">
        <x:v>https://www.videogamer.com/bioware-unhappy-with-mass-effect-novel-continuity-errors/</x:v>
      </x:c>
      <x:c r="S9" s="9" t="str">
        <x:v>Ce relevé n’est ni un inventaire exhaustif ni un résumé scène par scène.</x:v>
      </x:c>
    </x:row>
  </x:sheetData>
  <x:conditionalFormatting sqref="D7:D9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9">
    <x:cfRule type="cellIs" dxfId="58" priority="3" operator="equal">
      <x:formula>"Validé"</x:formula>
    </x:cfRule>
  </x:conditionalFormatting>
  <x:conditionalFormatting sqref="E7:E9">
    <x:cfRule type="cellIs" dxfId="59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94f2c0cad24ec8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DEC-REF-BIO</x:v>
      </x:c>
      <x:c r="B7" s="9" t="str">
        <x:v>Biotique de Gillian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Gillian possède des capacités biotiques importantes.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ref.dec.bio ; affichage bref avec source.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DEC-SRC-PUB</x:v>
      </x:c>
      <x:c r="R7" s="9" t="str">
        <x:v>https://www.penguinrandomhouse.com/books/200763/mass-effect-deception-by-william-c-dietz/paperback/</x:v>
      </x:c>
      <x:c r="S7" s="9" t="str">
        <x:v>Ce relevé n’est ni un inventaire exhaustif ni un résumé scène par scène.</x:v>
      </x:c>
    </x:row>
    <x:row r="8" ht="82" customHeight="1">
      <x:c r="A8" s="19" t="str">
        <x:v>DEC-REF-HENBIO</x:v>
      </x:c>
      <x:c r="B8" s="7" t="str">
        <x:v>Biotique de Hendel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Hendel conserve son rôle de protecteur biotique auprès de Gillian.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ref.dec.henbio ; affichage bref avec source.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DEC-SRC-HEN</x:v>
      </x:c>
      <x:c r="R8" s="7" t="str">
        <x:v>https://masseffect.fandom.com/wiki/Hendel_Mitra</x:v>
      </x:c>
      <x:c r="S8" s="7" t="str">
        <x:v>Ce relevé n’est ni un inventaire exhaustif ni un résumé scène par scène.</x:v>
      </x:c>
    </x:row>
  </x:sheetData>
  <x:conditionalFormatting sqref="D7:D8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8">
    <x:cfRule type="cellIs" dxfId="62" priority="3" operator="equal">
      <x:formula>"Validé"</x:formula>
    </x:cfRule>
  </x:conditionalFormatting>
  <x:conditionalFormatting sqref="E7:E8">
    <x:cfRule type="cellIs" dxfId="6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700fafa7174b58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DEC-MOV-PRECISION</x:v>
      </x:c>
      <x:c r="B7" s="9" t="str">
        <x:v>Impulsion précise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de groupe originale ; elle n’est pas une compétence officielle de cette œuvre.</x:v>
      </x:c>
      <x:c r="G7" s="9" t="str">
        <x:v>Gillian : Déplacer un obstacle de carte sans projection d’un civil ; portée proposée limitée à la zone indiquée.</x:v>
      </x:c>
      <x:c r="H7" s="9" t="str">
        <x:v>Déplacer un obstacle de carte sans projection d’un civil ; portée proposée limitée à la zone indiquée. Coût initial proposé : une action ATB ; coût et délai restent des paramètres de prototype.</x:v>
      </x:c>
      <x:c r="I7" s="9" t="str">
        <x:v>Trajectoire simple et contour du seul objet mobile.</x:v>
      </x:c>
      <x:c r="J7" s="9" t="str">
        <x:v>Préparation, validation de cible, engagement et récupération ; prévoir animation de refus avec motif.</x:v>
      </x:c>
      <x:c r="K7" s="9" t="str">
        <x:v>Confirmation et refus distingués ; texte d’état accessible au clavier.</x:v>
      </x:c>
      <x:c r="L7" s="9" t="str">
        <x:v>actions/dec/precision.json ; commande, cibles autorisées, coût, effets, nettoyage.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Une cible incompatible ne consomme rien ; l’effet est réversible au rechargement du point de contrôle.</x:v>
      </x:c>
      <x:c r="O7" s="9" t="str"/>
      <x:c r="P7" s="9" t="str"/>
      <x:c r="Q7" s="9" t="str"/>
      <x:c r="R7" s="9" t="str"/>
      <x:c r="S7" s="9" t="str"/>
    </x:row>
    <x:row r="8" ht="82" customHeight="1">
      <x:c r="A8" s="19" t="str">
        <x:v>DEC-MOV-GUARD</x:v>
      </x:c>
      <x:c r="B8" s="7" t="str">
        <x:v>Garde de mentor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de groupe originale ; elle n’est pas une compétence officielle de cette œuvre.</x:v>
      </x:c>
      <x:c r="G8" s="7" t="str">
        <x:v>Hendel : Réduire l’exposition d’un allié pendant une interaction de preuve.</x:v>
      </x:c>
      <x:c r="H8" s="7" t="str">
        <x:v>Réduire l’exposition d’un allié pendant une interaction de preuve. Coût initial proposé : une action ATB ; coût et délai restent des paramètres de prototype.</x:v>
      </x:c>
      <x:c r="I8" s="7" t="str">
        <x:v>Arc de protection au sol.</x:v>
      </x:c>
      <x:c r="J8" s="7" t="str">
        <x:v>Préparation, validation de cible, engagement et récupération ; prévoir animation de refus avec motif.</x:v>
      </x:c>
      <x:c r="K8" s="7" t="str">
        <x:v>Confirmation et refus distingués ; texte d’état accessible au clavier.</x:v>
      </x:c>
      <x:c r="L8" s="7" t="str">
        <x:v>actions/dec/guard.json ; commande, cibles autorisées, coût, effets, nettoyage.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Une cible incompatible ne consomme rien ; l’effet est réversible au rechargement du point de contrôle.</x:v>
      </x:c>
      <x:c r="O8" s="7" t="str"/>
      <x:c r="P8" s="7" t="str"/>
      <x:c r="Q8" s="7" t="str"/>
      <x:c r="R8" s="7" t="str"/>
      <x:c r="S8" s="7" t="str"/>
    </x:row>
    <x:row r="9" ht="82" customHeight="1">
      <x:c r="A9" s="18" t="str">
        <x:v>DEC-MOV-VERIFY</x:v>
      </x:c>
      <x:c r="B9" s="9" t="str">
        <x:v>Validation de provenance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de groupe originale ; elle n’est pas une compétence officielle de cette œuvre.</x:v>
      </x:c>
      <x:c r="G9" s="9" t="str">
        <x:v>Kahlee : Confirmer une source locale et retirer un lien erroné du tableau.</x:v>
      </x:c>
      <x:c r="H9" s="9" t="str">
        <x:v>Confirmer une source locale et retirer un lien erroné du tableau. Coût initial proposé : une action ATB ; coût et délai restent des paramètres de prototype.</x:v>
      </x:c>
      <x:c r="I9" s="9" t="str">
        <x:v>Sceau textuel source confirmée.</x:v>
      </x:c>
      <x:c r="J9" s="9" t="str">
        <x:v>Préparation, validation de cible, engagement et récupération ; prévoir animation de refus avec motif.</x:v>
      </x:c>
      <x:c r="K9" s="9" t="str">
        <x:v>Confirmation et refus distingués ; texte d’état accessible au clavier.</x:v>
      </x:c>
      <x:c r="L9" s="9" t="str">
        <x:v>actions/dec/verify.json ; commande, cibles autorisées, coût, effets, nettoyage.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Une cible incompatible ne consomme rien ; l’effet est réversible au rechargement du point de contrôle.</x:v>
      </x:c>
      <x:c r="O9" s="9" t="str"/>
      <x:c r="P9" s="9" t="str"/>
      <x:c r="Q9" s="9" t="str"/>
      <x:c r="R9" s="9" t="str"/>
      <x:c r="S9" s="9" t="str"/>
    </x:row>
    <x:row r="10" ht="82" customHeight="1">
      <x:c r="A10" s="19" t="str">
        <x:v>DEC-MOV-COMMAND</x:v>
      </x:c>
      <x:c r="B10" s="7" t="str">
        <x:v>Ordre de repli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de groupe originale ; elle n’est pas une compétence officielle de cette œuvre.</x:v>
      </x:c>
      <x:c r="G10" s="7" t="str">
        <x:v>Anderson : Regrouper les acteurs autorisés sur le dernier couvert sûr.</x:v>
      </x:c>
      <x:c r="H10" s="7" t="str">
        <x:v>Regrouper les acteurs autorisés sur le dernier couvert sûr. Coût initial proposé : une action ATB ; coût et délai restent des paramètres de prototype.</x:v>
      </x:c>
      <x:c r="I10" s="7" t="str">
        <x:v>Flèches vers le point de regroupement.</x:v>
      </x:c>
      <x:c r="J10" s="7" t="str">
        <x:v>Préparation, validation de cible, engagement et récupération ; prévoir animation de refus avec motif.</x:v>
      </x:c>
      <x:c r="K10" s="7" t="str">
        <x:v>Confirmation et refus distingués ; texte d’état accessible au clavier.</x:v>
      </x:c>
      <x:c r="L10" s="7" t="str">
        <x:v>actions/dec/command.json ; commande, cibles autorisées, coût, effets, nettoyage.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Une cible incompatible ne consomme rien ; l’effet est réversible au rechargement du point de contrôle.</x:v>
      </x:c>
      <x:c r="O10" s="7" t="str"/>
      <x:c r="P10" s="7" t="str"/>
      <x:c r="Q10" s="7" t="str"/>
      <x:c r="R10" s="7" t="str"/>
      <x:c r="S10" s="7" t="str"/>
    </x:row>
    <x:row r="11" ht="82" customHeight="1">
      <x:c r="A11" s="18" t="str">
        <x:v>DEC-MOV-CLARIFY</x:v>
      </x:c>
      <x:c r="B11" s="9" t="str">
        <x:v>Demande de précision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Action de groupe originale ; elle n’est pas une compétence officielle de cette œuvre.</x:v>
      </x:c>
      <x:c r="G11" s="9" t="str">
        <x:v>Groupe : Obtenir la distinction entre observation et rumeur dans un dialogue original.</x:v>
      </x:c>
      <x:c r="H11" s="9" t="str">
        <x:v>Obtenir la distinction entre observation et rumeur dans un dialogue original. Coût initial proposé : une action ATB ; coût et délai restent des paramètres de prototype.</x:v>
      </x:c>
      <x:c r="I11" s="9" t="str">
        <x:v>Deux colonnes témoigné et supposé.</x:v>
      </x:c>
      <x:c r="J11" s="9" t="str">
        <x:v>Préparation, validation de cible, engagement et récupération ; prévoir animation de refus avec motif.</x:v>
      </x:c>
      <x:c r="K11" s="9" t="str">
        <x:v>Confirmation et refus distingués ; texte d’état accessible au clavier.</x:v>
      </x:c>
      <x:c r="L11" s="9" t="str">
        <x:v>actions/dec/clarify.json ; commande, cibles autorisées, coût, effets, nettoyage.</x:v>
      </x:c>
      <x:c r="M11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1" s="9" t="str">
        <x:v>Une cible incompatible ne consomme rien ; l’effet est réversible au rechargement du point de contrôle.</x:v>
      </x:c>
      <x:c r="O11" s="9" t="str"/>
      <x:c r="P11" s="9" t="str"/>
      <x:c r="Q11" s="9" t="str"/>
      <x:c r="R11" s="9" t="str"/>
      <x:c r="S11" s="9" t="str"/>
    </x:row>
    <x:row r="12" ht="82" customHeight="1">
      <x:c r="A12" s="19" t="str">
        <x:v>DEC-MOV-LOCK</x:v>
      </x:c>
      <x:c r="B12" s="7" t="str">
        <x:v>Scellement de preuve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Action de groupe originale ; elle n’est pas une compétence officielle de cette œuvre.</x:v>
      </x:c>
      <x:c r="G12" s="7" t="str">
        <x:v>Groupe : Rendre un conteneur non interactif jusqu’au prochain point de remise.</x:v>
      </x:c>
      <x:c r="H12" s="7" t="str">
        <x:v>Rendre un conteneur non interactif jusqu’au prochain point de remise. Coût initial proposé : une action ATB ; coût et délai restent des paramètres de prototype.</x:v>
      </x:c>
      <x:c r="I12" s="7" t="str">
        <x:v>Verrou et identifiant unique affichés.</x:v>
      </x:c>
      <x:c r="J12" s="7" t="str">
        <x:v>Préparation, validation de cible, engagement et récupération ; prévoir animation de refus avec motif.</x:v>
      </x:c>
      <x:c r="K12" s="7" t="str">
        <x:v>Confirmation et refus distingués ; texte d’état accessible au clavier.</x:v>
      </x:c>
      <x:c r="L12" s="7" t="str">
        <x:v>actions/dec/lock.json ; commande, cibles autorisées, coût, effets, nettoyage.</x:v>
      </x:c>
      <x:c r="M12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2" s="7" t="str">
        <x:v>Une cible incompatible ne consomme rien ; l’effet est réversible au rechargement du point de contrôle.</x:v>
      </x:c>
      <x:c r="O12" s="7" t="str"/>
      <x:c r="P12" s="7" t="str"/>
      <x:c r="Q12" s="7" t="str"/>
      <x:c r="R12" s="7" t="str"/>
      <x:c r="S12" s="7" t="str"/>
    </x:row>
  </x:sheetData>
  <x:conditionalFormatting sqref="D7:D12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12">
    <x:cfRule type="cellIs" dxfId="66" priority="3" operator="equal">
      <x:formula>"Validé"</x:formula>
    </x:cfRule>
  </x:conditionalFormatting>
  <x:conditionalFormatting sqref="E7:E12">
    <x:cfRule type="cellIs" dxfId="6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3fb34c61b748c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DEC-EMV-BOARDER</x:v>
      </x:c>
      <x:c r="B7" s="9" t="str">
        <x:v>Abordeur esclavagiste proposé — comportement principal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Comportement proposé pour la rencontre liée.</x:v>
      </x:c>
      <x:c r="G7" s="9" t="str">
        <x:v>Cherche à fermer la sortie des captifs plutôt qu’à tuer le groupe.</x:v>
      </x:c>
      <x:c r="H7" s="9" t="str">
        <x:v>Télégraphe : Approche vers le verrou et pictogramme de porte. Contre-mesure : Garder la porte accessible et désarmer localement. Consommer une action ATB à l’engagement ; équilibrage à mesurer au prototype.</x:v>
      </x:c>
      <x:c r="I7" s="9" t="str">
        <x:v>Rendre l’aire touchée lisible au sol et sur le HUD ; ne jamais dépendre seulement de la couleur.</x:v>
      </x:c>
      <x:c r="J7" s="9" t="str">
        <x:v>Bloquer la cible au début de l’engagement ; annuler proprement si les préconditions disparaissent.</x:v>
      </x:c>
      <x:c r="K7" s="9" t="str">
        <x:v>Signal préalable distinct du son d’impact ; option pour réduire les sons agressifs.</x:v>
      </x:c>
      <x:c r="L7" s="9" t="str">
        <x:v>behaviors/dec/boarder : prepare/commit/recover ; paramètres séparés du code.</x:v>
      </x:c>
      <x:c r="M7" s="9" t="str">
        <x:v>Uniquement quand la rencontre correspondante est active.</x:v>
      </x:c>
      <x:c r="N7" s="9" t="str">
        <x:v>L’indicateur apparaît avant la conséquence ; la contre-mesure fonctionne en pause et à vitesse normale.</x:v>
      </x:c>
      <x:c r="O7" s="9" t="str">
        <x:v>DEC-ENC-BOARDER</x:v>
      </x:c>
      <x:c r="P7" s="9" t="str"/>
      <x:c r="Q7" s="9" t="str"/>
      <x:c r="R7" s="9" t="str"/>
      <x:c r="S7" s="9" t="str"/>
    </x:row>
    <x:row r="8" ht="68" customHeight="1">
      <x:c r="A8" s="19" t="str">
        <x:v>DEC-EMV-RADICAL</x:v>
      </x:c>
      <x:c r="B8" s="7" t="str">
        <x:v>Sentinelle du local proposée — comportement principal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Comportement proposé pour la rencontre liée.</x:v>
      </x:c>
      <x:c r="G8" s="7" t="str">
        <x:v>Interrompt une interaction si le groupe traverse sa zone sans autorisation.</x:v>
      </x:c>
      <x:c r="H8" s="7" t="str">
        <x:v>Télégraphe : Arc de surveillance et avertissement verbal original. Contre-mesure : Obtenir un accès de dialogue ou utiliser le couloir de service. Consommer une action ATB à l’engagement ; équilibrage à mesurer au prototype.</x:v>
      </x:c>
      <x:c r="I8" s="7" t="str">
        <x:v>Rendre l’aire touchée lisible au sol et sur le HUD ; ne jamais dépendre seulement de la couleur.</x:v>
      </x:c>
      <x:c r="J8" s="7" t="str">
        <x:v>Bloquer la cible au début de l’engagement ; annuler proprement si les préconditions disparaissent.</x:v>
      </x:c>
      <x:c r="K8" s="7" t="str">
        <x:v>Signal préalable distinct du son d’impact ; option pour réduire les sons agressifs.</x:v>
      </x:c>
      <x:c r="L8" s="7" t="str">
        <x:v>behaviors/dec/radical : prepare/commit/recover ; paramètres séparés du code.</x:v>
      </x:c>
      <x:c r="M8" s="7" t="str">
        <x:v>Uniquement quand la rencontre correspondante est active.</x:v>
      </x:c>
      <x:c r="N8" s="7" t="str">
        <x:v>L’indicateur apparaît avant la conséquence ; la contre-mesure fonctionne en pause et à vitesse normale.</x:v>
      </x:c>
      <x:c r="O8" s="7" t="str">
        <x:v>DEC-ENC-RADICAL</x:v>
      </x:c>
      <x:c r="P8" s="7" t="str"/>
      <x:c r="Q8" s="7" t="str"/>
      <x:c r="R8" s="7" t="str"/>
      <x:c r="S8" s="7" t="str"/>
    </x:row>
    <x:row r="9" ht="82" customHeight="1">
      <x:c r="A9" s="18" t="str">
        <x:v>DEC-EMV-LENG</x:v>
      </x:c>
      <x:c r="B9" s="9" t="str">
        <x:v>Kai Leng — menace de sortie proposée — comportement principal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Comportement proposé pour la rencontre liée.</x:v>
      </x:c>
      <x:c r="G9" s="9" t="str">
        <x:v>Feinte une attaque et se replie vers un accès déterminé.</x:v>
      </x:c>
      <x:c r="H9" s="9" t="str">
        <x:v>Télégraphe : Direction de retraite signalée après l’anticipation. Contre-mesure : Protéger la preuve et préserver une couverture, sans mort canonique ajoutée. Consommer une action ATB à l’engagement ; équilibrage à mesurer au prototype.</x:v>
      </x:c>
      <x:c r="I9" s="9" t="str">
        <x:v>Rendre l’aire touchée lisible au sol et sur le HUD ; ne jamais dépendre seulement de la couleur.</x:v>
      </x:c>
      <x:c r="J9" s="9" t="str">
        <x:v>Bloquer la cible au début de l’engagement ; annuler proprement si les préconditions disparaissent.</x:v>
      </x:c>
      <x:c r="K9" s="9" t="str">
        <x:v>Signal préalable distinct du son d’impact ; option pour réduire les sons agressifs.</x:v>
      </x:c>
      <x:c r="L9" s="9" t="str">
        <x:v>behaviors/dec/leng : prepare/commit/recover ; paramètres séparés du code.</x:v>
      </x:c>
      <x:c r="M9" s="9" t="str">
        <x:v>Uniquement quand la rencontre correspondante est active.</x:v>
      </x:c>
      <x:c r="N9" s="9" t="str">
        <x:v>L’indicateur apparaît avant la conséquence ; la contre-mesure fonctionne en pause et à vitesse normale.</x:v>
      </x:c>
      <x:c r="O9" s="9" t="str">
        <x:v>DEC-ENC-LENG</x:v>
      </x:c>
      <x:c r="P9" s="9" t="str"/>
      <x:c r="Q9" s="9" t="str"/>
      <x:c r="R9" s="9" t="str"/>
      <x:c r="S9" s="9" t="str"/>
    </x:row>
    <x:row r="10" ht="68" customHeight="1">
      <x:c r="A10" s="19" t="str">
        <x:v>DEC-EMV-LEAK</x:v>
      </x:c>
      <x:c r="B10" s="7" t="str">
        <x:v>Fuite d’information — comportement principal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Comportement proposé pour la rencontre liée.</x:v>
      </x:c>
      <x:c r="G10" s="7" t="str">
        <x:v>Un relais tente de publier une version incomplète du dossier.</x:v>
      </x:c>
      <x:c r="H10" s="7" t="str">
        <x:v>Télégraphe : Documents colorés et symbole de provenance manquante. Contre-mesure : Suspendre le relais puis fournir la preuve vérifiée. Consommer une action ATB à l’engagement ; équilibrage à mesurer au prototype.</x:v>
      </x:c>
      <x:c r="I10" s="7" t="str">
        <x:v>Rendre l’aire touchée lisible au sol et sur le HUD ; ne jamais dépendre seulement de la couleur.</x:v>
      </x:c>
      <x:c r="J10" s="7" t="str">
        <x:v>Bloquer la cible au début de l’engagement ; annuler proprement si les préconditions disparaissent.</x:v>
      </x:c>
      <x:c r="K10" s="7" t="str">
        <x:v>Signal préalable distinct du son d’impact ; option pour réduire les sons agressifs.</x:v>
      </x:c>
      <x:c r="L10" s="7" t="str">
        <x:v>behaviors/dec/leak : prepare/commit/recover ; paramètres séparés du code.</x:v>
      </x:c>
      <x:c r="M10" s="7" t="str">
        <x:v>Uniquement quand la rencontre correspondante est active.</x:v>
      </x:c>
      <x:c r="N10" s="7" t="str">
        <x:v>L’indicateur apparaît avant la conséquence ; la contre-mesure fonctionne en pause et à vitesse normale.</x:v>
      </x:c>
      <x:c r="O10" s="7" t="str">
        <x:v>DEC-ENC-LEAK</x:v>
      </x:c>
      <x:c r="P10" s="7" t="str"/>
      <x:c r="Q10" s="7" t="str"/>
      <x:c r="R10" s="7" t="str"/>
      <x:c r="S10" s="7" t="str"/>
    </x:row>
  </x:sheetData>
  <x:conditionalFormatting sqref="D7:D10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0">
    <x:cfRule type="cellIs" dxfId="70" priority="3" operator="equal">
      <x:formula>"Validé"</x:formula>
    </x:cfRule>
  </x:conditionalFormatting>
  <x:conditionalFormatting sqref="E7:E10">
    <x:cfRule type="cellIs" dxfId="7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8727797c646a4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DEC-ANI-GILLIAN</x:v>
      </x:c>
      <x:c r="B7" s="9" t="str">
        <x:v>Gillian Grayson — jeu de poses contextuelles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poses nécessaires à l’interaction « Évaluer une piste locale sans que le score réécrive son objectif narratif. ».</x:v>
      </x:c>
      <x:c r="G7" s="9" t="str">
        <x:v>Blocage animé de Gillian Grayson : anticipation, action, récupération, retour au repos ; prévoir une interruption propre.</x:v>
      </x:c>
      <x:c r="H7" s="9" t="str">
        <x:v>Évaluer une piste locale sans que le score réécrive son objectif narratif. L’effet logique ne dépend jamais de la cadence du rendu.</x:v>
      </x:c>
      <x:c r="I7" s="9" t="str">
        <x:v>Conserver les repères de silhouette : Portrait à produire après arbitrage d’âge ; aucune apparence adulte fixée comme canon.</x:v>
      </x:c>
      <x:c r="J7" s="9" t="str">
        <x:v>Repos, déplacement, interaction et réaction ; nombre d’images ajusté après essai sur écran ; ne pas ajouter une attaque aux personnages civils.</x:v>
      </x:c>
      <x:c r="K7" s="9" t="str">
        <x:v>Marqueurs animation distincts du fichier audio ; sous-titre court si l’action porte une information.</x:v>
      </x:c>
      <x:c r="L7" s="9" t="str">
        <x:v>Animator actor.dec.gillian ; événements start/commit/recover ; annulation avant commit sans effet.</x:v>
      </x:c>
      <x:c r="M7" s="9" t="str">
        <x:v>Animation de blessure ou de décès uniquement si le contexte la justifie ; pas de mort libre d’un personnage établi.</x:v>
      </x:c>
      <x:c r="N7" s="9" t="str">
        <x:v>Une interruption avant commit ne dépense pas la ressource ; aucune pose résiduelle après changement de carte.</x:v>
      </x:c>
      <x:c r="O7" s="9" t="str">
        <x:v>DEC-SPR-GILLIAN</x:v>
      </x:c>
      <x:c r="P7" s="9" t="str"/>
      <x:c r="Q7" s="9" t="str"/>
      <x:c r="R7" s="9" t="str"/>
      <x:c r="S7" s="9" t="str"/>
    </x:row>
    <x:row r="8" ht="54" customHeight="1">
      <x:c r="A8" s="19" t="str">
        <x:v>DEC-ANI-HENDEL</x:v>
      </x:c>
      <x:c r="B8" s="7" t="str">
        <x:v>Hendel Mitra — jeu de poses contextuelles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poses nécessaires à l’interaction « Protéger un passage et demander un temps de réflexion. ».</x:v>
      </x:c>
      <x:c r="G8" s="7" t="str">
        <x:v>Blocage animé de Hendel Mitra : anticipation, action, récupération, retour au repos ; prévoir une interruption propre.</x:v>
      </x:c>
      <x:c r="H8" s="7" t="str">
        <x:v>Protéger un passage et demander un temps de réflexion. L’effet logique ne dépend jamais de la cadence du rendu.</x:v>
      </x:c>
      <x:c r="I8" s="7" t="str">
        <x:v>Conserver les repères de silhouette : Tenue de protection et biotique héritées d’Ascension ; cohérence d’âge à conserver.</x:v>
      </x:c>
      <x:c r="J8" s="7" t="str">
        <x:v>Repos, déplacement, interaction et réaction ; nombre d’images ajusté après essai sur écran ; ne pas ajouter une attaque aux personnages civils.</x:v>
      </x:c>
      <x:c r="K8" s="7" t="str">
        <x:v>Marqueurs animation distincts du fichier audio ; sous-titre court si l’action porte une information.</x:v>
      </x:c>
      <x:c r="L8" s="7" t="str">
        <x:v>Animator actor.dec.hendel ; événements start/commit/recover ; annulation avant commit sans effet.</x:v>
      </x:c>
      <x:c r="M8" s="7" t="str">
        <x:v>Animation de blessure ou de décès uniquement si le contexte la justifie ; pas de mort libre d’un personnage établi.</x:v>
      </x:c>
      <x:c r="N8" s="7" t="str">
        <x:v>Une interruption avant commit ne dépense pas la ressource ; aucune pose résiduelle après changement de carte.</x:v>
      </x:c>
      <x:c r="O8" s="7" t="str">
        <x:v>DEC-SPR-HENDEL</x:v>
      </x:c>
      <x:c r="P8" s="7" t="str"/>
      <x:c r="Q8" s="7" t="str"/>
      <x:c r="R8" s="7" t="str"/>
      <x:c r="S8" s="7" t="str"/>
    </x:row>
    <x:row r="9" ht="54" customHeight="1">
      <x:c r="A9" s="18" t="str">
        <x:v>DEC-ANI-KAHLEE</x:v>
      </x:c>
      <x:c r="B9" s="9" t="str">
        <x:v>Kahlee Sanders — jeu de poses contextuelles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poses nécessaires à l’interaction « Vérifier une preuve avant qu’elle soit utilisée dans un échange. ».</x:v>
      </x:c>
      <x:c r="G9" s="9" t="str">
        <x:v>Blocage animé de Kahlee Sanders : anticipation, action, récupération, retour au repos ; prévoir une interruption propre.</x:v>
      </x:c>
      <x:c r="H9" s="9" t="str">
        <x:v>Vérifier une preuve avant qu’elle soit utilisée dans un échange. L’effet logique ne dépend jamais de la cadence du rendu.</x:v>
      </x:c>
      <x:c r="I9" s="9" t="str">
        <x:v>Conserver les repères de silhouette : Tenue scientifique de terrain, dossier portable et visage fatigué proposé.</x:v>
      </x:c>
      <x:c r="J9" s="9" t="str">
        <x:v>Repos, déplacement, interaction et réaction ; nombre d’images ajusté après essai sur écran ; ne pas ajouter une attaque aux personnages civils.</x:v>
      </x:c>
      <x:c r="K9" s="9" t="str">
        <x:v>Marqueurs animation distincts du fichier audio ; sous-titre court si l’action porte une information.</x:v>
      </x:c>
      <x:c r="L9" s="9" t="str">
        <x:v>Animator actor.dec.kahlee ; événements start/commit/recover ; annulation avant commit sans effet.</x:v>
      </x:c>
      <x:c r="M9" s="9" t="str">
        <x:v>Animation de blessure ou de décès uniquement si le contexte la justifie ; pas de mort libre d’un personnage établi.</x:v>
      </x:c>
      <x:c r="N9" s="9" t="str">
        <x:v>Une interruption avant commit ne dépense pas la ressource ; aucune pose résiduelle après changement de carte.</x:v>
      </x:c>
      <x:c r="O9" s="9" t="str">
        <x:v>DEC-SPR-KAHLEE</x:v>
      </x:c>
      <x:c r="P9" s="9" t="str"/>
      <x:c r="Q9" s="9" t="str"/>
      <x:c r="R9" s="9" t="str"/>
      <x:c r="S9" s="9" t="str"/>
    </x:row>
    <x:row r="10" ht="54" customHeight="1">
      <x:c r="A10" s="19" t="str">
        <x:v>DEC-ANI-ANDERSON</x:v>
      </x:c>
      <x:c r="B10" s="7" t="str">
        <x:v>David Anderson — jeu de poses contextuelles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poses nécessaires à l’interaction « Garantir un espace de discussion pendant une recherche locale. ».</x:v>
      </x:c>
      <x:c r="G10" s="7" t="str">
        <x:v>Blocage animé de David Anderson : anticipation, action, récupération, retour au repos ; prévoir une interruption propre.</x:v>
      </x:c>
      <x:c r="H10" s="7" t="str">
        <x:v>Garantir un espace de discussion pendant une recherche locale. L’effet logique ne dépend jamais de la cadence du rendu.</x:v>
      </x:c>
      <x:c r="I10" s="7" t="str">
        <x:v>Conserver les repères de silhouette : Tenue d’officier compatible avec la période, grade à contrôler.</x:v>
      </x:c>
      <x:c r="J10" s="7" t="str">
        <x:v>Repos, déplacement, interaction et réaction ; nombre d’images ajusté après essai sur écran ; ne pas ajouter une attaque aux personnages civils.</x:v>
      </x:c>
      <x:c r="K10" s="7" t="str">
        <x:v>Marqueurs animation distincts du fichier audio ; sous-titre court si l’action porte une information.</x:v>
      </x:c>
      <x:c r="L10" s="7" t="str">
        <x:v>Animator actor.dec.anderson ; événements start/commit/recover ; annulation avant commit sans effet.</x:v>
      </x:c>
      <x:c r="M10" s="7" t="str">
        <x:v>Animation de blessure ou de décès uniquement si le contexte la justifie ; pas de mort libre d’un personnage établi.</x:v>
      </x:c>
      <x:c r="N10" s="7" t="str">
        <x:v>Une interruption avant commit ne dépense pas la ressource ; aucune pose résiduelle après changement de carte.</x:v>
      </x:c>
      <x:c r="O10" s="7" t="str">
        <x:v>DEC-SPR-ANDERSON</x:v>
      </x:c>
      <x:c r="P10" s="7" t="str"/>
      <x:c r="Q10" s="7" t="str"/>
      <x:c r="R10" s="7" t="str"/>
      <x:c r="S10" s="7" t="str"/>
    </x:row>
    <x:row r="11" ht="54" customHeight="1">
      <x:c r="A11" s="18" t="str">
        <x:v>DEC-ANI-NICK</x:v>
      </x:c>
      <x:c r="B11" s="9" t="str">
        <x:v>Nick Donahue — jeu de poses contextuelles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poses nécessaires à l’interaction « Participer à un échange sur les promesses d’un groupe radical. ».</x:v>
      </x:c>
      <x:c r="G11" s="9" t="str">
        <x:v>Blocage animé de Nick Donahue : anticipation, action, récupération, retour au repos ; prévoir une interruption propre.</x:v>
      </x:c>
      <x:c r="H11" s="9" t="str">
        <x:v>Participer à un échange sur les promesses d’un groupe radical. L’effet logique ne dépend jamais de la cadence du rendu.</x:v>
      </x:c>
      <x:c r="I11" s="9" t="str">
        <x:v>Conserver les repères de silhouette : Version adolescente à arbitrer ; deux fiches d’âge documentées, aucun mélange silencieux.</x:v>
      </x:c>
      <x:c r="J11" s="9" t="str">
        <x:v>Repos, déplacement, interaction et réaction ; nombre d’images ajusté après essai sur écran ; ne pas ajouter une attaque aux personnages civils.</x:v>
      </x:c>
      <x:c r="K11" s="9" t="str">
        <x:v>Marqueurs animation distincts du fichier audio ; sous-titre court si l’action porte une information.</x:v>
      </x:c>
      <x:c r="L11" s="9" t="str">
        <x:v>Animator actor.dec.nick ; événements start/commit/recover ; annulation avant commit sans effet.</x:v>
      </x:c>
      <x:c r="M11" s="9" t="str">
        <x:v>Animation de blessure ou de décès uniquement si le contexte la justifie ; pas de mort libre d’un personnage établi.</x:v>
      </x:c>
      <x:c r="N11" s="9" t="str">
        <x:v>Une interruption avant commit ne dépense pas la ressource ; aucune pose résiduelle après changement de carte.</x:v>
      </x:c>
      <x:c r="O11" s="9" t="str">
        <x:v>DEC-SPR-NICK</x:v>
      </x:c>
      <x:c r="P11" s="9" t="str"/>
      <x:c r="Q11" s="9" t="str"/>
      <x:c r="R11" s="9" t="str"/>
      <x:c r="S11" s="9" t="str"/>
    </x:row>
    <x:row r="12" ht="54" customHeight="1">
      <x:c r="A12" s="19" t="str">
        <x:v>DEC-ANI-KAILENG</x:v>
      </x:c>
      <x:c r="B12" s="7" t="str">
        <x:v>Kai Leng — jeu de poses contextuelles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poses nécessaires à l’interaction « Servir de menace d’objectif dans une confrontation proposée. ».</x:v>
      </x:c>
      <x:c r="G12" s="7" t="str">
        <x:v>Blocage animé de Kai Leng : anticipation, action, récupération, retour au repos ; prévoir une interruption propre.</x:v>
      </x:c>
      <x:c r="H12" s="7" t="str">
        <x:v>Servir de menace d’objectif dans une confrontation proposée. L’effet logique ne dépend jamais de la cadence du rendu.</x:v>
      </x:c>
      <x:c r="I12" s="7" t="str">
        <x:v>Conserver les repères de silhouette : Silhouette de période à contrôler séparément de sa version ME3.</x:v>
      </x:c>
      <x:c r="J12" s="7" t="str">
        <x:v>Repos, déplacement, interaction et réaction ; nombre d’images ajusté après essai sur écran ; ne pas ajouter une attaque aux personnages civils.</x:v>
      </x:c>
      <x:c r="K12" s="7" t="str">
        <x:v>Marqueurs animation distincts du fichier audio ; sous-titre court si l’action porte une information.</x:v>
      </x:c>
      <x:c r="L12" s="7" t="str">
        <x:v>Animator actor.dec.kaileng ; événements start/commit/recover ; annulation avant commit sans effet.</x:v>
      </x:c>
      <x:c r="M12" s="7" t="str">
        <x:v>Animation de blessure ou de décès uniquement si le contexte la justifie ; pas de mort libre d’un personnage établi.</x:v>
      </x:c>
      <x:c r="N12" s="7" t="str">
        <x:v>Une interruption avant commit ne dépense pas la ressource ; aucune pose résiduelle après changement de carte.</x:v>
      </x:c>
      <x:c r="O12" s="7" t="str">
        <x:v>DEC-SPR-KAILENG</x:v>
      </x:c>
      <x:c r="P12" s="7" t="str"/>
      <x:c r="Q12" s="7" t="str"/>
      <x:c r="R12" s="7" t="str"/>
      <x:c r="S12" s="7" t="str"/>
    </x:row>
    <x:row r="13" ht="54" customHeight="1">
      <x:c r="A13" s="18" t="str">
        <x:v>DEC-ANI-ILLUSIVE</x:v>
      </x:c>
      <x:c r="B13" s="9" t="str">
        <x:v>Homme Trouble — jeu de poses contextuelles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poses nécessaires à l’interaction « Transmettre une information dont la fiabilité doit être examinée. ».</x:v>
      </x:c>
      <x:c r="G13" s="9" t="str">
        <x:v>Blocage animé de Homme Trouble : anticipation, action, récupération, retour au repos ; prévoir une interruption propre.</x:v>
      </x:c>
      <x:c r="H13" s="9" t="str">
        <x:v>Transmettre une information dont la fiabilité doit être examinée. L’effet logique ne dépend jamais de la cadence du rendu.</x:v>
      </x:c>
      <x:c r="I13" s="9" t="str">
        <x:v>Conserver les repères de silhouette : Communication distante, portrait cohérent avec les autres modules.</x:v>
      </x:c>
      <x:c r="J13" s="9" t="str">
        <x:v>Repos, déplacement, interaction et réaction ; nombre d’images ajusté après essai sur écran ; ne pas ajouter une attaque aux personnages civils.</x:v>
      </x:c>
      <x:c r="K13" s="9" t="str">
        <x:v>Marqueurs animation distincts du fichier audio ; sous-titre court si l’action porte une information.</x:v>
      </x:c>
      <x:c r="L13" s="9" t="str">
        <x:v>Animator actor.dec.illusive ; événements start/commit/recover ; annulation avant commit sans effet.</x:v>
      </x:c>
      <x:c r="M13" s="9" t="str">
        <x:v>Animation de blessure ou de décès uniquement si le contexte la justifie ; pas de mort libre d’un personnage établi.</x:v>
      </x:c>
      <x:c r="N13" s="9" t="str">
        <x:v>Une interruption avant commit ne dépense pas la ressource ; aucune pose résiduelle après changement de carte.</x:v>
      </x:c>
      <x:c r="O13" s="9" t="str">
        <x:v>DEC-SPR-ILLUSIVE</x:v>
      </x:c>
      <x:c r="P13" s="9" t="str"/>
      <x:c r="Q13" s="9" t="str"/>
      <x:c r="R13" s="9" t="str"/>
      <x:c r="S13" s="9" t="str"/>
    </x:row>
    <x:row r="14" ht="54" customHeight="1">
      <x:c r="A14" s="19" t="str">
        <x:v>DEC-ANI-HAL</x:v>
      </x:c>
      <x:c r="B14" s="7" t="str">
        <x:v>Hal McCann — jeu de poses contextuelles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poses nécessaires à l’interaction « Fournir un témoignage dont la provenance reste affichée. ».</x:v>
      </x:c>
      <x:c r="G14" s="7" t="str">
        <x:v>Blocage animé de Hal McCann : anticipation, action, récupération, retour au repos ; prévoir une interruption propre.</x:v>
      </x:c>
      <x:c r="H14" s="7" t="str">
        <x:v>Fournir un témoignage dont la provenance reste affichée. L’effet logique ne dépend jamais de la cadence du rendu.</x:v>
      </x:c>
      <x:c r="I14" s="7" t="str">
        <x:v>Conserver les repères de silhouette : Civil libéré, tenue usée proposée, portrait sans glorification.</x:v>
      </x:c>
      <x:c r="J14" s="7" t="str">
        <x:v>Repos, déplacement, interaction et réaction ; nombre d’images ajusté après essai sur écran ; ne pas ajouter une attaque aux personnages civils.</x:v>
      </x:c>
      <x:c r="K14" s="7" t="str">
        <x:v>Marqueurs animation distincts du fichier audio ; sous-titre court si l’action porte une information.</x:v>
      </x:c>
      <x:c r="L14" s="7" t="str">
        <x:v>Animator actor.dec.hal ; événements start/commit/recover ; annulation avant commit sans effet.</x:v>
      </x:c>
      <x:c r="M14" s="7" t="str">
        <x:v>Animation de blessure ou de décès uniquement si le contexte la justifie ; pas de mort libre d’un personnage établi.</x:v>
      </x:c>
      <x:c r="N14" s="7" t="str">
        <x:v>Une interruption avant commit ne dépense pas la ressource ; aucune pose résiduelle après changement de carte.</x:v>
      </x:c>
      <x:c r="O14" s="7" t="str">
        <x:v>DEC-SPR-HAL</x:v>
      </x:c>
      <x:c r="P14" s="7" t="str"/>
      <x:c r="Q14" s="7" t="str"/>
      <x:c r="R14" s="7" t="str"/>
      <x:c r="S14" s="7" t="str"/>
    </x:row>
    <x:row r="15" ht="54" customHeight="1">
      <x:c r="A15" s="18" t="str">
        <x:v>DEC-ANI-UGHO</x:v>
      </x:c>
      <x:c r="B15" s="9" t="str">
        <x:v>Ugho — jeu de poses contextuelles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poses nécessaires à l’interaction « Figurer dans un bref contexte d’alerte avant sa fenêtre de sortie narrative. ».</x:v>
      </x:c>
      <x:c r="G15" s="9" t="str">
        <x:v>Blocage animé de Ugho : anticipation, action, récupération, retour au repos ; prévoir une interruption propre.</x:v>
      </x:c>
      <x:c r="H15" s="9" t="str">
        <x:v>Figurer dans un bref contexte d’alerte avant sa fenêtre de sortie narrative. L’effet logique ne dépend jamais de la cadence du rendu.</x:v>
      </x:c>
      <x:c r="I15" s="9" t="str">
        <x:v>Conserver les repères de silhouette : Combinaison close et repère de sécurité proposés.</x:v>
      </x:c>
      <x:c r="J15" s="9" t="str">
        <x:v>Repos, déplacement, interaction et réaction ; nombre d’images ajusté après essai sur écran ; ne pas ajouter une attaque aux personnages civils.</x:v>
      </x:c>
      <x:c r="K15" s="9" t="str">
        <x:v>Marqueurs animation distincts du fichier audio ; sous-titre court si l’action porte une information.</x:v>
      </x:c>
      <x:c r="L15" s="9" t="str">
        <x:v>Animator actor.dec.ugho ; événements start/commit/recover ; annulation avant commit sans effet.</x:v>
      </x:c>
      <x:c r="M15" s="9" t="str">
        <x:v>Animation de blessure ou de décès uniquement si le contexte la justifie ; pas de mort libre d’un personnage établi.</x:v>
      </x:c>
      <x:c r="N15" s="9" t="str">
        <x:v>Une interruption avant commit ne dépense pas la ressource ; aucune pose résiduelle après changement de carte.</x:v>
      </x:c>
      <x:c r="O15" s="9" t="str">
        <x:v>DEC-SPR-UGHO</x:v>
      </x:c>
      <x:c r="P15" s="9" t="str"/>
      <x:c r="Q15" s="9" t="str"/>
      <x:c r="R15" s="9" t="str"/>
      <x:c r="S15" s="9" t="str"/>
    </x:row>
    <x:row r="16" ht="54" customHeight="1">
      <x:c r="A16" s="19" t="str">
        <x:v>DEC-ANI-ARIA</x:v>
      </x:c>
      <x:c r="B16" s="7" t="str">
        <x:v>Aria T’Loak — jeu de poses contextuelles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poses nécessaires à l’interaction « Négocier un accès local tout en limitant les promesses. ».</x:v>
      </x:c>
      <x:c r="G16" s="7" t="str">
        <x:v>Blocage animé de Aria T’Loak : anticipation, action, récupération, retour au repos ; prévoir une interruption propre.</x:v>
      </x:c>
      <x:c r="H16" s="7" t="str">
        <x:v>Négocier un accès local tout en limitant les promesses. L’effet logique ne dépend jamais de la cadence du rendu.</x:v>
      </x:c>
      <x:c r="I16" s="7" t="str">
        <x:v>Conserver les repères de silhouette : Silhouette et présence scénique asari sans nouveau modèle officiel allégué.</x:v>
      </x:c>
      <x:c r="J16" s="7" t="str">
        <x:v>Repos, déplacement, interaction et réaction ; nombre d’images ajusté après essai sur écran ; ne pas ajouter une attaque aux personnages civils.</x:v>
      </x:c>
      <x:c r="K16" s="7" t="str">
        <x:v>Marqueurs animation distincts du fichier audio ; sous-titre court si l’action porte une information.</x:v>
      </x:c>
      <x:c r="L16" s="7" t="str">
        <x:v>Animator actor.dec.aria ; événements start/commit/recover ; annulation avant commit sans effet.</x:v>
      </x:c>
      <x:c r="M16" s="7" t="str">
        <x:v>Animation de blessure ou de décès uniquement si le contexte la justifie ; pas de mort libre d’un personnage établi.</x:v>
      </x:c>
      <x:c r="N16" s="7" t="str">
        <x:v>Une interruption avant commit ne dépense pas la ressource ; aucune pose résiduelle après changement de carte.</x:v>
      </x:c>
      <x:c r="O16" s="7" t="str">
        <x:v>DEC-SPR-ARIA</x:v>
      </x:c>
      <x:c r="P16" s="7" t="str"/>
      <x:c r="Q16" s="7" t="str"/>
      <x:c r="R16" s="7" t="str"/>
      <x:c r="S16" s="7" t="str"/>
    </x:row>
  </x:sheetData>
  <x:conditionalFormatting sqref="D7:D16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6">
    <x:cfRule type="cellIs" dxfId="74" priority="3" operator="equal">
      <x:formula>"Validé"</x:formula>
    </x:cfRule>
  </x:conditionalFormatting>
  <x:conditionalFormatting sqref="E7:E16">
    <x:cfRule type="cellIs" dxfId="75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cfb54e5644c9f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DEC-SPR-GILLIAN</x:v>
      </x:c>
      <x:c r="B7" s="9" t="str">
        <x:v>Gillian Grayson — planche sprite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représentation 2D de Gillian Grayson pour ce module.</x:v>
      </x:c>
      <x:c r="G7" s="9" t="str">
        <x:v>Portrait à produire après arbitrage d’âge ; aucune apparence adulte fixée comme canon. Préparer silhouette entière, portrait de dialogue et masque de sélection.</x:v>
      </x:c>
      <x:c r="H7" s="9" t="str">
        <x:v>La zone interactive reste stable entre les poses ; la tenue ne confère aucun bonus implicite.</x:v>
      </x:c>
      <x:c r="I7" s="9" t="str">
        <x:v>Portrait à produire après arbitrage d’âge ; aucune apparence adulte fixée comme canon. Palette proposée à valider ; comparaison en miniature et sur le décor le plus sombre.</x:v>
      </x:c>
      <x:c r="J7" s="9" t="str">
        <x:v>Vue de trois quarts ; pivots dans huit directions proposées ; symétrie interdite si elle inverse un accessoire identifiable.</x:v>
      </x:c>
      <x:c r="K7" s="9" t="str">
        <x:v>Aucun échantillon du jeu ou du film ; le changement de sélection utilise le son UI du module.</x:v>
      </x:c>
      <x:c r="L7" s="9" t="str">
        <x:v>Prévoir assets/dec/actors/gillian/atlas.png + atlas.json, pivot aux pieds.</x:v>
      </x:c>
      <x:c r="M7" s="9" t="str">
        <x:v>Visible uniquement quand Gillian Grayson est autorisé par l’état narratif.</x:v>
      </x:c>
      <x:c r="N7" s="9" t="str">
        <x:v>Silhouette reconnue sans nom ; pieds sans glissement ; portrait et sprite cohérents à échelle réelle.</x:v>
      </x:c>
      <x:c r="O7" s="9" t="str">
        <x:v>DEC-CHR-GILLIAN</x:v>
      </x:c>
      <x:c r="P7" s="9" t="str"/>
      <x:c r="Q7" s="9" t="str"/>
      <x:c r="R7" s="9" t="str"/>
      <x:c r="S7" s="9" t="str"/>
    </x:row>
    <x:row r="8" ht="68" customHeight="1">
      <x:c r="A8" s="19" t="str">
        <x:v>DEC-SPR-HENDEL</x:v>
      </x:c>
      <x:c r="B8" s="7" t="str">
        <x:v>Hendel Mitra — planche sprite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représentation 2D de Hendel Mitra pour ce module.</x:v>
      </x:c>
      <x:c r="G8" s="7" t="str">
        <x:v>Tenue de protection et biotique héritées d’Ascension ; cohérence d’âge à conserver. Préparer silhouette entière, portrait de dialogue et masque de sélection.</x:v>
      </x:c>
      <x:c r="H8" s="7" t="str">
        <x:v>La zone interactive reste stable entre les poses ; la tenue ne confère aucun bonus implicite.</x:v>
      </x:c>
      <x:c r="I8" s="7" t="str">
        <x:v>Tenue de protection et biotique héritées d’Ascension ; cohérence d’âge à conserver. Palette proposée à valider ; comparaison en miniature et sur le décor le plus sombre.</x:v>
      </x:c>
      <x:c r="J8" s="7" t="str">
        <x:v>Vue de trois quarts ; pivots dans huit directions proposées ; symétrie interdite si elle inverse un accessoire identifiable.</x:v>
      </x:c>
      <x:c r="K8" s="7" t="str">
        <x:v>Aucun échantillon du jeu ou du film ; le changement de sélection utilise le son UI du module.</x:v>
      </x:c>
      <x:c r="L8" s="7" t="str">
        <x:v>Prévoir assets/dec/actors/hendel/atlas.png + atlas.json, pivot aux pieds.</x:v>
      </x:c>
      <x:c r="M8" s="7" t="str">
        <x:v>Visible uniquement quand Hendel Mitra est autorisé par l’état narratif.</x:v>
      </x:c>
      <x:c r="N8" s="7" t="str">
        <x:v>Silhouette reconnue sans nom ; pieds sans glissement ; portrait et sprite cohérents à échelle réelle.</x:v>
      </x:c>
      <x:c r="O8" s="7" t="str">
        <x:v>DEC-CHR-HENDEL</x:v>
      </x:c>
      <x:c r="P8" s="7" t="str"/>
      <x:c r="Q8" s="7" t="str"/>
      <x:c r="R8" s="7" t="str"/>
      <x:c r="S8" s="7" t="str"/>
    </x:row>
    <x:row r="9" ht="68" customHeight="1">
      <x:c r="A9" s="18" t="str">
        <x:v>DEC-SPR-KAHLEE</x:v>
      </x:c>
      <x:c r="B9" s="9" t="str">
        <x:v>Kahlee Sanders — planche sprite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représentation 2D de Kahlee Sanders pour ce module.</x:v>
      </x:c>
      <x:c r="G9" s="9" t="str">
        <x:v>Tenue scientifique de terrain, dossier portable et visage fatigué proposé. Préparer silhouette entière, portrait de dialogue et masque de sélection.</x:v>
      </x:c>
      <x:c r="H9" s="9" t="str">
        <x:v>La zone interactive reste stable entre les poses ; la tenue ne confère aucun bonus implicite.</x:v>
      </x:c>
      <x:c r="I9" s="9" t="str">
        <x:v>Tenue scientifique de terrain, dossier portable et visage fatigué proposé. Palette proposée à valider ; comparaison en miniature et sur le décor le plus sombre.</x:v>
      </x:c>
      <x:c r="J9" s="9" t="str">
        <x:v>Vue de trois quarts ; pivots dans huit directions proposées ; symétrie interdite si elle inverse un accessoire identifiable.</x:v>
      </x:c>
      <x:c r="K9" s="9" t="str">
        <x:v>Aucun échantillon du jeu ou du film ; le changement de sélection utilise le son UI du module.</x:v>
      </x:c>
      <x:c r="L9" s="9" t="str">
        <x:v>Prévoir assets/dec/actors/kahlee/atlas.png + atlas.json, pivot aux pieds.</x:v>
      </x:c>
      <x:c r="M9" s="9" t="str">
        <x:v>Visible uniquement quand Kahlee Sanders est autorisé par l’état narratif.</x:v>
      </x:c>
      <x:c r="N9" s="9" t="str">
        <x:v>Silhouette reconnue sans nom ; pieds sans glissement ; portrait et sprite cohérents à échelle réelle.</x:v>
      </x:c>
      <x:c r="O9" s="9" t="str">
        <x:v>DEC-CHR-KAHLEE</x:v>
      </x:c>
      <x:c r="P9" s="9" t="str"/>
      <x:c r="Q9" s="9" t="str"/>
      <x:c r="R9" s="9" t="str"/>
      <x:c r="S9" s="9" t="str"/>
    </x:row>
    <x:row r="10" ht="54" customHeight="1">
      <x:c r="A10" s="19" t="str">
        <x:v>DEC-SPR-ANDERSON</x:v>
      </x:c>
      <x:c r="B10" s="7" t="str">
        <x:v>David Anderson — planche sprite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représentation 2D de David Anderson pour ce module.</x:v>
      </x:c>
      <x:c r="G10" s="7" t="str">
        <x:v>Tenue d’officier compatible avec la période, grade à contrôler. Préparer silhouette entière, portrait de dialogue et masque de sélection.</x:v>
      </x:c>
      <x:c r="H10" s="7" t="str">
        <x:v>La zone interactive reste stable entre les poses ; la tenue ne confère aucun bonus implicite.</x:v>
      </x:c>
      <x:c r="I10" s="7" t="str">
        <x:v>Tenue d’officier compatible avec la période, grade à contrôler. Palette proposée à valider ; comparaison en miniature et sur le décor le plus sombre.</x:v>
      </x:c>
      <x:c r="J10" s="7" t="str">
        <x:v>Vue de trois quarts ; pivots dans huit directions proposées ; symétrie interdite si elle inverse un accessoire identifiable.</x:v>
      </x:c>
      <x:c r="K10" s="7" t="str">
        <x:v>Aucun échantillon du jeu ou du film ; le changement de sélection utilise le son UI du module.</x:v>
      </x:c>
      <x:c r="L10" s="7" t="str">
        <x:v>Prévoir assets/dec/actors/anderson/atlas.png + atlas.json, pivot aux pieds.</x:v>
      </x:c>
      <x:c r="M10" s="7" t="str">
        <x:v>Visible uniquement quand David Anderson est autorisé par l’état narratif.</x:v>
      </x:c>
      <x:c r="N10" s="7" t="str">
        <x:v>Silhouette reconnue sans nom ; pieds sans glissement ; portrait et sprite cohérents à échelle réelle.</x:v>
      </x:c>
      <x:c r="O10" s="7" t="str">
        <x:v>DEC-CHR-ANDERSON</x:v>
      </x:c>
      <x:c r="P10" s="7" t="str"/>
      <x:c r="Q10" s="7" t="str"/>
      <x:c r="R10" s="7" t="str"/>
      <x:c r="S10" s="7" t="str"/>
    </x:row>
    <x:row r="11" ht="68" customHeight="1">
      <x:c r="A11" s="18" t="str">
        <x:v>DEC-SPR-NICK</x:v>
      </x:c>
      <x:c r="B11" s="9" t="str">
        <x:v>Nick Donahue — planche sprite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représentation 2D de Nick Donahue pour ce module.</x:v>
      </x:c>
      <x:c r="G11" s="9" t="str">
        <x:v>Version adolescente à arbitrer ; deux fiches d’âge documentées, aucun mélange silencieux. Préparer silhouette entière, portrait de dialogue et masque de sélection.</x:v>
      </x:c>
      <x:c r="H11" s="9" t="str">
        <x:v>La zone interactive reste stable entre les poses ; la tenue ne confère aucun bonus implicite.</x:v>
      </x:c>
      <x:c r="I11" s="9" t="str">
        <x:v>Version adolescente à arbitrer ; deux fiches d’âge documentées, aucun mélange silencieux. Palette proposée à valider ; comparaison en miniature et sur le décor le plus sombre.</x:v>
      </x:c>
      <x:c r="J11" s="9" t="str">
        <x:v>Vue de trois quarts ; pivots dans huit directions proposées ; symétrie interdite si elle inverse un accessoire identifiable.</x:v>
      </x:c>
      <x:c r="K11" s="9" t="str">
        <x:v>Aucun échantillon du jeu ou du film ; le changement de sélection utilise le son UI du module.</x:v>
      </x:c>
      <x:c r="L11" s="9" t="str">
        <x:v>Prévoir assets/dec/actors/nick/atlas.png + atlas.json, pivot aux pieds.</x:v>
      </x:c>
      <x:c r="M11" s="9" t="str">
        <x:v>Visible uniquement quand Nick Donahue est autorisé par l’état narratif.</x:v>
      </x:c>
      <x:c r="N11" s="9" t="str">
        <x:v>Silhouette reconnue sans nom ; pieds sans glissement ; portrait et sprite cohérents à échelle réelle.</x:v>
      </x:c>
      <x:c r="O11" s="9" t="str">
        <x:v>DEC-CHR-NICK</x:v>
      </x:c>
      <x:c r="P11" s="9" t="str"/>
      <x:c r="Q11" s="9" t="str"/>
      <x:c r="R11" s="9" t="str"/>
      <x:c r="S11" s="9" t="str"/>
    </x:row>
    <x:row r="12" ht="54" customHeight="1">
      <x:c r="A12" s="19" t="str">
        <x:v>DEC-SPR-KAILENG</x:v>
      </x:c>
      <x:c r="B12" s="7" t="str">
        <x:v>Kai Leng — planche sprite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représentation 2D de Kai Leng pour ce module.</x:v>
      </x:c>
      <x:c r="G12" s="7" t="str">
        <x:v>Silhouette de période à contrôler séparément de sa version ME3. Préparer silhouette entière, portrait de dialogue et masque de sélection.</x:v>
      </x:c>
      <x:c r="H12" s="7" t="str">
        <x:v>La zone interactive reste stable entre les poses ; la tenue ne confère aucun bonus implicite.</x:v>
      </x:c>
      <x:c r="I12" s="7" t="str">
        <x:v>Silhouette de période à contrôler séparément de sa version ME3. Palette proposée à valider ; comparaison en miniature et sur le décor le plus sombre.</x:v>
      </x:c>
      <x:c r="J12" s="7" t="str">
        <x:v>Vue de trois quarts ; pivots dans huit directions proposées ; symétrie interdite si elle inverse un accessoire identifiable.</x:v>
      </x:c>
      <x:c r="K12" s="7" t="str">
        <x:v>Aucun échantillon du jeu ou du film ; le changement de sélection utilise le son UI du module.</x:v>
      </x:c>
      <x:c r="L12" s="7" t="str">
        <x:v>Prévoir assets/dec/actors/kaileng/atlas.png + atlas.json, pivot aux pieds.</x:v>
      </x:c>
      <x:c r="M12" s="7" t="str">
        <x:v>Visible uniquement quand Kai Leng est autorisé par l’état narratif.</x:v>
      </x:c>
      <x:c r="N12" s="7" t="str">
        <x:v>Silhouette reconnue sans nom ; pieds sans glissement ; portrait et sprite cohérents à échelle réelle.</x:v>
      </x:c>
      <x:c r="O12" s="7" t="str">
        <x:v>DEC-CHR-KAILENG</x:v>
      </x:c>
      <x:c r="P12" s="7" t="str"/>
      <x:c r="Q12" s="7" t="str"/>
      <x:c r="R12" s="7" t="str"/>
      <x:c r="S12" s="7" t="str"/>
    </x:row>
    <x:row r="13" ht="68" customHeight="1">
      <x:c r="A13" s="18" t="str">
        <x:v>DEC-SPR-ILLUSIVE</x:v>
      </x:c>
      <x:c r="B13" s="9" t="str">
        <x:v>Homme Trouble — planche sprite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représentation 2D de Homme Trouble pour ce module.</x:v>
      </x:c>
      <x:c r="G13" s="9" t="str">
        <x:v>Communication distante, portrait cohérent avec les autres modules. Préparer silhouette entière, portrait de dialogue et masque de sélection.</x:v>
      </x:c>
      <x:c r="H13" s="9" t="str">
        <x:v>La zone interactive reste stable entre les poses ; la tenue ne confère aucun bonus implicite.</x:v>
      </x:c>
      <x:c r="I13" s="9" t="str">
        <x:v>Communication distante, portrait cohérent avec les autres modules. Palette proposée à valider ; comparaison en miniature et sur le décor le plus sombre.</x:v>
      </x:c>
      <x:c r="J13" s="9" t="str">
        <x:v>Vue de trois quarts ; pivots dans huit directions proposées ; symétrie interdite si elle inverse un accessoire identifiable.</x:v>
      </x:c>
      <x:c r="K13" s="9" t="str">
        <x:v>Aucun échantillon du jeu ou du film ; le changement de sélection utilise le son UI du module.</x:v>
      </x:c>
      <x:c r="L13" s="9" t="str">
        <x:v>Prévoir assets/dec/actors/illusive/atlas.png + atlas.json, pivot aux pieds.</x:v>
      </x:c>
      <x:c r="M13" s="9" t="str">
        <x:v>Visible uniquement quand Homme Trouble est autorisé par l’état narratif.</x:v>
      </x:c>
      <x:c r="N13" s="9" t="str">
        <x:v>Silhouette reconnue sans nom ; pieds sans glissement ; portrait et sprite cohérents à échelle réelle.</x:v>
      </x:c>
      <x:c r="O13" s="9" t="str">
        <x:v>DEC-CHR-ILLUSIVE</x:v>
      </x:c>
      <x:c r="P13" s="9" t="str"/>
      <x:c r="Q13" s="9" t="str"/>
      <x:c r="R13" s="9" t="str"/>
      <x:c r="S13" s="9" t="str"/>
    </x:row>
    <x:row r="14" ht="68" customHeight="1">
      <x:c r="A14" s="19" t="str">
        <x:v>DEC-SPR-HAL</x:v>
      </x:c>
      <x:c r="B14" s="7" t="str">
        <x:v>Hal McCann — planche sprite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représentation 2D de Hal McCann pour ce module.</x:v>
      </x:c>
      <x:c r="G14" s="7" t="str">
        <x:v>Civil libéré, tenue usée proposée, portrait sans glorification. Préparer silhouette entière, portrait de dialogue et masque de sélection.</x:v>
      </x:c>
      <x:c r="H14" s="7" t="str">
        <x:v>La zone interactive reste stable entre les poses ; la tenue ne confère aucun bonus implicite.</x:v>
      </x:c>
      <x:c r="I14" s="7" t="str">
        <x:v>Civil libéré, tenue usée proposée, portrait sans glorification. Palette proposée à valider ; comparaison en miniature et sur le décor le plus sombre.</x:v>
      </x:c>
      <x:c r="J14" s="7" t="str">
        <x:v>Vue de trois quarts ; pivots dans huit directions proposées ; symétrie interdite si elle inverse un accessoire identifiable.</x:v>
      </x:c>
      <x:c r="K14" s="7" t="str">
        <x:v>Aucun échantillon du jeu ou du film ; le changement de sélection utilise le son UI du module.</x:v>
      </x:c>
      <x:c r="L14" s="7" t="str">
        <x:v>Prévoir assets/dec/actors/hal/atlas.png + atlas.json, pivot aux pieds.</x:v>
      </x:c>
      <x:c r="M14" s="7" t="str">
        <x:v>Visible uniquement quand Hal McCann est autorisé par l’état narratif.</x:v>
      </x:c>
      <x:c r="N14" s="7" t="str">
        <x:v>Silhouette reconnue sans nom ; pieds sans glissement ; portrait et sprite cohérents à échelle réelle.</x:v>
      </x:c>
      <x:c r="O14" s="7" t="str">
        <x:v>DEC-CHR-HAL</x:v>
      </x:c>
      <x:c r="P14" s="7" t="str"/>
      <x:c r="Q14" s="7" t="str"/>
      <x:c r="R14" s="7" t="str"/>
      <x:c r="S14" s="7" t="str"/>
    </x:row>
    <x:row r="15" ht="54" customHeight="1">
      <x:c r="A15" s="18" t="str">
        <x:v>DEC-SPR-UGHO</x:v>
      </x:c>
      <x:c r="B15" s="9" t="str">
        <x:v>Ugho — planche sprite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représentation 2D de Ugho pour ce module.</x:v>
      </x:c>
      <x:c r="G15" s="9" t="str">
        <x:v>Combinaison close et repère de sécurité proposés. Préparer silhouette entière, portrait de dialogue et masque de sélection.</x:v>
      </x:c>
      <x:c r="H15" s="9" t="str">
        <x:v>La zone interactive reste stable entre les poses ; la tenue ne confère aucun bonus implicite.</x:v>
      </x:c>
      <x:c r="I15" s="9" t="str">
        <x:v>Combinaison close et repère de sécurité proposés. Palette proposée à valider ; comparaison en miniature et sur le décor le plus sombre.</x:v>
      </x:c>
      <x:c r="J15" s="9" t="str">
        <x:v>Vue de trois quarts ; pivots dans huit directions proposées ; symétrie interdite si elle inverse un accessoire identifiable.</x:v>
      </x:c>
      <x:c r="K15" s="9" t="str">
        <x:v>Aucun échantillon du jeu ou du film ; le changement de sélection utilise le son UI du module.</x:v>
      </x:c>
      <x:c r="L15" s="9" t="str">
        <x:v>Prévoir assets/dec/actors/ugho/atlas.png + atlas.json, pivot aux pieds.</x:v>
      </x:c>
      <x:c r="M15" s="9" t="str">
        <x:v>Visible uniquement quand Ugho est autorisé par l’état narratif.</x:v>
      </x:c>
      <x:c r="N15" s="9" t="str">
        <x:v>Silhouette reconnue sans nom ; pieds sans glissement ; portrait et sprite cohérents à échelle réelle.</x:v>
      </x:c>
      <x:c r="O15" s="9" t="str">
        <x:v>DEC-CHR-UGHO</x:v>
      </x:c>
      <x:c r="P15" s="9" t="str"/>
      <x:c r="Q15" s="9" t="str"/>
      <x:c r="R15" s="9" t="str"/>
      <x:c r="S15" s="9" t="str"/>
    </x:row>
    <x:row r="16" ht="68" customHeight="1">
      <x:c r="A16" s="19" t="str">
        <x:v>DEC-SPR-ARIA</x:v>
      </x:c>
      <x:c r="B16" s="7" t="str">
        <x:v>Aria T’Loak — planche sprite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représentation 2D de Aria T’Loak pour ce module.</x:v>
      </x:c>
      <x:c r="G16" s="7" t="str">
        <x:v>Silhouette et présence scénique asari sans nouveau modèle officiel allégué. Préparer silhouette entière, portrait de dialogue et masque de sélection.</x:v>
      </x:c>
      <x:c r="H16" s="7" t="str">
        <x:v>La zone interactive reste stable entre les poses ; la tenue ne confère aucun bonus implicite.</x:v>
      </x:c>
      <x:c r="I16" s="7" t="str">
        <x:v>Silhouette et présence scénique asari sans nouveau modèle officiel allégué. Palette proposée à valider ; comparaison en miniature et sur le décor le plus sombre.</x:v>
      </x:c>
      <x:c r="J16" s="7" t="str">
        <x:v>Vue de trois quarts ; pivots dans huit directions proposées ; symétrie interdite si elle inverse un accessoire identifiable.</x:v>
      </x:c>
      <x:c r="K16" s="7" t="str">
        <x:v>Aucun échantillon du jeu ou du film ; le changement de sélection utilise le son UI du module.</x:v>
      </x:c>
      <x:c r="L16" s="7" t="str">
        <x:v>Prévoir assets/dec/actors/aria/atlas.png + atlas.json, pivot aux pieds.</x:v>
      </x:c>
      <x:c r="M16" s="7" t="str">
        <x:v>Visible uniquement quand Aria T’Loak est autorisé par l’état narratif.</x:v>
      </x:c>
      <x:c r="N16" s="7" t="str">
        <x:v>Silhouette reconnue sans nom ; pieds sans glissement ; portrait et sprite cohérents à échelle réelle.</x:v>
      </x:c>
      <x:c r="O16" s="7" t="str">
        <x:v>DEC-CHR-ARIA</x:v>
      </x:c>
      <x:c r="P16" s="7" t="str"/>
      <x:c r="Q16" s="7" t="str"/>
      <x:c r="R16" s="7" t="str"/>
      <x:c r="S16" s="7" t="str"/>
    </x:row>
  </x:sheetData>
  <x:conditionalFormatting sqref="D7:D16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6">
    <x:cfRule type="cellIs" dxfId="78" priority="3" operator="equal">
      <x:formula>"Validé"</x:formula>
    </x:cfRule>
  </x:conditionalFormatting>
  <x:conditionalFormatting sqref="E7:E16">
    <x:cfRule type="cellIs" dxfId="79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2c78c4883746d2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DEC-VFX-BOARDER</x:v>
      </x:c>
      <x:c r="B7" s="9" t="str">
        <x:v>Abordeur esclavagiste proposé — effet lisible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 de prévision et de résultat pour la rencontre.</x:v>
      </x:c>
      <x:c r="G7" s="9" t="str">
        <x:v>Approche vers le verrou et pictogramme de porte.</x:v>
      </x:c>
      <x:c r="H7" s="9" t="str">
        <x:v>Aire de prévision égale à l’aire logique ; masque de cible conservé en daltonisme.</x:v>
      </x:c>
      <x:c r="I7" s="9" t="str">
        <x:v>Approche vers le verrou et pictogramme de porte. Limiter les flashes ; option intensité réduite conservant contours et pictogrammes.</x:v>
      </x:c>
      <x:c r="J7" s="9" t="str">
        <x:v>Apparition, maintien, résolution et extinction distinctes ; pas de particule persistante après sortie de carte.</x:v>
      </x:c>
      <x:c r="K7" s="9" t="str">
        <x:v>Un son par engagement ; pas d’empilement de boucles sur recharge de sauvegarde.</x:v>
      </x:c>
      <x:c r="L7" s="9" t="str">
        <x:v>fx/dec/boarder ; pool local nettoyé au changement de scène.</x:v>
      </x:c>
      <x:c r="M7" s="9" t="str">
        <x:v>Effet lié au comportement, jamais déclenché par une animation décorative.</x:v>
      </x:c>
      <x:c r="N7" s="9" t="str">
        <x:v>Aucune cible hors aire n’est affectée ; mode réduit conserve la compréhension.</x:v>
      </x:c>
      <x:c r="O7" s="9" t="str">
        <x:v>DEC-EMV-BOARDER</x:v>
      </x:c>
      <x:c r="P7" s="9" t="str"/>
      <x:c r="Q7" s="9" t="str"/>
      <x:c r="R7" s="9" t="str"/>
      <x:c r="S7" s="9" t="str"/>
    </x:row>
    <x:row r="8" ht="54" customHeight="1">
      <x:c r="A8" s="19" t="str">
        <x:v>DEC-VFX-RADICAL</x:v>
      </x:c>
      <x:c r="B8" s="7" t="str">
        <x:v>Sentinelle du local proposée — effet lisible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original de prévision et de résultat pour la rencontre.</x:v>
      </x:c>
      <x:c r="G8" s="7" t="str">
        <x:v>Arc de surveillance et avertissement verbal original.</x:v>
      </x:c>
      <x:c r="H8" s="7" t="str">
        <x:v>Aire de prévision égale à l’aire logique ; masque de cible conservé en daltonisme.</x:v>
      </x:c>
      <x:c r="I8" s="7" t="str">
        <x:v>Arc de surveillance et avertissement verbal original. Limiter les flashes ; option intensité réduite conservant contours et pictogrammes.</x:v>
      </x:c>
      <x:c r="J8" s="7" t="str">
        <x:v>Apparition, maintien, résolution et extinction distinctes ; pas de particule persistante après sortie de carte.</x:v>
      </x:c>
      <x:c r="K8" s="7" t="str">
        <x:v>Un son par engagement ; pas d’empilement de boucles sur recharge de sauvegarde.</x:v>
      </x:c>
      <x:c r="L8" s="7" t="str">
        <x:v>fx/dec/radical ; pool local nettoyé au changement de scène.</x:v>
      </x:c>
      <x:c r="M8" s="7" t="str">
        <x:v>Effet lié au comportement, jamais déclenché par une animation décorative.</x:v>
      </x:c>
      <x:c r="N8" s="7" t="str">
        <x:v>Aucune cible hors aire n’est affectée ; mode réduit conserve la compréhension.</x:v>
      </x:c>
      <x:c r="O8" s="7" t="str">
        <x:v>DEC-EMV-RADICAL</x:v>
      </x:c>
      <x:c r="P8" s="7" t="str"/>
      <x:c r="Q8" s="7" t="str"/>
      <x:c r="R8" s="7" t="str"/>
      <x:c r="S8" s="7" t="str"/>
    </x:row>
    <x:row r="9" ht="54" customHeight="1">
      <x:c r="A9" s="18" t="str">
        <x:v>DEC-VFX-LENG</x:v>
      </x:c>
      <x:c r="B9" s="9" t="str">
        <x:v>Kai Leng — menace de sortie proposée — effet lisible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Effet original de prévision et de résultat pour la rencontre.</x:v>
      </x:c>
      <x:c r="G9" s="9" t="str">
        <x:v>Direction de retraite signalée après l’anticipation.</x:v>
      </x:c>
      <x:c r="H9" s="9" t="str">
        <x:v>Aire de prévision égale à l’aire logique ; masque de cible conservé en daltonisme.</x:v>
      </x:c>
      <x:c r="I9" s="9" t="str">
        <x:v>Direction de retraite signalée après l’anticipation. Limiter les flashes ; option intensité réduite conservant contours et pictogrammes.</x:v>
      </x:c>
      <x:c r="J9" s="9" t="str">
        <x:v>Apparition, maintien, résolution et extinction distinctes ; pas de particule persistante après sortie de carte.</x:v>
      </x:c>
      <x:c r="K9" s="9" t="str">
        <x:v>Un son par engagement ; pas d’empilement de boucles sur recharge de sauvegarde.</x:v>
      </x:c>
      <x:c r="L9" s="9" t="str">
        <x:v>fx/dec/leng ; pool local nettoyé au changement de scène.</x:v>
      </x:c>
      <x:c r="M9" s="9" t="str">
        <x:v>Effet lié au comportement, jamais déclenché par une animation décorative.</x:v>
      </x:c>
      <x:c r="N9" s="9" t="str">
        <x:v>Aucune cible hors aire n’est affectée ; mode réduit conserve la compréhension.</x:v>
      </x:c>
      <x:c r="O9" s="9" t="str">
        <x:v>DEC-EMV-LENG</x:v>
      </x:c>
      <x:c r="P9" s="9" t="str"/>
      <x:c r="Q9" s="9" t="str"/>
      <x:c r="R9" s="9" t="str"/>
      <x:c r="S9" s="9" t="str"/>
    </x:row>
    <x:row r="10" ht="54" customHeight="1">
      <x:c r="A10" s="19" t="str">
        <x:v>DEC-VFX-LEAK</x:v>
      </x:c>
      <x:c r="B10" s="7" t="str">
        <x:v>Fuite d’information — effet lisible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Effet original de prévision et de résultat pour la rencontre.</x:v>
      </x:c>
      <x:c r="G10" s="7" t="str">
        <x:v>Documents colorés et symbole de provenance manquante.</x:v>
      </x:c>
      <x:c r="H10" s="7" t="str">
        <x:v>Aire de prévision égale à l’aire logique ; masque de cible conservé en daltonisme.</x:v>
      </x:c>
      <x:c r="I10" s="7" t="str">
        <x:v>Documents colorés et symbole de provenance manquante. Limiter les flashes ; option intensité réduite conservant contours et pictogrammes.</x:v>
      </x:c>
      <x:c r="J10" s="7" t="str">
        <x:v>Apparition, maintien, résolution et extinction distinctes ; pas de particule persistante après sortie de carte.</x:v>
      </x:c>
      <x:c r="K10" s="7" t="str">
        <x:v>Un son par engagement ; pas d’empilement de boucles sur recharge de sauvegarde.</x:v>
      </x:c>
      <x:c r="L10" s="7" t="str">
        <x:v>fx/dec/leak ; pool local nettoyé au changement de scène.</x:v>
      </x:c>
      <x:c r="M10" s="7" t="str">
        <x:v>Effet lié au comportement, jamais déclenché par une animation décorative.</x:v>
      </x:c>
      <x:c r="N10" s="7" t="str">
        <x:v>Aucune cible hors aire n’est affectée ; mode réduit conserve la compréhension.</x:v>
      </x:c>
      <x:c r="O10" s="7" t="str">
        <x:v>DEC-EMV-LEAK</x:v>
      </x:c>
      <x:c r="P10" s="7" t="str"/>
      <x:c r="Q10" s="7" t="str"/>
      <x:c r="R10" s="7" t="str"/>
      <x:c r="S10" s="7" t="str"/>
    </x:row>
  </x:sheetData>
  <x:conditionalFormatting sqref="D7:D10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0">
    <x:cfRule type="cellIs" dxfId="82" priority="3" operator="equal">
      <x:formula>"Validé"</x:formula>
    </x:cfRule>
  </x:conditionalFormatting>
  <x:conditionalFormatting sqref="E7:E10">
    <x:cfRule type="cellIs" dxfId="83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b0d1b96b64aed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DEC-AUD-01</x:v>
      </x:c>
      <x:c r="B7" s="9" t="str">
        <x:v>Preuves contestées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sonore originale pour le fan game.</x:v>
      </x:c>
      <x:c r="G7" s="9" t="str">
        <x:v>Motif musical original retenu et son UI distinct pour preuve, hypothèse et contradiction.</x:v>
      </x:c>
      <x:c r="H7" s="9" t="str">
        <x:v>Déclenchement à l’événement logique ; priorité à la compréhension des commandes du groupe.</x:v>
      </x:c>
      <x:c r="I7" s="9" t="str">
        <x:v>Sous-titre d’ambiance facultatif ; pictogramme si le son fournit une alerte.</x:v>
      </x:c>
      <x:c r="J7" s="9" t="str">
        <x:v>Points de synchro notés dans la fiche animation concernée ; aucune dépendance à la vitesse de lecture.</x:v>
      </x:c>
      <x:c r="K7" s="9" t="str">
        <x:v>Motif musical original retenu et son UI distinct pour preuve, hypothèse et contradiction. Musique, bruitages et éventuelles voix à produire sans extraire les enregistrements officiels.</x:v>
      </x:c>
      <x:c r="L7" s="9" t="str">
        <x:v>audio/dec/preuves-contestees.ogg ; bus ambiance/musique/interface séparés.</x:v>
      </x:c>
      <x:c r="M7" s="9" t="str">
        <x:v>La source narrative inspire l’intention, pas une mélodie ou un enregistrement à copier.</x:v>
      </x:c>
      <x:c r="N7" s="9" t="str">
        <x:v>Boucle sans clic ; transitions propres ; information compréhensible volume coupé.</x:v>
      </x:c>
      <x:c r="O7" s="9" t="str"/>
      <x:c r="P7" s="9" t="str"/>
      <x:c r="Q7" s="9" t="str"/>
      <x:c r="R7" s="9" t="str"/>
      <x:c r="S7" s="9" t="str"/>
    </x:row>
    <x:row r="8" ht="68" customHeight="1">
      <x:c r="A8" s="19" t="str">
        <x:v>DEC-AUD-02</x:v>
      </x:c>
      <x:c r="B8" s="7" t="str">
        <x:v>Idenna sous alerte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sonore originale pour le fan game.</x:v>
      </x:c>
      <x:c r="G8" s="7" t="str">
        <x:v>Rythme d’alarme bref avec message textuel ; volume limité pendant les échanges.</x:v>
      </x:c>
      <x:c r="H8" s="7" t="str">
        <x:v>Déclenchement à l’événement logique ; priorité à la compréhension des commandes du groupe.</x:v>
      </x:c>
      <x:c r="I8" s="7" t="str">
        <x:v>Sous-titre d’ambiance facultatif ; pictogramme si le son fournit une alerte.</x:v>
      </x:c>
      <x:c r="J8" s="7" t="str">
        <x:v>Points de synchro notés dans la fiche animation concernée ; aucune dépendance à la vitesse de lecture.</x:v>
      </x:c>
      <x:c r="K8" s="7" t="str">
        <x:v>Rythme d’alarme bref avec message textuel ; volume limité pendant les échanges. Musique, bruitages et éventuelles voix à produire sans extraire les enregistrements officiels.</x:v>
      </x:c>
      <x:c r="L8" s="7" t="str">
        <x:v>audio/dec/idenna-sous-alerte.ogg ; bus ambiance/musique/interface séparés.</x:v>
      </x:c>
      <x:c r="M8" s="7" t="str">
        <x:v>La source narrative inspire l’intention, pas une mélodie ou un enregistrement à copier.</x:v>
      </x:c>
      <x:c r="N8" s="7" t="str">
        <x:v>Boucle sans clic ; transitions propres ; information compréhensible volume coupé.</x:v>
      </x:c>
      <x:c r="O8" s="7" t="str"/>
      <x:c r="P8" s="7" t="str"/>
      <x:c r="Q8" s="7" t="str"/>
      <x:c r="R8" s="7" t="str"/>
      <x:c r="S8" s="7" t="str"/>
    </x:row>
    <x:row r="9" ht="82" customHeight="1">
      <x:c r="A9" s="18" t="str">
        <x:v>DEC-AUD-03</x:v>
      </x:c>
      <x:c r="B9" s="9" t="str">
        <x:v>Relais d’Omega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sonore originale pour le fan game.</x:v>
      </x:c>
      <x:c r="G9" s="9" t="str">
        <x:v>Ambiance publique avec annonces originales ; ne pas effacer les médias pour reproduire une erreur signalée.</x:v>
      </x:c>
      <x:c r="H9" s="9" t="str">
        <x:v>Déclenchement à l’événement logique ; priorité à la compréhension des commandes du groupe.</x:v>
      </x:c>
      <x:c r="I9" s="9" t="str">
        <x:v>Sous-titre d’ambiance facultatif ; pictogramme si le son fournit une alerte.</x:v>
      </x:c>
      <x:c r="J9" s="9" t="str">
        <x:v>Points de synchro notés dans la fiche animation concernée ; aucune dépendance à la vitesse de lecture.</x:v>
      </x:c>
      <x:c r="K9" s="9" t="str">
        <x:v>Ambiance publique avec annonces originales ; ne pas effacer les médias pour reproduire une erreur signalée. Musique, bruitages et éventuelles voix à produire sans extraire les enregistrements officiels.</x:v>
      </x:c>
      <x:c r="L9" s="9" t="str">
        <x:v>audio/dec/relais-domega.ogg ; bus ambiance/musique/interface séparés.</x:v>
      </x:c>
      <x:c r="M9" s="9" t="str">
        <x:v>La source narrative inspire l’intention, pas une mélodie ou un enregistrement à copier.</x:v>
      </x:c>
      <x:c r="N9" s="9" t="str">
        <x:v>Boucle sans clic ; transitions propres ; information compréhensible volume coupé.</x:v>
      </x:c>
      <x:c r="O9" s="9" t="str"/>
      <x:c r="P9" s="9" t="str"/>
      <x:c r="Q9" s="9" t="str"/>
      <x:c r="R9" s="9" t="str"/>
      <x:c r="S9" s="9" t="str"/>
    </x:row>
    <x:row r="10" ht="68" customHeight="1">
      <x:c r="A10" s="19" t="str">
        <x:v>DEC-AUD-04</x:v>
      </x:c>
      <x:c r="B10" s="7" t="str">
        <x:v>Discussion de confiance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sonore originale pour le fan game.</x:v>
      </x:c>
      <x:c r="G10" s="7" t="str">
        <x:v>Voix éventuelles originales et pauses choisies, sans diagnostic théâtralisé.</x:v>
      </x:c>
      <x:c r="H10" s="7" t="str">
        <x:v>Déclenchement à l’événement logique ; priorité à la compréhension des commandes du groupe.</x:v>
      </x:c>
      <x:c r="I10" s="7" t="str">
        <x:v>Sous-titre d’ambiance facultatif ; pictogramme si le son fournit une alerte.</x:v>
      </x:c>
      <x:c r="J10" s="7" t="str">
        <x:v>Points de synchro notés dans la fiche animation concernée ; aucune dépendance à la vitesse de lecture.</x:v>
      </x:c>
      <x:c r="K10" s="7" t="str">
        <x:v>Voix éventuelles originales et pauses choisies, sans diagnostic théâtralisé. Musique, bruitages et éventuelles voix à produire sans extraire les enregistrements officiels.</x:v>
      </x:c>
      <x:c r="L10" s="7" t="str">
        <x:v>audio/dec/discussion-de-confiance.ogg ; bus ambiance/musique/interface séparés.</x:v>
      </x:c>
      <x:c r="M10" s="7" t="str">
        <x:v>La source narrative inspire l’intention, pas une mélodie ou un enregistrement à copier.</x:v>
      </x:c>
      <x:c r="N10" s="7" t="str">
        <x:v>Boucle sans clic ; transitions propres ; information compréhensible volume coupé.</x:v>
      </x:c>
      <x:c r="O10" s="7" t="str"/>
      <x:c r="P10" s="7" t="str"/>
      <x:c r="Q10" s="7" t="str"/>
      <x:c r="R10" s="7" t="str"/>
      <x:c r="S10" s="7" t="str"/>
    </x:row>
    <x:row r="11" ht="68" customHeight="1">
      <x:c r="A11" s="18" t="str">
        <x:v>DEC-AUD-05</x:v>
      </x:c>
      <x:c r="B11" s="9" t="str">
        <x:v>Clôture réservée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sonore originale pour le fan game.</x:v>
      </x:c>
      <x:c r="G11" s="9" t="str">
        <x:v>Silence de fin et chime d’archivage ; aucune fanfare certifiant un canon corrigé.</x:v>
      </x:c>
      <x:c r="H11" s="9" t="str">
        <x:v>Déclenchement à l’événement logique ; priorité à la compréhension des commandes du groupe.</x:v>
      </x:c>
      <x:c r="I11" s="9" t="str">
        <x:v>Sous-titre d’ambiance facultatif ; pictogramme si le son fournit une alerte.</x:v>
      </x:c>
      <x:c r="J11" s="9" t="str">
        <x:v>Points de synchro notés dans la fiche animation concernée ; aucune dépendance à la vitesse de lecture.</x:v>
      </x:c>
      <x:c r="K11" s="9" t="str">
        <x:v>Silence de fin et chime d’archivage ; aucune fanfare certifiant un canon corrigé. Musique, bruitages et éventuelles voix à produire sans extraire les enregistrements officiels.</x:v>
      </x:c>
      <x:c r="L11" s="9" t="str">
        <x:v>audio/dec/cloture-reservee.ogg ; bus ambiance/musique/interface séparés.</x:v>
      </x:c>
      <x:c r="M11" s="9" t="str">
        <x:v>La source narrative inspire l’intention, pas une mélodie ou un enregistrement à copier.</x:v>
      </x:c>
      <x:c r="N11" s="9" t="str">
        <x:v>Boucle sans clic ; transitions propres ; information compréhensible volume coupé.</x:v>
      </x:c>
      <x:c r="O11" s="9" t="str"/>
      <x:c r="P11" s="9" t="str"/>
      <x:c r="Q11" s="9" t="str"/>
      <x:c r="R11" s="9" t="str"/>
      <x:c r="S11" s="9" t="str"/>
    </x:row>
  </x:sheetData>
  <x:conditionalFormatting sqref="D7:D11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11">
    <x:cfRule type="cellIs" dxfId="86" priority="3" operator="equal">
      <x:formula>"Validé"</x:formula>
    </x:cfRule>
  </x:conditionalFormatting>
  <x:conditionalFormatting sqref="E7:E11">
    <x:cfRule type="cellIs" dxfId="87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257ea018234059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DEC-SYS-01</x:v>
      </x:c>
      <x:c r="B7" s="9" t="str">
        <x:v>Version de référence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Système original de production propre au module.</x:v>
      </x:c>
      <x:c r="G7" s="9" t="str">
        <x:v>Chaque fait contesté conserve édition d’origine, source de critique et décision d’adaptation ; aucune valeur écrasée en silence.</x:v>
      </x:c>
      <x:c r="H7" s="9" t="str">
        <x:v>Chaque fait contesté conserve édition d’origine, source de critique et décision d’adaptation ; aucune valeur écrasée en silence.</x:v>
      </x:c>
      <x:c r="I7" s="9" t="str">
        <x:v>État visible dans le HUD et le journal ; libellés complets, icônes non exclusives.</x:v>
      </x:c>
      <x:c r="J7" s="9" t="str">
        <x:v>Transitions rapides et possibilité de réduire les mouvements UI.</x:v>
      </x:c>
      <x:c r="K7" s="9" t="str">
        <x:v>Chaque changement critique possède un équivalent textuel ; pas de message sonore seul.</x:v>
      </x:c>
      <x:c r="L7" s="9" t="str">
        <x:v>systems/dec/version-de-reference.ts prévu ; sauvegarde versionnée avec valeurs par défaut.</x:v>
      </x:c>
      <x:c r="M7" s="9" t="str">
        <x:v>Activé seulement dans ce module ; ne modifie pas les sauvegardes des jeux officiels.</x:v>
      </x:c>
      <x:c r="N7" s="9" t="str">
        <x:v>Chargement et reprise conservent l’état ; clavier et pointeur donnent le même résultat.</x:v>
      </x:c>
      <x:c r="O7" s="9" t="str"/>
      <x:c r="P7" s="9" t="str"/>
      <x:c r="Q7" s="9" t="str"/>
      <x:c r="R7" s="9" t="str"/>
      <x:c r="S7" s="9" t="str"/>
    </x:row>
    <x:row r="8" ht="44" customHeight="1">
      <x:c r="A8" s="19" t="str">
        <x:v>DEC-SYS-02</x:v>
      </x:c>
      <x:c r="B8" s="7" t="str">
        <x:v>Âges contradictoires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Système original de production propre au module.</x:v>
      </x:c>
      <x:c r="G8" s="7" t="str">
        <x:v>Bloquer l’export des portraits et textes d’âge tant que l’arbitrage Gillian/Nick n’est pas signé.</x:v>
      </x:c>
      <x:c r="H8" s="7" t="str">
        <x:v>Bloquer l’export des portraits et textes d’âge tant que l’arbitrage Gillian/Nick n’est pas signé.</x:v>
      </x:c>
      <x:c r="I8" s="7" t="str">
        <x:v>État visible dans le HUD et le journal ; libellés complets, icônes non exclusives.</x:v>
      </x:c>
      <x:c r="J8" s="7" t="str">
        <x:v>Transitions rapides et possibilité de réduire les mouvements UI.</x:v>
      </x:c>
      <x:c r="K8" s="7" t="str">
        <x:v>Chaque changement critique possède un équivalent textuel ; pas de message sonore seul.</x:v>
      </x:c>
      <x:c r="L8" s="7" t="str">
        <x:v>systems/dec/ages-contradictoires.ts prévu ; sauvegarde versionnée avec valeurs par défaut.</x:v>
      </x:c>
      <x:c r="M8" s="7" t="str">
        <x:v>Activé seulement dans ce module ; ne modifie pas les sauvegardes des jeux officiels.</x:v>
      </x:c>
      <x:c r="N8" s="7" t="str">
        <x:v>Chargement et reprise conservent l’état ; clavier et pointeur donnent le même résultat.</x:v>
      </x:c>
      <x:c r="O8" s="7" t="str"/>
      <x:c r="P8" s="7" t="str"/>
      <x:c r="Q8" s="7" t="str"/>
      <x:c r="R8" s="7" t="str"/>
      <x:c r="S8" s="7" t="str"/>
    </x:row>
    <x:row r="9" ht="44" customHeight="1">
      <x:c r="A9" s="18" t="str">
        <x:v>DEC-SYS-03</x:v>
      </x:c>
      <x:c r="B9" s="9" t="str">
        <x:v>Tableau de provenance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Système original de production propre au module.</x:v>
      </x:c>
      <x:c r="G9" s="9" t="str">
        <x:v>Un témoignage, une preuve physique et une hypothèse ont trois états distincts.</x:v>
      </x:c>
      <x:c r="H9" s="9" t="str">
        <x:v>Un témoignage, une preuve physique et une hypothèse ont trois états distincts.</x:v>
      </x:c>
      <x:c r="I9" s="9" t="str">
        <x:v>État visible dans le HUD et le journal ; libellés complets, icônes non exclusives.</x:v>
      </x:c>
      <x:c r="J9" s="9" t="str">
        <x:v>Transitions rapides et possibilité de réduire les mouvements UI.</x:v>
      </x:c>
      <x:c r="K9" s="9" t="str">
        <x:v>Chaque changement critique possède un équivalent textuel ; pas de message sonore seul.</x:v>
      </x:c>
      <x:c r="L9" s="9" t="str">
        <x:v>systems/dec/tableau-de-provenance.ts prévu ; sauvegarde versionnée avec valeurs par défaut.</x:v>
      </x:c>
      <x:c r="M9" s="9" t="str">
        <x:v>Activé seulement dans ce module ; ne modifie pas les sauvegardes des jeux officiels.</x:v>
      </x:c>
      <x:c r="N9" s="9" t="str">
        <x:v>Chargement et reprise conservent l’état ; clavier et pointeur donnent le même résultat.</x:v>
      </x:c>
      <x:c r="O9" s="9" t="str"/>
      <x:c r="P9" s="9" t="str"/>
      <x:c r="Q9" s="9" t="str"/>
      <x:c r="R9" s="9" t="str"/>
      <x:c r="S9" s="9" t="str"/>
    </x:row>
    <x:row r="10" ht="44" customHeight="1">
      <x:c r="A10" s="19" t="str">
        <x:v>DEC-SYS-04</x:v>
      </x:c>
      <x:c r="B10" s="7" t="str">
        <x:v>Révision annoncée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Système original de production propre au module.</x:v>
      </x:c>
      <x:c r="G10" s="7" t="str">
        <x:v>La notice montre annonce de révision et non édition corrigée ; aucune date de publication supposée.</x:v>
      </x:c>
      <x:c r="H10" s="7" t="str">
        <x:v>La notice montre annonce de révision et non édition corrigée ; aucune date de publication supposée.</x:v>
      </x:c>
      <x:c r="I10" s="7" t="str">
        <x:v>État visible dans le HUD et le journal ; libellés complets, icônes non exclusives.</x:v>
      </x:c>
      <x:c r="J10" s="7" t="str">
        <x:v>Transitions rapides et possibilité de réduire les mouvements UI.</x:v>
      </x:c>
      <x:c r="K10" s="7" t="str">
        <x:v>Chaque changement critique possède un équivalent textuel ; pas de message sonore seul.</x:v>
      </x:c>
      <x:c r="L10" s="7" t="str">
        <x:v>systems/dec/revision-annoncee.ts prévu ; sauvegarde versionnée avec valeurs par défaut.</x:v>
      </x:c>
      <x:c r="M10" s="7" t="str">
        <x:v>Activé seulement dans ce module ; ne modifie pas les sauvegardes des jeux officiels.</x:v>
      </x:c>
      <x:c r="N10" s="7" t="str">
        <x:v>Chargement et reprise conservent l’état ; clavier et pointeur donnent le même résultat.</x:v>
      </x:c>
      <x:c r="O10" s="7" t="str"/>
      <x:c r="P10" s="7" t="str"/>
      <x:c r="Q10" s="7" t="str"/>
      <x:c r="R10" s="7" t="str"/>
      <x:c r="S10" s="7" t="str"/>
    </x:row>
    <x:row r="11" ht="44" customHeight="1">
      <x:c r="A11" s="18" t="str">
        <x:v>DEC-SYS-05</x:v>
      </x:c>
      <x:c r="B11" s="9" t="str">
        <x:v>Choix de méthode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Système original de production propre au module.</x:v>
      </x:c>
      <x:c r="G11" s="9" t="str">
        <x:v>Les options modifient coût local et rythme ; la fin du livre n’est pas un choix canonique alternatif.</x:v>
      </x:c>
      <x:c r="H11" s="9" t="str">
        <x:v>Les options modifient coût local et rythme ; la fin du livre n’est pas un choix canonique alternatif.</x:v>
      </x:c>
      <x:c r="I11" s="9" t="str">
        <x:v>État visible dans le HUD et le journal ; libellés complets, icônes non exclusives.</x:v>
      </x:c>
      <x:c r="J11" s="9" t="str">
        <x:v>Transitions rapides et possibilité de réduire les mouvements UI.</x:v>
      </x:c>
      <x:c r="K11" s="9" t="str">
        <x:v>Chaque changement critique possède un équivalent textuel ; pas de message sonore seul.</x:v>
      </x:c>
      <x:c r="L11" s="9" t="str">
        <x:v>systems/dec/choix-de-methode.ts prévu ; sauvegarde versionnée avec valeurs par défaut.</x:v>
      </x:c>
      <x:c r="M11" s="9" t="str">
        <x:v>Activé seulement dans ce module ; ne modifie pas les sauvegardes des jeux officiels.</x:v>
      </x:c>
      <x:c r="N11" s="9" t="str">
        <x:v>Chargement et reprise conservent l’état ; clavier et pointeur donnent le même résultat.</x:v>
      </x:c>
      <x:c r="O11" s="9" t="str"/>
      <x:c r="P11" s="9" t="str"/>
      <x:c r="Q11" s="9" t="str"/>
      <x:c r="R11" s="9" t="str"/>
      <x:c r="S11" s="9" t="str"/>
    </x:row>
    <x:row r="12" ht="54" customHeight="1">
      <x:c r="A12" s="19" t="str">
        <x:v>DEC-SYS-06</x:v>
      </x:c>
      <x:c r="B12" s="7" t="str">
        <x:v>Validation physiologique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Système original de production propre au module.</x:v>
      </x:c>
      <x:c r="G12" s="7" t="str">
        <x:v>Contrôler les combinaisons quarianes et les espèces sans convertir les critiques de fans en doctrine automatique.</x:v>
      </x:c>
      <x:c r="H12" s="7" t="str">
        <x:v>Contrôler les combinaisons quarianes et les espèces sans convertir les critiques de fans en doctrine automatique.</x:v>
      </x:c>
      <x:c r="I12" s="7" t="str">
        <x:v>État visible dans le HUD et le journal ; libellés complets, icônes non exclusives.</x:v>
      </x:c>
      <x:c r="J12" s="7" t="str">
        <x:v>Transitions rapides et possibilité de réduire les mouvements UI.</x:v>
      </x:c>
      <x:c r="K12" s="7" t="str">
        <x:v>Chaque changement critique possède un équivalent textuel ; pas de message sonore seul.</x:v>
      </x:c>
      <x:c r="L12" s="7" t="str">
        <x:v>systems/dec/validation-physiologique.ts prévu ; sauvegarde versionnée avec valeurs par défaut.</x:v>
      </x:c>
      <x:c r="M12" s="7" t="str">
        <x:v>Activé seulement dans ce module ; ne modifie pas les sauvegardes des jeux officiels.</x:v>
      </x:c>
      <x:c r="N12" s="7" t="str">
        <x:v>Chargement et reprise conservent l’état ; clavier et pointeur donnent le même résultat.</x:v>
      </x:c>
      <x:c r="O12" s="7" t="str"/>
      <x:c r="P12" s="7" t="str"/>
      <x:c r="Q12" s="7" t="str"/>
      <x:c r="R12" s="7" t="str"/>
      <x:c r="S12" s="7" t="str"/>
    </x:row>
    <x:row r="13" ht="44" customHeight="1">
      <x:c r="A13" s="18" t="str">
        <x:v>DEC-SYS-07</x:v>
      </x:c>
      <x:c r="B13" s="9" t="str">
        <x:v>Recrutement radical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Système original de production propre au module.</x:v>
      </x:c>
      <x:c r="G13" s="9" t="str">
        <x:v>Distinguer la faction de tous les biotiques ; bannir les bonus de race ou de handicap.</x:v>
      </x:c>
      <x:c r="H13" s="9" t="str">
        <x:v>Distinguer la faction de tous les biotiques ; bannir les bonus de race ou de handicap.</x:v>
      </x:c>
      <x:c r="I13" s="9" t="str">
        <x:v>État visible dans le HUD et le journal ; libellés complets, icônes non exclusives.</x:v>
      </x:c>
      <x:c r="J13" s="9" t="str">
        <x:v>Transitions rapides et possibilité de réduire les mouvements UI.</x:v>
      </x:c>
      <x:c r="K13" s="9" t="str">
        <x:v>Chaque changement critique possède un équivalent textuel ; pas de message sonore seul.</x:v>
      </x:c>
      <x:c r="L13" s="9" t="str">
        <x:v>systems/dec/recrutement-radical.ts prévu ; sauvegarde versionnée avec valeurs par défaut.</x:v>
      </x:c>
      <x:c r="M13" s="9" t="str">
        <x:v>Activé seulement dans ce module ; ne modifie pas les sauvegardes des jeux officiels.</x:v>
      </x:c>
      <x:c r="N13" s="9" t="str">
        <x:v>Chargement et reprise conservent l’état ; clavier et pointeur donnent le même résultat.</x:v>
      </x:c>
      <x:c r="O13" s="9" t="str"/>
      <x:c r="P13" s="9" t="str"/>
      <x:c r="Q13" s="9" t="str"/>
      <x:c r="R13" s="9" t="str"/>
      <x:c r="S13" s="9" t="str"/>
    </x:row>
    <x:row r="14" ht="54" customHeight="1">
      <x:c r="A14" s="19" t="str">
        <x:v>DEC-SYS-08</x:v>
      </x:c>
      <x:c r="B14" s="7" t="str">
        <x:v>Scènes sous réserve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Système original de production propre au module.</x:v>
      </x:c>
      <x:c r="G14" s="7" t="str">
        <x:v>Un point de continuité non arbitré désactive la scène concernée tout en laissant les fiches de production consultables.</x:v>
      </x:c>
      <x:c r="H14" s="7" t="str">
        <x:v>Un point de continuité non arbitré désactive la scène concernée tout en laissant les fiches de production consultables.</x:v>
      </x:c>
      <x:c r="I14" s="7" t="str">
        <x:v>État visible dans le HUD et le journal ; libellés complets, icônes non exclusives.</x:v>
      </x:c>
      <x:c r="J14" s="7" t="str">
        <x:v>Transitions rapides et possibilité de réduire les mouvements UI.</x:v>
      </x:c>
      <x:c r="K14" s="7" t="str">
        <x:v>Chaque changement critique possède un équivalent textuel ; pas de message sonore seul.</x:v>
      </x:c>
      <x:c r="L14" s="7" t="str">
        <x:v>systems/dec/scenes-sous-reserve.ts prévu ; sauvegarde versionnée avec valeurs par défaut.</x:v>
      </x:c>
      <x:c r="M14" s="7" t="str">
        <x:v>Activé seulement dans ce module ; ne modifie pas les sauvegardes des jeux officiels.</x:v>
      </x:c>
      <x:c r="N14" s="7" t="str">
        <x:v>Chargement et reprise conservent l’état ; clavier et pointeur donnent le même résultat.</x:v>
      </x:c>
      <x:c r="O14" s="7" t="str"/>
      <x:c r="P14" s="7" t="str"/>
      <x:c r="Q14" s="7" t="str"/>
      <x:c r="R14" s="7" t="str"/>
      <x:c r="S14" s="7" t="str"/>
    </x:row>
  </x:sheetData>
  <x:conditionalFormatting sqref="D7:D14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14">
    <x:cfRule type="cellIs" dxfId="90" priority="3" operator="equal">
      <x:formula>"Validé"</x:formula>
    </x:cfRule>
  </x:conditionalFormatting>
  <x:conditionalFormatting sqref="E7:E14">
    <x:cfRule type="cellIs" dxfId="91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f5ae51d86b470f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DEC-TST-DOSSIER</x:v>
      </x:c>
      <x:c r="B7" s="9" t="str">
        <x:v>Présenter une preuve vérifiable — scénario d’acceptation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Test de comportement spécifique à la mission proposée.</x:v>
      </x:c>
      <x:c r="G7" s="9" t="str">
        <x:v>Exécuter Présenter une preuve vérifiable avec la méthode la plus lente puis avec la méthode alternative.</x:v>
      </x:c>
      <x:c r="H7" s="9" t="str">
        <x:v>Contrôler les transitions de la règle suivante : Étiqueter origine, chaîne de garde et question restant ouverte ; l’interface distingue constat et conclusion.</x:v>
      </x:c>
      <x:c r="I7" s="9" t="str">
        <x:v>Capturer le moment où la sortie devient valide et celui où le choix devient indisponible.</x:v>
      </x:c>
      <x:c r="J7" s="9" t="str">
        <x:v>Interrompre une action à son anticipation et une autre après son engagement.</x:v>
      </x:c>
      <x:c r="K7" s="9" t="str">
        <x:v>Rejouer sans son pour vérifier les informations essentielles.</x:v>
      </x:c>
      <x:c r="L7" s="9" t="str">
        <x:v>qa/dec/dossier.md : état initial, actions, attendu, résultat, capture.</x:v>
      </x:c>
      <x:c r="M7" s="9" t="str">
        <x:v>Ne pas ajouter une reconnaissance officielle anticipée des Moissonneurs.</x:v>
      </x:c>
      <x:c r="N7" s="9" t="str">
        <x:v>Aucun blocage, récompense multiple, information future ou divergence entre pause ATB et temps normal.</x:v>
      </x:c>
      <x:c r="O7" s="9" t="str">
        <x:v>DEC-MIS-DOSSIER, DEC-CHO-DOSSIER, DEC-OPT-DOSSIER</x:v>
      </x:c>
      <x:c r="P7" s="9" t="str"/>
      <x:c r="Q7" s="9" t="str"/>
      <x:c r="R7" s="9" t="str"/>
      <x:c r="S7" s="9" t="str"/>
    </x:row>
    <x:row r="8" ht="54" customHeight="1">
      <x:c r="A8" s="19" t="str">
        <x:v>DEC-TST-ALERT</x:v>
      </x:c>
      <x:c r="B8" s="7" t="str">
        <x:v>Organiser un sas de protection — scénario d’acceptation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Test de comportement spécifique à la mission proposée.</x:v>
      </x:c>
      <x:c r="G8" s="7" t="str">
        <x:v>Exécuter Organiser un sas de protection avec la méthode la plus lente puis avec la méthode alternative.</x:v>
      </x:c>
      <x:c r="H8" s="7" t="str">
        <x:v>Contrôler les transitions de la règle suivante : Couvrir les portes et déplacer les non-combattants vers un point sécurisé.</x:v>
      </x:c>
      <x:c r="I8" s="7" t="str">
        <x:v>Capturer le moment où la sortie devient valide et celui où le choix devient indisponible.</x:v>
      </x:c>
      <x:c r="J8" s="7" t="str">
        <x:v>Interrompre une action à son anticipation et une autre après son engagement.</x:v>
      </x:c>
      <x:c r="K8" s="7" t="str">
        <x:v>Rejouer sans son pour vérifier les informations essentielles.</x:v>
      </x:c>
      <x:c r="L8" s="7" t="str">
        <x:v>qa/dec/alert.md : état initial, actions, attendu, résultat, capture.</x:v>
      </x:c>
      <x:c r="M8" s="7" t="str">
        <x:v>Pas de changement des destins attestés dans l’édition utilisée.</x:v>
      </x:c>
      <x:c r="N8" s="7" t="str">
        <x:v>Aucun blocage, récompense multiple, information future ou divergence entre pause ATB et temps normal.</x:v>
      </x:c>
      <x:c r="O8" s="7" t="str">
        <x:v>DEC-MIS-ALERT, DEC-CHO-ALERT, DEC-OPT-ALERT</x:v>
      </x:c>
      <x:c r="P8" s="7" t="str"/>
      <x:c r="Q8" s="7" t="str"/>
      <x:c r="R8" s="7" t="str"/>
      <x:c r="S8" s="7" t="str"/>
    </x:row>
    <x:row r="9" ht="54" customHeight="1">
      <x:c r="A9" s="18" t="str">
        <x:v>DEC-TST-TESTIMONY</x:v>
      </x:c>
      <x:c r="B9" s="9" t="str">
        <x:v>Écouter un témoin libéré — scénario d’acceptation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Test de comportement spécifique à la mission proposée.</x:v>
      </x:c>
      <x:c r="G9" s="9" t="str">
        <x:v>Exécuter Écouter un témoin libéré avec la méthode la plus lente puis avec la méthode alternative.</x:v>
      </x:c>
      <x:c r="H9" s="9" t="str">
        <x:v>Contrôler les transitions de la règle suivante : Choisir une question sur date, lieu ou source ; conserver la réponse comme déclaration.</x:v>
      </x:c>
      <x:c r="I9" s="9" t="str">
        <x:v>Capturer le moment où la sortie devient valide et celui où le choix devient indisponible.</x:v>
      </x:c>
      <x:c r="J9" s="9" t="str">
        <x:v>Interrompre une action à son anticipation et une autre après son engagement.</x:v>
      </x:c>
      <x:c r="K9" s="9" t="str">
        <x:v>Rejouer sans son pour vérifier les informations essentielles.</x:v>
      </x:c>
      <x:c r="L9" s="9" t="str">
        <x:v>qa/dec/testimony.md : état initial, actions, attendu, résultat, capture.</x:v>
      </x:c>
      <x:c r="M9" s="9" t="str">
        <x:v>Une parole rapportée n’est pas transformée en vérité omnisciente.</x:v>
      </x:c>
      <x:c r="N9" s="9" t="str">
        <x:v>Aucun blocage, récompense multiple, information future ou divergence entre pause ATB et temps normal.</x:v>
      </x:c>
      <x:c r="O9" s="9" t="str">
        <x:v>DEC-MIS-TESTIMONY, DEC-CHO-TESTIMONY, DEC-OPT-TESTIMONY</x:v>
      </x:c>
      <x:c r="P9" s="9" t="str"/>
      <x:c r="Q9" s="9" t="str"/>
      <x:c r="R9" s="9" t="str"/>
      <x:c r="S9" s="9" t="str"/>
    </x:row>
    <x:row r="10" ht="54" customHeight="1">
      <x:c r="A10" s="19" t="str">
        <x:v>DEC-TST-PURPOSE</x:v>
      </x:c>
      <x:c r="B10" s="7" t="str">
        <x:v>Examiner une piste de vengeance — scénario d’acceptation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Test de comportement spécifique à la mission proposée.</x:v>
      </x:c>
      <x:c r="G10" s="7" t="str">
        <x:v>Exécuter Examiner une piste de vengeance avec la méthode la plus lente puis avec la méthode alternative.</x:v>
      </x:c>
      <x:c r="H10" s="7" t="str">
        <x:v>Contrôler les transitions de la règle suivante : Lister les faits acquis et les inconnues ; ouvrir un trajet local seulement après confirmation de lecture.</x:v>
      </x:c>
      <x:c r="I10" s="7" t="str">
        <x:v>Capturer le moment où la sortie devient valide et celui où le choix devient indisponible.</x:v>
      </x:c>
      <x:c r="J10" s="7" t="str">
        <x:v>Interrompre une action à son anticipation et une autre après son engagement.</x:v>
      </x:c>
      <x:c r="K10" s="7" t="str">
        <x:v>Rejouer sans son pour vérifier les informations essentielles.</x:v>
      </x:c>
      <x:c r="L10" s="7" t="str">
        <x:v>qa/dec/purpose.md : état initial, actions, attendu, résultat, capture.</x:v>
      </x:c>
      <x:c r="M10" s="7" t="str">
        <x:v>Ne pas fabriquer une autre personnalité de Gillian pour résoudre une incohérence.</x:v>
      </x:c>
      <x:c r="N10" s="7" t="str">
        <x:v>Aucun blocage, récompense multiple, information future ou divergence entre pause ATB et temps normal.</x:v>
      </x:c>
      <x:c r="O10" s="7" t="str">
        <x:v>DEC-MIS-PURPOSE, DEC-CHO-PURPOSE, DEC-OPT-PURPOSE</x:v>
      </x:c>
      <x:c r="P10" s="7" t="str"/>
      <x:c r="Q10" s="7" t="str"/>
      <x:c r="R10" s="7" t="str"/>
      <x:c r="S10" s="7" t="str"/>
    </x:row>
    <x:row r="11" ht="54" customHeight="1">
      <x:c r="A11" s="18" t="str">
        <x:v>DEC-TST-NETWORK</x:v>
      </x:c>
      <x:c r="B11" s="9" t="str">
        <x:v>Démêler les relais d’Omega — scénario d’acceptation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Test de comportement spécifique à la mission proposée.</x:v>
      </x:c>
      <x:c r="G11" s="9" t="str">
        <x:v>Exécuter Démêler les relais d’Omega avec la méthode la plus lente puis avec la méthode alternative.</x:v>
      </x:c>
      <x:c r="H11" s="9" t="str">
        <x:v>Contrôler les transitions de la règle suivante : Croiser trois relais fictifs ; chaque lien possède origine et degré de confiance.</x:v>
      </x:c>
      <x:c r="I11" s="9" t="str">
        <x:v>Capturer le moment où la sortie devient valide et celui où le choix devient indisponible.</x:v>
      </x:c>
      <x:c r="J11" s="9" t="str">
        <x:v>Interrompre une action à son anticipation et une autre après son engagement.</x:v>
      </x:c>
      <x:c r="K11" s="9" t="str">
        <x:v>Rejouer sans son pour vérifier les informations essentielles.</x:v>
      </x:c>
      <x:c r="L11" s="9" t="str">
        <x:v>qa/dec/network.md : état initial, actions, attendu, résultat, capture.</x:v>
      </x:c>
      <x:c r="M11" s="9" t="str">
        <x:v>Les intermédiaires supplémentaires sont signalés comme création originale.</x:v>
      </x:c>
      <x:c r="N11" s="9" t="str">
        <x:v>Aucun blocage, récompense multiple, information future ou divergence entre pause ATB et temps normal.</x:v>
      </x:c>
      <x:c r="O11" s="9" t="str">
        <x:v>DEC-MIS-NETWORK, DEC-CHO-NETWORK, DEC-OPT-NETWORK</x:v>
      </x:c>
      <x:c r="P11" s="9" t="str"/>
      <x:c r="Q11" s="9" t="str"/>
      <x:c r="R11" s="9" t="str"/>
      <x:c r="S11" s="9" t="str"/>
    </x:row>
    <x:row r="12" ht="54" customHeight="1">
      <x:c r="A12" s="19" t="str">
        <x:v>DEC-TST-PROMISE</x:v>
      </x:c>
      <x:c r="B12" s="7" t="str">
        <x:v>Reconnaître une promesse dangereuse — scénario d’acceptation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Test de comportement spécifique à la mission proposée.</x:v>
      </x:c>
      <x:c r="G12" s="7" t="str">
        <x:v>Exécuter Reconnaître une promesse dangereuse avec la méthode la plus lente puis avec la méthode alternative.</x:v>
      </x:c>
      <x:c r="H12" s="7" t="str">
        <x:v>Contrôler les transitions de la règle suivante : Repérer un argument qui exclut, un avantage promis et une information omise.</x:v>
      </x:c>
      <x:c r="I12" s="7" t="str">
        <x:v>Capturer le moment où la sortie devient valide et celui où le choix devient indisponible.</x:v>
      </x:c>
      <x:c r="J12" s="7" t="str">
        <x:v>Interrompre une action à son anticipation et une autre après son engagement.</x:v>
      </x:c>
      <x:c r="K12" s="7" t="str">
        <x:v>Rejouer sans son pour vérifier les informations essentielles.</x:v>
      </x:c>
      <x:c r="L12" s="7" t="str">
        <x:v>qa/dec/promise.md : état initial, actions, attendu, résultat, capture.</x:v>
      </x:c>
      <x:c r="M12" s="7" t="str">
        <x:v>L’appartenance de Nick reste celle de l’édition, sous réserve éditoriale.</x:v>
      </x:c>
      <x:c r="N12" s="7" t="str">
        <x:v>Aucun blocage, récompense multiple, information future ou divergence entre pause ATB et temps normal.</x:v>
      </x:c>
      <x:c r="O12" s="7" t="str">
        <x:v>DEC-MIS-PROMISE, DEC-CHO-PROMISE, DEC-OPT-PROMISE</x:v>
      </x:c>
      <x:c r="P12" s="7" t="str"/>
      <x:c r="Q12" s="7" t="str"/>
      <x:c r="R12" s="7" t="str"/>
      <x:c r="S12" s="7" t="str"/>
    </x:row>
    <x:row r="13" ht="54" customHeight="1">
      <x:c r="A13" s="18" t="str">
        <x:v>DEC-TST-EXCHANGE</x:v>
      </x:c>
      <x:c r="B13" s="9" t="str">
        <x:v>Sécuriser une remise locale — scénario d’acceptation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Test de comportement spécifique à la mission proposée.</x:v>
      </x:c>
      <x:c r="G13" s="9" t="str">
        <x:v>Exécuter Sécuriser une remise locale avec la méthode la plus lente puis avec la méthode alternative.</x:v>
      </x:c>
      <x:c r="H13" s="9" t="str">
        <x:v>Contrôler les transitions de la règle suivante : Deux membres surveillent les issues, un troisième vérifie le conteneur ; priorité à la sortie.</x:v>
      </x:c>
      <x:c r="I13" s="9" t="str">
        <x:v>Capturer le moment où la sortie devient valide et celui où le choix devient indisponible.</x:v>
      </x:c>
      <x:c r="J13" s="9" t="str">
        <x:v>Interrompre une action à son anticipation et une autre après son engagement.</x:v>
      </x:c>
      <x:c r="K13" s="9" t="str">
        <x:v>Rejouer sans son pour vérifier les informations essentielles.</x:v>
      </x:c>
      <x:c r="L13" s="9" t="str">
        <x:v>qa/dec/exchange.md : état initial, actions, attendu, résultat, capture.</x:v>
      </x:c>
      <x:c r="M13" s="9" t="str">
        <x:v>Ne pas prétendre que cet échange existe dans le roman.</x:v>
      </x:c>
      <x:c r="N13" s="9" t="str">
        <x:v>Aucun blocage, récompense multiple, information future ou divergence entre pause ATB et temps normal.</x:v>
      </x:c>
      <x:c r="O13" s="9" t="str">
        <x:v>DEC-MIS-EXCHANGE, DEC-CHO-EXCHANGE, DEC-OPT-EXCHANGE</x:v>
      </x:c>
      <x:c r="P13" s="9" t="str"/>
      <x:c r="Q13" s="9" t="str"/>
      <x:c r="R13" s="9" t="str"/>
      <x:c r="S13" s="9" t="str"/>
    </x:row>
    <x:row r="14" ht="54" customHeight="1">
      <x:c r="A14" s="19" t="str">
        <x:v>DEC-TST-ARBITRATE</x:v>
      </x:c>
      <x:c r="B14" s="7" t="str">
        <x:v>Clore sans effacer les réserves — scénario d’acceptation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Test de comportement spécifique à la mission proposée.</x:v>
      </x:c>
      <x:c r="G14" s="7" t="str">
        <x:v>Exécuter Clore sans effacer les réserves avec la méthode la plus lente puis avec la méthode alternative.</x:v>
      </x:c>
      <x:c r="H14" s="7" t="str">
        <x:v>Contrôler les transitions de la règle suivante : Afficher points établis, points contradictoires et propositions ; confirmer la version du scénario retenue.</x:v>
      </x:c>
      <x:c r="I14" s="7" t="str">
        <x:v>Capturer le moment où la sortie devient valide et celui où le choix devient indisponible.</x:v>
      </x:c>
      <x:c r="J14" s="7" t="str">
        <x:v>Interrompre une action à son anticipation et une autre après son engagement.</x:v>
      </x:c>
      <x:c r="K14" s="7" t="str">
        <x:v>Rejouer sans son pour vérifier les informations essentielles.</x:v>
      </x:c>
      <x:c r="L14" s="7" t="str">
        <x:v>qa/dec/arbitrate.md : état initial, actions, attendu, résultat, capture.</x:v>
      </x:c>
      <x:c r="M14" s="7" t="str">
        <x:v>La fin du module ne certifie pas une édition corrigée inexistante.</x:v>
      </x:c>
      <x:c r="N14" s="7" t="str">
        <x:v>Aucun blocage, récompense multiple, information future ou divergence entre pause ATB et temps normal.</x:v>
      </x:c>
      <x:c r="O14" s="7" t="str">
        <x:v>DEC-MIS-ARBITRATE, DEC-CHO-ARBITRATE, DEC-OPT-ARBITRATE</x:v>
      </x:c>
      <x:c r="P14" s="7" t="str"/>
      <x:c r="Q14" s="7" t="str"/>
      <x:c r="R14" s="7" t="str"/>
      <x:c r="S14" s="7" t="str"/>
    </x:row>
    <x:row r="15" ht="82" customHeight="1">
      <x:c r="A15" s="18" t="str">
        <x:v>DEC-QA-SOURCES</x:v>
      </x:c>
      <x:c r="B15" s="9" t="str">
        <x:v>Provenance et non-substitution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Contrôle éditorial du catalogue de production.</x:v>
      </x:c>
      <x:c r="G15" s="9" t="str">
        <x:v>Comparer les seuls faits de référence avec les pages citées ; conserver toutes les mécaniques ajoutées comme Extrapolation.</x:v>
      </x:c>
      <x:c r="H15" s="9" t="str">
        <x:v>Vérifier qu’aucune fiche ne présente une statistique ATB comme une valeur du roman ou du film.</x:v>
      </x:c>
      <x:c r="I15" s="9" t="str"/>
      <x:c r="J15" s="9" t="str"/>
      <x:c r="K15" s="9" t="str"/>
      <x:c r="L15" s="9" t="str">
        <x:v>Filtrer DEC par nature puis sourceIds ; revue ciblée des éléments sans source.</x:v>
      </x:c>
      <x:c r="M15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5" s="9" t="str">
        <x:v>Sources accessibles ou limites tracées ; aucun long extrait, dialogue reproduit ou résumé continu substitutif.</x:v>
      </x:c>
      <x:c r="O15" s="9" t="str"/>
      <x:c r="P15" s="9" t="str"/>
      <x:c r="Q15" s="9" t="str"/>
      <x:c r="R15" s="9" t="str"/>
      <x:c r="S15" s="9" t="str"/>
    </x:row>
    <x:row r="16" ht="82" customHeight="1">
      <x:c r="A16" s="19" t="str">
        <x:v>DEC-QA-SAVE</x:v>
      </x:c>
      <x:c r="B16" s="7" t="str">
        <x:v>Reprise des états et du groupe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Contrôle de sauvegarde du module proposé.</x:v>
      </x:c>
      <x:c r="G16" s="7" t="str">
        <x:v>Sauver avant une transition, une option et une crise ; charger puis comparer les états de progression et de présence.</x:v>
      </x:c>
      <x:c r="H16" s="7" t="str">
        <x:v>Le coût d’action est appliqué exactement une fois ; les acteurs absents ne réapparaissent pas au chargement.</x:v>
      </x:c>
      <x:c r="I16" s="7" t="str"/>
      <x:c r="J16" s="7" t="str"/>
      <x:c r="K16" s="7" t="str"/>
      <x:c r="L16" s="7" t="str">
        <x:v>qa/dec/save-reload.md avec capture avant/après.</x:v>
      </x:c>
      <x:c r="M16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6" s="7" t="str">
        <x:v>Inventaire, acteurs disponibles, indices et limites de continuité restent identiques.</x:v>
      </x:c>
      <x:c r="O16" s="7" t="str"/>
      <x:c r="P16" s="7" t="str"/>
      <x:c r="Q16" s="7" t="str"/>
      <x:c r="R16" s="7" t="str"/>
      <x:c r="S16" s="7" t="str"/>
    </x:row>
    <x:row r="17" ht="54" customHeight="1">
      <x:c r="A17" s="18" t="str">
        <x:v>DEC-QA-VISUAL</x:v>
      </x:c>
      <x:c r="B17" s="9" t="str">
        <x:v>Lisibilité sprites 2D sur volumes 3D</x:v>
      </x:c>
      <x:c r="C17" s="15" t="str">
        <x:v>Défini</x:v>
      </x:c>
      <x:c r="D17" s="16" t="str">
        <x:v>Extrapolation</x:v>
      </x:c>
      <x:c r="E17" s="16" t="str">
        <x:v>P0</x:v>
      </x:c>
      <x:c r="F17" s="9" t="str">
        <x:v>Contrôle visuel de production du module.</x:v>
      </x:c>
      <x:c r="G17" s="9" t="str">
        <x:v>Photographier chaque carrefour et engagement avec effets actifs, puis répéter à petite résolution et sans couleur.</x:v>
      </x:c>
      <x:c r="H17" s="9" t="str">
        <x:v>La zone cliquable correspond aux pieds des sprites, jamais au sommet d’un décor.</x:v>
      </x:c>
      <x:c r="I17" s="9" t="str"/>
      <x:c r="J17" s="9" t="str"/>
      <x:c r="K17" s="9" t="str"/>
      <x:c r="L17" s="9" t="str">
        <x:v>qa/dec/readability/ : captures scènes et grille de comparaison.</x:v>
      </x:c>
      <x:c r="M17" s="9" t="str">
        <x:v>Validation sur les cartes de ce catalogue uniquement.</x:v>
      </x:c>
      <x:c r="N17" s="9" t="str">
        <x:v>Aucune occlusion totale du personnage actif ; les sorties et télégraphes restent compréhensibles.</x:v>
      </x:c>
      <x:c r="O17" s="9" t="str"/>
      <x:c r="P17" s="9" t="str"/>
      <x:c r="Q17" s="9" t="str"/>
      <x:c r="R17" s="9" t="str"/>
      <x:c r="S17" s="9" t="str"/>
    </x:row>
    <x:row r="18" ht="54" customHeight="1">
      <x:c r="A18" s="19" t="str">
        <x:v>DEC-QA-ACCESS</x:v>
      </x:c>
      <x:c r="B18" s="7" t="str">
        <x:v>Commandes, texte et effets accessibles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Contrôle fonctionnel des options proposées.</x:v>
      </x:c>
      <x:c r="G18" s="7" t="str">
        <x:v>Parcourir le module au clavier, avec sous-titres et effets réduits ; désactiver l’audio et tester les avertissements.</x:v>
      </x:c>
      <x:c r="H18" s="7" t="str">
        <x:v>La pause ATB permet de lire un choix ou un indice sans pénalité de temps.</x:v>
      </x:c>
      <x:c r="I18" s="7" t="str"/>
      <x:c r="J18" s="7" t="str"/>
      <x:c r="K18" s="7" t="str"/>
      <x:c r="L18" s="7" t="str">
        <x:v>qa/dec/accessibility.md ; cas de navigation, focus, contraste et interruption.</x:v>
      </x:c>
      <x:c r="M18" s="7" t="str">
        <x:v>Conserver les règles de présence narrative pendant tous les essais.</x:v>
      </x:c>
      <x:c r="N18" s="7" t="str">
        <x:v>Toute action essentielle est réalisable ; aucune information indispensable ne dépend du son ou de la seule couleur.</x:v>
      </x:c>
      <x:c r="O18" s="7" t="str"/>
      <x:c r="P18" s="7" t="str"/>
      <x:c r="Q18" s="7" t="str"/>
      <x:c r="R18" s="7" t="str"/>
      <x:c r="S18" s="7" t="str"/>
    </x:row>
  </x:sheetData>
  <x:conditionalFormatting sqref="D7:D18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8">
    <x:cfRule type="cellIs" dxfId="94" priority="3" operator="equal">
      <x:formula>"Validé"</x:formula>
    </x:cfRule>
  </x:conditionalFormatting>
  <x:conditionalFormatting sqref="E7:E18">
    <x:cfRule type="cellIs" dxfId="95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bdc8acd1da435f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Deception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DEC-CON-01</x:v>
      </x:c>
      <x:c r="B7" s="9" t="str">
        <x:v>Annonce de révision</x:v>
      </x:c>
      <x:c r="C7" s="15" t="str">
        <x:v>Prototype</x:v>
      </x:c>
      <x:c r="D7" s="16" t="str">
        <x:v>Établi</x:v>
      </x:c>
      <x:c r="E7" s="16" t="str">
        <x:v>P0</x:v>
      </x:c>
      <x:c r="F7" s="9" t="str">
        <x:v>BioWare et Del Rey ont annoncé en 2012 des changements pour de futures éditions. Cette annonce n’atteste pas leur parution.</x:v>
      </x:c>
      <x:c r="G7" s="9" t="str">
        <x:v>Contrainte éditoriale : verrouiller les dépendances avant intégration du module.</x:v>
      </x:c>
      <x:c r="H7" s="9" t="str"/>
      <x:c r="I7" s="9" t="str"/>
      <x:c r="J7" s="9" t="str"/>
      <x:c r="K7" s="9" t="str"/>
      <x:c r="L7" s="9" t="str">
        <x:v>Référence documentaire DEC-CON-01 consultable dans les lectures dec-reperes de src/chronicle-story.js, avec sources et progression séparée. Aucune scène, carte, animation ni incarnation de personnage produite par cette fiche.</x:v>
      </x:c>
      <x:c r="M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7" s="9" t="str">
        <x:v>La règle est contrôlée dans les textes, cartes, choix et sauvegardes ; incertitude résolue ou affichée.</x:v>
      </x:c>
      <x:c r="O7" s="9" t="str"/>
      <x:c r="P7" s="9" t="str">
        <x:v>Limite de continuité / contrôle transversal</x:v>
      </x:c>
      <x:c r="Q7" s="9" t="str">
        <x:v>DEC-SRC-PRESS</x:v>
      </x:c>
      <x:c r="R7" s="9" t="str">
        <x:v>https://www.gamespot.com/articles/bioware-apologizes-for-mass-effect-novel-errors/1100-6349818/</x:v>
      </x:c>
      <x:c r="S7" s="9" t="str">
        <x:v>Aucun numéro de chapitre ou de page n’est attribué sans exemplaire vérifié.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  <x:row r="8" ht="82" customHeight="1">
      <x:c r="A8" s="19" t="str">
        <x:v>DEC-CON-02</x:v>
      </x:c>
      <x:c r="B8" s="7" t="str">
        <x:v>Gillian : âge incohérent</x:v>
      </x:c>
      <x:c r="C8" s="15" t="str">
        <x:v>Prototype</x:v>
      </x:c>
      <x:c r="D8" s="17" t="str">
        <x:v>Établi</x:v>
      </x:c>
      <x:c r="E8" s="17" t="str">
        <x:v>P0</x:v>
      </x:c>
      <x:c r="F8" s="7" t="str">
        <x:v>L’âge de dix-huit ans indiqué dans Deception contredit l’intervalle avec Ascension, où Gillian a douze ans. Conserver les deux données et arbitrer.</x:v>
      </x:c>
      <x:c r="G8" s="7" t="str">
        <x:v>Contrainte éditoriale : verrouiller les dépendances avant intégration du module.</x:v>
      </x:c>
      <x:c r="H8" s="7" t="str"/>
      <x:c r="I8" s="7" t="str"/>
      <x:c r="J8" s="7" t="str"/>
      <x:c r="K8" s="7" t="str"/>
      <x:c r="L8" s="7" t="str">
        <x:v>Référence documentaire DEC-CON-02 consultable dans les lectures dec-reperes de src/chronicle-story.js, avec sources et progression séparée. Aucune scène, carte, animation ni incarnation de personnage produite par cette fiche.</x:v>
      </x:c>
      <x:c r="M8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8" s="7" t="str">
        <x:v>La règle est contrôlée dans les textes, cartes, choix et sauvegardes ; incertitude résolue ou affichée.</x:v>
      </x:c>
      <x:c r="O8" s="7" t="str"/>
      <x:c r="P8" s="7" t="str">
        <x:v>Limite de continuité / contrôle transversal</x:v>
      </x:c>
      <x:c r="Q8" s="7" t="str">
        <x:v>DEC-SRC-GIL</x:v>
      </x:c>
      <x:c r="R8" s="7" t="str">
        <x:v>https://masseffect.fandom.com/wiki/Gillian_Grayson</x:v>
      </x:c>
      <x:c r="S8" s="7" t="str">
        <x:v>Aucun numéro de chapitre ou de page n’est attribué sans exemplaire vérifié.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  <x:row r="9" ht="82" customHeight="1">
      <x:c r="A9" s="18" t="str">
        <x:v>DEC-CON-03</x:v>
      </x:c>
      <x:c r="B9" s="9" t="str">
        <x:v>Nick : âge incohérent</x:v>
      </x:c>
      <x:c r="C9" s="15" t="str">
        <x:v>Prototype</x:v>
      </x:c>
      <x:c r="D9" s="16" t="str">
        <x:v>Établi</x:v>
      </x:c>
      <x:c r="E9" s="16" t="str">
        <x:v>P0</x:v>
      </x:c>
      <x:c r="F9" s="9" t="str">
        <x:v>Nick passe également à dix-huit ans dans Deception malgré la chronologie décrite dans les œuvres précédentes.</x:v>
      </x:c>
      <x:c r="G9" s="9" t="str">
        <x:v>Contrainte éditoriale : verrouiller les dépendances avant intégration du module.</x:v>
      </x:c>
      <x:c r="H9" s="9" t="str"/>
      <x:c r="I9" s="9" t="str"/>
      <x:c r="J9" s="9" t="str"/>
      <x:c r="K9" s="9" t="str"/>
      <x:c r="L9" s="9" t="str">
        <x:v>Référence documentaire DEC-CON-03 consultable dans les lectures dec-reperes de src/chronicle-story.js, avec sources et progression séparée. Aucune scène, carte, animation ni incarnation de personnage produite par cette fiche.</x:v>
      </x:c>
      <x:c r="M9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9" s="9" t="str">
        <x:v>La règle est contrôlée dans les textes, cartes, choix et sauvegardes ; incertitude résolue ou affichée.</x:v>
      </x:c>
      <x:c r="O9" s="9" t="str"/>
      <x:c r="P9" s="9" t="str">
        <x:v>Limite de continuité / contrôle transversal</x:v>
      </x:c>
      <x:c r="Q9" s="9" t="str">
        <x:v>DEC-SRC-NICK</x:v>
      </x:c>
      <x:c r="R9" s="9" t="str">
        <x:v>https://masseffect.fandom.com/wiki/Nick_Donahue</x:v>
      </x:c>
      <x:c r="S9" s="9" t="str">
        <x:v>Aucun numéro de chapitre ou de page n’est attribué sans exemplaire vérifié.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  <x:row r="10" ht="82" customHeight="1">
      <x:c r="A10" s="19" t="str">
        <x:v>DEC-CON-04</x:v>
      </x:c>
      <x:c r="B10" s="7" t="str">
        <x:v>Vêtements quariens</x:v>
      </x:c>
      <x:c r="C10" s="15" t="str">
        <x:v>Défini</x:v>
      </x:c>
      <x:c r="D10" s="17" t="str">
        <x:v>Établi</x:v>
      </x:c>
      <x:c r="E10" s="17" t="str">
        <x:v>P0</x:v>
      </x:c>
      <x:c r="F10" s="7" t="str">
        <x:v>La représentation des vêtements quariens figure parmi les erreurs signalées dans la presse ; vérifier le passage exact avant de modifier un asset.</x:v>
      </x:c>
      <x:c r="G10" s="7" t="str">
        <x:v>Contrainte éditoriale : verrouiller les dépendances avant intégration du module.</x:v>
      </x:c>
      <x:c r="H10" s="7" t="str"/>
      <x:c r="I10" s="7" t="str"/>
      <x:c r="J10" s="7" t="str"/>
      <x:c r="K10" s="7" t="str"/>
      <x:c r="L10" s="7" t="str">
        <x:v>continuity/dec.json ; règle documentée et décision de validation datée.</x:v>
      </x:c>
      <x:c r="M10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0" s="7" t="str">
        <x:v>La règle est contrôlée dans les textes, cartes, choix et sauvegardes ; incertitude résolue ou affichée.</x:v>
      </x:c>
      <x:c r="O10" s="7" t="str"/>
      <x:c r="P10" s="7" t="str">
        <x:v>Limite de continuité / contrôle transversal</x:v>
      </x:c>
      <x:c r="Q10" s="7" t="str">
        <x:v>DEC-SRC-SUITS</x:v>
      </x:c>
      <x:c r="R10" s="7" t="str">
        <x:v>https://www.videogamer.com/bioware-unhappy-with-mass-effect-novel-continuity-errors/</x:v>
      </x:c>
      <x:c r="S10" s="7" t="str">
        <x:v>Aucun numéro de chapitre ou de page n’est attribué sans exemplaire vérifié.</x:v>
      </x:c>
    </x:row>
    <x:row r="11" ht="82" customHeight="1">
      <x:c r="A11" s="18" t="str">
        <x:v>DEC-CON-05</x:v>
      </x:c>
      <x:c r="B11" s="9" t="str">
        <x:v>Listes communautaires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Toutes les assertions d’une liste de fans ne sont pas des errata officiels ; les contre-exemples doivent être examinés.</x:v>
      </x:c>
      <x:c r="G11" s="9" t="str">
        <x:v>Contrainte éditoriale : verrouiller les dépendances avant intégration du module.</x:v>
      </x:c>
      <x:c r="H11" s="9" t="str"/>
      <x:c r="I11" s="9" t="str"/>
      <x:c r="J11" s="9" t="str"/>
      <x:c r="K11" s="9" t="str"/>
      <x:c r="L11" s="9" t="str">
        <x:v>continuity/dec.json ; règle documentée et décision de validation datée.</x:v>
      </x:c>
      <x:c r="M11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1" s="9" t="str">
        <x:v>La règle est contrôlée dans les textes, cartes, choix et sauvegardes ; incertitude résolue ou affichée.</x:v>
      </x:c>
      <x:c r="O11" s="9" t="str"/>
      <x:c r="P11" s="9" t="str">
        <x:v>Limite de continuité / contrôle transversal</x:v>
      </x:c>
      <x:c r="Q11" s="9" t="str">
        <x:v>DEC-SRC-CRITIQUE</x:v>
      </x:c>
      <x:c r="R11" s="9" t="str">
        <x:v>https://masseffect.fandom.com/wiki/User_blog%3AElseweyr/Errors_in_Deception_%22Errors%22</x:v>
      </x:c>
      <x:c r="S11" s="9" t="str">
        <x:v>Aucun numéro de chapitre ou de page n’est attribué sans exemplaire vérifié.</x:v>
      </x:c>
    </x:row>
    <x:row r="12" ht="82" customHeight="1">
      <x:c r="A12" s="19" t="str">
        <x:v>DEC-CON-06</x:v>
      </x:c>
      <x:c r="B12" s="7" t="str">
        <x:v>Autisme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Ne pas inventer une guérison pour expliquer un changement de caractérisation ; demander une validation éditoriale spécifique.</x:v>
      </x:c>
      <x:c r="G12" s="7" t="str">
        <x:v>Contrainte éditoriale : verrouiller les dépendances avant intégration du module.</x:v>
      </x:c>
      <x:c r="H12" s="7" t="str"/>
      <x:c r="I12" s="7" t="str"/>
      <x:c r="J12" s="7" t="str"/>
      <x:c r="K12" s="7" t="str"/>
      <x:c r="L12" s="7" t="str">
        <x:v>continuity/dec.json ; règle documentée et décision de validation datée.</x:v>
      </x:c>
      <x:c r="M12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2" s="7" t="str">
        <x:v>La règle est contrôlée dans les textes, cartes, choix et sauvegardes ; incertitude résolue ou affichée.</x:v>
      </x:c>
      <x:c r="O12" s="7" t="str"/>
      <x:c r="P12" s="7" t="str">
        <x:v>Limite de continuité / contrôle transversal</x:v>
      </x:c>
      <x:c r="Q12" s="7" t="str"/>
      <x:c r="R12" s="7" t="str"/>
      <x:c r="S12" s="7" t="str">
        <x:v>Aucun numéro de chapitre ou de page n’est attribué sans exemplaire vérifié.</x:v>
      </x:c>
    </x:row>
    <x:row r="13" ht="82" customHeight="1">
      <x:c r="A13" s="18" t="str">
        <x:v>DEC-CON-07</x:v>
      </x:c>
      <x:c r="B13" s="9" t="str">
        <x:v>Édition corrigée non attestée</x:v>
      </x:c>
      <x:c r="C13" s="15" t="str">
        <x:v>Prototype</x:v>
      </x:c>
      <x:c r="D13" s="16" t="str">
        <x:v>Établi</x:v>
      </x:c>
      <x:c r="E13" s="16" t="str">
        <x:v>P0</x:v>
      </x:c>
      <x:c r="F13" s="9" t="str">
        <x:v>Les sources consultées ne fournissent pas la preuve d’une édition révisée effectivement publiée ; le catalogue n’en crée aucune.</x:v>
      </x:c>
      <x:c r="G13" s="9" t="str">
        <x:v>Contrainte éditoriale : verrouiller les dépendances avant intégration du module.</x:v>
      </x:c>
      <x:c r="H13" s="9" t="str"/>
      <x:c r="I13" s="9" t="str"/>
      <x:c r="J13" s="9" t="str"/>
      <x:c r="K13" s="9" t="str"/>
      <x:c r="L13" s="9" t="str">
        <x:v>Référence documentaire DEC-CON-07 consultable dans les lectures dec-reperes de src/chronicle-story.js, avec sources et progression séparée. Aucune scène, carte, animation ni incarnation de personnage produite par cette fiche.</x:v>
      </x:c>
      <x:c r="M13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3" s="9" t="str">
        <x:v>La règle est contrôlée dans les textes, cartes, choix et sauvegardes ; incertitude résolue ou affichée.</x:v>
      </x:c>
      <x:c r="O13" s="9" t="str"/>
      <x:c r="P13" s="9" t="str">
        <x:v>Limite de continuité / contrôle transversal</x:v>
      </x:c>
      <x:c r="Q13" s="9" t="str">
        <x:v>DEC-SRC-WIKI</x:v>
      </x:c>
      <x:c r="R13" s="9" t="str">
        <x:v>https://masseffect.fandom.com/wiki/Mass_Effect:_Deception</x:v>
      </x:c>
      <x:c r="S13" s="9" t="str">
        <x:v>Aucun numéro de chapitre ou de page n’est attribué sans exemplaire vérifié.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  <x:row r="14" ht="82" customHeight="1">
      <x:c r="A14" s="19" t="str">
        <x:v>DEC-CON-08</x:v>
      </x:c>
      <x:c r="B14" s="7" t="str">
        <x:v>Issue Gillian / Kai Leng</x:v>
      </x:c>
      <x:c r="C14" s="15" t="str">
        <x:v>Défini</x:v>
      </x:c>
      <x:c r="D14" s="17" t="str">
        <x:v>Établi</x:v>
      </x:c>
      <x:c r="E14" s="17" t="str">
        <x:v>P0</x:v>
      </x:c>
      <x:c r="F14" s="7" t="str">
        <x:v>La source secondaire décrit une issue fatale pour Gillian et la fuite de Leng ; toute scène correspondante exige contrôle du texte avant intégration.</x:v>
      </x:c>
      <x:c r="G14" s="7" t="str">
        <x:v>Contrainte éditoriale : verrouiller les dépendances avant intégration du module.</x:v>
      </x:c>
      <x:c r="H14" s="7" t="str"/>
      <x:c r="I14" s="7" t="str"/>
      <x:c r="J14" s="7" t="str"/>
      <x:c r="K14" s="7" t="str"/>
      <x:c r="L14" s="7" t="str">
        <x:v>continuity/dec.json ; règle documentée et décision de validation datée.</x:v>
      </x:c>
      <x:c r="M14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4" s="7" t="str">
        <x:v>La règle est contrôlée dans les textes, cartes, choix et sauvegardes ; incertitude résolue ou affichée.</x:v>
      </x:c>
      <x:c r="O14" s="7" t="str"/>
      <x:c r="P14" s="7" t="str">
        <x:v>Limite de continuité / contrôle transversal</x:v>
      </x:c>
      <x:c r="Q14" s="7" t="str">
        <x:v>DEC-SRC-TIMELINE</x:v>
      </x:c>
      <x:c r="R14" s="7" t="str">
        <x:v>https://masseffect.fandom.com/wiki/Timeline</x:v>
      </x:c>
      <x:c r="S14" s="7" t="str">
        <x:v>Aucun numéro de chapitre ou de page n’est attribué sans exemplaire vérifié.</x:v>
      </x:c>
    </x:row>
    <x:row r="15" ht="82" customHeight="1">
      <x:c r="A15" s="18" t="str">
        <x:v>DEC-CON-09</x:v>
      </x:c>
      <x:c r="B15" s="9" t="str">
        <x:v>Représentation des âges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Les planches provisoires ne doivent pas figer l’une des valeurs contradictoires comme vérité cachée.</x:v>
      </x:c>
      <x:c r="G15" s="9" t="str">
        <x:v>Contrainte éditoriale : verrouiller les dépendances avant intégration du module.</x:v>
      </x:c>
      <x:c r="H15" s="9" t="str"/>
      <x:c r="I15" s="9" t="str"/>
      <x:c r="J15" s="9" t="str"/>
      <x:c r="K15" s="9" t="str"/>
      <x:c r="L15" s="9" t="str">
        <x:v>continuity/dec.json ; règle documentée et décision de validation datée.</x:v>
      </x:c>
      <x:c r="M15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5" s="9" t="str">
        <x:v>La règle est contrôlée dans les textes, cartes, choix et sauvegardes ; incertitude résolue ou affichée.</x:v>
      </x:c>
      <x:c r="O15" s="9" t="str"/>
      <x:c r="P15" s="9" t="str">
        <x:v>Limite de continuité / contrôle transversal</x:v>
      </x:c>
      <x:c r="Q15" s="9" t="str"/>
      <x:c r="R15" s="9" t="str"/>
      <x:c r="S15" s="9" t="str">
        <x:v>Aucun numéro de chapitre ou de page n’est attribué sans exemplaire vérifié.</x:v>
      </x:c>
    </x:row>
    <x:row r="16" ht="82" customHeight="1">
      <x:c r="A16" s="19" t="str">
        <x:v>DEC-CON-10</x:v>
      </x:c>
      <x:c r="B16" s="7" t="str">
        <x:v>Référence éditoriale complète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Consigner ISBN, langue et édition de l’exemplaire réellement utilisé avant toute correction détaillée.</x:v>
      </x:c>
      <x:c r="G16" s="7" t="str">
        <x:v>Contrainte éditoriale : verrouiller les dépendances avant intégration du module.</x:v>
      </x:c>
      <x:c r="H16" s="7" t="str"/>
      <x:c r="I16" s="7" t="str"/>
      <x:c r="J16" s="7" t="str"/>
      <x:c r="K16" s="7" t="str"/>
      <x:c r="L16" s="7" t="str">
        <x:v>continuity/dec.json ; règle documentée et décision de validation datée.</x:v>
      </x:c>
      <x:c r="M16" s="7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6" s="7" t="str">
        <x:v>La règle est contrôlée dans les textes, cartes, choix et sauvegardes ; incertitude résolue ou affichée.</x:v>
      </x:c>
      <x:c r="O16" s="7" t="str"/>
      <x:c r="P16" s="7" t="str">
        <x:v>Limite de continuité / contrôle transversal</x:v>
      </x:c>
      <x:c r="Q16" s="7" t="str"/>
      <x:c r="R16" s="7" t="str"/>
      <x:c r="S16" s="7" t="str">
        <x:v>Aucun numéro de chapitre ou de page n’est attribué sans exemplaire vérifié.</x:v>
      </x:c>
    </x:row>
    <x:row r="17" ht="82" customHeight="1">
      <x:c r="A17" s="18" t="str">
        <x:v>DEC-CON-11</x:v>
      </x:c>
      <x:c r="B17" s="9" t="str">
        <x:v>Bibliographie</x:v>
      </x:c>
      <x:c r="C17" s="15" t="str">
        <x:v>Prototype</x:v>
      </x:c>
      <x:c r="D17" s="16" t="str">
        <x:v>Établi</x:v>
      </x:c>
      <x:c r="E17" s="16" t="str">
        <x:v>P0</x:v>
      </x:c>
      <x:c r="F17" s="9" t="str">
        <x:v>Deception est attribué à William C. Dietz, contrairement aux trois romans précédents de Karpyshyn.</x:v>
      </x:c>
      <x:c r="G17" s="9" t="str">
        <x:v>Contrainte éditoriale : verrouiller les dépendances avant intégration du module.</x:v>
      </x:c>
      <x:c r="H17" s="9" t="str"/>
      <x:c r="I17" s="9" t="str"/>
      <x:c r="J17" s="9" t="str"/>
      <x:c r="K17" s="9" t="str"/>
      <x:c r="L17" s="9" t="str">
        <x:v>Référence documentaire DEC-CON-11 consultable dans les lectures dec-reperes de src/chronicle-story.js, avec sources et progression séparée. Aucune scène, carte, animation ni incarnation de personnage produite par cette fiche.</x:v>
      </x:c>
      <x:c r="M17" s="9" t="str">
        <x:v>Matériel narratif de Deception sous réserve de cohérence avec les autres œuvres. Aucune édition corrigée n’est affirmée ; ne pas corriger silencieusement l’âge des personnages ni inventer une guérison de l’autisme.</x:v>
      </x:c>
      <x:c r="N17" s="9" t="str">
        <x:v>La règle est contrôlée dans les textes, cartes, choix et sauvegardes ; incertitude résolue ou affichée.</x:v>
      </x:c>
      <x:c r="O17" s="9" t="str"/>
      <x:c r="P17" s="9" t="str">
        <x:v>Limite de continuité / contrôle transversal</x:v>
      </x:c>
      <x:c r="Q17" s="9" t="str">
        <x:v>DEC-SRC-PUB</x:v>
      </x:c>
      <x:c r="R17" s="9" t="str">
        <x:v>https://www.penguinrandomhouse.com/books/200763/mass-effect-deception-by-william-c-dietz/paperback/</x:v>
      </x:c>
      <x:c r="S17" s="9" t="str">
        <x:v>Aucun numéro de chapitre ou de page n’est attribué sans exemplaire vérifié. Prototype limité à une paraphrase documentaire sourcée et aux références visitées ; pas de reproduction intégrale du récit. Les contradictions et réserves éditoriales de Deception restent attribuées à leurs notices. Une lecture n’accorde ni recrutement, équipement, victoire ni récompense de campagne.</x:v>
      </x:c>
    </x:row>
  </x:sheetData>
  <x:conditionalFormatting sqref="D7:D17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7">
    <x:cfRule type="cellIs" dxfId="98" priority="3" operator="equal">
      <x:formula>"Validé"</x:formula>
    </x:cfRule>
  </x:conditionalFormatting>
  <x:conditionalFormatting sqref="E7:E17">
    <x:cfRule type="cellIs" dxfId="99" priority="4" operator="equal">
      <x:formula>"P0"</x:formula>
    </x:cfRule>
  </x:conditionalFormatting>
  <x:dataValidations count="3">
    <x:dataValidation type="list" sqref="C7:C17">
      <x:formula1>"Défini,Prototype,Intégré,Validé"</x:formula1>
    </x:dataValidation>
    <x:dataValidation type="list" sqref="D7:D17">
      <x:formula1>"Établi,À vérifier,Extrapolation,Coupé attesté,Concept abandonné,Allégation écartée"</x:formula1>
    </x:dataValidation>
    <x:dataValidation type="list" sqref="E7:E1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fed2a14e44ec3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Deception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8" t="str">
        <x:v>Champ</x:v>
      </x:c>
      <x:c r="B6" s="30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Deception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Roman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Roman de William C. Dietz ; référence éditoriale controversée et adaptation isolée jusqu’à arbitrage des contradictions.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160 fiches de production ; 7 fiches au stade Prototype de portée partielle. Les autres livrables restent des spécifications ; aucun achèvement intégral 1:1 revendiqué.</x:v>
      </x:c>
      <x:c r="C10" s="2"/>
      <x:c r="D10" s="2"/>
      <x:c r="E10" s="2"/>
      <x:c r="F10" s="2"/>
    </x:row>
    <x:row r="11" ht="110" customHeight="1">
      <x:c r="A11" s="7" t="str">
        <x:v>Références et limites</x:v>
      </x:c>
      <x:c r="B11" s="7" t="str">
        <x:v>Matériel narratif de Deception sous réserve de cohérence avec les autres œuvres. Aucune édition corrigée n’est affirmée ; ne pas corriger silencieusement l’âge des personnages ni inventer une guérison de l’autisme. Les données de gameplay, plans, choix, statistiques, sprites et sons sont des créations d’adaptation ; tous les ajouts jouables sont marqués Extrapolation. Sources consultées le 22 octobre 2026.</x:v>
      </x:c>
      <x:c r="C11" s="2"/>
      <x:c r="D11" s="2"/>
      <x:c r="E11" s="2"/>
      <x:c r="F11" s="2"/>
    </x:row>
    <x:row r="12" ht="30" customHeight="1">
      <x:c r="A12" s="7" t="str">
        <x:v>Date de référence</x:v>
      </x:c>
      <x:c r="B12" s="43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8" t="str">
        <x:v>Source</x:v>
      </x:c>
      <x:c r="B26" s="29" t="str">
        <x:v>Titre</x:v>
      </x:c>
      <x:c r="C26" s="29" t="str">
        <x:v>Type</x:v>
      </x:c>
      <x:c r="D26" s="29" t="str">
        <x:v>URL</x:v>
      </x:c>
      <x:c r="E26" s="29" t="str">
        <x:v>Périmètre</x:v>
      </x:c>
      <x:c r="F26" s="30" t="str">
        <x:v>Accès et limites</x:v>
      </x:c>
    </x:row>
    <x:row r="27" ht="54" customHeight="1">
      <x:c r="A27" s="6" t="str">
        <x:v>DEC-SRC-PUB</x:v>
      </x:c>
      <x:c r="B27" s="6" t="str">
        <x:v>Penguin Random House — Deception</x:v>
      </x:c>
      <x:c r="C27" s="6" t="str">
        <x:v>source officielle</x:v>
      </x:c>
      <x:c r="D27" s="6" t="str">
        <x:v>https://www.penguinrandomhouse.com/books/200763/mass-effect-deception-by-william-c-dietz/paperback/</x:v>
      </x:c>
      <x:c r="E27" s="6" t="str">
        <x:v>Auteur, édition et prémisse</x:v>
      </x:c>
      <x:c r="F27" s="6" t="str">
        <x:v>Consulté le 22 octobre 2026. Faits courts uniquement ; la publication originale reste nécessaire pour contrôler les détails.</x:v>
      </x:c>
    </x:row>
    <x:row r="28" ht="54" customHeight="1">
      <x:c r="A28" s="6" t="str">
        <x:v>DEC-SRC-WIKI</x:v>
      </x:c>
      <x:c r="B28" s="6" t="str">
        <x:v>Mass Effect Wiki — Deception</x:v>
      </x:c>
      <x:c r="C28" s="6" t="str">
        <x:v>wiki</x:v>
      </x:c>
      <x:c r="D28" s="6" t="str">
        <x:v>https://masseffect.fandom.com/wiki/Mass_Effect:_Deception</x:v>
      </x:c>
      <x:c r="E28" s="6" t="str">
        <x:v>Notice et controverse ; résultats indexés après refus direct</x:v>
      </x:c>
      <x:c r="F28" s="6" t="str">
        <x:v>Consulté le 22 octobre 2026. Faits courts uniquement ; la publication originale reste nécessaire pour contrôler les détails.</x:v>
      </x:c>
    </x:row>
    <x:row r="29" ht="54" customHeight="1">
      <x:c r="A29" s="6" t="str">
        <x:v>DEC-SRC-PRESS</x:v>
      </x:c>
      <x:c r="B29" s="6" t="str">
        <x:v>GameSpot — excuses de BioWare</x:v>
      </x:c>
      <x:c r="C29" s="6" t="str">
        <x:v>presse</x:v>
      </x:c>
      <x:c r="D29" s="6" t="str">
        <x:v>https://www.gamespot.com/articles/bioware-apologizes-for-mass-effect-novel-errors/1100-6349818/</x:v>
      </x:c>
      <x:c r="E29" s="6" t="str">
        <x:v>Annonce de changements futurs et problème d’âge</x:v>
      </x:c>
      <x:c r="F29" s="6" t="str">
        <x:v>Consulté le 22 octobre 2026. Faits courts uniquement ; la publication originale reste nécessaire pour contrôler les détails.</x:v>
      </x:c>
    </x:row>
    <x:row r="30" ht="54" customHeight="1">
      <x:c r="A30" s="6" t="str">
        <x:v>DEC-SRC-SUITS</x:v>
      </x:c>
      <x:c r="B30" s="6" t="str">
        <x:v>VideoGamer — erreurs de continuité</x:v>
      </x:c>
      <x:c r="C30" s="6" t="str">
        <x:v>presse</x:v>
      </x:c>
      <x:c r="D30" s="6" t="str">
        <x:v>https://www.videogamer.com/bioware-unhappy-with-mass-effect-novel-continuity-errors/</x:v>
      </x:c>
      <x:c r="E30" s="6" t="str">
        <x:v>Signalement de vêtements quariens et annonce de modifications</x:v>
      </x:c>
      <x:c r="F30" s="6" t="str">
        <x:v>Page portant une date d’index récente mais rapportant la controverse de 2012 ; ne pas la traiter comme une nouvelle édition.</x:v>
      </x:c>
    </x:row>
    <x:row r="31" ht="54" customHeight="1">
      <x:c r="A31" s="6" t="str">
        <x:v>DEC-SRC-GIL</x:v>
      </x:c>
      <x:c r="B31" s="6" t="str">
        <x:v>Mass Effect Wiki — Gillian Grayson</x:v>
      </x:c>
      <x:c r="C31" s="6" t="str">
        <x:v>wiki</x:v>
      </x:c>
      <x:c r="D31" s="6" t="str">
        <x:v>https://masseffect.fandom.com/wiki/Gillian_Grayson</x:v>
      </x:c>
      <x:c r="E31" s="6" t="str">
        <x:v>Édition initiale de Deception, rôle, âge contradictoire</x:v>
      </x:c>
      <x:c r="F31" s="6" t="str">
        <x:v>Consulté le 22 octobre 2026. Faits courts uniquement ; la publication originale reste nécessaire pour contrôler les détails.</x:v>
      </x:c>
    </x:row>
    <x:row r="32" ht="54" customHeight="1">
      <x:c r="A32" s="6" t="str">
        <x:v>DEC-SRC-NICK</x:v>
      </x:c>
      <x:c r="B32" s="6" t="str">
        <x:v>Mass Effect Wiki — Nick Donahue</x:v>
      </x:c>
      <x:c r="C32" s="6" t="str">
        <x:v>wiki</x:v>
      </x:c>
      <x:c r="D32" s="6" t="str">
        <x:v>https://masseffect.fandom.com/wiki/Nick_Donahue</x:v>
      </x:c>
      <x:c r="E32" s="6" t="str">
        <x:v>Âge et entrée au Biotic Underground</x:v>
      </x:c>
      <x:c r="F32" s="6" t="str">
        <x:v>Consulté le 22 octobre 2026. Faits courts uniquement ; la publication originale reste nécessaire pour contrôler les détails.</x:v>
      </x:c>
    </x:row>
    <x:row r="33" ht="54" customHeight="1">
      <x:c r="A33" s="6" t="str">
        <x:v>DEC-SRC-HEN</x:v>
      </x:c>
      <x:c r="B33" s="6" t="str">
        <x:v>Mass Effect Wiki — Hendel Mitra</x:v>
      </x:c>
      <x:c r="C33" s="6" t="str">
        <x:v>wiki</x:v>
      </x:c>
      <x:c r="D33" s="6" t="str">
        <x:v>https://masseffect.fandom.com/wiki/Hendel_Mitra</x:v>
      </x:c>
      <x:c r="E33" s="6" t="str">
        <x:v>Idenna, Ugho et Hal McCann dans l’édition initiale</x:v>
      </x:c>
      <x:c r="F33" s="6" t="str">
        <x:v>Consulté le 22 octobre 2026. Faits courts uniquement ; la publication originale reste nécessaire pour contrôler les détails.</x:v>
      </x:c>
    </x:row>
    <x:row r="34" ht="54" customHeight="1">
      <x:c r="A34" s="6" t="str">
        <x:v>DEC-SRC-AND</x:v>
      </x:c>
      <x:c r="B34" s="6" t="str">
        <x:v>Mass Effect Wiki — David Anderson</x:v>
      </x:c>
      <x:c r="C34" s="6" t="str">
        <x:v>wiki</x:v>
      </x:c>
      <x:c r="D34" s="6" t="str">
        <x:v>https://masseffect.fandom.com/wiki/David_Anderson</x:v>
      </x:c>
      <x:c r="E34" s="6" t="str">
        <x:v>Présentation de preuves sur la Citadelle et recherche de Nick</x:v>
      </x:c>
      <x:c r="F34" s="6" t="str">
        <x:v>Consulté le 22 octobre 2026. Faits courts uniquement ; la publication originale reste nécessaire pour contrôler les détails.</x:v>
      </x:c>
    </x:row>
    <x:row r="35" ht="54" customHeight="1">
      <x:c r="A35" s="6" t="str">
        <x:v>DEC-SRC-TIMELINE</x:v>
      </x:c>
      <x:c r="B35" s="6" t="str">
        <x:v>Mass Effect Wiki — Timeline</x:v>
      </x:c>
      <x:c r="C35" s="6" t="str">
        <x:v>wiki</x:v>
      </x:c>
      <x:c r="D35" s="6" t="str">
        <x:v>https://masseffect.fandom.com/wiki/Timeline</x:v>
      </x:c>
      <x:c r="E35" s="6" t="str">
        <x:v>Résultat de la confrontation Gillian / Kai Leng ; entrée Deception</x:v>
      </x:c>
      <x:c r="F35" s="6" t="str">
        <x:v>Consulté le 22 octobre 2026. Faits courts uniquement ; la publication originale reste nécessaire pour contrôler les détails.</x:v>
      </x:c>
    </x:row>
    <x:row r="36" ht="42" customHeight="1">
      <x:c r="A36" s="6" t="str">
        <x:v>DEC-SRC-CRITIQUE</x:v>
      </x:c>
      <x:c r="B36" s="6" t="str">
        <x:v>Mass Effect Wiki — discussion critique des listes d’erreurs</x:v>
      </x:c>
      <x:c r="C36" s="6" t="str">
        <x:v>wiki</x:v>
      </x:c>
      <x:c r="D36" s="6" t="str">
        <x:v>https://masseffect.fandom.com/wiki/User_blog%3AElseweyr/Errors_in_Deception_%22Errors%22</x:v>
      </x:c>
      <x:c r="E36" s="6" t="str">
        <x:v>Contre-exemples aux assertions communautaires</x:v>
      </x:c>
      <x:c r="F36" s="6" t="str">
        <x:v>Blog d’utilisateur, non décision canonique. Sert uniquement à signaler les limites des listes d’erreurs.</x:v>
      </x:c>
    </x:row>
    <x:row r="37" ht="54" customHeight="1">
      <x:c r="A37" s="6" t="str">
        <x:v>DEC-SRC-STORY</x:v>
      </x:c>
      <x:c r="B37" s="6" t="str">
        <x:v>Mass Effect Wiki — Storyline III</x:v>
      </x:c>
      <x:c r="C37" s="6" t="str">
        <x:v>wiki</x:v>
      </x:c>
      <x:c r="D37" s="6" t="str">
        <x:v>https://masseffect.fandom.com/wiki/Storyline_III</x:v>
      </x:c>
      <x:c r="E37" s="6" t="str">
        <x:v>Résultats indexés : lien avec Aria, Omega et Glory of Khar’shan</x:v>
      </x:c>
      <x:c r="F37" s="6" t="str">
        <x:v>Consulté le 22 octobre 2026. Faits courts uniquement ; la publication originale reste nécessaire pour contrôler les détails.</x:v>
      </x:c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  <x:row r="41" ht="34" customHeight="1">
      <x:c r="A41" s="28" t="str">
        <x:v>Domaine</x:v>
      </x:c>
      <x:c r="B41" s="29" t="str">
        <x:v>Couverture actuelle</x:v>
      </x:c>
      <x:c r="C41" s="30" t="str">
        <x:v>Travail restant</x:v>
      </x:c>
      <x:c r="D41" s="2"/>
      <x:c r="E41" s="2"/>
      <x:c r="F41" s="2"/>
    </x:row>
    <x:row r="42" ht="110" customHeight="1">
      <x:c r="A42" s="6" t="str">
        <x:v>Références canoniques</x:v>
      </x:c>
      <x:c r="B42" s="6" t="str">
        <x:v>Enquête d’Anderson et Kahlee, vengeance de Gillian et Biotic Underground ; registre explicite des incohérences, avec propositions de gameplay mises sous contrôle éditorial.</x:v>
      </x:c>
      <x:c r="C42" s="6" t="str">
        <x:v>L’annonce de modifications futures n’est pas une preuve de publication d’une version révisée. Les inventaires communautaires d’erreurs peuvent aussi contenir des interprétations discutables ; comparer chaque point à l’édition utilisée et aux sources antérieures.</x:v>
      </x:c>
      <x:c r="D42" s="2"/>
      <x:c r="E42" s="2"/>
      <x:c r="F42" s="2"/>
    </x:row>
    <x:row r="43" ht="68" customHeight="1">
      <x:c r="A43" s="6" t="str">
        <x:v>Personnages et direction artistique</x:v>
      </x:c>
      <x:c r="B43" s="6" t="str">
        <x:v>10 personnages/PNJ documentés, avec planches, poses et intentions de dialogues originales distinctes.</x:v>
      </x:c>
      <x:c r="C43" s="6" t="str">
        <x:v>Valider les costumes, accessoires et nuances de caractérisation avec un exemplaire légal de l’œuvre ; pour le film, établir une bible visuelle par visionnage.</x:v>
      </x:c>
      <x:c r="D43" s="2"/>
      <x:c r="E43" s="2"/>
      <x:c r="F43" s="2"/>
    </x:row>
    <x:row r="44" ht="54" customHeight="1">
      <x:c r="A44" s="6" t="str">
        <x:v>Cartes et progression</x:v>
      </x:c>
      <x:c r="B44" s="6" t="str">
        <x:v>8 cartes proposées, leurs kits et transitions ; 8 missions originales avec options, annexes, cinématiques et critères de test.</x:v>
      </x:c>
      <x:c r="C44" s="6" t="str">
        <x:v>Blockouts, distances, budgets mémoire et temps de parcours à mesurer ; aucune carte officielle n’est revendiquée.</x:v>
      </x:c>
      <x:c r="D44" s="2"/>
      <x:c r="E44" s="2"/>
      <x:c r="F44" s="2"/>
    </x:row>
    <x:row r="45" ht="68" customHeight="1">
      <x:c r="A45" s="6" t="str">
        <x:v>Combat, systèmes et médias</x:v>
      </x:c>
      <x:c r="B45" s="6" t="str">
        <x:v>4 rencontres proposées, movesets, VFX, actions alliées, interface, audio et sauvegarde.</x:v>
      </x:c>
      <x:c r="C45" s="6" t="str">
        <x:v>Prototype, équilibrage, réalisation des assets, doublage éventuel et tests encore à faire. Aucune ligne ne signifie que le fan game contient déjà cet élément.</x:v>
      </x:c>
      <x:c r="D45" s="2"/>
      <x:c r="E45" s="2"/>
      <x:c r="F45" s="2"/>
    </x:row>
    <x:row r="46" ht="68" customHeight="1">
      <x:c r="A46" s="6" t="str">
        <x:v>Accès aux pages demandées</x:v>
      </x:c>
      <x:c r="B46" s="6" t="str">
        <x:v>Ouverture directe de https://masseffect.fandom.com/wiki/Mass_Effect:_Deception refusée ; contenu indexé de sa notice et rubrique Controversy consulté, avec PRH et presse contemporaine.</x:v>
      </x:c>
      <x:c r="C46" s="6" t="str">
        <x:v>Les extraits indexés ne remplacent pas une vérification de l’œuvre intégrale. Les traductions françaises des noms et titres restent à contrôler selon l’édition retenue.</x:v>
      </x:c>
      <x:c r="D46" s="2"/>
      <x:c r="E46" s="2"/>
      <x:c r="F46" s="2"/>
    </x:row>
    <x:row r="47" ht="68" customHeight="1">
      <x:c r="A47" s="6" t="str">
        <x:v>Armes : catégorie non ouverte</x:v>
      </x:c>
      <x:c r="B47" s="6" t="str">
        <x:v>Aucun modèle d’arme propre à Deception n’est affirmé sur la base des sources consultées. Les rencontres et actions proposées détaillent déjà leurs télégraphes et contre-mesures.</x:v>
      </x:c>
      <x:c r="C47" s="6" t="str">
        <x:v>Relever les armes effectivement nommées dans l’édition retenue avant de créer une fiche weapons. Aucun modèle ni inventaire de ME3 n’est attribué automatiquement au roman.</x:v>
      </x:c>
      <x:c r="D47" s="2"/>
      <x:c r="E47" s="2"/>
      <x:c r="F47" s="2"/>
    </x:row>
    <x:row r="48" ht="96" customHeight="1">
      <x:c r="A48" s="6" t="str">
        <x:v>Complément lectures contextualisées</x:v>
      </x:c>
      <x:c r="B48" s="6" t="str">
        <x:v>7 références supplémentaires au stade Prototype dans 1 parcours de lecture (4 pages de paraphrases documentaires sourcées), limités à leurs segments exacts.</x:v>
      </x:c>
      <x:c r="C48" s="6" t="str">
        <x:v>Les faits, références, sources et réserves d’origine sont conservés. Ces lectures ne constituent ni un découpage intégral, ni une scène jouable, ni un recrutement ; modèles, voix et animations de l’œuvre ne sont pas produits.</x:v>
      </x:c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  <x:row r="116" ht="22" customHeight="1">
      <x:c r="A116" s="2"/>
      <x:c r="B116" s="2"/>
      <x:c r="C116" s="2"/>
      <x:c r="D116" s="2"/>
      <x:c r="E116" s="2"/>
      <x:c r="F116" s="2"/>
    </x:row>
    <x:row r="117" ht="22" customHeight="1">
      <x:c r="A117" s="2"/>
      <x:c r="B117" s="2"/>
      <x:c r="C117" s="2"/>
      <x:c r="D117" s="2"/>
      <x:c r="E117" s="2"/>
      <x:c r="F117" s="2"/>
    </x:row>
    <x:row r="118" ht="22" customHeight="1">
      <x:c r="A118" s="2"/>
      <x:c r="B118" s="2"/>
      <x:c r="C118" s="2"/>
      <x:c r="D118" s="2"/>
      <x:c r="E118" s="2"/>
      <x:c r="F118" s="2"/>
    </x:row>
  </x:sheetData>
  <x:pageMargins left="0.7" right="0.7" top="0.75" bottom="0.75" header="0.3" footer="0.3"/>
</x:worksheet>
</file>