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  <Override PartName="/xl/worksheets/sheet2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dbbbf6bf4f43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c7928c2d9454319"/>
    <x:sheet xmlns:r="http://schemas.openxmlformats.org/officeDocument/2006/relationships" name="Personnages" sheetId="2" r:id="R4e46e00df42d462b"/>
    <x:sheet xmlns:r="http://schemas.openxmlformats.org/officeDocument/2006/relationships" name="PNJ" sheetId="3" r:id="Rceacaf4fb82846b6"/>
    <x:sheet xmlns:r="http://schemas.openxmlformats.org/officeDocument/2006/relationships" name="Especes_factions" sheetId="4" r:id="R72daf65f43164595"/>
    <x:sheet xmlns:r="http://schemas.openxmlformats.org/officeDocument/2006/relationships" name="Mondes" sheetId="5" r:id="R376abf82b7dc453e"/>
    <x:sheet xmlns:r="http://schemas.openxmlformats.org/officeDocument/2006/relationships" name="Zones" sheetId="6" r:id="R0c34a6d9aacd47a0"/>
    <x:sheet xmlns:r="http://schemas.openxmlformats.org/officeDocument/2006/relationships" name="Liaisons" sheetId="7" r:id="R2acc67bd7bc74e64"/>
    <x:sheet xmlns:r="http://schemas.openxmlformats.org/officeDocument/2006/relationships" name="Decors" sheetId="8" r:id="R4bca9e224c4d4e3a"/>
    <x:sheet xmlns:r="http://schemas.openxmlformats.org/officeDocument/2006/relationships" name="Props" sheetId="9" r:id="R4f1518effef54e5f"/>
    <x:sheet xmlns:r="http://schemas.openxmlformats.org/officeDocument/2006/relationships" name="Ennemis_boss" sheetId="10" r:id="R0d75789473cf49e8"/>
    <x:sheet xmlns:r="http://schemas.openxmlformats.org/officeDocument/2006/relationships" name="Missions" sheetId="11" r:id="R609bcf5a507d4e03"/>
    <x:sheet xmlns:r="http://schemas.openxmlformats.org/officeDocument/2006/relationships" name="Secondaires_DLC" sheetId="12" r:id="R5f850fa9e4ec419c"/>
    <x:sheet xmlns:r="http://schemas.openxmlformats.org/officeDocument/2006/relationships" name="Choix_relations" sheetId="13" r:id="R2be5d2ef465d42c0"/>
    <x:sheet xmlns:r="http://schemas.openxmlformats.org/officeDocument/2006/relationships" name="Dialogues" sheetId="14" r:id="R213510c07fa14d17"/>
    <x:sheet xmlns:r="http://schemas.openxmlformats.org/officeDocument/2006/relationships" name="Cinematiques" sheetId="15" r:id="Rfa7446fee37649e2"/>
    <x:sheet xmlns:r="http://schemas.openxmlformats.org/officeDocument/2006/relationships" name="Armes" sheetId="16" r:id="Refae6383bbe9480c"/>
    <x:sheet xmlns:r="http://schemas.openxmlformats.org/officeDocument/2006/relationships" name="Armures_equipement" sheetId="17" r:id="R727c5d4027b54ff9"/>
    <x:sheet xmlns:r="http://schemas.openxmlformats.org/officeDocument/2006/relationships" name="Pouvoirs" sheetId="18" r:id="Rf10347c263a6403b"/>
    <x:sheet xmlns:r="http://schemas.openxmlformats.org/officeDocument/2006/relationships" name="Movesets_allies" sheetId="19" r:id="R2e171797a4954b68"/>
    <x:sheet xmlns:r="http://schemas.openxmlformats.org/officeDocument/2006/relationships" name="Movesets_ennemis" sheetId="20" r:id="Rbce8535ce5954553"/>
    <x:sheet xmlns:r="http://schemas.openxmlformats.org/officeDocument/2006/relationships" name="Animations" sheetId="21" r:id="Radb315ba23d1472c"/>
    <x:sheet xmlns:r="http://schemas.openxmlformats.org/officeDocument/2006/relationships" name="Sprites" sheetId="22" r:id="R8b9ea90d2aaa407f"/>
    <x:sheet xmlns:r="http://schemas.openxmlformats.org/officeDocument/2006/relationships" name="VFX" sheetId="23" r:id="R3eb2740a1b15410b"/>
    <x:sheet xmlns:r="http://schemas.openxmlformats.org/officeDocument/2006/relationships" name="Audio" sheetId="24" r:id="R27f67c3b82f5481c"/>
    <x:sheet xmlns:r="http://schemas.openxmlformats.org/officeDocument/2006/relationships" name="UI_systemes" sheetId="25" r:id="R9e53fce148f3454f"/>
    <x:sheet xmlns:r="http://schemas.openxmlformats.org/officeDocument/2006/relationships" name="QA" sheetId="26" r:id="Rd8174ef137474b08"/>
    <x:sheet xmlns:r="http://schemas.openxmlformats.org/officeDocument/2006/relationships" name="Continuite" sheetId="27" r:id="R50ce94dd7000414e"/>
    <x:sheet xmlns:r="http://schemas.openxmlformats.org/officeDocument/2006/relationships" name="Guide" sheetId="28" r:id="R0e08306123bd4b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dd/mm/yyyy"/>
  </x:numFmts>
  <x:fonts count="8">
    <x:font>
      <x:sz val="11"/>
      <x:name val="Carlito"/>
    </x:font>
    <x:font>
      <x:sz val="10"/>
      <x:color rgb="FF183044"/>
      <x:name val="Arial"/>
    </x:font>
    <x:font>
      <x:b/>
      <x:sz val="14"/>
      <x:color rgb="FF102438"/>
      <x:name val="Arial"/>
    </x:font>
    <x:font>
      <x:i/>
      <x:sz val="10"/>
      <x:color rgb="FF4A6374"/>
      <x:name val="Arial"/>
    </x:font>
    <x:font>
      <x:sz val="10"/>
      <x:color rgb="FF557283"/>
      <x:name val="Arial"/>
    </x:font>
    <x:font>
      <x:b/>
      <x:sz val="10"/>
      <x:color rgb="FFFFFFFF"/>
      <x:name val="Arial"/>
    </x:font>
    <x:font>
      <x:b/>
      <x:sz val="14"/>
      <x:color rgb="FF087F8C"/>
      <x:name val="Arial"/>
    </x:font>
    <x:font>
      <x:i/>
      <x:sz val="10"/>
      <x:color rgb="FF183044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8FBFC"/>
      </x:patternFill>
    </x:fill>
    <x:fill>
      <x:patternFill patternType="solid">
        <x:fgColor rgb="FFFFF0C7"/>
      </x:patternFill>
    </x:fill>
    <x:fill>
      <x:patternFill patternType="solid">
        <x:fgColor rgb="FF102438"/>
      </x:patternFill>
    </x:fill>
    <x:fill>
      <x:patternFill patternType="solid">
        <x:fgColor rgb="FFEDF5F7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087F8C"/>
      </x:bottom>
      <x:diagonal/>
    </x:border>
    <x:border>
      <x:left/>
      <x:right style="thin">
        <x:color rgb="FFFFFFFF"/>
      </x:right>
      <x:top/>
      <x:bottom style="thin">
        <x:color rgb="FF087F8C"/>
      </x:bottom>
      <x:diagonal/>
    </x:border>
    <x:border>
      <x:left style="thin">
        <x:color rgb="FFFFFFFF"/>
      </x:left>
      <x:right style="thin">
        <x:color rgb="FFFFFFFF"/>
      </x:right>
      <x:top/>
      <x:bottom style="thin">
        <x:color rgb="FF087F8C"/>
      </x:bottom>
      <x:diagonal/>
    </x:border>
    <x:border>
      <x:left style="thin">
        <x:color rgb="FFFFFFFF"/>
      </x:left>
      <x:right/>
      <x:top/>
      <x:bottom style="thin">
        <x:color rgb="FF087F8C"/>
      </x:bottom>
      <x:diagonal/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vertical="center"/>
    </x:xf>
    <x:xf numFmtId="0" fontId="5" fillId="4" borderId="3" xfId="0" applyNumberFormat="1" applyFont="1" applyFill="1" applyBorder="1" applyAlignment="1">
      <x:alignment vertical="center"/>
    </x:xf>
    <x:xf numFmtId="0" fontId="5" fillId="4" borderId="4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vertical="center" wrapText="1"/>
    </x:xf>
    <x:xf numFmtId="0" fontId="5" fillId="4" borderId="3" xfId="0" applyNumberFormat="1" applyFont="1" applyFill="1" applyBorder="1" applyAlignment="1">
      <x:alignment vertical="center" wrapText="1"/>
    </x:xf>
    <x:xf numFmtId="0" fontId="5" fillId="4" borderId="4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5" fillId="4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04"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4930f08e64458b" /><Relationship Type="http://schemas.openxmlformats.org/officeDocument/2006/relationships/theme" Target="/xl/theme/theme1.xml" Id="Rf89c4cc430bd4ecc" /><Relationship Type="http://schemas.openxmlformats.org/officeDocument/2006/relationships/sharedStrings" Target="/xl/sharedStrings.xml" Id="Rc6aedac81c374936" /><Relationship Type="http://schemas.openxmlformats.org/officeDocument/2006/relationships/worksheet" Target="/xl/worksheets/sheet1.xml" Id="R2c7928c2d9454319" /><Relationship Type="http://schemas.openxmlformats.org/officeDocument/2006/relationships/worksheet" Target="/xl/worksheets/sheet2.xml" Id="R4e46e00df42d462b" /><Relationship Type="http://schemas.openxmlformats.org/officeDocument/2006/relationships/worksheet" Target="/xl/worksheets/sheet3.xml" Id="Rceacaf4fb82846b6" /><Relationship Type="http://schemas.openxmlformats.org/officeDocument/2006/relationships/worksheet" Target="/xl/worksheets/sheet4.xml" Id="R72daf65f43164595" /><Relationship Type="http://schemas.openxmlformats.org/officeDocument/2006/relationships/worksheet" Target="/xl/worksheets/sheet5.xml" Id="R376abf82b7dc453e" /><Relationship Type="http://schemas.openxmlformats.org/officeDocument/2006/relationships/worksheet" Target="/xl/worksheets/sheet6.xml" Id="R0c34a6d9aacd47a0" /><Relationship Type="http://schemas.openxmlformats.org/officeDocument/2006/relationships/worksheet" Target="/xl/worksheets/sheet7.xml" Id="R2acc67bd7bc74e64" /><Relationship Type="http://schemas.openxmlformats.org/officeDocument/2006/relationships/worksheet" Target="/xl/worksheets/sheet8.xml" Id="R4bca9e224c4d4e3a" /><Relationship Type="http://schemas.openxmlformats.org/officeDocument/2006/relationships/worksheet" Target="/xl/worksheets/sheet9.xml" Id="R4f1518effef54e5f" /><Relationship Type="http://schemas.openxmlformats.org/officeDocument/2006/relationships/worksheet" Target="/xl/worksheets/sheet10.xml" Id="R0d75789473cf49e8" /><Relationship Type="http://schemas.openxmlformats.org/officeDocument/2006/relationships/worksheet" Target="/xl/worksheets/sheet11.xml" Id="R609bcf5a507d4e03" /><Relationship Type="http://schemas.openxmlformats.org/officeDocument/2006/relationships/worksheet" Target="/xl/worksheets/sheet12.xml" Id="R5f850fa9e4ec419c" /><Relationship Type="http://schemas.openxmlformats.org/officeDocument/2006/relationships/worksheet" Target="/xl/worksheets/sheet13.xml" Id="R2be5d2ef465d42c0" /><Relationship Type="http://schemas.openxmlformats.org/officeDocument/2006/relationships/worksheet" Target="/xl/worksheets/sheet14.xml" Id="R213510c07fa14d17" /><Relationship Type="http://schemas.openxmlformats.org/officeDocument/2006/relationships/worksheet" Target="/xl/worksheets/sheet15.xml" Id="Rfa7446fee37649e2" /><Relationship Type="http://schemas.openxmlformats.org/officeDocument/2006/relationships/worksheet" Target="/xl/worksheets/sheet16.xml" Id="Refae6383bbe9480c" /><Relationship Type="http://schemas.openxmlformats.org/officeDocument/2006/relationships/worksheet" Target="/xl/worksheets/sheet17.xml" Id="R727c5d4027b54ff9" /><Relationship Type="http://schemas.openxmlformats.org/officeDocument/2006/relationships/worksheet" Target="/xl/worksheets/sheet18.xml" Id="Rf10347c263a6403b" /><Relationship Type="http://schemas.openxmlformats.org/officeDocument/2006/relationships/worksheet" Target="/xl/worksheets/sheet19.xml" Id="R2e171797a4954b68" /><Relationship Type="http://schemas.openxmlformats.org/officeDocument/2006/relationships/worksheet" Target="/xl/worksheets/sheet20.xml" Id="Rbce8535ce5954553" /><Relationship Type="http://schemas.openxmlformats.org/officeDocument/2006/relationships/worksheet" Target="/xl/worksheets/sheet21.xml" Id="Radb315ba23d1472c" /><Relationship Type="http://schemas.openxmlformats.org/officeDocument/2006/relationships/worksheet" Target="/xl/worksheets/sheet22.xml" Id="R8b9ea90d2aaa407f" /><Relationship Type="http://schemas.openxmlformats.org/officeDocument/2006/relationships/worksheet" Target="/xl/worksheets/sheet23.xml" Id="R3eb2740a1b15410b" /><Relationship Type="http://schemas.openxmlformats.org/officeDocument/2006/relationships/worksheet" Target="/xl/worksheets/sheet24.xml" Id="R27f67c3b82f5481c" /><Relationship Type="http://schemas.openxmlformats.org/officeDocument/2006/relationships/worksheet" Target="/xl/worksheets/sheet25.xml" Id="R9e53fce148f3454f" /><Relationship Type="http://schemas.openxmlformats.org/officeDocument/2006/relationships/worksheet" Target="/xl/worksheets/sheet26.xml" Id="Rd8174ef137474b08" /><Relationship Type="http://schemas.openxmlformats.org/officeDocument/2006/relationships/worksheet" Target="/xl/worksheets/sheet27.xml" Id="R50ce94dd7000414e" /><Relationship Type="http://schemas.openxmlformats.org/officeDocument/2006/relationships/worksheet" Target="/xl/worksheets/sheet28.xml" Id="R0e08306123bd4b13" /></Relationships>
</file>

<file path=xl/tables/table1.xml><?xml version="1.0" encoding="utf-8"?>
<x:table xmlns:x="http://schemas.openxmlformats.org/spreadsheetml/2006/main" id="1" name="HOM_characters" displayName="HOM_characters" ref="A6:S11" headerRowCount="1" totalsRowCount="0" totalsRowShown="0">
  <x:autoFilter ref="A6:S11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OM_npcs" displayName="HOM_npcs" ref="A6:S12" headerRowCount="1" totalsRowCount="0" totalsRowShown="0">
  <x:autoFilter ref="A6:S12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OM_lore" displayName="HOM_lore" ref="A6:S19" headerRowCount="1" totalsRowCount="0" totalsRowShown="0">
  <x:autoFilter ref="A6:S19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OM_worlds" displayName="HOM_worlds" ref="A6:S12" headerRowCount="1" totalsRowCount="0" totalsRowShown="0">
  <x:autoFilter ref="A6:S12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HOM_zones" displayName="HOM_zones" ref="A6:S12" headerRowCount="1" totalsRowCount="0" totalsRowShown="0">
  <x:autoFilter ref="A6:S12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HOM_links" displayName="HOM_links" ref="A6:S13" headerRowCount="1" totalsRowCount="0" totalsRowShown="0">
  <x:autoFilter ref="A6:S13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HOM_scenery" displayName="HOM_scenery" ref="A6:S12" headerRowCount="1" totalsRowCount="0" totalsRowShown="0">
  <x:autoFilter ref="A6:S12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HOM_props" displayName="HOM_props" ref="A6:S14" headerRowCount="1" totalsRowCount="0" totalsRowShown="0">
  <x:autoFilter ref="A6:S14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HOM_enemies" displayName="HOM_enemies" ref="A6:S10" headerRowCount="1" totalsRowCount="0" totalsRowShown="0">
  <x:autoFilter ref="A6:S10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HOM_main_quests" displayName="HOM_main_quests" ref="A6:S14" headerRowCount="1" totalsRowCount="0" totalsRowShown="0">
  <x:autoFilter ref="A6:S14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HOM_side_quests" displayName="HOM_side_quests" ref="A6:S14" headerRowCount="1" totalsRowCount="0" totalsRowShown="0">
  <x:autoFilter ref="A6:S14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HOM_choices" displayName="HOM_choices" ref="A6:S14" headerRowCount="1" totalsRowCount="0" totalsRowShown="0">
  <x:autoFilter ref="A6:S14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HOM_dialogues" displayName="HOM_dialogues" ref="A6:S14" headerRowCount="1" totalsRowCount="0" totalsRowShown="0">
  <x:autoFilter ref="A6:S14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HOM_cinematics" displayName="HOM_cinematics" ref="A6:S14" headerRowCount="1" totalsRowCount="0" totalsRowShown="0">
  <x:autoFilter ref="A6:S14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HOM_weapons" displayName="HOM_weapons" ref="A6:S7" headerRowCount="1" totalsRowCount="0" totalsRowShown="0">
  <x:autoFilter ref="A6:S7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HOM_equipment" displayName="HOM_equipment" ref="A6:S8" headerRowCount="1" totalsRowCount="0" totalsRowShown="0">
  <x:autoFilter ref="A6:S8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HOM_powers" displayName="HOM_powers" ref="A6:S7" headerRowCount="1" totalsRowCount="0" totalsRowShown="0">
  <x:autoFilter ref="A6:S7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HOM_ally_moves" displayName="HOM_ally_moves" ref="A6:S11" headerRowCount="1" totalsRowCount="0" totalsRowShown="0">
  <x:autoFilter ref="A6:S11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HOM_enemy_moves" displayName="HOM_enemy_moves" ref="A6:S14" headerRowCount="1" totalsRowCount="0" totalsRowShown="0">
  <x:autoFilter ref="A6:S14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HOM_animations" displayName="HOM_animations" ref="A6:S17" headerRowCount="1" totalsRowCount="0" totalsRowShown="0">
  <x:autoFilter ref="A6:S17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HOM_sprites" displayName="HOM_sprites" ref="A6:S17" headerRowCount="1" totalsRowCount="0" totalsRowShown="0">
  <x:autoFilter ref="A6:S17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HOM_vfx" displayName="HOM_vfx" ref="A6:S14" headerRowCount="1" totalsRowCount="0" totalsRowShown="0">
  <x:autoFilter ref="A6:S14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HOM_audio" displayName="HOM_audio" ref="A6:S12" headerRowCount="1" totalsRowCount="0" totalsRowShown="0">
  <x:autoFilter ref="A6:S12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HOM_systems" displayName="HOM_systems" ref="A6:S10" headerRowCount="1" totalsRowCount="0" totalsRowShown="0">
  <x:autoFilter ref="A6:S10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HOM_qa" displayName="HOM_qa" ref="A6:S17" headerRowCount="1" totalsRowCount="0" totalsRowShown="0">
  <x:autoFilter ref="A6:S17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HOM_continuity" displayName="HOM_continuity" ref="A6:S8" headerRowCount="1" totalsRowCount="0" totalsRowShown="0">
  <x:autoFilter ref="A6:S8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845133b2a2847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0dbc8a4e53442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d4a8cf5c2cb443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e373c389c69407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15c4ff190124d5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bac052d92df4b9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c54ea812a9c4c6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4252edcc9e7428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0b14ec70a57439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3aa038d22a9437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fb4556e139594b1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79334b86d69344d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434035ac79504fa6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7d2e997beee64483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a983175c54a245ba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c7ee0951fde647c1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0bcef596ae334af4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309b0e6710754e7b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88a15f8fe2284596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364ba81666f04b2a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0b3ca9804f964cdf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2.xml" Id="Rd6fda09635be42c1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3.xml" Id="R8f8fb848ef3942ac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4.xml" Id="Rd850005b913041ec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5.xml" Id="R1e54f868ca934e80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6.xml" Id="Rc02e8be39fed4c6b" /></Relationships>
</file>

<file path=xl/worksheets/sheet1.xml><?xml version="1.0" encoding="utf-8"?>
<x:worksheet xmlns:x="http://schemas.openxmlformats.org/spreadsheetml/2006/main">
  <x:sheetPr>
    <x:tabColor rgb="FF102438"/>
  </x:sheetPr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15" hidden="0" customWidth="1"/>
    <x:col min="9" max="9" width="16" hidden="0" customWidth="1"/>
    <x:col min="10" max="10" width="17" hidden="0" customWidth="1"/>
    <x:col min="11" max="11" width="17" hidden="0" customWidth="1"/>
    <x:col min="12" max="12" width="17" hidden="0" customWidth="1"/>
    <x:col min="13" max="13" width="14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2" customHeight="1">
      <x:c r="A2" s="3" t="str">
        <x:v>Mass Effect: Homeworlds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2" customHeight="1">
      <x:c r="A3" s="4" t="str">
        <x:v>Catalogue de production. Statuts et références calculés depuis les fiches.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</x:row>
    <x:row r="5" ht="22" customHeight="1">
      <x:c r="A5" s="2" t="str">
        <x:v>Fiches suivies</x:v>
      </x:c>
      <x:c r="B5" s="33" t="n">
        <x:f>SUM(B10:B35)</x:f>
        <x:v>171</x:v>
      </x:c>
      <x:c r="C5" s="2"/>
      <x:c r="D5" s="2" t="str">
        <x:v>Intégrés</x:v>
      </x:c>
      <x:c r="E5" s="33" t="n">
        <x:f>SUM(E10:F35)</x:f>
        <x:v>0</x:v>
      </x:c>
      <x:c r="F5" s="2"/>
      <x:c r="G5" s="2" t="str">
        <x:v>À vérifier</x:v>
      </x:c>
      <x:c r="H5" s="33" t="n">
        <x:f>SUM(H10:H35)</x:f>
        <x:v>29</x:v>
      </x:c>
      <x:c r="I5" s="2"/>
      <x:c r="J5" s="2" t="str">
        <x:v>Extrapolations</x:v>
      </x:c>
      <x:c r="K5" s="33" t="n">
        <x:f>SUM(I10:I35)</x:f>
        <x:v>136</x:v>
      </x:c>
      <x:c r="L5" s="2"/>
      <x:c r="M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 ht="22" customHeight="1">
      <x:c r="A7" s="34" t="str">
        <x:v>Défini = spécification. Établi = référence documentée. Les colonnes d’adaptation restent des propositions.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</x:row>
    <x:row r="8" ht="22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 ht="34" customHeight="1">
      <x:c r="A9" s="30" t="str">
        <x:v>Domaine</x:v>
      </x:c>
      <x:c r="B9" s="31" t="str">
        <x:v>Total</x:v>
      </x:c>
      <x:c r="C9" s="31" t="str">
        <x:v>Défini</x:v>
      </x:c>
      <x:c r="D9" s="31" t="str">
        <x:v>Prototype</x:v>
      </x:c>
      <x:c r="E9" s="31" t="str">
        <x:v>Intégré</x:v>
      </x:c>
      <x:c r="F9" s="31" t="str">
        <x:v>Validé</x:v>
      </x:c>
      <x:c r="G9" s="31" t="str">
        <x:v>Établi</x:v>
      </x:c>
      <x:c r="H9" s="31" t="str">
        <x:v>À vérifier</x:v>
      </x:c>
      <x:c r="I9" s="31" t="str">
        <x:v>Extrapolation</x:v>
      </x:c>
      <x:c r="J9" s="31" t="str">
        <x:v>Coupé attesté</x:v>
      </x:c>
      <x:c r="K9" s="31" t="str">
        <x:v>Concept abandonné</x:v>
      </x:c>
      <x:c r="L9" s="31" t="str">
        <x:v>Allégation écartée</x:v>
      </x:c>
      <x:c r="M9" s="32" t="str">
        <x:v>Priorité P0</x:v>
      </x:c>
    </x:row>
    <x:row r="10" ht="22" customHeight="1">
      <x:c r="A10" s="35" t="str">
        <x:v>Personnages</x:v>
      </x:c>
      <x:c r="B10" s="39" t="n">
        <x:f>COUNTA('Personnages'!$A$7:$A$11)</x:f>
        <x:v>5</x:v>
      </x:c>
      <x:c r="C10" s="39" t="n">
        <x:f>COUNTIFS('Personnages'!$C$7:$C$11,"Défini")</x:f>
        <x:v>5</x:v>
      </x:c>
      <x:c r="D10" s="39" t="n">
        <x:f>COUNTIFS('Personnages'!$C$7:$C$11,"Prototype")</x:f>
        <x:v>0</x:v>
      </x:c>
      <x:c r="E10" s="39" t="n">
        <x:f>COUNTIFS('Personnages'!$C$7:$C$11,"Intégré")</x:f>
        <x:v>0</x:v>
      </x:c>
      <x:c r="F10" s="39" t="n">
        <x:f>COUNTIFS('Personnages'!$C$7:$C$11,"Validé")</x:f>
        <x:v>0</x:v>
      </x:c>
      <x:c r="G10" s="39" t="n">
        <x:f>COUNTIFS('Personnages'!$D$7:$D$11,"Établi")</x:f>
        <x:v>4</x:v>
      </x:c>
      <x:c r="H10" s="39" t="n">
        <x:f>COUNTIFS('Personnages'!$D$7:$D$11,"À vérifier")</x:f>
        <x:v>1</x:v>
      </x:c>
      <x:c r="I10" s="39" t="n">
        <x:f>COUNTIFS('Personnages'!$D$7:$D$11,"Extrapolation")</x:f>
        <x:v>0</x:v>
      </x:c>
      <x:c r="J10" s="39" t="n">
        <x:f>COUNTIFS('Personnages'!$D$7:$D$11,"Coupé attesté")</x:f>
        <x:v>0</x:v>
      </x:c>
      <x:c r="K10" s="39" t="n">
        <x:f>COUNTIFS('Personnages'!$D$7:$D$11,"Concept abandonné")</x:f>
        <x:v>0</x:v>
      </x:c>
      <x:c r="L10" s="39" t="n">
        <x:f>COUNTIFS('Personnages'!$D$7:$D$11,"Allégation écartée")</x:f>
        <x:v>0</x:v>
      </x:c>
      <x:c r="M10" s="39" t="n">
        <x:f>COUNTIFS('Personnages'!$E$7:$E$11,"P0")</x:f>
        <x:v>0</x:v>
      </x:c>
    </x:row>
    <x:row r="11" ht="22" customHeight="1">
      <x:c r="A11" s="2" t="str">
        <x:v>PNJ</x:v>
      </x:c>
      <x:c r="B11" s="40" t="n">
        <x:f>COUNTA('PNJ'!$A$7:$A$12)</x:f>
        <x:v>6</x:v>
      </x:c>
      <x:c r="C11" s="40" t="n">
        <x:f>COUNTIFS('PNJ'!$C$7:$C$12,"Défini")</x:f>
        <x:v>6</x:v>
      </x:c>
      <x:c r="D11" s="40" t="n">
        <x:f>COUNTIFS('PNJ'!$C$7:$C$12,"Prototype")</x:f>
        <x:v>0</x:v>
      </x:c>
      <x:c r="E11" s="40" t="n">
        <x:f>COUNTIFS('PNJ'!$C$7:$C$12,"Intégré")</x:f>
        <x:v>0</x:v>
      </x:c>
      <x:c r="F11" s="40" t="n">
        <x:f>COUNTIFS('PNJ'!$C$7:$C$12,"Validé")</x:f>
        <x:v>0</x:v>
      </x:c>
      <x:c r="G11" s="40" t="n">
        <x:f>COUNTIFS('PNJ'!$D$7:$D$12,"Établi")</x:f>
        <x:v>0</x:v>
      </x:c>
      <x:c r="H11" s="40" t="n">
        <x:f>COUNTIFS('PNJ'!$D$7:$D$12,"À vérifier")</x:f>
        <x:v>6</x:v>
      </x:c>
      <x:c r="I11" s="40" t="n">
        <x:f>COUNTIFS('PNJ'!$D$7:$D$12,"Extrapolation")</x:f>
        <x:v>0</x:v>
      </x:c>
      <x:c r="J11" s="40" t="n">
        <x:f>COUNTIFS('PNJ'!$D$7:$D$12,"Coupé attesté")</x:f>
        <x:v>0</x:v>
      </x:c>
      <x:c r="K11" s="40" t="n">
        <x:f>COUNTIFS('PNJ'!$D$7:$D$12,"Concept abandonné")</x:f>
        <x:v>0</x:v>
      </x:c>
      <x:c r="L11" s="40" t="n">
        <x:f>COUNTIFS('PNJ'!$D$7:$D$12,"Allégation écartée")</x:f>
        <x:v>0</x:v>
      </x:c>
      <x:c r="M11" s="40" t="n">
        <x:f>COUNTIFS('PNJ'!$E$7:$E$12,"P0")</x:f>
        <x:v>0</x:v>
      </x:c>
    </x:row>
    <x:row r="12" ht="22" customHeight="1">
      <x:c r="A12" s="35" t="str">
        <x:v>Espèces et factions</x:v>
      </x:c>
      <x:c r="B12" s="39" t="n">
        <x:f>COUNTA('Especes_factions'!$A$7:$A$19)</x:f>
        <x:v>13</x:v>
      </x:c>
      <x:c r="C12" s="39" t="n">
        <x:f>COUNTIFS('Especes_factions'!$C$7:$C$19,"Défini")</x:f>
        <x:v>13</x:v>
      </x:c>
      <x:c r="D12" s="39" t="n">
        <x:f>COUNTIFS('Especes_factions'!$C$7:$C$19,"Prototype")</x:f>
        <x:v>0</x:v>
      </x:c>
      <x:c r="E12" s="39" t="n">
        <x:f>COUNTIFS('Especes_factions'!$C$7:$C$19,"Intégré")</x:f>
        <x:v>0</x:v>
      </x:c>
      <x:c r="F12" s="39" t="n">
        <x:f>COUNTIFS('Especes_factions'!$C$7:$C$19,"Validé")</x:f>
        <x:v>0</x:v>
      </x:c>
      <x:c r="G12" s="39" t="n">
        <x:f>COUNTIFS('Especes_factions'!$D$7:$D$19,"Établi")</x:f>
        <x:v>2</x:v>
      </x:c>
      <x:c r="H12" s="39" t="n">
        <x:f>COUNTIFS('Especes_factions'!$D$7:$D$19,"À vérifier")</x:f>
        <x:v>11</x:v>
      </x:c>
      <x:c r="I12" s="39" t="n">
        <x:f>COUNTIFS('Especes_factions'!$D$7:$D$19,"Extrapolation")</x:f>
        <x:v>0</x:v>
      </x:c>
      <x:c r="J12" s="39" t="n">
        <x:f>COUNTIFS('Especes_factions'!$D$7:$D$19,"Coupé attesté")</x:f>
        <x:v>0</x:v>
      </x:c>
      <x:c r="K12" s="39" t="n">
        <x:f>COUNTIFS('Especes_factions'!$D$7:$D$19,"Concept abandonné")</x:f>
        <x:v>0</x:v>
      </x:c>
      <x:c r="L12" s="39" t="n">
        <x:f>COUNTIFS('Especes_factions'!$D$7:$D$19,"Allégation écartée")</x:f>
        <x:v>0</x:v>
      </x:c>
      <x:c r="M12" s="39" t="n">
        <x:f>COUNTIFS('Especes_factions'!$E$7:$E$19,"P0")</x:f>
        <x:v>5</x:v>
      </x:c>
    </x:row>
    <x:row r="13" ht="22" customHeight="1">
      <x:c r="A13" s="2" t="str">
        <x:v>Mondes</x:v>
      </x:c>
      <x:c r="B13" s="40" t="n">
        <x:f>COUNTA('Mondes'!$A$7:$A$12)</x:f>
        <x:v>6</x:v>
      </x:c>
      <x:c r="C13" s="40" t="n">
        <x:f>COUNTIFS('Mondes'!$C$7:$C$12,"Défini")</x:f>
        <x:v>6</x:v>
      </x:c>
      <x:c r="D13" s="40" t="n">
        <x:f>COUNTIFS('Mondes'!$C$7:$C$12,"Prototype")</x:f>
        <x:v>0</x:v>
      </x:c>
      <x:c r="E13" s="40" t="n">
        <x:f>COUNTIFS('Mondes'!$C$7:$C$12,"Intégré")</x:f>
        <x:v>0</x:v>
      </x:c>
      <x:c r="F13" s="40" t="n">
        <x:f>COUNTIFS('Mondes'!$C$7:$C$12,"Validé")</x:f>
        <x:v>0</x:v>
      </x:c>
      <x:c r="G13" s="40" t="n">
        <x:f>COUNTIFS('Mondes'!$D$7:$D$12,"Établi")</x:f>
        <x:v>0</x:v>
      </x:c>
      <x:c r="H13" s="40" t="n">
        <x:f>COUNTIFS('Mondes'!$D$7:$D$12,"À vérifier")</x:f>
        <x:v>6</x:v>
      </x:c>
      <x:c r="I13" s="40" t="n">
        <x:f>COUNTIFS('Mondes'!$D$7:$D$12,"Extrapolation")</x:f>
        <x:v>0</x:v>
      </x:c>
      <x:c r="J13" s="40" t="n">
        <x:f>COUNTIFS('Mondes'!$D$7:$D$12,"Coupé attesté")</x:f>
        <x:v>0</x:v>
      </x:c>
      <x:c r="K13" s="40" t="n">
        <x:f>COUNTIFS('Mondes'!$D$7:$D$12,"Concept abandonné")</x:f>
        <x:v>0</x:v>
      </x:c>
      <x:c r="L13" s="40" t="n">
        <x:f>COUNTIFS('Mondes'!$D$7:$D$12,"Allégation écartée")</x:f>
        <x:v>0</x:v>
      </x:c>
      <x:c r="M13" s="40" t="n">
        <x:f>COUNTIFS('Mondes'!$E$7:$E$12,"P0")</x:f>
        <x:v>0</x:v>
      </x:c>
    </x:row>
    <x:row r="14" ht="22" customHeight="1">
      <x:c r="A14" s="35" t="str">
        <x:v>Zones</x:v>
      </x:c>
      <x:c r="B14" s="39" t="n">
        <x:f>COUNTA('Zones'!$A$7:$A$12)</x:f>
        <x:v>6</x:v>
      </x:c>
      <x:c r="C14" s="39" t="n">
        <x:f>COUNTIFS('Zones'!$C$7:$C$12,"Défini")</x:f>
        <x:v>6</x:v>
      </x:c>
      <x:c r="D14" s="39" t="n">
        <x:f>COUNTIFS('Zones'!$C$7:$C$12,"Prototype")</x:f>
        <x:v>0</x:v>
      </x:c>
      <x:c r="E14" s="39" t="n">
        <x:f>COUNTIFS('Zones'!$C$7:$C$12,"Intégré")</x:f>
        <x:v>0</x:v>
      </x:c>
      <x:c r="F14" s="39" t="n">
        <x:f>COUNTIFS('Zones'!$C$7:$C$12,"Validé")</x:f>
        <x:v>0</x:v>
      </x:c>
      <x:c r="G14" s="39" t="n">
        <x:f>COUNTIFS('Zones'!$D$7:$D$12,"Établi")</x:f>
        <x:v>0</x:v>
      </x:c>
      <x:c r="H14" s="39" t="n">
        <x:f>COUNTIFS('Zones'!$D$7:$D$12,"À vérifier")</x:f>
        <x:v>0</x:v>
      </x:c>
      <x:c r="I14" s="39" t="n">
        <x:f>COUNTIFS('Zones'!$D$7:$D$12,"Extrapolation")</x:f>
        <x:v>6</x:v>
      </x:c>
      <x:c r="J14" s="39" t="n">
        <x:f>COUNTIFS('Zones'!$D$7:$D$12,"Coupé attesté")</x:f>
        <x:v>0</x:v>
      </x:c>
      <x:c r="K14" s="39" t="n">
        <x:f>COUNTIFS('Zones'!$D$7:$D$12,"Concept abandonné")</x:f>
        <x:v>0</x:v>
      </x:c>
      <x:c r="L14" s="39" t="n">
        <x:f>COUNTIFS('Zones'!$D$7:$D$12,"Allégation écartée")</x:f>
        <x:v>0</x:v>
      </x:c>
      <x:c r="M14" s="39" t="n">
        <x:f>COUNTIFS('Zones'!$E$7:$E$12,"P0")</x:f>
        <x:v>0</x:v>
      </x:c>
    </x:row>
    <x:row r="15" ht="22" customHeight="1">
      <x:c r="A15" s="2" t="str">
        <x:v>Liaisons</x:v>
      </x:c>
      <x:c r="B15" s="40" t="n">
        <x:f>COUNTA('Liaisons'!$A$7:$A$13)</x:f>
        <x:v>7</x:v>
      </x:c>
      <x:c r="C15" s="40" t="n">
        <x:f>COUNTIFS('Liaisons'!$C$7:$C$13,"Défini")</x:f>
        <x:v>7</x:v>
      </x:c>
      <x:c r="D15" s="40" t="n">
        <x:f>COUNTIFS('Liaisons'!$C$7:$C$13,"Prototype")</x:f>
        <x:v>0</x:v>
      </x:c>
      <x:c r="E15" s="40" t="n">
        <x:f>COUNTIFS('Liaisons'!$C$7:$C$13,"Intégré")</x:f>
        <x:v>0</x:v>
      </x:c>
      <x:c r="F15" s="40" t="n">
        <x:f>COUNTIFS('Liaisons'!$C$7:$C$13,"Validé")</x:f>
        <x:v>0</x:v>
      </x:c>
      <x:c r="G15" s="40" t="n">
        <x:f>COUNTIFS('Liaisons'!$D$7:$D$13,"Établi")</x:f>
        <x:v>0</x:v>
      </x:c>
      <x:c r="H15" s="40" t="n">
        <x:f>COUNTIFS('Liaisons'!$D$7:$D$13,"À vérifier")</x:f>
        <x:v>1</x:v>
      </x:c>
      <x:c r="I15" s="40" t="n">
        <x:f>COUNTIFS('Liaisons'!$D$7:$D$13,"Extrapolation")</x:f>
        <x:v>6</x:v>
      </x:c>
      <x:c r="J15" s="40" t="n">
        <x:f>COUNTIFS('Liaisons'!$D$7:$D$13,"Coupé attesté")</x:f>
        <x:v>0</x:v>
      </x:c>
      <x:c r="K15" s="40" t="n">
        <x:f>COUNTIFS('Liaisons'!$D$7:$D$13,"Concept abandonné")</x:f>
        <x:v>0</x:v>
      </x:c>
      <x:c r="L15" s="40" t="n">
        <x:f>COUNTIFS('Liaisons'!$D$7:$D$13,"Allégation écartée")</x:f>
        <x:v>0</x:v>
      </x:c>
      <x:c r="M15" s="40" t="n">
        <x:f>COUNTIFS('Liaisons'!$E$7:$E$13,"P0")</x:f>
        <x:v>0</x:v>
      </x:c>
    </x:row>
    <x:row r="16" ht="22" customHeight="1">
      <x:c r="A16" s="35" t="str">
        <x:v>Décors</x:v>
      </x:c>
      <x:c r="B16" s="39" t="n">
        <x:f>COUNTA('Decors'!$A$7:$A$12)</x:f>
        <x:v>6</x:v>
      </x:c>
      <x:c r="C16" s="39" t="n">
        <x:f>COUNTIFS('Decors'!$C$7:$C$12,"Défini")</x:f>
        <x:v>6</x:v>
      </x:c>
      <x:c r="D16" s="39" t="n">
        <x:f>COUNTIFS('Decors'!$C$7:$C$12,"Prototype")</x:f>
        <x:v>0</x:v>
      </x:c>
      <x:c r="E16" s="39" t="n">
        <x:f>COUNTIFS('Decors'!$C$7:$C$12,"Intégré")</x:f>
        <x:v>0</x:v>
      </x:c>
      <x:c r="F16" s="39" t="n">
        <x:f>COUNTIFS('Decors'!$C$7:$C$12,"Validé")</x:f>
        <x:v>0</x:v>
      </x:c>
      <x:c r="G16" s="39" t="n">
        <x:f>COUNTIFS('Decors'!$D$7:$D$12,"Établi")</x:f>
        <x:v>0</x:v>
      </x:c>
      <x:c r="H16" s="39" t="n">
        <x:f>COUNTIFS('Decors'!$D$7:$D$12,"À vérifier")</x:f>
        <x:v>0</x:v>
      </x:c>
      <x:c r="I16" s="39" t="n">
        <x:f>COUNTIFS('Decors'!$D$7:$D$12,"Extrapolation")</x:f>
        <x:v>6</x:v>
      </x:c>
      <x:c r="J16" s="39" t="n">
        <x:f>COUNTIFS('Decors'!$D$7:$D$12,"Coupé attesté")</x:f>
        <x:v>0</x:v>
      </x:c>
      <x:c r="K16" s="39" t="n">
        <x:f>COUNTIFS('Decors'!$D$7:$D$12,"Concept abandonné")</x:f>
        <x:v>0</x:v>
      </x:c>
      <x:c r="L16" s="39" t="n">
        <x:f>COUNTIFS('Decors'!$D$7:$D$12,"Allégation écartée")</x:f>
        <x:v>0</x:v>
      </x:c>
      <x:c r="M16" s="39" t="n">
        <x:f>COUNTIFS('Decors'!$E$7:$E$12,"P0")</x:f>
        <x:v>0</x:v>
      </x:c>
    </x:row>
    <x:row r="17" ht="22" customHeight="1">
      <x:c r="A17" s="2" t="str">
        <x:v>Props</x:v>
      </x:c>
      <x:c r="B17" s="40" t="n">
        <x:f>COUNTA('Props'!$A$7:$A$14)</x:f>
        <x:v>8</x:v>
      </x:c>
      <x:c r="C17" s="40" t="n">
        <x:f>COUNTIFS('Props'!$C$7:$C$14,"Défini")</x:f>
        <x:v>8</x:v>
      </x:c>
      <x:c r="D17" s="40" t="n">
        <x:f>COUNTIFS('Props'!$C$7:$C$14,"Prototype")</x:f>
        <x:v>0</x:v>
      </x:c>
      <x:c r="E17" s="40" t="n">
        <x:f>COUNTIFS('Props'!$C$7:$C$14,"Intégré")</x:f>
        <x:v>0</x:v>
      </x:c>
      <x:c r="F17" s="40" t="n">
        <x:f>COUNTIFS('Props'!$C$7:$C$14,"Validé")</x:f>
        <x:v>0</x:v>
      </x:c>
      <x:c r="G17" s="40" t="n">
        <x:f>COUNTIFS('Props'!$D$7:$D$14,"Établi")</x:f>
        <x:v>0</x:v>
      </x:c>
      <x:c r="H17" s="40" t="n">
        <x:f>COUNTIFS('Props'!$D$7:$D$14,"À vérifier")</x:f>
        <x:v>0</x:v>
      </x:c>
      <x:c r="I17" s="40" t="n">
        <x:f>COUNTIFS('Props'!$D$7:$D$14,"Extrapolation")</x:f>
        <x:v>8</x:v>
      </x:c>
      <x:c r="J17" s="40" t="n">
        <x:f>COUNTIFS('Props'!$D$7:$D$14,"Coupé attesté")</x:f>
        <x:v>0</x:v>
      </x:c>
      <x:c r="K17" s="40" t="n">
        <x:f>COUNTIFS('Props'!$D$7:$D$14,"Concept abandonné")</x:f>
        <x:v>0</x:v>
      </x:c>
      <x:c r="L17" s="40" t="n">
        <x:f>COUNTIFS('Props'!$D$7:$D$14,"Allégation écartée")</x:f>
        <x:v>0</x:v>
      </x:c>
      <x:c r="M17" s="40" t="n">
        <x:f>COUNTIFS('Props'!$E$7:$E$14,"P0")</x:f>
        <x:v>0</x:v>
      </x:c>
    </x:row>
    <x:row r="18" ht="22" customHeight="1">
      <x:c r="A18" s="35" t="str">
        <x:v>Ennemis et boss</x:v>
      </x:c>
      <x:c r="B18" s="39" t="n">
        <x:f>COUNTA('Ennemis_boss'!$A$7:$A$10)</x:f>
        <x:v>4</x:v>
      </x:c>
      <x:c r="C18" s="39" t="n">
        <x:f>COUNTIFS('Ennemis_boss'!$C$7:$C$10,"Défini")</x:f>
        <x:v>4</x:v>
      </x:c>
      <x:c r="D18" s="39" t="n">
        <x:f>COUNTIFS('Ennemis_boss'!$C$7:$C$10,"Prototype")</x:f>
        <x:v>0</x:v>
      </x:c>
      <x:c r="E18" s="39" t="n">
        <x:f>COUNTIFS('Ennemis_boss'!$C$7:$C$10,"Intégré")</x:f>
        <x:v>0</x:v>
      </x:c>
      <x:c r="F18" s="39" t="n">
        <x:f>COUNTIFS('Ennemis_boss'!$C$7:$C$10,"Validé")</x:f>
        <x:v>0</x:v>
      </x:c>
      <x:c r="G18" s="39" t="n">
        <x:f>COUNTIFS('Ennemis_boss'!$D$7:$D$10,"Établi")</x:f>
        <x:v>0</x:v>
      </x:c>
      <x:c r="H18" s="39" t="n">
        <x:f>COUNTIFS('Ennemis_boss'!$D$7:$D$10,"À vérifier")</x:f>
        <x:v>4</x:v>
      </x:c>
      <x:c r="I18" s="39" t="n">
        <x:f>COUNTIFS('Ennemis_boss'!$D$7:$D$10,"Extrapolation")</x:f>
        <x:v>0</x:v>
      </x:c>
      <x:c r="J18" s="39" t="n">
        <x:f>COUNTIFS('Ennemis_boss'!$D$7:$D$10,"Coupé attesté")</x:f>
        <x:v>0</x:v>
      </x:c>
      <x:c r="K18" s="39" t="n">
        <x:f>COUNTIFS('Ennemis_boss'!$D$7:$D$10,"Concept abandonné")</x:f>
        <x:v>0</x:v>
      </x:c>
      <x:c r="L18" s="39" t="n">
        <x:f>COUNTIFS('Ennemis_boss'!$D$7:$D$10,"Allégation écartée")</x:f>
        <x:v>0</x:v>
      </x:c>
      <x:c r="M18" s="39" t="n">
        <x:f>COUNTIFS('Ennemis_boss'!$E$7:$E$10,"P0")</x:f>
        <x:v>0</x:v>
      </x:c>
    </x:row>
    <x:row r="19" ht="22" customHeight="1">
      <x:c r="A19" s="2" t="str">
        <x:v>Missions</x:v>
      </x:c>
      <x:c r="B19" s="40" t="n">
        <x:f>COUNTA('Missions'!$A$7:$A$14)</x:f>
        <x:v>8</x:v>
      </x:c>
      <x:c r="C19" s="40" t="n">
        <x:f>COUNTIFS('Missions'!$C$7:$C$14,"Défini")</x:f>
        <x:v>8</x:v>
      </x:c>
      <x:c r="D19" s="40" t="n">
        <x:f>COUNTIFS('Missions'!$C$7:$C$14,"Prototype")</x:f>
        <x:v>0</x:v>
      </x:c>
      <x:c r="E19" s="40" t="n">
        <x:f>COUNTIFS('Missions'!$C$7:$C$14,"Intégré")</x:f>
        <x:v>0</x:v>
      </x:c>
      <x:c r="F19" s="40" t="n">
        <x:f>COUNTIFS('Missions'!$C$7:$C$14,"Validé")</x:f>
        <x:v>0</x:v>
      </x:c>
      <x:c r="G19" s="40" t="n">
        <x:f>COUNTIFS('Missions'!$D$7:$D$14,"Établi")</x:f>
        <x:v>0</x:v>
      </x:c>
      <x:c r="H19" s="40" t="n">
        <x:f>COUNTIFS('Missions'!$D$7:$D$14,"À vérifier")</x:f>
        <x:v>0</x:v>
      </x:c>
      <x:c r="I19" s="40" t="n">
        <x:f>COUNTIFS('Missions'!$D$7:$D$14,"Extrapolation")</x:f>
        <x:v>8</x:v>
      </x:c>
      <x:c r="J19" s="40" t="n">
        <x:f>COUNTIFS('Missions'!$D$7:$D$14,"Coupé attesté")</x:f>
        <x:v>0</x:v>
      </x:c>
      <x:c r="K19" s="40" t="n">
        <x:f>COUNTIFS('Missions'!$D$7:$D$14,"Concept abandonné")</x:f>
        <x:v>0</x:v>
      </x:c>
      <x:c r="L19" s="40" t="n">
        <x:f>COUNTIFS('Missions'!$D$7:$D$14,"Allégation écartée")</x:f>
        <x:v>0</x:v>
      </x:c>
      <x:c r="M19" s="40" t="n">
        <x:f>COUNTIFS('Missions'!$E$7:$E$14,"P0")</x:f>
        <x:v>8</x:v>
      </x:c>
    </x:row>
    <x:row r="20" ht="22" customHeight="1">
      <x:c r="A20" s="35" t="str">
        <x:v>Secondaires et DLC</x:v>
      </x:c>
      <x:c r="B20" s="39" t="n">
        <x:f>COUNTA('Secondaires_DLC'!$A$7:$A$14)</x:f>
        <x:v>8</x:v>
      </x:c>
      <x:c r="C20" s="39" t="n">
        <x:f>COUNTIFS('Secondaires_DLC'!$C$7:$C$14,"Défini")</x:f>
        <x:v>8</x:v>
      </x:c>
      <x:c r="D20" s="39" t="n">
        <x:f>COUNTIFS('Secondaires_DLC'!$C$7:$C$14,"Prototype")</x:f>
        <x:v>0</x:v>
      </x:c>
      <x:c r="E20" s="39" t="n">
        <x:f>COUNTIFS('Secondaires_DLC'!$C$7:$C$14,"Intégré")</x:f>
        <x:v>0</x:v>
      </x:c>
      <x:c r="F20" s="39" t="n">
        <x:f>COUNTIFS('Secondaires_DLC'!$C$7:$C$14,"Validé")</x:f>
        <x:v>0</x:v>
      </x:c>
      <x:c r="G20" s="39" t="n">
        <x:f>COUNTIFS('Secondaires_DLC'!$D$7:$D$14,"Établi")</x:f>
        <x:v>0</x:v>
      </x:c>
      <x:c r="H20" s="39" t="n">
        <x:f>COUNTIFS('Secondaires_DLC'!$D$7:$D$14,"À vérifier")</x:f>
        <x:v>0</x:v>
      </x:c>
      <x:c r="I20" s="39" t="n">
        <x:f>COUNTIFS('Secondaires_DLC'!$D$7:$D$14,"Extrapolation")</x:f>
        <x:v>8</x:v>
      </x:c>
      <x:c r="J20" s="39" t="n">
        <x:f>COUNTIFS('Secondaires_DLC'!$D$7:$D$14,"Coupé attesté")</x:f>
        <x:v>0</x:v>
      </x:c>
      <x:c r="K20" s="39" t="n">
        <x:f>COUNTIFS('Secondaires_DLC'!$D$7:$D$14,"Concept abandonné")</x:f>
        <x:v>0</x:v>
      </x:c>
      <x:c r="L20" s="39" t="n">
        <x:f>COUNTIFS('Secondaires_DLC'!$D$7:$D$14,"Allégation écartée")</x:f>
        <x:v>0</x:v>
      </x:c>
      <x:c r="M20" s="39" t="n">
        <x:f>COUNTIFS('Secondaires_DLC'!$E$7:$E$14,"P0")</x:f>
        <x:v>0</x:v>
      </x:c>
    </x:row>
    <x:row r="21" ht="22" customHeight="1">
      <x:c r="A21" s="2" t="str">
        <x:v>Choix et relations</x:v>
      </x:c>
      <x:c r="B21" s="40" t="n">
        <x:f>COUNTA('Choix_relations'!$A$7:$A$14)</x:f>
        <x:v>8</x:v>
      </x:c>
      <x:c r="C21" s="40" t="n">
        <x:f>COUNTIFS('Choix_relations'!$C$7:$C$14,"Défini")</x:f>
        <x:v>8</x:v>
      </x:c>
      <x:c r="D21" s="40" t="n">
        <x:f>COUNTIFS('Choix_relations'!$C$7:$C$14,"Prototype")</x:f>
        <x:v>0</x:v>
      </x:c>
      <x:c r="E21" s="40" t="n">
        <x:f>COUNTIFS('Choix_relations'!$C$7:$C$14,"Intégré")</x:f>
        <x:v>0</x:v>
      </x:c>
      <x:c r="F21" s="40" t="n">
        <x:f>COUNTIFS('Choix_relations'!$C$7:$C$14,"Validé")</x:f>
        <x:v>0</x:v>
      </x:c>
      <x:c r="G21" s="40" t="n">
        <x:f>COUNTIFS('Choix_relations'!$D$7:$D$14,"Établi")</x:f>
        <x:v>0</x:v>
      </x:c>
      <x:c r="H21" s="40" t="n">
        <x:f>COUNTIFS('Choix_relations'!$D$7:$D$14,"À vérifier")</x:f>
        <x:v>0</x:v>
      </x:c>
      <x:c r="I21" s="40" t="n">
        <x:f>COUNTIFS('Choix_relations'!$D$7:$D$14,"Extrapolation")</x:f>
        <x:v>8</x:v>
      </x:c>
      <x:c r="J21" s="40" t="n">
        <x:f>COUNTIFS('Choix_relations'!$D$7:$D$14,"Coupé attesté")</x:f>
        <x:v>0</x:v>
      </x:c>
      <x:c r="K21" s="40" t="n">
        <x:f>COUNTIFS('Choix_relations'!$D$7:$D$14,"Concept abandonné")</x:f>
        <x:v>0</x:v>
      </x:c>
      <x:c r="L21" s="40" t="n">
        <x:f>COUNTIFS('Choix_relations'!$D$7:$D$14,"Allégation écartée")</x:f>
        <x:v>0</x:v>
      </x:c>
      <x:c r="M21" s="40" t="n">
        <x:f>COUNTIFS('Choix_relations'!$E$7:$E$14,"P0")</x:f>
        <x:v>0</x:v>
      </x:c>
    </x:row>
    <x:row r="22" ht="22" customHeight="1">
      <x:c r="A22" s="35" t="str">
        <x:v>Dialogues</x:v>
      </x:c>
      <x:c r="B22" s="39" t="n">
        <x:f>COUNTA('Dialogues'!$A$7:$A$14)</x:f>
        <x:v>8</x:v>
      </x:c>
      <x:c r="C22" s="39" t="n">
        <x:f>COUNTIFS('Dialogues'!$C$7:$C$14,"Défini")</x:f>
        <x:v>8</x:v>
      </x:c>
      <x:c r="D22" s="39" t="n">
        <x:f>COUNTIFS('Dialogues'!$C$7:$C$14,"Prototype")</x:f>
        <x:v>0</x:v>
      </x:c>
      <x:c r="E22" s="39" t="n">
        <x:f>COUNTIFS('Dialogues'!$C$7:$C$14,"Intégré")</x:f>
        <x:v>0</x:v>
      </x:c>
      <x:c r="F22" s="39" t="n">
        <x:f>COUNTIFS('Dialogues'!$C$7:$C$14,"Validé")</x:f>
        <x:v>0</x:v>
      </x:c>
      <x:c r="G22" s="39" t="n">
        <x:f>COUNTIFS('Dialogues'!$D$7:$D$14,"Établi")</x:f>
        <x:v>0</x:v>
      </x:c>
      <x:c r="H22" s="39" t="n">
        <x:f>COUNTIFS('Dialogues'!$D$7:$D$14,"À vérifier")</x:f>
        <x:v>0</x:v>
      </x:c>
      <x:c r="I22" s="39" t="n">
        <x:f>COUNTIFS('Dialogues'!$D$7:$D$14,"Extrapolation")</x:f>
        <x:v>8</x:v>
      </x:c>
      <x:c r="J22" s="39" t="n">
        <x:f>COUNTIFS('Dialogues'!$D$7:$D$14,"Coupé attesté")</x:f>
        <x:v>0</x:v>
      </x:c>
      <x:c r="K22" s="39" t="n">
        <x:f>COUNTIFS('Dialogues'!$D$7:$D$14,"Concept abandonné")</x:f>
        <x:v>0</x:v>
      </x:c>
      <x:c r="L22" s="39" t="n">
        <x:f>COUNTIFS('Dialogues'!$D$7:$D$14,"Allégation écartée")</x:f>
        <x:v>0</x:v>
      </x:c>
      <x:c r="M22" s="39" t="n">
        <x:f>COUNTIFS('Dialogues'!$E$7:$E$14,"P0")</x:f>
        <x:v>0</x:v>
      </x:c>
    </x:row>
    <x:row r="23" ht="22" customHeight="1">
      <x:c r="A23" s="2" t="str">
        <x:v>Cinématiques</x:v>
      </x:c>
      <x:c r="B23" s="40" t="n">
        <x:f>COUNTA('Cinematiques'!$A$7:$A$14)</x:f>
        <x:v>8</x:v>
      </x:c>
      <x:c r="C23" s="40" t="n">
        <x:f>COUNTIFS('Cinematiques'!$C$7:$C$14,"Défini")</x:f>
        <x:v>8</x:v>
      </x:c>
      <x:c r="D23" s="40" t="n">
        <x:f>COUNTIFS('Cinematiques'!$C$7:$C$14,"Prototype")</x:f>
        <x:v>0</x:v>
      </x:c>
      <x:c r="E23" s="40" t="n">
        <x:f>COUNTIFS('Cinematiques'!$C$7:$C$14,"Intégré")</x:f>
        <x:v>0</x:v>
      </x:c>
      <x:c r="F23" s="40" t="n">
        <x:f>COUNTIFS('Cinematiques'!$C$7:$C$14,"Validé")</x:f>
        <x:v>0</x:v>
      </x:c>
      <x:c r="G23" s="40" t="n">
        <x:f>COUNTIFS('Cinematiques'!$D$7:$D$14,"Établi")</x:f>
        <x:v>0</x:v>
      </x:c>
      <x:c r="H23" s="40" t="n">
        <x:f>COUNTIFS('Cinematiques'!$D$7:$D$14,"À vérifier")</x:f>
        <x:v>0</x:v>
      </x:c>
      <x:c r="I23" s="40" t="n">
        <x:f>COUNTIFS('Cinematiques'!$D$7:$D$14,"Extrapolation")</x:f>
        <x:v>8</x:v>
      </x:c>
      <x:c r="J23" s="40" t="n">
        <x:f>COUNTIFS('Cinematiques'!$D$7:$D$14,"Coupé attesté")</x:f>
        <x:v>0</x:v>
      </x:c>
      <x:c r="K23" s="40" t="n">
        <x:f>COUNTIFS('Cinematiques'!$D$7:$D$14,"Concept abandonné")</x:f>
        <x:v>0</x:v>
      </x:c>
      <x:c r="L23" s="40" t="n">
        <x:f>COUNTIFS('Cinematiques'!$D$7:$D$14,"Allégation écartée")</x:f>
        <x:v>0</x:v>
      </x:c>
      <x:c r="M23" s="40" t="n">
        <x:f>COUNTIFS('Cinematiques'!$E$7:$E$14,"P0")</x:f>
        <x:v>0</x:v>
      </x:c>
    </x:row>
    <x:row r="24" ht="22" customHeight="1">
      <x:c r="A24" s="35" t="str">
        <x:v>Armes</x:v>
      </x:c>
      <x:c r="B24" s="39" t="n">
        <x:f>COUNTA('Armes'!$A$7:$A$7)</x:f>
        <x:v>1</x:v>
      </x:c>
      <x:c r="C24" s="39" t="n">
        <x:f>COUNTIFS('Armes'!$C$7:$C$7,"Défini")</x:f>
        <x:v>1</x:v>
      </x:c>
      <x:c r="D24" s="39" t="n">
        <x:f>COUNTIFS('Armes'!$C$7:$C$7,"Prototype")</x:f>
        <x:v>0</x:v>
      </x:c>
      <x:c r="E24" s="39" t="n">
        <x:f>COUNTIFS('Armes'!$C$7:$C$7,"Intégré")</x:f>
        <x:v>0</x:v>
      </x:c>
      <x:c r="F24" s="39" t="n">
        <x:f>COUNTIFS('Armes'!$C$7:$C$7,"Validé")</x:f>
        <x:v>0</x:v>
      </x:c>
      <x:c r="G24" s="39" t="n">
        <x:f>COUNTIFS('Armes'!$D$7:$D$7,"Établi")</x:f>
        <x:v>0</x:v>
      </x:c>
      <x:c r="H24" s="39" t="n">
        <x:f>COUNTIFS('Armes'!$D$7:$D$7,"À vérifier")</x:f>
        <x:v>0</x:v>
      </x:c>
      <x:c r="I24" s="39" t="n">
        <x:f>COUNTIFS('Armes'!$D$7:$D$7,"Extrapolation")</x:f>
        <x:v>1</x:v>
      </x:c>
      <x:c r="J24" s="39" t="n">
        <x:f>COUNTIFS('Armes'!$D$7:$D$7,"Coupé attesté")</x:f>
        <x:v>0</x:v>
      </x:c>
      <x:c r="K24" s="39" t="n">
        <x:f>COUNTIFS('Armes'!$D$7:$D$7,"Concept abandonné")</x:f>
        <x:v>0</x:v>
      </x:c>
      <x:c r="L24" s="39" t="n">
        <x:f>COUNTIFS('Armes'!$D$7:$D$7,"Allégation écartée")</x:f>
        <x:v>0</x:v>
      </x:c>
      <x:c r="M24" s="39" t="n">
        <x:f>COUNTIFS('Armes'!$E$7:$E$7,"P0")</x:f>
        <x:v>0</x:v>
      </x:c>
    </x:row>
    <x:row r="25" ht="22" customHeight="1">
      <x:c r="A25" s="2" t="str">
        <x:v>Armures et équipement</x:v>
      </x:c>
      <x:c r="B25" s="40" t="n">
        <x:f>COUNTA('Armures_equipement'!$A$7:$A$8)</x:f>
        <x:v>2</x:v>
      </x:c>
      <x:c r="C25" s="40" t="n">
        <x:f>COUNTIFS('Armures_equipement'!$C$7:$C$8,"Défini")</x:f>
        <x:v>2</x:v>
      </x:c>
      <x:c r="D25" s="40" t="n">
        <x:f>COUNTIFS('Armures_equipement'!$C$7:$C$8,"Prototype")</x:f>
        <x:v>0</x:v>
      </x:c>
      <x:c r="E25" s="40" t="n">
        <x:f>COUNTIFS('Armures_equipement'!$C$7:$C$8,"Intégré")</x:f>
        <x:v>0</x:v>
      </x:c>
      <x:c r="F25" s="40" t="n">
        <x:f>COUNTIFS('Armures_equipement'!$C$7:$C$8,"Validé")</x:f>
        <x:v>0</x:v>
      </x:c>
      <x:c r="G25" s="40" t="n">
        <x:f>COUNTIFS('Armures_equipement'!$D$7:$D$8,"Établi")</x:f>
        <x:v>0</x:v>
      </x:c>
      <x:c r="H25" s="40" t="n">
        <x:f>COUNTIFS('Armures_equipement'!$D$7:$D$8,"À vérifier")</x:f>
        <x:v>0</x:v>
      </x:c>
      <x:c r="I25" s="40" t="n">
        <x:f>COUNTIFS('Armures_equipement'!$D$7:$D$8,"Extrapolation")</x:f>
        <x:v>2</x:v>
      </x:c>
      <x:c r="J25" s="40" t="n">
        <x:f>COUNTIFS('Armures_equipement'!$D$7:$D$8,"Coupé attesté")</x:f>
        <x:v>0</x:v>
      </x:c>
      <x:c r="K25" s="40" t="n">
        <x:f>COUNTIFS('Armures_equipement'!$D$7:$D$8,"Concept abandonné")</x:f>
        <x:v>0</x:v>
      </x:c>
      <x:c r="L25" s="40" t="n">
        <x:f>COUNTIFS('Armures_equipement'!$D$7:$D$8,"Allégation écartée")</x:f>
        <x:v>0</x:v>
      </x:c>
      <x:c r="M25" s="40" t="n">
        <x:f>COUNTIFS('Armures_equipement'!$E$7:$E$8,"P0")</x:f>
        <x:v>0</x:v>
      </x:c>
    </x:row>
    <x:row r="26" ht="22" customHeight="1">
      <x:c r="A26" s="35" t="str">
        <x:v>Pouvoirs</x:v>
      </x:c>
      <x:c r="B26" s="39" t="n">
        <x:f>COUNTA('Pouvoirs'!$A$7:$A$7)</x:f>
        <x:v>1</x:v>
      </x:c>
      <x:c r="C26" s="39" t="n">
        <x:f>COUNTIFS('Pouvoirs'!$C$7:$C$7,"Défini")</x:f>
        <x:v>1</x:v>
      </x:c>
      <x:c r="D26" s="39" t="n">
        <x:f>COUNTIFS('Pouvoirs'!$C$7:$C$7,"Prototype")</x:f>
        <x:v>0</x:v>
      </x:c>
      <x:c r="E26" s="39" t="n">
        <x:f>COUNTIFS('Pouvoirs'!$C$7:$C$7,"Intégré")</x:f>
        <x:v>0</x:v>
      </x:c>
      <x:c r="F26" s="39" t="n">
        <x:f>COUNTIFS('Pouvoirs'!$C$7:$C$7,"Validé")</x:f>
        <x:v>0</x:v>
      </x:c>
      <x:c r="G26" s="39" t="n">
        <x:f>COUNTIFS('Pouvoirs'!$D$7:$D$7,"Établi")</x:f>
        <x:v>0</x:v>
      </x:c>
      <x:c r="H26" s="39" t="n">
        <x:f>COUNTIFS('Pouvoirs'!$D$7:$D$7,"À vérifier")</x:f>
        <x:v>0</x:v>
      </x:c>
      <x:c r="I26" s="39" t="n">
        <x:f>COUNTIFS('Pouvoirs'!$D$7:$D$7,"Extrapolation")</x:f>
        <x:v>1</x:v>
      </x:c>
      <x:c r="J26" s="39" t="n">
        <x:f>COUNTIFS('Pouvoirs'!$D$7:$D$7,"Coupé attesté")</x:f>
        <x:v>0</x:v>
      </x:c>
      <x:c r="K26" s="39" t="n">
        <x:f>COUNTIFS('Pouvoirs'!$D$7:$D$7,"Concept abandonné")</x:f>
        <x:v>0</x:v>
      </x:c>
      <x:c r="L26" s="39" t="n">
        <x:f>COUNTIFS('Pouvoirs'!$D$7:$D$7,"Allégation écartée")</x:f>
        <x:v>0</x:v>
      </x:c>
      <x:c r="M26" s="39" t="n">
        <x:f>COUNTIFS('Pouvoirs'!$E$7:$E$7,"P0")</x:f>
        <x:v>0</x:v>
      </x:c>
    </x:row>
    <x:row r="27" ht="22" customHeight="1">
      <x:c r="A27" s="2" t="str">
        <x:v>Movesets alliés</x:v>
      </x:c>
      <x:c r="B27" s="40" t="n">
        <x:f>COUNTA('Movesets_allies'!$A$7:$A$11)</x:f>
        <x:v>5</x:v>
      </x:c>
      <x:c r="C27" s="40" t="n">
        <x:f>COUNTIFS('Movesets_allies'!$C$7:$C$11,"Défini")</x:f>
        <x:v>5</x:v>
      </x:c>
      <x:c r="D27" s="40" t="n">
        <x:f>COUNTIFS('Movesets_allies'!$C$7:$C$11,"Prototype")</x:f>
        <x:v>0</x:v>
      </x:c>
      <x:c r="E27" s="40" t="n">
        <x:f>COUNTIFS('Movesets_allies'!$C$7:$C$11,"Intégré")</x:f>
        <x:v>0</x:v>
      </x:c>
      <x:c r="F27" s="40" t="n">
        <x:f>COUNTIFS('Movesets_allies'!$C$7:$C$11,"Validé")</x:f>
        <x:v>0</x:v>
      </x:c>
      <x:c r="G27" s="40" t="n">
        <x:f>COUNTIFS('Movesets_allies'!$D$7:$D$11,"Établi")</x:f>
        <x:v>0</x:v>
      </x:c>
      <x:c r="H27" s="40" t="n">
        <x:f>COUNTIFS('Movesets_allies'!$D$7:$D$11,"À vérifier")</x:f>
        <x:v>0</x:v>
      </x:c>
      <x:c r="I27" s="40" t="n">
        <x:f>COUNTIFS('Movesets_allies'!$D$7:$D$11,"Extrapolation")</x:f>
        <x:v>5</x:v>
      </x:c>
      <x:c r="J27" s="40" t="n">
        <x:f>COUNTIFS('Movesets_allies'!$D$7:$D$11,"Coupé attesté")</x:f>
        <x:v>0</x:v>
      </x:c>
      <x:c r="K27" s="40" t="n">
        <x:f>COUNTIFS('Movesets_allies'!$D$7:$D$11,"Concept abandonné")</x:f>
        <x:v>0</x:v>
      </x:c>
      <x:c r="L27" s="40" t="n">
        <x:f>COUNTIFS('Movesets_allies'!$D$7:$D$11,"Allégation écartée")</x:f>
        <x:v>0</x:v>
      </x:c>
      <x:c r="M27" s="40" t="n">
        <x:f>COUNTIFS('Movesets_allies'!$E$7:$E$11,"P0")</x:f>
        <x:v>0</x:v>
      </x:c>
    </x:row>
    <x:row r="28" ht="22" customHeight="1">
      <x:c r="A28" s="35" t="str">
        <x:v>Movesets ennemis</x:v>
      </x:c>
      <x:c r="B28" s="39" t="n">
        <x:f>COUNTA('Movesets_ennemis'!$A$7:$A$14)</x:f>
        <x:v>8</x:v>
      </x:c>
      <x:c r="C28" s="39" t="n">
        <x:f>COUNTIFS('Movesets_ennemis'!$C$7:$C$14,"Défini")</x:f>
        <x:v>8</x:v>
      </x:c>
      <x:c r="D28" s="39" t="n">
        <x:f>COUNTIFS('Movesets_ennemis'!$C$7:$C$14,"Prototype")</x:f>
        <x:v>0</x:v>
      </x:c>
      <x:c r="E28" s="39" t="n">
        <x:f>COUNTIFS('Movesets_ennemis'!$C$7:$C$14,"Intégré")</x:f>
        <x:v>0</x:v>
      </x:c>
      <x:c r="F28" s="39" t="n">
        <x:f>COUNTIFS('Movesets_ennemis'!$C$7:$C$14,"Validé")</x:f>
        <x:v>0</x:v>
      </x:c>
      <x:c r="G28" s="39" t="n">
        <x:f>COUNTIFS('Movesets_ennemis'!$D$7:$D$14,"Établi")</x:f>
        <x:v>0</x:v>
      </x:c>
      <x:c r="H28" s="39" t="n">
        <x:f>COUNTIFS('Movesets_ennemis'!$D$7:$D$14,"À vérifier")</x:f>
        <x:v>0</x:v>
      </x:c>
      <x:c r="I28" s="39" t="n">
        <x:f>COUNTIFS('Movesets_ennemis'!$D$7:$D$14,"Extrapolation")</x:f>
        <x:v>8</x:v>
      </x:c>
      <x:c r="J28" s="39" t="n">
        <x:f>COUNTIFS('Movesets_ennemis'!$D$7:$D$14,"Coupé attesté")</x:f>
        <x:v>0</x:v>
      </x:c>
      <x:c r="K28" s="39" t="n">
        <x:f>COUNTIFS('Movesets_ennemis'!$D$7:$D$14,"Concept abandonné")</x:f>
        <x:v>0</x:v>
      </x:c>
      <x:c r="L28" s="39" t="n">
        <x:f>COUNTIFS('Movesets_ennemis'!$D$7:$D$14,"Allégation écartée")</x:f>
        <x:v>0</x:v>
      </x:c>
      <x:c r="M28" s="39" t="n">
        <x:f>COUNTIFS('Movesets_ennemis'!$E$7:$E$14,"P0")</x:f>
        <x:v>0</x:v>
      </x:c>
    </x:row>
    <x:row r="29" ht="22" customHeight="1">
      <x:c r="A29" s="2" t="str">
        <x:v>Animations</x:v>
      </x:c>
      <x:c r="B29" s="40" t="n">
        <x:f>COUNTA('Animations'!$A$7:$A$17)</x:f>
        <x:v>11</x:v>
      </x:c>
      <x:c r="C29" s="40" t="n">
        <x:f>COUNTIFS('Animations'!$C$7:$C$17,"Défini")</x:f>
        <x:v>11</x:v>
      </x:c>
      <x:c r="D29" s="40" t="n">
        <x:f>COUNTIFS('Animations'!$C$7:$C$17,"Prototype")</x:f>
        <x:v>0</x:v>
      </x:c>
      <x:c r="E29" s="40" t="n">
        <x:f>COUNTIFS('Animations'!$C$7:$C$17,"Intégré")</x:f>
        <x:v>0</x:v>
      </x:c>
      <x:c r="F29" s="40" t="n">
        <x:f>COUNTIFS('Animations'!$C$7:$C$17,"Validé")</x:f>
        <x:v>0</x:v>
      </x:c>
      <x:c r="G29" s="40" t="n">
        <x:f>COUNTIFS('Animations'!$D$7:$D$17,"Établi")</x:f>
        <x:v>0</x:v>
      </x:c>
      <x:c r="H29" s="40" t="n">
        <x:f>COUNTIFS('Animations'!$D$7:$D$17,"À vérifier")</x:f>
        <x:v>0</x:v>
      </x:c>
      <x:c r="I29" s="40" t="n">
        <x:f>COUNTIFS('Animations'!$D$7:$D$17,"Extrapolation")</x:f>
        <x:v>11</x:v>
      </x:c>
      <x:c r="J29" s="40" t="n">
        <x:f>COUNTIFS('Animations'!$D$7:$D$17,"Coupé attesté")</x:f>
        <x:v>0</x:v>
      </x:c>
      <x:c r="K29" s="40" t="n">
        <x:f>COUNTIFS('Animations'!$D$7:$D$17,"Concept abandonné")</x:f>
        <x:v>0</x:v>
      </x:c>
      <x:c r="L29" s="40" t="n">
        <x:f>COUNTIFS('Animations'!$D$7:$D$17,"Allégation écartée")</x:f>
        <x:v>0</x:v>
      </x:c>
      <x:c r="M29" s="40" t="n">
        <x:f>COUNTIFS('Animations'!$E$7:$E$17,"P0")</x:f>
        <x:v>0</x:v>
      </x:c>
    </x:row>
    <x:row r="30" ht="22" customHeight="1">
      <x:c r="A30" s="35" t="str">
        <x:v>Sprites</x:v>
      </x:c>
      <x:c r="B30" s="39" t="n">
        <x:f>COUNTA('Sprites'!$A$7:$A$17)</x:f>
        <x:v>11</x:v>
      </x:c>
      <x:c r="C30" s="39" t="n">
        <x:f>COUNTIFS('Sprites'!$C$7:$C$17,"Défini")</x:f>
        <x:v>11</x:v>
      </x:c>
      <x:c r="D30" s="39" t="n">
        <x:f>COUNTIFS('Sprites'!$C$7:$C$17,"Prototype")</x:f>
        <x:v>0</x:v>
      </x:c>
      <x:c r="E30" s="39" t="n">
        <x:f>COUNTIFS('Sprites'!$C$7:$C$17,"Intégré")</x:f>
        <x:v>0</x:v>
      </x:c>
      <x:c r="F30" s="39" t="n">
        <x:f>COUNTIFS('Sprites'!$C$7:$C$17,"Validé")</x:f>
        <x:v>0</x:v>
      </x:c>
      <x:c r="G30" s="39" t="n">
        <x:f>COUNTIFS('Sprites'!$D$7:$D$17,"Établi")</x:f>
        <x:v>0</x:v>
      </x:c>
      <x:c r="H30" s="39" t="n">
        <x:f>COUNTIFS('Sprites'!$D$7:$D$17,"À vérifier")</x:f>
        <x:v>0</x:v>
      </x:c>
      <x:c r="I30" s="39" t="n">
        <x:f>COUNTIFS('Sprites'!$D$7:$D$17,"Extrapolation")</x:f>
        <x:v>11</x:v>
      </x:c>
      <x:c r="J30" s="39" t="n">
        <x:f>COUNTIFS('Sprites'!$D$7:$D$17,"Coupé attesté")</x:f>
        <x:v>0</x:v>
      </x:c>
      <x:c r="K30" s="39" t="n">
        <x:f>COUNTIFS('Sprites'!$D$7:$D$17,"Concept abandonné")</x:f>
        <x:v>0</x:v>
      </x:c>
      <x:c r="L30" s="39" t="n">
        <x:f>COUNTIFS('Sprites'!$D$7:$D$17,"Allégation écartée")</x:f>
        <x:v>0</x:v>
      </x:c>
      <x:c r="M30" s="39" t="n">
        <x:f>COUNTIFS('Sprites'!$E$7:$E$17,"P0")</x:f>
        <x:v>0</x:v>
      </x:c>
    </x:row>
    <x:row r="31" ht="22" customHeight="1">
      <x:c r="A31" s="2" t="str">
        <x:v>VFX</x:v>
      </x:c>
      <x:c r="B31" s="40" t="n">
        <x:f>COUNTA('VFX'!$A$7:$A$14)</x:f>
        <x:v>8</x:v>
      </x:c>
      <x:c r="C31" s="40" t="n">
        <x:f>COUNTIFS('VFX'!$C$7:$C$14,"Défini")</x:f>
        <x:v>8</x:v>
      </x:c>
      <x:c r="D31" s="40" t="n">
        <x:f>COUNTIFS('VFX'!$C$7:$C$14,"Prototype")</x:f>
        <x:v>0</x:v>
      </x:c>
      <x:c r="E31" s="40" t="n">
        <x:f>COUNTIFS('VFX'!$C$7:$C$14,"Intégré")</x:f>
        <x:v>0</x:v>
      </x:c>
      <x:c r="F31" s="40" t="n">
        <x:f>COUNTIFS('VFX'!$C$7:$C$14,"Validé")</x:f>
        <x:v>0</x:v>
      </x:c>
      <x:c r="G31" s="40" t="n">
        <x:f>COUNTIFS('VFX'!$D$7:$D$14,"Établi")</x:f>
        <x:v>0</x:v>
      </x:c>
      <x:c r="H31" s="40" t="n">
        <x:f>COUNTIFS('VFX'!$D$7:$D$14,"À vérifier")</x:f>
        <x:v>0</x:v>
      </x:c>
      <x:c r="I31" s="40" t="n">
        <x:f>COUNTIFS('VFX'!$D$7:$D$14,"Extrapolation")</x:f>
        <x:v>8</x:v>
      </x:c>
      <x:c r="J31" s="40" t="n">
        <x:f>COUNTIFS('VFX'!$D$7:$D$14,"Coupé attesté")</x:f>
        <x:v>0</x:v>
      </x:c>
      <x:c r="K31" s="40" t="n">
        <x:f>COUNTIFS('VFX'!$D$7:$D$14,"Concept abandonné")</x:f>
        <x:v>0</x:v>
      </x:c>
      <x:c r="L31" s="40" t="n">
        <x:f>COUNTIFS('VFX'!$D$7:$D$14,"Allégation écartée")</x:f>
        <x:v>0</x:v>
      </x:c>
      <x:c r="M31" s="40" t="n">
        <x:f>COUNTIFS('VFX'!$E$7:$E$14,"P0")</x:f>
        <x:v>0</x:v>
      </x:c>
    </x:row>
    <x:row r="32" ht="22" customHeight="1">
      <x:c r="A32" s="35" t="str">
        <x:v>Audio</x:v>
      </x:c>
      <x:c r="B32" s="39" t="n">
        <x:f>COUNTA('Audio'!$A$7:$A$12)</x:f>
        <x:v>6</x:v>
      </x:c>
      <x:c r="C32" s="39" t="n">
        <x:f>COUNTIFS('Audio'!$C$7:$C$12,"Défini")</x:f>
        <x:v>6</x:v>
      </x:c>
      <x:c r="D32" s="39" t="n">
        <x:f>COUNTIFS('Audio'!$C$7:$C$12,"Prototype")</x:f>
        <x:v>0</x:v>
      </x:c>
      <x:c r="E32" s="39" t="n">
        <x:f>COUNTIFS('Audio'!$C$7:$C$12,"Intégré")</x:f>
        <x:v>0</x:v>
      </x:c>
      <x:c r="F32" s="39" t="n">
        <x:f>COUNTIFS('Audio'!$C$7:$C$12,"Validé")</x:f>
        <x:v>0</x:v>
      </x:c>
      <x:c r="G32" s="39" t="n">
        <x:f>COUNTIFS('Audio'!$D$7:$D$12,"Établi")</x:f>
        <x:v>0</x:v>
      </x:c>
      <x:c r="H32" s="39" t="n">
        <x:f>COUNTIFS('Audio'!$D$7:$D$12,"À vérifier")</x:f>
        <x:v>0</x:v>
      </x:c>
      <x:c r="I32" s="39" t="n">
        <x:f>COUNTIFS('Audio'!$D$7:$D$12,"Extrapolation")</x:f>
        <x:v>6</x:v>
      </x:c>
      <x:c r="J32" s="39" t="n">
        <x:f>COUNTIFS('Audio'!$D$7:$D$12,"Coupé attesté")</x:f>
        <x:v>0</x:v>
      </x:c>
      <x:c r="K32" s="39" t="n">
        <x:f>COUNTIFS('Audio'!$D$7:$D$12,"Concept abandonné")</x:f>
        <x:v>0</x:v>
      </x:c>
      <x:c r="L32" s="39" t="n">
        <x:f>COUNTIFS('Audio'!$D$7:$D$12,"Allégation écartée")</x:f>
        <x:v>0</x:v>
      </x:c>
      <x:c r="M32" s="39" t="n">
        <x:f>COUNTIFS('Audio'!$E$7:$E$12,"P0")</x:f>
        <x:v>0</x:v>
      </x:c>
    </x:row>
    <x:row r="33" ht="22" customHeight="1">
      <x:c r="A33" s="2" t="str">
        <x:v>Systèmes et UI</x:v>
      </x:c>
      <x:c r="B33" s="40" t="n">
        <x:f>COUNTA('UI_systemes'!$A$7:$A$10)</x:f>
        <x:v>4</x:v>
      </x:c>
      <x:c r="C33" s="40" t="n">
        <x:f>COUNTIFS('UI_systemes'!$C$7:$C$10,"Défini")</x:f>
        <x:v>4</x:v>
      </x:c>
      <x:c r="D33" s="40" t="n">
        <x:f>COUNTIFS('UI_systemes'!$C$7:$C$10,"Prototype")</x:f>
        <x:v>0</x:v>
      </x:c>
      <x:c r="E33" s="40" t="n">
        <x:f>COUNTIFS('UI_systemes'!$C$7:$C$10,"Intégré")</x:f>
        <x:v>0</x:v>
      </x:c>
      <x:c r="F33" s="40" t="n">
        <x:f>COUNTIFS('UI_systemes'!$C$7:$C$10,"Validé")</x:f>
        <x:v>0</x:v>
      </x:c>
      <x:c r="G33" s="40" t="n">
        <x:f>COUNTIFS('UI_systemes'!$D$7:$D$10,"Établi")</x:f>
        <x:v>0</x:v>
      </x:c>
      <x:c r="H33" s="40" t="n">
        <x:f>COUNTIFS('UI_systemes'!$D$7:$D$10,"À vérifier")</x:f>
        <x:v>0</x:v>
      </x:c>
      <x:c r="I33" s="40" t="n">
        <x:f>COUNTIFS('UI_systemes'!$D$7:$D$10,"Extrapolation")</x:f>
        <x:v>4</x:v>
      </x:c>
      <x:c r="J33" s="40" t="n">
        <x:f>COUNTIFS('UI_systemes'!$D$7:$D$10,"Coupé attesté")</x:f>
        <x:v>0</x:v>
      </x:c>
      <x:c r="K33" s="40" t="n">
        <x:f>COUNTIFS('UI_systemes'!$D$7:$D$10,"Concept abandonné")</x:f>
        <x:v>0</x:v>
      </x:c>
      <x:c r="L33" s="40" t="n">
        <x:f>COUNTIFS('UI_systemes'!$D$7:$D$10,"Allégation écartée")</x:f>
        <x:v>0</x:v>
      </x:c>
      <x:c r="M33" s="40" t="n">
        <x:f>COUNTIFS('UI_systemes'!$E$7:$E$10,"P0")</x:f>
        <x:v>0</x:v>
      </x:c>
    </x:row>
    <x:row r="34" ht="22" customHeight="1">
      <x:c r="A34" s="35" t="str">
        <x:v>QA</x:v>
      </x:c>
      <x:c r="B34" s="39" t="n">
        <x:f>COUNTA('QA'!$A$7:$A$17)</x:f>
        <x:v>11</x:v>
      </x:c>
      <x:c r="C34" s="39" t="n">
        <x:f>COUNTIFS('QA'!$C$7:$C$17,"Défini")</x:f>
        <x:v>11</x:v>
      </x:c>
      <x:c r="D34" s="39" t="n">
        <x:f>COUNTIFS('QA'!$C$7:$C$17,"Prototype")</x:f>
        <x:v>0</x:v>
      </x:c>
      <x:c r="E34" s="39" t="n">
        <x:f>COUNTIFS('QA'!$C$7:$C$17,"Intégré")</x:f>
        <x:v>0</x:v>
      </x:c>
      <x:c r="F34" s="39" t="n">
        <x:f>COUNTIFS('QA'!$C$7:$C$17,"Validé")</x:f>
        <x:v>0</x:v>
      </x:c>
      <x:c r="G34" s="39" t="n">
        <x:f>COUNTIFS('QA'!$D$7:$D$17,"Établi")</x:f>
        <x:v>0</x:v>
      </x:c>
      <x:c r="H34" s="39" t="n">
        <x:f>COUNTIFS('QA'!$D$7:$D$17,"À vérifier")</x:f>
        <x:v>0</x:v>
      </x:c>
      <x:c r="I34" s="39" t="n">
        <x:f>COUNTIFS('QA'!$D$7:$D$17,"Extrapolation")</x:f>
        <x:v>11</x:v>
      </x:c>
      <x:c r="J34" s="39" t="n">
        <x:f>COUNTIFS('QA'!$D$7:$D$17,"Coupé attesté")</x:f>
        <x:v>0</x:v>
      </x:c>
      <x:c r="K34" s="39" t="n">
        <x:f>COUNTIFS('QA'!$D$7:$D$17,"Concept abandonné")</x:f>
        <x:v>0</x:v>
      </x:c>
      <x:c r="L34" s="39" t="n">
        <x:f>COUNTIFS('QA'!$D$7:$D$17,"Allégation écartée")</x:f>
        <x:v>0</x:v>
      </x:c>
      <x:c r="M34" s="39" t="n">
        <x:f>COUNTIFS('QA'!$E$7:$E$17,"P0")</x:f>
        <x:v>11</x:v>
      </x:c>
    </x:row>
    <x:row r="35" ht="22" customHeight="1">
      <x:c r="A35" s="2" t="str">
        <x:v>Continuité</x:v>
      </x:c>
      <x:c r="B35" s="40" t="n">
        <x:f>COUNTA('Continuite'!$A$7:$A$8)</x:f>
        <x:v>2</x:v>
      </x:c>
      <x:c r="C35" s="40" t="n">
        <x:f>COUNTIFS('Continuite'!$C$7:$C$8,"Défini")</x:f>
        <x:v>2</x:v>
      </x:c>
      <x:c r="D35" s="40" t="n">
        <x:f>COUNTIFS('Continuite'!$C$7:$C$8,"Prototype")</x:f>
        <x:v>0</x:v>
      </x:c>
      <x:c r="E35" s="40" t="n">
        <x:f>COUNTIFS('Continuite'!$C$7:$C$8,"Intégré")</x:f>
        <x:v>0</x:v>
      </x:c>
      <x:c r="F35" s="40" t="n">
        <x:f>COUNTIFS('Continuite'!$C$7:$C$8,"Validé")</x:f>
        <x:v>0</x:v>
      </x:c>
      <x:c r="G35" s="40" t="n">
        <x:f>COUNTIFS('Continuite'!$D$7:$D$8,"Établi")</x:f>
        <x:v>0</x:v>
      </x:c>
      <x:c r="H35" s="40" t="n">
        <x:f>COUNTIFS('Continuite'!$D$7:$D$8,"À vérifier")</x:f>
        <x:v>0</x:v>
      </x:c>
      <x:c r="I35" s="40" t="n">
        <x:f>COUNTIFS('Continuite'!$D$7:$D$8,"Extrapolation")</x:f>
        <x:v>2</x:v>
      </x:c>
      <x:c r="J35" s="40" t="n">
        <x:f>COUNTIFS('Continuite'!$D$7:$D$8,"Coupé attesté")</x:f>
        <x:v>0</x:v>
      </x:c>
      <x:c r="K35" s="40" t="n">
        <x:f>COUNTIFS('Continuite'!$D$7:$D$8,"Concept abandonné")</x:f>
        <x:v>0</x:v>
      </x:c>
      <x:c r="L35" s="40" t="n">
        <x:f>COUNTIFS('Continuite'!$D$7:$D$8,"Allégation écartée")</x:f>
        <x:v>0</x:v>
      </x:c>
      <x:c r="M35" s="40" t="n">
        <x:f>COUNTIFS('Continuite'!$E$7:$E$8,"P0")</x:f>
        <x:v>0</x:v>
      </x:c>
    </x:row>
    <x:row r="36" ht="22" customHeight="1">
      <x:c r="A36" s="2"/>
      <x:c r="B36" s="40"/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  <x:c r="M36" s="40"/>
    </x:row>
    <x:row r="37" ht="28" customHeight="1">
      <x:c r="A37" s="23" t="str">
        <x:v>TOTAL</x:v>
      </x:c>
      <x:c r="B37" s="41" t="n">
        <x:f>SUM(B10:B35)</x:f>
        <x:v>171</x:v>
      </x:c>
      <x:c r="C37" s="41" t="n">
        <x:f>SUM(C10:C35)</x:f>
        <x:v>171</x:v>
      </x:c>
      <x:c r="D37" s="41" t="n">
        <x:f>SUM(D10:D35)</x:f>
        <x:v>0</x:v>
      </x:c>
      <x:c r="E37" s="41" t="n">
        <x:f>SUM(E10:E35)</x:f>
        <x:v>0</x:v>
      </x:c>
      <x:c r="F37" s="41" t="n">
        <x:f>SUM(F10:F35)</x:f>
        <x:v>0</x:v>
      </x:c>
      <x:c r="G37" s="41" t="n">
        <x:f>SUM(G10:G35)</x:f>
        <x:v>6</x:v>
      </x:c>
      <x:c r="H37" s="41" t="n">
        <x:f>SUM(H10:H35)</x:f>
        <x:v>29</x:v>
      </x:c>
      <x:c r="I37" s="41" t="n">
        <x:f>SUM(I10:I35)</x:f>
        <x:v>136</x:v>
      </x:c>
      <x:c r="J37" s="41" t="n">
        <x:f>SUM(J10:J35)</x:f>
        <x:v>0</x:v>
      </x:c>
      <x:c r="K37" s="41" t="n">
        <x:f>SUM(K10:K35)</x:f>
        <x:v>0</x:v>
      </x:c>
      <x:c r="L37" s="41" t="n">
        <x:f>SUM(L10:L35)</x:f>
        <x:v>0</x:v>
      </x:c>
      <x:c r="M37" s="41" t="n">
        <x:f>SUM(M10:M35)</x:f>
        <x:v>24</x:v>
      </x:c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</x:row>
    <x:row r="39" ht="22" customHeight="1">
      <x:c r="A39" s="2" t="str">
        <x:v>Les compteurs mesurent les fiches présentes, pas un pourcentage d’exhaustivité ou de réalisation.</x:v>
      </x:c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</x:row>
    <x:row r="40" ht="22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</x:row>
    <x:row r="41" ht="22" customHeight="1">
      <x:c r="A41" s="2" t="str">
        <x:v>Périmètre, sources, incertitudes et méthode de suivi : voir Guide.</x:v>
      </x:c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102" hidden="0" customWidth="1"/>
    <x:col min="19" max="19" width="7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Personnages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Homeworlds — Identités et fonctions dans l’œuvre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82" customHeight="1">
      <x:c r="A7" s="18" t="str">
        <x:v>HOM-ACT-VEGA</x:v>
      </x:c>
      <x:c r="B7" s="9" t="str">
        <x:v>James Vega</x:v>
      </x:c>
      <x:c r="C7" s="15" t="str">
        <x:v>Défini</x:v>
      </x:c>
      <x:c r="D7" s="16" t="str">
        <x:v>Établi</x:v>
      </x:c>
      <x:c r="E7" s="16" t="str">
        <x:v>P1</x:v>
      </x:c>
      <x:c r="F7" s="9" t="str">
        <x:v>James Vega est le héros du premier récit.</x:v>
      </x:c>
      <x:c r="G7" s="9" t="str">
        <x:v>Deux avatars temporels distincts; le jeune James privilégie fuite et observation.</x:v>
      </x:c>
      <x:c r="H7" s="9" t="str">
        <x:v>Rôle narratif; aucune statistique officielle déduite.</x:v>
      </x:c>
      <x:c r="I7" s="9" t="str">
        <x:v>Direction proposée : Version jeune en vêtements civils; version adulte en tenue de service à contrôler; portraits clairement datés. Vérifier le costume sur l'édition autorisée avant peinture finale.</x:v>
      </x:c>
      <x:c r="J7" s="9" t="str">
        <x:v>Jeune : course, souffle et regard inquiet; adulte : lecture et marche posée.</x:v>
      </x:c>
      <x:c r="K7" s="9" t="str">
        <x:v>Interprétation originale; sous-titres attribués au locuteur et aucune reprise des voix du jeu.</x:v>
      </x:c>
      <x:c r="L7" s="9" t="str">
        <x:v>Livrable proposé : spécification HOM/characters/act-vega; brancher au registre de contenu de l'œuvre seulement après production.</x:v>
      </x:c>
      <x:c r="M7" s="9" t="str">
        <x:v>Conserver l’autonomie des quatre numéros et leurs raccords. Les variantes locales ne sauvent pas des personnages dont l’issue est fixée ni ne donnent à un jeune personnage son arsenal adulte.</x:v>
      </x:c>
      <x:c r="N7" s="9" t="str">
        <x:v>James Vega possède une fiche de référence séparant rôle attesté, silhouette à contrôler et commandes proposées.</x:v>
      </x:c>
      <x:c r="O7" s="9" t="str"/>
      <x:c r="P7" s="9" t="str">
        <x:v>Homeworlds #1</x:v>
      </x:c>
      <x:c r="Q7" s="9" t="str">
        <x:v>HOM-S-BOOK</x:v>
      </x:c>
      <x:c r="R7" s="20" t="str">
        <x:v>https://www.penguinrandomhouse.com/books/241700/mass-effect-volume-4-homeworlds-by-mac-walters-various-artists/</x:v>
      </x:c>
      <x:c r="S7" s="20" t="str">
        <x:v>Le rôle dans la source ne prouve ni recrutement jouable ni disponibilité permanente.</x:v>
      </x:c>
    </x:row>
    <x:row r="8" ht="68" customHeight="1">
      <x:c r="A8" s="19" t="str">
        <x:v>HOM-ACT-TALI</x:v>
      </x:c>
      <x:c r="B8" s="7" t="str">
        <x:v>Tali’Zorah</x:v>
      </x:c>
      <x:c r="C8" s="15" t="str">
        <x:v>Défini</x:v>
      </x:c>
      <x:c r="D8" s="17" t="str">
        <x:v>Établi</x:v>
      </x:c>
      <x:c r="E8" s="17" t="str">
        <x:v>P1</x:v>
      </x:c>
      <x:c r="F8" s="7" t="str">
        <x:v>Tali est l’héroïne du deuxième récit.</x:v>
      </x:c>
      <x:c r="G8" s="7" t="str">
        <x:v>Protagoniste technique isolée; la preuve compte davantage que le nombre d’ennemis vaincus.</x:v>
      </x:c>
      <x:c r="H8" s="7" t="str">
        <x:v>Rôle narratif; aucune statistique officielle déduite.</x:v>
      </x:c>
      <x:c r="I8" s="7" t="str">
        <x:v>Direction proposée : Combinaison et masque quarien, capuche distincte; motifs et couleurs à contrôler dans #2. Vérifier le costume sur l'édition autorisée avant peinture finale.</x:v>
      </x:c>
      <x:c r="J8" s="7" t="str">
        <x:v>Protection du poignet, inspection, recul prudent et course brève.</x:v>
      </x:c>
      <x:c r="K8" s="7" t="str">
        <x:v>Interprétation originale; sous-titres attribués au locuteur et aucune reprise des voix du jeu.</x:v>
      </x:c>
      <x:c r="L8" s="7" t="str">
        <x:v>Livrable proposé : spécification HOM/characters/act-tali; brancher au registre de contenu de l'œuvre seulement après production.</x:v>
      </x:c>
      <x:c r="M8" s="7" t="str">
        <x:v>Conserver l’autonomie des quatre numéros et leurs raccords. Les variantes locales ne sauvent pas des personnages dont l’issue est fixée ni ne donnent à un jeune personnage son arsenal adulte.</x:v>
      </x:c>
      <x:c r="N8" s="7" t="str">
        <x:v>Tali’Zorah possède une fiche de référence séparant rôle attesté, silhouette à contrôler et commandes proposées.</x:v>
      </x:c>
      <x:c r="O8" s="7" t="str"/>
      <x:c r="P8" s="7" t="str">
        <x:v>Homeworlds #2</x:v>
      </x:c>
      <x:c r="Q8" s="7" t="str">
        <x:v>HOM-S-BOOK</x:v>
      </x:c>
      <x:c r="R8" s="21" t="str">
        <x:v>https://www.penguinrandomhouse.com/books/241700/mass-effect-volume-4-homeworlds-by-mac-walters-various-artists/</x:v>
      </x:c>
      <x:c r="S8" s="21" t="str">
        <x:v>Le rôle dans la source ne prouve ni recrutement jouable ni disponibilité permanente.</x:v>
      </x:c>
    </x:row>
    <x:row r="9" ht="68" customHeight="1">
      <x:c r="A9" s="18" t="str">
        <x:v>HOM-ACT-GARRUS</x:v>
      </x:c>
      <x:c r="B9" s="9" t="str">
        <x:v>Garrus Vakarian</x:v>
      </x:c>
      <x:c r="C9" s="15" t="str">
        <x:v>Défini</x:v>
      </x:c>
      <x:c r="D9" s="16" t="str">
        <x:v>Établi</x:v>
      </x:c>
      <x:c r="E9" s="16" t="str">
        <x:v>P1</x:v>
      </x:c>
      <x:c r="F9" s="9" t="str">
        <x:v>Garrus est le héros du troisième récit.</x:v>
      </x:c>
      <x:c r="G9" s="9" t="str">
        <x:v>Versions jeune, C-Sec et Archangel séparées; tactiques accessibles selon l’époque.</x:v>
      </x:c>
      <x:c r="H9" s="9" t="str">
        <x:v>Rôle narratif; aucune statistique officielle déduite.</x:v>
      </x:c>
      <x:c r="I9" s="9" t="str">
        <x:v>Direction proposée : Crête turienne et armure de chaque époque à vérifier; aucune blessure tardive sur les sprites antérieurs. Vérifier le costume sur l'édition autorisée avant peinture finale.</x:v>
      </x:c>
      <x:c r="J9" s="9" t="str">
        <x:v>Tir posé, contrôle du couloir et fatigue croissante.</x:v>
      </x:c>
      <x:c r="K9" s="9" t="str">
        <x:v>Interprétation originale; sous-titres attribués au locuteur et aucune reprise des voix du jeu.</x:v>
      </x:c>
      <x:c r="L9" s="9" t="str">
        <x:v>Livrable proposé : spécification HOM/characters/act-garrus; brancher au registre de contenu de l'œuvre seulement après production.</x:v>
      </x:c>
      <x:c r="M9" s="9" t="str">
        <x:v>Conserver l’autonomie des quatre numéros et leurs raccords. Les variantes locales ne sauvent pas des personnages dont l’issue est fixée ni ne donnent à un jeune personnage son arsenal adulte.</x:v>
      </x:c>
      <x:c r="N9" s="9" t="str">
        <x:v>Garrus Vakarian possède une fiche de référence séparant rôle attesté, silhouette à contrôler et commandes proposées.</x:v>
      </x:c>
      <x:c r="O9" s="9" t="str"/>
      <x:c r="P9" s="9" t="str">
        <x:v>Homeworlds #3</x:v>
      </x:c>
      <x:c r="Q9" s="9" t="str">
        <x:v>HOM-S-BOOK</x:v>
      </x:c>
      <x:c r="R9" s="20" t="str">
        <x:v>https://www.penguinrandomhouse.com/books/241700/mass-effect-volume-4-homeworlds-by-mac-walters-various-artists/</x:v>
      </x:c>
      <x:c r="S9" s="20" t="str">
        <x:v>Le rôle dans la source ne prouve ni recrutement jouable ni disponibilité permanente.</x:v>
      </x:c>
    </x:row>
    <x:row r="10" ht="68" customHeight="1">
      <x:c r="A10" s="19" t="str">
        <x:v>HOM-ACT-LIARA</x:v>
      </x:c>
      <x:c r="B10" s="7" t="str">
        <x:v>Liara T’Soni</x:v>
      </x:c>
      <x:c r="C10" s="15" t="str">
        <x:v>Défini</x:v>
      </x:c>
      <x:c r="D10" s="17" t="str">
        <x:v>Établi</x:v>
      </x:c>
      <x:c r="E10" s="17" t="str">
        <x:v>P1</x:v>
      </x:c>
      <x:c r="F10" s="7" t="str">
        <x:v>Liara est l’héroïne du quatrième récit.</x:v>
      </x:c>
      <x:c r="G10" s="7" t="str">
        <x:v>Enquêtrice mobile; contrôle biotique d’environnement limité au segment.</x:v>
      </x:c>
      <x:c r="H10" s="7" t="str">
        <x:v>Rôle narratif; aucune statistique officielle déduite.</x:v>
      </x:c>
      <x:c r="I10" s="7" t="str">
        <x:v>Direction proposée : Asari en tenue de voyage, outil d’archive et posture concentrée. Vérifier le costume sur l'édition autorisée avant peinture finale.</x:v>
      </x:c>
      <x:c r="J10" s="7" t="str">
        <x:v>Inspection minutieuse, maintien d’une barrière et soutien d’un blessé.</x:v>
      </x:c>
      <x:c r="K10" s="7" t="str">
        <x:v>Interprétation originale; sous-titres attribués au locuteur et aucune reprise des voix du jeu.</x:v>
      </x:c>
      <x:c r="L10" s="7" t="str">
        <x:v>Livrable proposé : spécification HOM/characters/act-liara; brancher au registre de contenu de l'œuvre seulement après production.</x:v>
      </x:c>
      <x:c r="M10" s="7" t="str">
        <x:v>Conserver l’autonomie des quatre numéros et leurs raccords. Les variantes locales ne sauvent pas des personnages dont l’issue est fixée ni ne donnent à un jeune personnage son arsenal adulte.</x:v>
      </x:c>
      <x:c r="N10" s="7" t="str">
        <x:v>Liara T’Soni possède une fiche de référence séparant rôle attesté, silhouette à contrôler et commandes proposées.</x:v>
      </x:c>
      <x:c r="O10" s="7" t="str"/>
      <x:c r="P10" s="7" t="str">
        <x:v>Homeworlds #4</x:v>
      </x:c>
      <x:c r="Q10" s="7" t="str">
        <x:v>HOM-S-BOOK</x:v>
      </x:c>
      <x:c r="R10" s="21" t="str">
        <x:v>https://www.penguinrandomhouse.com/books/241700/mass-effect-volume-4-homeworlds-by-mac-walters-various-artists/</x:v>
      </x:c>
      <x:c r="S10" s="21" t="str">
        <x:v>Le rôle dans la source ne prouve ni recrutement jouable ni disponibilité permanente.</x:v>
      </x:c>
    </x:row>
    <x:row r="11" ht="68" customHeight="1">
      <x:c r="A11" s="18" t="str">
        <x:v>HOM-ACT-QUOYLE</x:v>
      </x:c>
      <x:c r="B11" s="9" t="str">
        <x:v>Quoyle</x:v>
      </x:c>
      <x:c r="C11" s="15" t="str">
        <x:v>Défini</x:v>
      </x:c>
      <x:c r="D11" s="16" t="str">
        <x:v>À vérifier</x:v>
      </x:c>
      <x:c r="E11" s="16" t="str">
        <x:v>P1</x:v>
      </x:c>
      <x:c r="F11" s="9" t="str">
        <x:v>Quoyle accompagne Liara sur Kahje.</x:v>
      </x:c>
      <x:c r="G11" s="9" t="str">
        <x:v>Soutien de navigation local; rôle limité à cet épisode.</x:v>
      </x:c>
      <x:c r="H11" s="9" t="str">
        <x:v>Rôle narratif; aucune statistique officielle déduite.</x:v>
      </x:c>
      <x:c r="I11" s="9" t="str">
        <x:v>Direction proposée : Silhouette drell, vêtement de service et accessoire de pilotage à comparer. Vérifier le costume sur l'édition autorisée avant peinture finale.</x:v>
      </x:c>
      <x:c r="J11" s="9" t="str">
        <x:v>Pilotage, alerte, appui sur la paroi et marche assistée.</x:v>
      </x:c>
      <x:c r="K11" s="9" t="str">
        <x:v>Interprétation originale; sous-titres attribués au locuteur et aucune reprise des voix du jeu.</x:v>
      </x:c>
      <x:c r="L11" s="9" t="str">
        <x:v>Livrable proposé : spécification HOM/characters/act-quoyle; brancher au registre de contenu de l'œuvre seulement après production.</x:v>
      </x:c>
      <x:c r="M11" s="9" t="str">
        <x:v>Conserver l’autonomie des quatre numéros et leurs raccords. Les variantes locales ne sauvent pas des personnages dont l’issue est fixée ni ne donnent à un jeune personnage son arsenal adulte.</x:v>
      </x:c>
      <x:c r="N11" s="9" t="str">
        <x:v>Quoyle possède une fiche de référence séparant rôle attesté, silhouette à contrôler et commandes proposées.</x:v>
      </x:c>
      <x:c r="O11" s="9" t="str"/>
      <x:c r="P11" s="9" t="str">
        <x:v>Homeworlds #4</x:v>
      </x:c>
      <x:c r="Q11" s="9" t="str">
        <x:v>HOM-S-ISSUE4</x:v>
      </x:c>
      <x:c r="R11" s="20" t="str">
        <x:v>https://masseffect.fandom.com/wiki/Mass_Effect%3A_Homeworlds_4</x:v>
      </x:c>
      <x:c r="S11" s="20" t="str">
        <x:v>Le rôle dans la source ne prouve ni recrutement jouable ni disponibilité permanente.</x:v>
      </x:c>
    </x:row>
  </x:sheetData>
  <x:conditionalFormatting sqref="D7:D11">
    <x:cfRule type="cellIs" dxfId="0" priority="1" operator="equal">
      <x:formula>"À vérifier"</x:formula>
    </x:cfRule>
    <x:cfRule type="cellIs" dxfId="1" priority="2" operator="equal">
      <x:formula>"Extrapolation"</x:formula>
    </x:cfRule>
  </x:conditionalFormatting>
  <x:conditionalFormatting sqref="C7:C11">
    <x:cfRule type="cellIs" dxfId="2" priority="3" operator="equal">
      <x:formula>"Validé"</x:formula>
    </x:cfRule>
  </x:conditionalFormatting>
  <x:conditionalFormatting sqref="E7:E11">
    <x:cfRule type="cellIs" dxfId="3" priority="4" operator="equal">
      <x:formula>"P0"</x:formula>
    </x:cfRule>
  </x:conditionalFormatting>
  <x:dataValidations count="3">
    <x:dataValidation type="list" sqref="C7:C11">
      <x:formula1>"Défini,Prototype,Intégré,Validé"</x:formula1>
    </x:dataValidation>
    <x:dataValidation type="list" sqref="D7:D11">
      <x:formula1>"Établi,À vérifier,Extrapolation,Coupé attesté,Concept abandonné,Allégation écartée"</x:formula1>
    </x:dataValidation>
    <x:dataValidation type="list" sqref="E7:E11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845133b2a28475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PNJ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Homeworlds — Personnages de rencontre et services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68" customHeight="1">
      <x:c r="A7" s="18" t="str">
        <x:v>HOM-ACT-EMILIO</x:v>
      </x:c>
      <x:c r="B7" s="9" t="str">
        <x:v>Emilio Vega</x:v>
      </x:c>
      <x:c r="C7" s="15" t="str">
        <x:v>Défini</x:v>
      </x:c>
      <x:c r="D7" s="16" t="str">
        <x:v>À vérifier</x:v>
      </x:c>
      <x:c r="E7" s="16" t="str">
        <x:v>P1</x:v>
      </x:c>
      <x:c r="F7" s="9" t="str">
        <x:v>Emilio est l’oncle de James.</x:v>
      </x:c>
      <x:c r="G7" s="9" t="str">
        <x:v>Soutien familial; conversation de reconstruction de confiance.</x:v>
      </x:c>
      <x:c r="H7" s="9" t="str">
        <x:v>Rôle narratif; aucune statistique officielle déduite.</x:v>
      </x:c>
      <x:c r="I7" s="9" t="str">
        <x:v>Direction proposée : Vêtements civils simples et silhouette accueillante, référence d’âge à vérifier. Vérifier le costume sur l'édition autorisée avant peinture finale.</x:v>
      </x:c>
      <x:c r="J7" s="9" t="str">
        <x:v>Position assise calme, geste ouvert et écoute.</x:v>
      </x:c>
      <x:c r="K7" s="9" t="str">
        <x:v>Interprétation originale; sous-titres attribués au locuteur et aucune reprise des voix du jeu.</x:v>
      </x:c>
      <x:c r="L7" s="9" t="str">
        <x:v>Livrable proposé : spécification HOM/npcs/act-emilio; brancher au registre de contenu de l'œuvre seulement après production.</x:v>
      </x:c>
      <x:c r="M7" s="9" t="str">
        <x:v>Conserver l’autonomie des quatre numéros et leurs raccords. Les variantes locales ne sauvent pas des personnages dont l’issue est fixée ni ne donnent à un jeune personnage son arsenal adulte.</x:v>
      </x:c>
      <x:c r="N7" s="9" t="str">
        <x:v>Emilio Vega possède une fiche de référence séparant rôle attesté, silhouette à contrôler et commandes proposées.</x:v>
      </x:c>
      <x:c r="O7" s="9" t="str"/>
      <x:c r="P7" s="9" t="str">
        <x:v>Homeworlds #1</x:v>
      </x:c>
      <x:c r="Q7" s="9" t="str">
        <x:v>HOM-S-ISSUE1</x:v>
      </x:c>
      <x:c r="R7" s="20" t="str">
        <x:v>https://masseffect.fandom.com/wiki/Mass_Effect%3A_Homeworlds_1</x:v>
      </x:c>
      <x:c r="S7" s="20" t="str">
        <x:v>Le rôle dans la source ne prouve ni recrutement jouable ni disponibilité permanente.</x:v>
      </x:c>
    </x:row>
    <x:row r="8" ht="68" customHeight="1">
      <x:c r="A8" s="19" t="str">
        <x:v>HOM-ACT-JOSH</x:v>
      </x:c>
      <x:c r="B8" s="7" t="str">
        <x:v>Josh Sanders</x:v>
      </x:c>
      <x:c r="C8" s="15" t="str">
        <x:v>Défini</x:v>
      </x:c>
      <x:c r="D8" s="17" t="str">
        <x:v>À vérifier</x:v>
      </x:c>
      <x:c r="E8" s="17" t="str">
        <x:v>P1</x:v>
      </x:c>
      <x:c r="F8" s="7" t="str">
        <x:v>Josh est le père de James.</x:v>
      </x:c>
      <x:c r="G8" s="7" t="str">
        <x:v>Conflit familial traité par mise en scène et dialogue, pas par un boss récompensé.</x:v>
      </x:c>
      <x:c r="H8" s="7" t="str">
        <x:v>Rôle narratif; aucune statistique officielle déduite.</x:v>
      </x:c>
      <x:c r="I8" s="7" t="str">
        <x:v>Direction proposée : Silhouette civile fermée, environnement domestique peu éclairé; détails à vérifier. Vérifier le costume sur l'édition autorisée avant peinture finale.</x:v>
      </x:c>
      <x:c r="J8" s="7" t="str">
        <x:v>Gestes tendus, fermeture d’un passage et posture menaçante.</x:v>
      </x:c>
      <x:c r="K8" s="7" t="str">
        <x:v>Interprétation originale; sous-titres attribués au locuteur et aucune reprise des voix du jeu.</x:v>
      </x:c>
      <x:c r="L8" s="7" t="str">
        <x:v>Livrable proposé : spécification HOM/npcs/act-josh; brancher au registre de contenu de l'œuvre seulement après production.</x:v>
      </x:c>
      <x:c r="M8" s="7" t="str">
        <x:v>Conserver l’autonomie des quatre numéros et leurs raccords. Les variantes locales ne sauvent pas des personnages dont l’issue est fixée ni ne donnent à un jeune personnage son arsenal adulte.</x:v>
      </x:c>
      <x:c r="N8" s="7" t="str">
        <x:v>Josh Sanders possède une fiche de référence séparant rôle attesté, silhouette à contrôler et commandes proposées.</x:v>
      </x:c>
      <x:c r="O8" s="7" t="str"/>
      <x:c r="P8" s="7" t="str">
        <x:v>Homeworlds #1</x:v>
      </x:c>
      <x:c r="Q8" s="7" t="str">
        <x:v>HOM-S-ISSUE1</x:v>
      </x:c>
      <x:c r="R8" s="21" t="str">
        <x:v>https://masseffect.fandom.com/wiki/Mass_Effect%3A_Homeworlds_1</x:v>
      </x:c>
      <x:c r="S8" s="21" t="str">
        <x:v>Le rôle dans la source ne prouve ni recrutement jouable ni disponibilité permanente.</x:v>
      </x:c>
    </x:row>
    <x:row r="9" ht="68" customHeight="1">
      <x:c r="A9" s="18" t="str">
        <x:v>HOM-ACT-FATHER</x:v>
      </x:c>
      <x:c r="B9" s="9" t="str">
        <x:v>Père de Garrus</x:v>
      </x:c>
      <x:c r="C9" s="15" t="str">
        <x:v>Défini</x:v>
      </x:c>
      <x:c r="D9" s="16" t="str">
        <x:v>À vérifier</x:v>
      </x:c>
      <x:c r="E9" s="16" t="str">
        <x:v>P1</x:v>
      </x:c>
      <x:c r="F9" s="9" t="str">
        <x:v>Le récit montre les relations de Garrus avec son père.</x:v>
      </x:c>
      <x:c r="G9" s="9" t="str">
        <x:v>Voix de discipline et relation familiale; ne pas attribuer un prénom non vérifié.</x:v>
      </x:c>
      <x:c r="H9" s="9" t="str">
        <x:v>Rôle narratif; aucune statistique officielle déduite.</x:v>
      </x:c>
      <x:c r="I9" s="9" t="str">
        <x:v>Direction proposée : Turien plus âgé, tenue variant entre entraînement et service. Vérifier le costume sur l'édition autorisée avant peinture finale.</x:v>
      </x:c>
      <x:c r="J9" s="9" t="str">
        <x:v>Position d’instructeur, démonstration brève et écoute à distance.</x:v>
      </x:c>
      <x:c r="K9" s="9" t="str">
        <x:v>Interprétation originale; sous-titres attribués au locuteur et aucune reprise des voix du jeu.</x:v>
      </x:c>
      <x:c r="L9" s="9" t="str">
        <x:v>Livrable proposé : spécification HOM/npcs/act-father; brancher au registre de contenu de l'œuvre seulement après production.</x:v>
      </x:c>
      <x:c r="M9" s="9" t="str">
        <x:v>Conserver l’autonomie des quatre numéros et leurs raccords. Les variantes locales ne sauvent pas des personnages dont l’issue est fixée ni ne donnent à un jeune personnage son arsenal adulte.</x:v>
      </x:c>
      <x:c r="N9" s="9" t="str">
        <x:v>Père de Garrus possède une fiche de référence séparant rôle attesté, silhouette à contrôler et commandes proposées.</x:v>
      </x:c>
      <x:c r="O9" s="9" t="str"/>
      <x:c r="P9" s="9" t="str">
        <x:v>Homeworlds #3</x:v>
      </x:c>
      <x:c r="Q9" s="9" t="str">
        <x:v>HOM-S-ISSUE3</x:v>
      </x:c>
      <x:c r="R9" s="20" t="str">
        <x:v>https://masseffect.fandom.com/wiki/Mass_Effect%3A_Homeworlds_3</x:v>
      </x:c>
      <x:c r="S9" s="20" t="str">
        <x:v>Le rôle dans la source ne prouve ni recrutement jouable ni disponibilité permanente.</x:v>
      </x:c>
    </x:row>
    <x:row r="10" ht="68" customHeight="1">
      <x:c r="A10" s="19" t="str">
        <x:v>HOM-ACT-SIDONIS</x:v>
      </x:c>
      <x:c r="B10" s="7" t="str">
        <x:v>Sidonis</x:v>
      </x:c>
      <x:c r="C10" s="15" t="str">
        <x:v>Défini</x:v>
      </x:c>
      <x:c r="D10" s="17" t="str">
        <x:v>À vérifier</x:v>
      </x:c>
      <x:c r="E10" s="17" t="str">
        <x:v>P1</x:v>
      </x:c>
      <x:c r="F10" s="7" t="str">
        <x:v>Sidonis intervient dans la période Archangel.</x:v>
      </x:c>
      <x:c r="G10" s="7" t="str">
        <x:v>Membre du contexte de l’équipe; disponibilité narrative contrôlée.</x:v>
      </x:c>
      <x:c r="H10" s="7" t="str">
        <x:v>Rôle narratif; aucune statistique officielle déduite.</x:v>
      </x:c>
      <x:c r="I10" s="7" t="str">
        <x:v>Direction proposée : Turien de terrain et silhouette plus fermée que Garrus; armure à vérifier. Vérifier le costume sur l'édition autorisée avant peinture finale.</x:v>
      </x:c>
      <x:c r="J10" s="7" t="str">
        <x:v>Regard évitant, déplacement au couvert et conversation courte.</x:v>
      </x:c>
      <x:c r="K10" s="7" t="str">
        <x:v>Interprétation originale; sous-titres attribués au locuteur et aucune reprise des voix du jeu.</x:v>
      </x:c>
      <x:c r="L10" s="7" t="str">
        <x:v>Livrable proposé : spécification HOM/npcs/act-sidonis; brancher au registre de contenu de l'œuvre seulement après production.</x:v>
      </x:c>
      <x:c r="M10" s="7" t="str">
        <x:v>Conserver l’autonomie des quatre numéros et leurs raccords. Les variantes locales ne sauvent pas des personnages dont l’issue est fixée ni ne donnent à un jeune personnage son arsenal adulte.</x:v>
      </x:c>
      <x:c r="N10" s="7" t="str">
        <x:v>Sidonis possède une fiche de référence séparant rôle attesté, silhouette à contrôler et commandes proposées.</x:v>
      </x:c>
      <x:c r="O10" s="7" t="str"/>
      <x:c r="P10" s="7" t="str">
        <x:v>Homeworlds #3</x:v>
      </x:c>
      <x:c r="Q10" s="7" t="str">
        <x:v>HOM-S-ISSUE3</x:v>
      </x:c>
      <x:c r="R10" s="21" t="str">
        <x:v>https://masseffect.fandom.com/wiki/Mass_Effect%3A_Homeworlds_3</x:v>
      </x:c>
      <x:c r="S10" s="21" t="str">
        <x:v>Le rôle dans la source ne prouve ni recrutement jouable ni disponibilité permanente.</x:v>
      </x:c>
    </x:row>
    <x:row r="11" ht="68" customHeight="1">
      <x:c r="A11" s="18" t="str">
        <x:v>HOM-ACT-PASSANTE</x:v>
      </x:c>
      <x:c r="B11" s="9" t="str">
        <x:v>Docteur Passante</x:v>
      </x:c>
      <x:c r="C11" s="15" t="str">
        <x:v>Défini</x:v>
      </x:c>
      <x:c r="D11" s="16" t="str">
        <x:v>À vérifier</x:v>
      </x:c>
      <x:c r="E11" s="16" t="str">
        <x:v>P1</x:v>
      </x:c>
      <x:c r="F11" s="9" t="str">
        <x:v>Passante rencontre Liara sur Thessia.</x:v>
      </x:c>
      <x:c r="G11" s="9" t="str">
        <x:v>Interlocutrice d’archive et de parcours personnel.</x:v>
      </x:c>
      <x:c r="H11" s="9" t="str">
        <x:v>Rôle narratif; aucune statistique officielle déduite.</x:v>
      </x:c>
      <x:c r="I11" s="9" t="str">
        <x:v>Direction proposée : Tenue savante asari proposée, matériel de consultation discret. Vérifier le costume sur l'édition autorisée avant peinture finale.</x:v>
      </x:c>
      <x:c r="J11" s="9" t="str">
        <x:v>Désignation d’une archive, réflexion et salut.</x:v>
      </x:c>
      <x:c r="K11" s="9" t="str">
        <x:v>Interprétation originale; sous-titres attribués au locuteur et aucune reprise des voix du jeu.</x:v>
      </x:c>
      <x:c r="L11" s="9" t="str">
        <x:v>Livrable proposé : spécification HOM/npcs/act-passante; brancher au registre de contenu de l'œuvre seulement après production.</x:v>
      </x:c>
      <x:c r="M11" s="9" t="str">
        <x:v>Conserver l’autonomie des quatre numéros et leurs raccords. Les variantes locales ne sauvent pas des personnages dont l’issue est fixée ni ne donnent à un jeune personnage son arsenal adulte.</x:v>
      </x:c>
      <x:c r="N11" s="9" t="str">
        <x:v>Docteur Passante possède une fiche de référence séparant rôle attesté, silhouette à contrôler et commandes proposées.</x:v>
      </x:c>
      <x:c r="O11" s="9" t="str"/>
      <x:c r="P11" s="9" t="str">
        <x:v>Homeworlds #4</x:v>
      </x:c>
      <x:c r="Q11" s="9" t="str">
        <x:v>HOM-S-ISSUE4</x:v>
      </x:c>
      <x:c r="R11" s="20" t="str">
        <x:v>https://masseffect.fandom.com/wiki/Mass_Effect%3A_Homeworlds_4</x:v>
      </x:c>
      <x:c r="S11" s="20" t="str">
        <x:v>Le rôle dans la source ne prouve ni recrutement jouable ni disponibilité permanente.</x:v>
      </x:c>
    </x:row>
    <x:row r="12" ht="68" customHeight="1">
      <x:c r="A12" s="19" t="str">
        <x:v>HOM-ACT-HACKETT</x:v>
      </x:c>
      <x:c r="B12" s="7" t="str">
        <x:v>Amiral Hackett</x:v>
      </x:c>
      <x:c r="C12" s="15" t="str">
        <x:v>Défini</x:v>
      </x:c>
      <x:c r="D12" s="17" t="str">
        <x:v>À vérifier</x:v>
      </x:c>
      <x:c r="E12" s="17" t="str">
        <x:v>P1</x:v>
      </x:c>
      <x:c r="F12" s="7" t="str">
        <x:v>Hackett communique avec Liara dans son enquête.</x:v>
      </x:c>
      <x:c r="G12" s="7" t="str">
        <x:v>Interlocuteur distant pour le raccord documentaire.</x:v>
      </x:c>
      <x:c r="H12" s="7" t="str">
        <x:v>Rôle narratif; aucune statistique officielle déduite.</x:v>
      </x:c>
      <x:c r="I12" s="7" t="str">
        <x:v>Direction proposée : Portrait d’officier en communication, sans présence physique ajoutée sur Kahje. Vérifier le costume sur l'édition autorisée avant peinture finale.</x:v>
      </x:c>
      <x:c r="J12" s="7" t="str">
        <x:v>Hologramme stable, consultation puis fermeture du canal.</x:v>
      </x:c>
      <x:c r="K12" s="7" t="str">
        <x:v>Interprétation originale; sous-titres attribués au locuteur et aucune reprise des voix du jeu.</x:v>
      </x:c>
      <x:c r="L12" s="7" t="str">
        <x:v>Livrable proposé : spécification HOM/npcs/act-hackett; brancher au registre de contenu de l'œuvre seulement après production.</x:v>
      </x:c>
      <x:c r="M12" s="7" t="str">
        <x:v>Conserver l’autonomie des quatre numéros et leurs raccords. Les variantes locales ne sauvent pas des personnages dont l’issue est fixée ni ne donnent à un jeune personnage son arsenal adulte.</x:v>
      </x:c>
      <x:c r="N12" s="7" t="str">
        <x:v>Amiral Hackett possède une fiche de référence séparant rôle attesté, silhouette à contrôler et commandes proposées.</x:v>
      </x:c>
      <x:c r="O12" s="7" t="str"/>
      <x:c r="P12" s="7" t="str">
        <x:v>Homeworlds #4</x:v>
      </x:c>
      <x:c r="Q12" s="7" t="str">
        <x:v>HOM-S-ISSUE4</x:v>
      </x:c>
      <x:c r="R12" s="21" t="str">
        <x:v>https://masseffect.fandom.com/wiki/Mass_Effect%3A_Homeworlds_4</x:v>
      </x:c>
      <x:c r="S12" s="21" t="str">
        <x:v>Le rôle dans la source ne prouve ni recrutement jouable ni disponibilité permanente.</x:v>
      </x:c>
    </x:row>
  </x:sheetData>
  <x:conditionalFormatting sqref="D7:D12">
    <x:cfRule type="cellIs" dxfId="4" priority="1" operator="equal">
      <x:formula>"À vérifier"</x:formula>
    </x:cfRule>
    <x:cfRule type="cellIs" dxfId="5" priority="2" operator="equal">
      <x:formula>"Extrapolation"</x:formula>
    </x:cfRule>
  </x:conditionalFormatting>
  <x:conditionalFormatting sqref="C7:C12">
    <x:cfRule type="cellIs" dxfId="6" priority="3" operator="equal">
      <x:formula>"Validé"</x:formula>
    </x:cfRule>
  </x:conditionalFormatting>
  <x:conditionalFormatting sqref="E7:E12">
    <x:cfRule type="cellIs" dxfId="7" priority="4" operator="equal">
      <x:formula>"P0"</x:formula>
    </x:cfRule>
  </x:conditionalFormatting>
  <x:dataValidations count="3">
    <x:dataValidation type="list" sqref="C7:C12">
      <x:formula1>"Défini,Prototype,Intégré,Validé"</x:formula1>
    </x:dataValidation>
    <x:dataValidation type="list" sqref="D7:D12">
      <x:formula1>"Établi,À vérifier,Extrapolation,Coupé attesté,Concept abandonné,Allégation écartée"</x:formula1>
    </x:dataValidation>
    <x:dataValidation type="list" sqref="E7:E12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0dbc8a4e534426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102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Espèces et factions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Homeworlds — Espèces, organisations et règles culturelles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54" customHeight="1">
      <x:c r="A7" s="18" t="str">
        <x:v>HOM-REF-SCOPE</x:v>
      </x:c>
      <x:c r="B7" s="9" t="str">
        <x:v>Quatre récits de personnages</x:v>
      </x:c>
      <x:c r="C7" s="15" t="str">
        <x:v>Défini</x:v>
      </x:c>
      <x:c r="D7" s="16" t="str">
        <x:v>Établi</x:v>
      </x:c>
      <x:c r="E7" s="16" t="str">
        <x:v>P0</x:v>
      </x:c>
      <x:c r="F7" s="9" t="str">
        <x:v>Le recueil réunit Homeworlds #1–4 autour de Vega, Tali, Garrus et Liara.</x:v>
      </x:c>
      <x:c r="G7" s="9" t="str">
        <x:v>Conserver cet ancrage dans les données éditoriales; les variantes de jeu restent dans un espace séparé.</x:v>
      </x:c>
      <x:c r="H7" s="9" t="str"/>
      <x:c r="I7" s="9" t="str"/>
      <x:c r="J7" s="9" t="str"/>
      <x:c r="K7" s="9" t="str"/>
      <x:c r="L7" s="9" t="str">
        <x:v>Livrable proposé : spécification HOM/lore/ref-scope; brancher au registre de contenu de l'œuvre seulement après production.</x:v>
      </x:c>
      <x:c r="M7" s="9" t="str">
        <x:v>Vérifier toute précision non contenue dans cette notice avant de la déclarer canon.</x:v>
      </x:c>
      <x:c r="N7" s="9" t="str">
        <x:v>Le dossier cite la source BOOK et distingue cette information de toute règle de gameplay.</x:v>
      </x:c>
      <x:c r="O7" s="9" t="str"/>
      <x:c r="P7" s="9" t="str">
        <x:v>Mass Effect: Homeworlds, série concernée</x:v>
      </x:c>
      <x:c r="Q7" s="9" t="str">
        <x:v>HOM-S-BOOK</x:v>
      </x:c>
      <x:c r="R7" s="20" t="str">
        <x:v>https://www.penguinrandomhouse.com/books/241700/mass-effect-volume-4-homeworlds-by-mac-walters-various-artists/</x:v>
      </x:c>
      <x:c r="S7" s="20" t="str">
        <x:v>Fait résumé brièvement; aucun dialogue ni découpage intégral du comic reproduit.</x:v>
      </x:c>
    </x:row>
    <x:row r="8" ht="54" customHeight="1">
      <x:c r="A8" s="19" t="str">
        <x:v>HOM-REF-ISSUE1</x:v>
      </x:c>
      <x:c r="B8" s="7" t="str">
        <x:v>#1 — James Vega</x:v>
      </x:c>
      <x:c r="C8" s="15" t="str">
        <x:v>Défini</x:v>
      </x:c>
      <x:c r="D8" s="17" t="str">
        <x:v>À vérifier</x:v>
      </x:c>
      <x:c r="E8" s="17" t="str">
        <x:v>P0</x:v>
      </x:c>
      <x:c r="F8" s="7" t="str">
        <x:v>Le premier numéro est consacré à James Vega.</x:v>
      </x:c>
      <x:c r="G8" s="7" t="str">
        <x:v>Conserver cet ancrage dans les données éditoriales; les variantes de jeu restent dans un espace séparé.</x:v>
      </x:c>
      <x:c r="H8" s="7" t="str"/>
      <x:c r="I8" s="7" t="str"/>
      <x:c r="J8" s="7" t="str"/>
      <x:c r="K8" s="7" t="str"/>
      <x:c r="L8" s="7" t="str">
        <x:v>Livrable proposé : spécification HOM/lore/ref-issue1; brancher au registre de contenu de l'œuvre seulement après production.</x:v>
      </x:c>
      <x:c r="M8" s="7" t="str">
        <x:v>Vérifier toute précision non contenue dans cette notice avant de la déclarer canon.</x:v>
      </x:c>
      <x:c r="N8" s="7" t="str">
        <x:v>Le dossier cite la source ISSUE1 et distingue cette information de toute règle de gameplay.</x:v>
      </x:c>
      <x:c r="O8" s="7" t="str"/>
      <x:c r="P8" s="7" t="str">
        <x:v>Homeworlds #1</x:v>
      </x:c>
      <x:c r="Q8" s="7" t="str">
        <x:v>HOM-S-ISSUE1</x:v>
      </x:c>
      <x:c r="R8" s="21" t="str">
        <x:v>https://masseffect.fandom.com/wiki/Mass_Effect%3A_Homeworlds_1</x:v>
      </x:c>
      <x:c r="S8" s="21" t="str">
        <x:v>Fait résumé brièvement; aucun dialogue ni découpage intégral du comic reproduit.</x:v>
      </x:c>
    </x:row>
    <x:row r="9" ht="54" customHeight="1">
      <x:c r="A9" s="18" t="str">
        <x:v>HOM-REF-ISSUE2</x:v>
      </x:c>
      <x:c r="B9" s="9" t="str">
        <x:v>#2 — Tali’Zorah</x:v>
      </x:c>
      <x:c r="C9" s="15" t="str">
        <x:v>Défini</x:v>
      </x:c>
      <x:c r="D9" s="16" t="str">
        <x:v>À vérifier</x:v>
      </x:c>
      <x:c r="E9" s="16" t="str">
        <x:v>P0</x:v>
      </x:c>
      <x:c r="F9" s="9" t="str">
        <x:v>Le deuxième numéro suit Tali poursuivie après une découverte compromettante.</x:v>
      </x:c>
      <x:c r="G9" s="9" t="str">
        <x:v>Conserver cet ancrage dans les données éditoriales; les variantes de jeu restent dans un espace séparé.</x:v>
      </x:c>
      <x:c r="H9" s="9" t="str"/>
      <x:c r="I9" s="9" t="str"/>
      <x:c r="J9" s="9" t="str"/>
      <x:c r="K9" s="9" t="str"/>
      <x:c r="L9" s="9" t="str">
        <x:v>Livrable proposé : spécification HOM/lore/ref-issue2; brancher au registre de contenu de l'œuvre seulement après production.</x:v>
      </x:c>
      <x:c r="M9" s="9" t="str">
        <x:v>Vérifier toute précision non contenue dans cette notice avant de la déclarer canon.</x:v>
      </x:c>
      <x:c r="N9" s="9" t="str">
        <x:v>Le dossier cite la source ISSUE2 et distingue cette information de toute règle de gameplay.</x:v>
      </x:c>
      <x:c r="O9" s="9" t="str"/>
      <x:c r="P9" s="9" t="str">
        <x:v>Homeworlds #2</x:v>
      </x:c>
      <x:c r="Q9" s="9" t="str">
        <x:v>HOM-S-ISSUE2</x:v>
      </x:c>
      <x:c r="R9" s="20" t="str">
        <x:v>https://masseffect.fandom.com/wiki/Mass_Effect%3A_Homeworlds_2</x:v>
      </x:c>
      <x:c r="S9" s="20" t="str">
        <x:v>Fait résumé brièvement; aucun dialogue ni découpage intégral du comic reproduit.</x:v>
      </x:c>
    </x:row>
    <x:row r="10" ht="54" customHeight="1">
      <x:c r="A10" s="19" t="str">
        <x:v>HOM-REF-ISSUE3</x:v>
      </x:c>
      <x:c r="B10" s="7" t="str">
        <x:v>#3 — Garrus Vakarian</x:v>
      </x:c>
      <x:c r="C10" s="15" t="str">
        <x:v>Défini</x:v>
      </x:c>
      <x:c r="D10" s="17" t="str">
        <x:v>À vérifier</x:v>
      </x:c>
      <x:c r="E10" s="17" t="str">
        <x:v>P0</x:v>
      </x:c>
      <x:c r="F10" s="7" t="str">
        <x:v>Le troisième numéro est consacré à Garrus, son passé et sa période Archangel.</x:v>
      </x:c>
      <x:c r="G10" s="7" t="str">
        <x:v>Conserver cet ancrage dans les données éditoriales; les variantes de jeu restent dans un espace séparé.</x:v>
      </x:c>
      <x:c r="H10" s="7" t="str"/>
      <x:c r="I10" s="7" t="str"/>
      <x:c r="J10" s="7" t="str"/>
      <x:c r="K10" s="7" t="str"/>
      <x:c r="L10" s="7" t="str">
        <x:v>Livrable proposé : spécification HOM/lore/ref-issue3; brancher au registre de contenu de l'œuvre seulement après production.</x:v>
      </x:c>
      <x:c r="M10" s="7" t="str">
        <x:v>Vérifier toute précision non contenue dans cette notice avant de la déclarer canon.</x:v>
      </x:c>
      <x:c r="N10" s="7" t="str">
        <x:v>Le dossier cite la source ISSUE3 et distingue cette information de toute règle de gameplay.</x:v>
      </x:c>
      <x:c r="O10" s="7" t="str"/>
      <x:c r="P10" s="7" t="str">
        <x:v>Homeworlds #3</x:v>
      </x:c>
      <x:c r="Q10" s="7" t="str">
        <x:v>HOM-S-ISSUE3</x:v>
      </x:c>
      <x:c r="R10" s="21" t="str">
        <x:v>https://masseffect.fandom.com/wiki/Mass_Effect%3A_Homeworlds_3</x:v>
      </x:c>
      <x:c r="S10" s="21" t="str">
        <x:v>Fait résumé brièvement; aucun dialogue ni découpage intégral du comic reproduit.</x:v>
      </x:c>
    </x:row>
    <x:row r="11" ht="54" customHeight="1">
      <x:c r="A11" s="18" t="str">
        <x:v>HOM-REF-ISSUE4</x:v>
      </x:c>
      <x:c r="B11" s="9" t="str">
        <x:v>#4 — Liara T’Soni</x:v>
      </x:c>
      <x:c r="C11" s="15" t="str">
        <x:v>Défini</x:v>
      </x:c>
      <x:c r="D11" s="16" t="str">
        <x:v>Établi</x:v>
      </x:c>
      <x:c r="E11" s="16" t="str">
        <x:v>P0</x:v>
      </x:c>
      <x:c r="F11" s="9" t="str">
        <x:v>Liara, devenue Courtier de l’ombre, cherche des informations contre la menace des Moissonneurs.</x:v>
      </x:c>
      <x:c r="G11" s="9" t="str">
        <x:v>Conserver cet ancrage dans les données éditoriales; les variantes de jeu restent dans un espace séparé.</x:v>
      </x:c>
      <x:c r="H11" s="9" t="str"/>
      <x:c r="I11" s="9" t="str"/>
      <x:c r="J11" s="9" t="str"/>
      <x:c r="K11" s="9" t="str"/>
      <x:c r="L11" s="9" t="str">
        <x:v>Livrable proposé : spécification HOM/lore/ref-issue4; brancher au registre de contenu de l'œuvre seulement après production.</x:v>
      </x:c>
      <x:c r="M11" s="9" t="str">
        <x:v>Vérifier toute précision non contenue dans cette notice avant de la déclarer canon.</x:v>
      </x:c>
      <x:c r="N11" s="9" t="str">
        <x:v>Le dossier cite la source DH4 et distingue cette information de toute règle de gameplay.</x:v>
      </x:c>
      <x:c r="O11" s="9" t="str"/>
      <x:c r="P11" s="9" t="str">
        <x:v>Homeworlds #4</x:v>
      </x:c>
      <x:c r="Q11" s="9" t="str">
        <x:v>HOM-S-DH4</x:v>
      </x:c>
      <x:c r="R11" s="20" t="str">
        <x:v>https://www.darkhorse.com/Comics/21-313/Mass-Effect-Homeworlds-4-Mike-Hawthorne-variant-cover</x:v>
      </x:c>
      <x:c r="S11" s="20" t="str">
        <x:v>Fait résumé brièvement; aucun dialogue ni découpage intégral du comic reproduit.</x:v>
      </x:c>
    </x:row>
    <x:row r="12" ht="68" customHeight="1">
      <x:c r="A12" s="19" t="str">
        <x:v>HOM-SC-VEGA-YOUTH-REF</x:v>
      </x:c>
      <x:c r="B12" s="7" t="str">
        <x:v>#1 — choisir sa voie</x:v>
      </x:c>
      <x:c r="C12" s="15" t="str">
        <x:v>Défini</x:v>
      </x:c>
      <x:c r="D12" s="17" t="str">
        <x:v>À vérifier</x:v>
      </x:c>
      <x:c r="E12" s="17" t="str">
        <x:v>P1</x:v>
      </x:c>
      <x:c r="F12" s="7" t="str">
        <x:v>James jeune est pris dans un conflit familial et une fuite urbaine. </x:v>
      </x:c>
      <x:c r="G12" s="7" t="str">
        <x:v>Ancrage du module; les intitulés de quêtes et options ci-dessous sont des créations de production.</x:v>
      </x:c>
      <x:c r="H12" s="7" t="str"/>
      <x:c r="I12" s="7" t="str"/>
      <x:c r="J12" s="7" t="str"/>
      <x:c r="K12" s="7" t="str"/>
      <x:c r="L12" s="7" t="str">
        <x:v>Livrable proposé : spécification HOM/lore/sc-vega-youth-ref; brancher au registre de contenu de l'œuvre seulement après production.</x:v>
      </x:c>
      <x:c r="M12" s="7" t="str">
        <x:v>Conserver l’autonomie des quatre numéros et leurs raccords. Les variantes locales ne sauvent pas des personnages dont l’issue est fixée ni ne donnent à un jeune personnage son arsenal adulte.</x:v>
      </x:c>
      <x:c r="N12" s="7" t="str">
        <x:v>L’ancrage reste bref et son numéro/segment est identifiable dans les sources; les détails non confirmés portent À vérifier.</x:v>
      </x:c>
      <x:c r="O12" s="7" t="str"/>
      <x:c r="P12" s="7" t="str">
        <x:v>Homeworlds #1</x:v>
      </x:c>
      <x:c r="Q12" s="7" t="str">
        <x:v>HOM-S-ISSUE1</x:v>
      </x:c>
      <x:c r="R12" s="21" t="str">
        <x:v>https://masseffect.fandom.com/wiki/Mass_Effect%3A_Homeworlds_1</x:v>
      </x:c>
      <x:c r="S12" s="21" t="str">
        <x:v>Ne remplace pas la lecture du numéro.</x:v>
      </x:c>
    </x:row>
    <x:row r="13" ht="68" customHeight="1">
      <x:c r="A13" s="18" t="str">
        <x:v>HOM-SC-VEGA-PRESENT-REF</x:v>
      </x:c>
      <x:c r="B13" s="9" t="str">
        <x:v>#1 — rechercher les proches</x:v>
      </x:c>
      <x:c r="C13" s="15" t="str">
        <x:v>Défini</x:v>
      </x:c>
      <x:c r="D13" s="16" t="str">
        <x:v>À vérifier</x:v>
      </x:c>
      <x:c r="E13" s="16" t="str">
        <x:v>P1</x:v>
      </x:c>
      <x:c r="F13" s="9" t="str">
        <x:v>Le cadre du premier numéro montre James cherchant des nouvelles de sa famille sur la Citadelle. </x:v>
      </x:c>
      <x:c r="G13" s="9" t="str">
        <x:v>Ancrage du module; les intitulés de quêtes et options ci-dessous sont des créations de production.</x:v>
      </x:c>
      <x:c r="H13" s="9" t="str"/>
      <x:c r="I13" s="9" t="str"/>
      <x:c r="J13" s="9" t="str"/>
      <x:c r="K13" s="9" t="str"/>
      <x:c r="L13" s="9" t="str">
        <x:v>Livrable proposé : spécification HOM/lore/sc-vega-present-ref; brancher au registre de contenu de l'œuvre seulement après production.</x:v>
      </x:c>
      <x:c r="M13" s="9" t="str">
        <x:v>Conserver l’autonomie des quatre numéros et leurs raccords. Les variantes locales ne sauvent pas des personnages dont l’issue est fixée ni ne donnent à un jeune personnage son arsenal adulte.</x:v>
      </x:c>
      <x:c r="N13" s="9" t="str">
        <x:v>L’ancrage reste bref et son numéro/segment est identifiable dans les sources; les détails non confirmés portent À vérifier.</x:v>
      </x:c>
      <x:c r="O13" s="9" t="str"/>
      <x:c r="P13" s="9" t="str">
        <x:v>Homeworlds #1</x:v>
      </x:c>
      <x:c r="Q13" s="9" t="str">
        <x:v>HOM-S-ISSUE1</x:v>
      </x:c>
      <x:c r="R13" s="20" t="str">
        <x:v>https://masseffect.fandom.com/wiki/Mass_Effect%3A_Homeworlds_1</x:v>
      </x:c>
      <x:c r="S13" s="20" t="str">
        <x:v>Ne remplace pas la lecture du numéro.</x:v>
      </x:c>
    </x:row>
    <x:row r="14" ht="68" customHeight="1">
      <x:c r="A14" s="19" t="str">
        <x:v>HOM-SC-TALI-TRACE-REF</x:v>
      </x:c>
      <x:c r="B14" s="7" t="str">
        <x:v>#2 — protéger la découverte</x:v>
      </x:c>
      <x:c r="C14" s="15" t="str">
        <x:v>Défini</x:v>
      </x:c>
      <x:c r="D14" s="17" t="str">
        <x:v>À vérifier</x:v>
      </x:c>
      <x:c r="E14" s="17" t="str">
        <x:v>P1</x:v>
      </x:c>
      <x:c r="F14" s="7" t="str">
        <x:v>Tali est poursuivie après une découverte compromettante. </x:v>
      </x:c>
      <x:c r="G14" s="7" t="str">
        <x:v>Ancrage du module; les intitulés de quêtes et options ci-dessous sont des créations de production.</x:v>
      </x:c>
      <x:c r="H14" s="7" t="str"/>
      <x:c r="I14" s="7" t="str"/>
      <x:c r="J14" s="7" t="str"/>
      <x:c r="K14" s="7" t="str"/>
      <x:c r="L14" s="7" t="str">
        <x:v>Livrable proposé : spécification HOM/lore/sc-tali-trace-ref; brancher au registre de contenu de l'œuvre seulement après production.</x:v>
      </x:c>
      <x:c r="M14" s="7" t="str">
        <x:v>Conserver l’autonomie des quatre numéros et leurs raccords. Les variantes locales ne sauvent pas des personnages dont l’issue est fixée ni ne donnent à un jeune personnage son arsenal adulte.</x:v>
      </x:c>
      <x:c r="N14" s="7" t="str">
        <x:v>L’ancrage reste bref et son numéro/segment est identifiable dans les sources; les détails non confirmés portent À vérifier.</x:v>
      </x:c>
      <x:c r="O14" s="7" t="str"/>
      <x:c r="P14" s="7" t="str">
        <x:v>Homeworlds #2</x:v>
      </x:c>
      <x:c r="Q14" s="7" t="str">
        <x:v>HOM-S-ISSUE2</x:v>
      </x:c>
      <x:c r="R14" s="21" t="str">
        <x:v>https://masseffect.fandom.com/wiki/Mass_Effect%3A_Homeworlds_2</x:v>
      </x:c>
      <x:c r="S14" s="21" t="str">
        <x:v>Ne remplace pas la lecture du numéro.</x:v>
      </x:c>
    </x:row>
    <x:row r="15" ht="68" customHeight="1">
      <x:c r="A15" s="18" t="str">
        <x:v>HOM-SC-TALI-CITADEL-REF</x:v>
      </x:c>
      <x:c r="B15" s="9" t="str">
        <x:v>#2 — demander de l’aide</x:v>
      </x:c>
      <x:c r="C15" s="15" t="str">
        <x:v>Défini</x:v>
      </x:c>
      <x:c r="D15" s="16" t="str">
        <x:v>À vérifier</x:v>
      </x:c>
      <x:c r="E15" s="16" t="str">
        <x:v>P1</x:v>
      </x:c>
      <x:c r="F15" s="9" t="str">
        <x:v>Le synopsis du numéro décrit les difficultés de Tali à obtenir de l’aide sur la Citadelle. </x:v>
      </x:c>
      <x:c r="G15" s="9" t="str">
        <x:v>Ancrage du module; les intitulés de quêtes et options ci-dessous sont des créations de production.</x:v>
      </x:c>
      <x:c r="H15" s="9" t="str"/>
      <x:c r="I15" s="9" t="str"/>
      <x:c r="J15" s="9" t="str"/>
      <x:c r="K15" s="9" t="str"/>
      <x:c r="L15" s="9" t="str">
        <x:v>Livrable proposé : spécification HOM/lore/sc-tali-citadel-ref; brancher au registre de contenu de l'œuvre seulement après production.</x:v>
      </x:c>
      <x:c r="M15" s="9" t="str">
        <x:v>Conserver l’autonomie des quatre numéros et leurs raccords. Les variantes locales ne sauvent pas des personnages dont l’issue est fixée ni ne donnent à un jeune personnage son arsenal adulte.</x:v>
      </x:c>
      <x:c r="N15" s="9" t="str">
        <x:v>L’ancrage reste bref et son numéro/segment est identifiable dans les sources; les détails non confirmés portent À vérifier.</x:v>
      </x:c>
      <x:c r="O15" s="9" t="str"/>
      <x:c r="P15" s="9" t="str">
        <x:v>Homeworlds #2</x:v>
      </x:c>
      <x:c r="Q15" s="9" t="str">
        <x:v>HOM-S-ISSUE2</x:v>
      </x:c>
      <x:c r="R15" s="20" t="str">
        <x:v>https://masseffect.fandom.com/wiki/Mass_Effect%3A_Homeworlds_2</x:v>
      </x:c>
      <x:c r="S15" s="20" t="str">
        <x:v>Ne remplace pas la lecture du numéro.</x:v>
      </x:c>
    </x:row>
    <x:row r="16" ht="68" customHeight="1">
      <x:c r="A16" s="19" t="str">
        <x:v>HOM-SC-GARRUS-PAST-REF</x:v>
      </x:c>
      <x:c r="B16" s="7" t="str">
        <x:v>#3 — leçons et limites</x:v>
      </x:c>
      <x:c r="C16" s="15" t="str">
        <x:v>Défini</x:v>
      </x:c>
      <x:c r="D16" s="17" t="str">
        <x:v>À vérifier</x:v>
      </x:c>
      <x:c r="E16" s="17" t="str">
        <x:v>P1</x:v>
      </x:c>
      <x:c r="F16" s="7" t="str">
        <x:v>Les souvenirs de Garrus opposent formation familiale et expérience du service. </x:v>
      </x:c>
      <x:c r="G16" s="7" t="str">
        <x:v>Ancrage du module; les intitulés de quêtes et options ci-dessous sont des créations de production.</x:v>
      </x:c>
      <x:c r="H16" s="7" t="str"/>
      <x:c r="I16" s="7" t="str"/>
      <x:c r="J16" s="7" t="str"/>
      <x:c r="K16" s="7" t="str"/>
      <x:c r="L16" s="7" t="str">
        <x:v>Livrable proposé : spécification HOM/lore/sc-garrus-past-ref; brancher au registre de contenu de l'œuvre seulement après production.</x:v>
      </x:c>
      <x:c r="M16" s="7" t="str">
        <x:v>Conserver l’autonomie des quatre numéros et leurs raccords. Les variantes locales ne sauvent pas des personnages dont l’issue est fixée ni ne donnent à un jeune personnage son arsenal adulte.</x:v>
      </x:c>
      <x:c r="N16" s="7" t="str">
        <x:v>L’ancrage reste bref et son numéro/segment est identifiable dans les sources; les détails non confirmés portent À vérifier.</x:v>
      </x:c>
      <x:c r="O16" s="7" t="str"/>
      <x:c r="P16" s="7" t="str">
        <x:v>Homeworlds #3</x:v>
      </x:c>
      <x:c r="Q16" s="7" t="str">
        <x:v>HOM-S-ISSUE3</x:v>
      </x:c>
      <x:c r="R16" s="21" t="str">
        <x:v>https://masseffect.fandom.com/wiki/Mass_Effect%3A_Homeworlds_3</x:v>
      </x:c>
      <x:c r="S16" s="21" t="str">
        <x:v>Ne remplace pas la lecture du numéro.</x:v>
      </x:c>
    </x:row>
    <x:row r="17" ht="68" customHeight="1">
      <x:c r="A17" s="18" t="str">
        <x:v>HOM-SC-GARRUS-OMEGA-REF</x:v>
      </x:c>
      <x:c r="B17" s="9" t="str">
        <x:v>#3 — tenir comme Archangel</x:v>
      </x:c>
      <x:c r="C17" s="15" t="str">
        <x:v>Défini</x:v>
      </x:c>
      <x:c r="D17" s="16" t="str">
        <x:v>À vérifier</x:v>
      </x:c>
      <x:c r="E17" s="16" t="str">
        <x:v>P1</x:v>
      </x:c>
      <x:c r="F17" s="9" t="str">
        <x:v>Garrus tient une position sur Omega dans le cadre du troisième numéro. </x:v>
      </x:c>
      <x:c r="G17" s="9" t="str">
        <x:v>Ancrage du module; les intitulés de quêtes et options ci-dessous sont des créations de production.</x:v>
      </x:c>
      <x:c r="H17" s="9" t="str"/>
      <x:c r="I17" s="9" t="str"/>
      <x:c r="J17" s="9" t="str"/>
      <x:c r="K17" s="9" t="str"/>
      <x:c r="L17" s="9" t="str">
        <x:v>Livrable proposé : spécification HOM/lore/sc-garrus-omega-ref; brancher au registre de contenu de l'œuvre seulement après production.</x:v>
      </x:c>
      <x:c r="M17" s="9" t="str">
        <x:v>Conserver l’autonomie des quatre numéros et leurs raccords. Les variantes locales ne sauvent pas des personnages dont l’issue est fixée ni ne donnent à un jeune personnage son arsenal adulte.</x:v>
      </x:c>
      <x:c r="N17" s="9" t="str">
        <x:v>L’ancrage reste bref et son numéro/segment est identifiable dans les sources; les détails non confirmés portent À vérifier.</x:v>
      </x:c>
      <x:c r="O17" s="9" t="str"/>
      <x:c r="P17" s="9" t="str">
        <x:v>Homeworlds #3</x:v>
      </x:c>
      <x:c r="Q17" s="9" t="str">
        <x:v>HOM-S-ISSUE3</x:v>
      </x:c>
      <x:c r="R17" s="20" t="str">
        <x:v>https://masseffect.fandom.com/wiki/Mass_Effect%3A_Homeworlds_3</x:v>
      </x:c>
      <x:c r="S17" s="20" t="str">
        <x:v>Ne remplace pas la lecture du numéro.</x:v>
      </x:c>
    </x:row>
    <x:row r="18" ht="68" customHeight="1">
      <x:c r="A18" s="19" t="str">
        <x:v>HOM-SC-LIARA-ARCHIVE-REF</x:v>
      </x:c>
      <x:c r="B18" s="7" t="str">
        <x:v>#4 — suivre les archives</x:v>
      </x:c>
      <x:c r="C18" s="15" t="str">
        <x:v>Défini</x:v>
      </x:c>
      <x:c r="D18" s="17" t="str">
        <x:v>À vérifier</x:v>
      </x:c>
      <x:c r="E18" s="17" t="str">
        <x:v>P1</x:v>
      </x:c>
      <x:c r="F18" s="7" t="str">
        <x:v>Liara cherche une piste sur Thessia puis Kahje. </x:v>
      </x:c>
      <x:c r="G18" s="7" t="str">
        <x:v>Ancrage du module; les intitulés de quêtes et options ci-dessous sont des créations de production.</x:v>
      </x:c>
      <x:c r="H18" s="7" t="str"/>
      <x:c r="I18" s="7" t="str"/>
      <x:c r="J18" s="7" t="str"/>
      <x:c r="K18" s="7" t="str"/>
      <x:c r="L18" s="7" t="str">
        <x:v>Livrable proposé : spécification HOM/lore/sc-liara-archive-ref; brancher au registre de contenu de l'œuvre seulement après production.</x:v>
      </x:c>
      <x:c r="M18" s="7" t="str">
        <x:v>Conserver l’autonomie des quatre numéros et leurs raccords. Les variantes locales ne sauvent pas des personnages dont l’issue est fixée ni ne donnent à un jeune personnage son arsenal adulte.</x:v>
      </x:c>
      <x:c r="N18" s="7" t="str">
        <x:v>L’ancrage reste bref et son numéro/segment est identifiable dans les sources; les détails non confirmés portent À vérifier.</x:v>
      </x:c>
      <x:c r="O18" s="7" t="str"/>
      <x:c r="P18" s="7" t="str">
        <x:v>Homeworlds #4</x:v>
      </x:c>
      <x:c r="Q18" s="7" t="str">
        <x:v>HOM-S-ISSUE4</x:v>
      </x:c>
      <x:c r="R18" s="21" t="str">
        <x:v>https://masseffect.fandom.com/wiki/Mass_Effect%3A_Homeworlds_4</x:v>
      </x:c>
      <x:c r="S18" s="21" t="str">
        <x:v>Ne remplace pas la lecture du numéro.</x:v>
      </x:c>
    </x:row>
    <x:row r="19" ht="68" customHeight="1">
      <x:c r="A19" s="18" t="str">
        <x:v>HOM-SC-LIARA-KAHJE-REF</x:v>
      </x:c>
      <x:c r="B19" s="9" t="str">
        <x:v>#4 — passage sous l’eau</x:v>
      </x:c>
      <x:c r="C19" s="15" t="str">
        <x:v>Défini</x:v>
      </x:c>
      <x:c r="D19" s="16" t="str">
        <x:v>À vérifier</x:v>
      </x:c>
      <x:c r="E19" s="16" t="str">
        <x:v>P1</x:v>
      </x:c>
      <x:c r="F19" s="9" t="str">
        <x:v>Liara protège un trajet aquatique et poursuit la recherche dans un sanctuaire. </x:v>
      </x:c>
      <x:c r="G19" s="9" t="str">
        <x:v>Ancrage du module; les intitulés de quêtes et options ci-dessous sont des créations de production.</x:v>
      </x:c>
      <x:c r="H19" s="9" t="str"/>
      <x:c r="I19" s="9" t="str"/>
      <x:c r="J19" s="9" t="str"/>
      <x:c r="K19" s="9" t="str"/>
      <x:c r="L19" s="9" t="str">
        <x:v>Livrable proposé : spécification HOM/lore/sc-liara-kahje-ref; brancher au registre de contenu de l'œuvre seulement après production.</x:v>
      </x:c>
      <x:c r="M19" s="9" t="str">
        <x:v>Conserver l’autonomie des quatre numéros et leurs raccords. Les variantes locales ne sauvent pas des personnages dont l’issue est fixée ni ne donnent à un jeune personnage son arsenal adulte.</x:v>
      </x:c>
      <x:c r="N19" s="9" t="str">
        <x:v>L’ancrage reste bref et son numéro/segment est identifiable dans les sources; les détails non confirmés portent À vérifier.</x:v>
      </x:c>
      <x:c r="O19" s="9" t="str"/>
      <x:c r="P19" s="9" t="str">
        <x:v>Homeworlds #4</x:v>
      </x:c>
      <x:c r="Q19" s="9" t="str">
        <x:v>HOM-S-ISSUE4</x:v>
      </x:c>
      <x:c r="R19" s="20" t="str">
        <x:v>https://masseffect.fandom.com/wiki/Mass_Effect%3A_Homeworlds_4</x:v>
      </x:c>
      <x:c r="S19" s="20" t="str">
        <x:v>Ne remplace pas la lecture du numéro.</x:v>
      </x:c>
    </x:row>
  </x:sheetData>
  <x:conditionalFormatting sqref="D7:D19">
    <x:cfRule type="cellIs" dxfId="8" priority="1" operator="equal">
      <x:formula>"À vérifier"</x:formula>
    </x:cfRule>
    <x:cfRule type="cellIs" dxfId="9" priority="2" operator="equal">
      <x:formula>"Extrapolation"</x:formula>
    </x:cfRule>
  </x:conditionalFormatting>
  <x:conditionalFormatting sqref="C7:C19">
    <x:cfRule type="cellIs" dxfId="10" priority="3" operator="equal">
      <x:formula>"Validé"</x:formula>
    </x:cfRule>
  </x:conditionalFormatting>
  <x:conditionalFormatting sqref="E7:E19">
    <x:cfRule type="cellIs" dxfId="11" priority="4" operator="equal">
      <x:formula>"P0"</x:formula>
    </x:cfRule>
  </x:conditionalFormatting>
  <x:dataValidations count="3">
    <x:dataValidation type="list" sqref="C7:C19">
      <x:formula1>"Défini,Prototype,Intégré,Validé"</x:formula1>
    </x:dataValidation>
    <x:dataValidation type="list" sqref="D7:D19">
      <x:formula1>"Établi,À vérifier,Extrapolation,Coupé attesté,Concept abandonné,Allégation écartée"</x:formula1>
    </x:dataValidation>
    <x:dataValidation type="list" sqref="E7:E19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d4a8cf5c2cb443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9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Mondes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Homeworlds — Destinations et identité environnementale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68" customHeight="1">
      <x:c r="A7" s="18" t="str">
        <x:v>HOM-WRL-EARTH</x:v>
      </x:c>
      <x:c r="B7" s="9" t="str">
        <x:v>Terre — parcours de James</x:v>
      </x:c>
      <x:c r="C7" s="15" t="str">
        <x:v>Défini</x:v>
      </x:c>
      <x:c r="D7" s="16" t="str">
        <x:v>À vérifier</x:v>
      </x:c>
      <x:c r="E7" s="16" t="str">
        <x:v>P1</x:v>
      </x:c>
      <x:c r="F7" s="9" t="str">
        <x:v>Le flashback du premier numéro se déroule dans la région de San Diego.</x:v>
      </x:c>
      <x:c r="G7" s="9" t="str">
        <x:v>Fuite urbaine courte et cadre familial.</x:v>
      </x:c>
      <x:c r="H7" s="9" t="str"/>
      <x:c r="I7" s="9" t="str">
        <x:v>Béton clair, enseignes originales et lumière de fin de journée.</x:v>
      </x:c>
      <x:c r="J7" s="9" t="str"/>
      <x:c r="K7" s="9" t="str"/>
      <x:c r="L7" s="9" t="str">
        <x:v>Livrable proposé : spécification HOM/worlds/wrl-earth; brancher au registre de contenu de l'œuvre seulement après production.</x:v>
      </x:c>
      <x:c r="M7" s="9" t="str">
        <x:v>Conserver l’autonomie des quatre numéros et leurs raccords. Les variantes locales ne sauvent pas des personnages dont l’issue est fixée ni ne donnent à un jeune personnage son arsenal adulte.</x:v>
      </x:c>
      <x:c r="N7" s="9" t="str">
        <x:v>Le nom Terre — parcours de James et sa fonction sont sourcés; les dimensions, chemins et interactions restent explicitement proposés.</x:v>
      </x:c>
      <x:c r="O7" s="9" t="str"/>
      <x:c r="P7" s="9" t="str">
        <x:v>Homeworlds #1</x:v>
      </x:c>
      <x:c r="Q7" s="9" t="str">
        <x:v>HOM-S-ISSUE1</x:v>
      </x:c>
      <x:c r="R7" s="20" t="str">
        <x:v>https://masseffect.fandom.com/wiki/Mass_Effect%3A_Homeworlds_1</x:v>
      </x:c>
      <x:c r="S7" s="20" t="str">
        <x:v>La géométrie jouable ci-dessous est originale et ne prétend pas reconstituer une carte officielle.</x:v>
      </x:c>
    </x:row>
    <x:row r="8" ht="68" customHeight="1">
      <x:c r="A8" s="19" t="str">
        <x:v>HOM-WRL-CITADEL</x:v>
      </x:c>
      <x:c r="B8" s="7" t="str">
        <x:v>Citadelle — accueil et recherche</x:v>
      </x:c>
      <x:c r="C8" s="15" t="str">
        <x:v>Défini</x:v>
      </x:c>
      <x:c r="D8" s="17" t="str">
        <x:v>À vérifier</x:v>
      </x:c>
      <x:c r="E8" s="17" t="str">
        <x:v>P1</x:v>
      </x:c>
      <x:c r="F8" s="7" t="str">
        <x:v>Les numéros 1 et 2 comportent des séquences sur la Citadelle.</x:v>
      </x:c>
      <x:c r="G8" s="7" t="str">
        <x:v>Deux variantes temporelles de lieu, sans fusion des récits.</x:v>
      </x:c>
      <x:c r="H8" s="7" t="str"/>
      <x:c r="I8" s="7" t="str">
        <x:v>Surfaces claires et lignes d’orientation, foule sobre non bloquante.</x:v>
      </x:c>
      <x:c r="J8" s="7" t="str"/>
      <x:c r="K8" s="7" t="str"/>
      <x:c r="L8" s="7" t="str">
        <x:v>Livrable proposé : spécification HOM/worlds/wrl-citadel; brancher au registre de contenu de l'œuvre seulement après production.</x:v>
      </x:c>
      <x:c r="M8" s="7" t="str">
        <x:v>Conserver l’autonomie des quatre numéros et leurs raccords. Les variantes locales ne sauvent pas des personnages dont l’issue est fixée ni ne donnent à un jeune personnage son arsenal adulte.</x:v>
      </x:c>
      <x:c r="N8" s="7" t="str">
        <x:v>Le nom Citadelle — accueil et recherche et sa fonction sont sourcés; les dimensions, chemins et interactions restent explicitement proposés.</x:v>
      </x:c>
      <x:c r="O8" s="7" t="str"/>
      <x:c r="P8" s="7" t="str">
        <x:v>Homeworlds #1; #2 pour la variante Tali</x:v>
      </x:c>
      <x:c r="Q8" s="7" t="str">
        <x:v>HOM-S-ISSUE1</x:v>
      </x:c>
      <x:c r="R8" s="21" t="str">
        <x:v>https://masseffect.fandom.com/wiki/Mass_Effect%3A_Homeworlds_1</x:v>
      </x:c>
      <x:c r="S8" s="21" t="str">
        <x:v>La présence dans #2 est également attestée par ISSUE2; la géométrie commune est une proposition technique.</x:v>
      </x:c>
    </x:row>
    <x:row r="9" ht="68" customHeight="1">
      <x:c r="A9" s="18" t="str">
        <x:v>HOM-WRL-PALAVEN</x:v>
      </x:c>
      <x:c r="B9" s="9" t="str">
        <x:v>Palaven — souvenirs de Garrus</x:v>
      </x:c>
      <x:c r="C9" s="15" t="str">
        <x:v>Défini</x:v>
      </x:c>
      <x:c r="D9" s="16" t="str">
        <x:v>À vérifier</x:v>
      </x:c>
      <x:c r="E9" s="16" t="str">
        <x:v>P1</x:v>
      </x:c>
      <x:c r="F9" s="9" t="str">
        <x:v>Le troisième numéro montre le passé de Garrus sur Palaven.</x:v>
      </x:c>
      <x:c r="G9" s="9" t="str">
        <x:v>Encadrer les souvenirs familiaux.</x:v>
      </x:c>
      <x:c r="H9" s="9" t="str"/>
      <x:c r="I9" s="9" t="str">
        <x:v>Minéral clair, accessoires sobres et séparation nette des époques.</x:v>
      </x:c>
      <x:c r="J9" s="9" t="str"/>
      <x:c r="K9" s="9" t="str"/>
      <x:c r="L9" s="9" t="str">
        <x:v>Livrable proposé : spécification HOM/worlds/wrl-palaven; brancher au registre de contenu de l'œuvre seulement après production.</x:v>
      </x:c>
      <x:c r="M9" s="9" t="str">
        <x:v>Conserver l’autonomie des quatre numéros et leurs raccords. Les variantes locales ne sauvent pas des personnages dont l’issue est fixée ni ne donnent à un jeune personnage son arsenal adulte.</x:v>
      </x:c>
      <x:c r="N9" s="9" t="str">
        <x:v>Le nom Palaven — souvenirs de Garrus et sa fonction sont sourcés; les dimensions, chemins et interactions restent explicitement proposés.</x:v>
      </x:c>
      <x:c r="O9" s="9" t="str"/>
      <x:c r="P9" s="9" t="str">
        <x:v>Homeworlds #3</x:v>
      </x:c>
      <x:c r="Q9" s="9" t="str">
        <x:v>HOM-S-ISSUE3</x:v>
      </x:c>
      <x:c r="R9" s="20" t="str">
        <x:v>https://masseffect.fandom.com/wiki/Mass_Effect%3A_Homeworlds_3</x:v>
      </x:c>
      <x:c r="S9" s="20" t="str">
        <x:v>La géométrie jouable ci-dessous est originale et ne prétend pas reconstituer une carte officielle.</x:v>
      </x:c>
    </x:row>
    <x:row r="10" ht="68" customHeight="1">
      <x:c r="A10" s="19" t="str">
        <x:v>HOM-WRL-OMEGA</x:v>
      </x:c>
      <x:c r="B10" s="7" t="str">
        <x:v>Omega — position d’Archangel</x:v>
      </x:c>
      <x:c r="C10" s="15" t="str">
        <x:v>Défini</x:v>
      </x:c>
      <x:c r="D10" s="17" t="str">
        <x:v>À vérifier</x:v>
      </x:c>
      <x:c r="E10" s="17" t="str">
        <x:v>P1</x:v>
      </x:c>
      <x:c r="F10" s="7" t="str">
        <x:v>Le troisième numéro situe Archangel sur Omega.</x:v>
      </x:c>
      <x:c r="G10" s="7" t="str">
        <x:v>Défense de position à visibilité contrôlée.</x:v>
      </x:c>
      <x:c r="H10" s="7" t="str"/>
      <x:c r="I10" s="7" t="str">
        <x:v>Métal sombre, balisage orange et poussière faible.</x:v>
      </x:c>
      <x:c r="J10" s="7" t="str"/>
      <x:c r="K10" s="7" t="str"/>
      <x:c r="L10" s="7" t="str">
        <x:v>Livrable proposé : spécification HOM/worlds/wrl-omega; brancher au registre de contenu de l'œuvre seulement après production.</x:v>
      </x:c>
      <x:c r="M10" s="7" t="str">
        <x:v>Conserver l’autonomie des quatre numéros et leurs raccords. Les variantes locales ne sauvent pas des personnages dont l’issue est fixée ni ne donnent à un jeune personnage son arsenal adulte.</x:v>
      </x:c>
      <x:c r="N10" s="7" t="str">
        <x:v>Le nom Omega — position d’Archangel et sa fonction sont sourcés; les dimensions, chemins et interactions restent explicitement proposés.</x:v>
      </x:c>
      <x:c r="O10" s="7" t="str"/>
      <x:c r="P10" s="7" t="str">
        <x:v>Homeworlds #3</x:v>
      </x:c>
      <x:c r="Q10" s="7" t="str">
        <x:v>HOM-S-ISSUE3</x:v>
      </x:c>
      <x:c r="R10" s="21" t="str">
        <x:v>https://masseffect.fandom.com/wiki/Mass_Effect%3A_Homeworlds_3</x:v>
      </x:c>
      <x:c r="S10" s="21" t="str">
        <x:v>La géométrie jouable ci-dessous est originale et ne prétend pas reconstituer une carte officielle.</x:v>
      </x:c>
    </x:row>
    <x:row r="11" ht="68" customHeight="1">
      <x:c r="A11" s="18" t="str">
        <x:v>HOM-WRL-THESSIA</x:v>
      </x:c>
      <x:c r="B11" s="9" t="str">
        <x:v>Thessia — archives</x:v>
      </x:c>
      <x:c r="C11" s="15" t="str">
        <x:v>Défini</x:v>
      </x:c>
      <x:c r="D11" s="16" t="str">
        <x:v>À vérifier</x:v>
      </x:c>
      <x:c r="E11" s="16" t="str">
        <x:v>P1</x:v>
      </x:c>
      <x:c r="F11" s="9" t="str">
        <x:v>Liara commence une partie de sa recherche sur Thessia.</x:v>
      </x:c>
      <x:c r="G11" s="9" t="str">
        <x:v>Dialogue savant et confrontation à une archive incomplète.</x:v>
      </x:c>
      <x:c r="H11" s="9" t="str"/>
      <x:c r="I11" s="9" t="str">
        <x:v>Matériaux lisses et tons froids, écran central discret.</x:v>
      </x:c>
      <x:c r="J11" s="9" t="str"/>
      <x:c r="K11" s="9" t="str"/>
      <x:c r="L11" s="9" t="str">
        <x:v>Livrable proposé : spécification HOM/worlds/wrl-thessia; brancher au registre de contenu de l'œuvre seulement après production.</x:v>
      </x:c>
      <x:c r="M11" s="9" t="str">
        <x:v>Conserver l’autonomie des quatre numéros et leurs raccords. Les variantes locales ne sauvent pas des personnages dont l’issue est fixée ni ne donnent à un jeune personnage son arsenal adulte.</x:v>
      </x:c>
      <x:c r="N11" s="9" t="str">
        <x:v>Le nom Thessia — archives et sa fonction sont sourcés; les dimensions, chemins et interactions restent explicitement proposés.</x:v>
      </x:c>
      <x:c r="O11" s="9" t="str"/>
      <x:c r="P11" s="9" t="str">
        <x:v>Homeworlds #4</x:v>
      </x:c>
      <x:c r="Q11" s="9" t="str">
        <x:v>HOM-S-ISSUE4</x:v>
      </x:c>
      <x:c r="R11" s="20" t="str">
        <x:v>https://masseffect.fandom.com/wiki/Mass_Effect%3A_Homeworlds_4</x:v>
      </x:c>
      <x:c r="S11" s="20" t="str">
        <x:v>La géométrie jouable ci-dessous est originale et ne prétend pas reconstituer une carte officielle.</x:v>
      </x:c>
    </x:row>
    <x:row r="12" ht="68" customHeight="1">
      <x:c r="A12" s="19" t="str">
        <x:v>HOM-WRL-KAHJE</x:v>
      </x:c>
      <x:c r="B12" s="7" t="str">
        <x:v>Kahje — accès au sanctuaire</x:v>
      </x:c>
      <x:c r="C12" s="15" t="str">
        <x:v>Défini</x:v>
      </x:c>
      <x:c r="D12" s="17" t="str">
        <x:v>À vérifier</x:v>
      </x:c>
      <x:c r="E12" s="17" t="str">
        <x:v>P1</x:v>
      </x:c>
      <x:c r="F12" s="7" t="str">
        <x:v>La recherche de Liara se poursuit sur Kahje.</x:v>
      </x:c>
      <x:c r="G12" s="7" t="str">
        <x:v>Contraste entre négociation, eau et archives.</x:v>
      </x:c>
      <x:c r="H12" s="7" t="str"/>
      <x:c r="I12" s="7" t="str">
        <x:v>Bleus profonds, volumes étanches et végétation seulement si vérifiée.</x:v>
      </x:c>
      <x:c r="J12" s="7" t="str"/>
      <x:c r="K12" s="7" t="str"/>
      <x:c r="L12" s="7" t="str">
        <x:v>Livrable proposé : spécification HOM/worlds/wrl-kahje; brancher au registre de contenu de l'œuvre seulement après production.</x:v>
      </x:c>
      <x:c r="M12" s="7" t="str">
        <x:v>Conserver l’autonomie des quatre numéros et leurs raccords. Les variantes locales ne sauvent pas des personnages dont l’issue est fixée ni ne donnent à un jeune personnage son arsenal adulte.</x:v>
      </x:c>
      <x:c r="N12" s="7" t="str">
        <x:v>Le nom Kahje — accès au sanctuaire et sa fonction sont sourcés; les dimensions, chemins et interactions restent explicitement proposés.</x:v>
      </x:c>
      <x:c r="O12" s="7" t="str"/>
      <x:c r="P12" s="7" t="str">
        <x:v>Homeworlds #4</x:v>
      </x:c>
      <x:c r="Q12" s="7" t="str">
        <x:v>HOM-S-ISSUE4</x:v>
      </x:c>
      <x:c r="R12" s="21" t="str">
        <x:v>https://masseffect.fandom.com/wiki/Mass_Effect%3A_Homeworlds_4</x:v>
      </x:c>
      <x:c r="S12" s="21" t="str">
        <x:v>La géométrie jouable ci-dessous est originale et ne prétend pas reconstituer une carte officielle.</x:v>
      </x:c>
    </x:row>
  </x:sheetData>
  <x:conditionalFormatting sqref="D7:D12">
    <x:cfRule type="cellIs" dxfId="12" priority="1" operator="equal">
      <x:formula>"À vérifier"</x:formula>
    </x:cfRule>
    <x:cfRule type="cellIs" dxfId="13" priority="2" operator="equal">
      <x:formula>"Extrapolation"</x:formula>
    </x:cfRule>
  </x:conditionalFormatting>
  <x:conditionalFormatting sqref="C7:C12">
    <x:cfRule type="cellIs" dxfId="14" priority="3" operator="equal">
      <x:formula>"Validé"</x:formula>
    </x:cfRule>
  </x:conditionalFormatting>
  <x:conditionalFormatting sqref="E7:E12">
    <x:cfRule type="cellIs" dxfId="15" priority="4" operator="equal">
      <x:formula>"P0"</x:formula>
    </x:cfRule>
  </x:conditionalFormatting>
  <x:dataValidations count="3">
    <x:dataValidation type="list" sqref="C7:C12">
      <x:formula1>"Défini,Prototype,Intégré,Validé"</x:formula1>
    </x:dataValidation>
    <x:dataValidation type="list" sqref="D7:D12">
      <x:formula1>"Établi,À vérifier,Extrapolation,Coupé attesté,Concept abandonné,Allégation écartée"</x:formula1>
    </x:dataValidation>
    <x:dataValidation type="list" sqref="E7:E12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373c389c69407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Zones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Homeworlds — Pièces, espaces extérieurs et points de passage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68" customHeight="1">
      <x:c r="A7" s="18" t="str">
        <x:v>HOM-ZONE-EARTH</x:v>
      </x:c>
      <x:c r="B7" s="9" t="str">
        <x:v>Terre — parcours de James — espace jouable proposé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Maison, rue, toiture et petit espace de restauration reliés par raccords; échelle originale réduite.</x:v>
      </x:c>
      <x:c r="G7" s="9" t="str">
        <x:v>Fuite urbaine courte et cadre familial.</x:v>
      </x:c>
      <x:c r="H7" s="9" t="str">
        <x:v>Éviter les poursuites létales; échec local donne une reprise de parcours.</x:v>
      </x:c>
      <x:c r="I7" s="9" t="str">
        <x:v>Béton clair, enseignes originales et lumière de fin de journée.</x:v>
      </x:c>
      <x:c r="J7" s="9" t="str">
        <x:v>Garder les trajectoires de sprites sur le sol navigable; traversées de premier plan traitées par masques.</x:v>
      </x:c>
      <x:c r="K7" s="9" t="str"/>
      <x:c r="L7" s="9" t="str">
        <x:v>Scène 3D prévue hom/zones/earth; volumes de navigation, ancrages d'actions et caméras fixes séparés.</x:v>
      </x:c>
      <x:c r="M7" s="9" t="str">
        <x:v>Conserver l’autonomie des quatre numéros et leurs raccords. Les variantes locales ne sauvent pas des personnages dont l’issue est fixée ni ne donnent à un jeune personnage son arsenal adulte.</x:v>
      </x:c>
      <x:c r="N7" s="9" t="str">
        <x:v>Le blocage de Terre — parcours de James permet un parcours aller-retour sans caméra aveugle; chaque danger annoncé possède une sortie lisible.</x:v>
      </x:c>
      <x:c r="O7" s="9" t="str">
        <x:v>HOM-WRL-EARTH</x:v>
      </x:c>
      <x:c r="P7" s="9" t="str">
        <x:v>Plan original, dimensions à prototyper.</x:v>
      </x:c>
      <x:c r="Q7" s="9" t="str"/>
      <x:c r="R7" s="20" t="str"/>
      <x:c r="S7" s="20" t="str"/>
    </x:row>
    <x:row r="8" ht="68" customHeight="1">
      <x:c r="A8" s="19" t="str">
        <x:v>HOM-ZONE-CITADEL</x:v>
      </x:c>
      <x:c r="B8" s="7" t="str">
        <x:v>Citadelle — accueil et recherche — espace jouable proposé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Borne d’information et zone d’accueil pour #1; corridor d’accès distinct proposé pour #2.</x:v>
      </x:c>
      <x:c r="G8" s="7" t="str">
        <x:v>Deux variantes temporelles de lieu, sans fusion des récits.</x:v>
      </x:c>
      <x:c r="H8" s="7" t="str">
        <x:v>La discrimination évoquée dans #2 est traitée en dialogue, sans valider un préjugé par les règles.</x:v>
      </x:c>
      <x:c r="I8" s="7" t="str">
        <x:v>Surfaces claires et lignes d’orientation, foule sobre non bloquante.</x:v>
      </x:c>
      <x:c r="J8" s="7" t="str">
        <x:v>Garder les trajectoires de sprites sur le sol navigable; traversées de premier plan traitées par masques.</x:v>
      </x:c>
      <x:c r="K8" s="7" t="str"/>
      <x:c r="L8" s="7" t="str">
        <x:v>Scène 3D prévue hom/zones/citadel; volumes de navigation, ancrages d'actions et caméras fixes séparés.</x:v>
      </x:c>
      <x:c r="M8" s="7" t="str">
        <x:v>Conserver l’autonomie des quatre numéros et leurs raccords. Les variantes locales ne sauvent pas des personnages dont l’issue est fixée ni ne donnent à un jeune personnage son arsenal adulte.</x:v>
      </x:c>
      <x:c r="N8" s="7" t="str">
        <x:v>Le blocage de Citadelle — accueil et recherche permet un parcours aller-retour sans caméra aveugle; chaque danger annoncé possède une sortie lisible.</x:v>
      </x:c>
      <x:c r="O8" s="7" t="str">
        <x:v>HOM-WRL-CITADEL</x:v>
      </x:c>
      <x:c r="P8" s="7" t="str">
        <x:v>Plan original, dimensions à prototyper.</x:v>
      </x:c>
      <x:c r="Q8" s="7" t="str"/>
      <x:c r="R8" s="21" t="str"/>
      <x:c r="S8" s="21" t="str"/>
    </x:row>
    <x:row r="9" ht="68" customHeight="1">
      <x:c r="A9" s="18" t="str">
        <x:v>HOM-ZONE-PALAVEN</x:v>
      </x:c>
      <x:c r="B9" s="9" t="str">
        <x:v>Palaven — souvenirs de Garrus — espace jouable proposé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Zone d’entraînement et intérieur de consultation reliés par ellipses, pas par une carte continue.</x:v>
      </x:c>
      <x:c r="G9" s="9" t="str">
        <x:v>Encadrer les souvenirs familiaux.</x:v>
      </x:c>
      <x:c r="H9" s="9" t="str">
        <x:v>Aucune compétence adulte obligatoire dans l’entraînement d’enfance.</x:v>
      </x:c>
      <x:c r="I9" s="9" t="str">
        <x:v>Minéral clair, accessoires sobres et séparation nette des époques.</x:v>
      </x:c>
      <x:c r="J9" s="9" t="str">
        <x:v>Garder les trajectoires de sprites sur le sol navigable; traversées de premier plan traitées par masques.</x:v>
      </x:c>
      <x:c r="K9" s="9" t="str"/>
      <x:c r="L9" s="9" t="str">
        <x:v>Scène 3D prévue hom/zones/palaven; volumes de navigation, ancrages d'actions et caméras fixes séparés.</x:v>
      </x:c>
      <x:c r="M9" s="9" t="str">
        <x:v>Conserver l’autonomie des quatre numéros et leurs raccords. Les variantes locales ne sauvent pas des personnages dont l’issue est fixée ni ne donnent à un jeune personnage son arsenal adulte.</x:v>
      </x:c>
      <x:c r="N9" s="9" t="str">
        <x:v>Le blocage de Palaven — souvenirs de Garrus permet un parcours aller-retour sans caméra aveugle; chaque danger annoncé possède une sortie lisible.</x:v>
      </x:c>
      <x:c r="O9" s="9" t="str">
        <x:v>HOM-WRL-PALAVEN</x:v>
      </x:c>
      <x:c r="P9" s="9" t="str">
        <x:v>Plan original, dimensions à prototyper.</x:v>
      </x:c>
      <x:c r="Q9" s="9" t="str"/>
      <x:c r="R9" s="20" t="str"/>
      <x:c r="S9" s="20" t="str"/>
    </x:row>
    <x:row r="10" ht="68" customHeight="1">
      <x:c r="A10" s="19" t="str">
        <x:v>HOM-ZONE-OMEGA</x:v>
      </x:c>
      <x:c r="B10" s="7" t="str">
        <x:v>Omega — position d’Archangel — espace jouable proposé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Position haute et deux approches visibles; retours brefs vers un poste radio.</x:v>
      </x:c>
      <x:c r="G10" s="7" t="str">
        <x:v>Défense de position à visibilité contrôlée.</x:v>
      </x:c>
      <x:c r="H10" s="7" t="str">
        <x:v>Le module tient jusqu’au raccord fixé; il ne rétablit pas l’équipe perdue.</x:v>
      </x:c>
      <x:c r="I10" s="7" t="str">
        <x:v>Métal sombre, balisage orange et poussière faible.</x:v>
      </x:c>
      <x:c r="J10" s="7" t="str">
        <x:v>Garder les trajectoires de sprites sur le sol navigable; traversées de premier plan traitées par masques.</x:v>
      </x:c>
      <x:c r="K10" s="7" t="str"/>
      <x:c r="L10" s="7" t="str">
        <x:v>Scène 3D prévue hom/zones/omega; volumes de navigation, ancrages d'actions et caméras fixes séparés.</x:v>
      </x:c>
      <x:c r="M10" s="7" t="str">
        <x:v>Conserver l’autonomie des quatre numéros et leurs raccords. Les variantes locales ne sauvent pas des personnages dont l’issue est fixée ni ne donnent à un jeune personnage son arsenal adulte.</x:v>
      </x:c>
      <x:c r="N10" s="7" t="str">
        <x:v>Le blocage de Omega — position d’Archangel permet un parcours aller-retour sans caméra aveugle; chaque danger annoncé possède une sortie lisible.</x:v>
      </x:c>
      <x:c r="O10" s="7" t="str">
        <x:v>HOM-WRL-OMEGA</x:v>
      </x:c>
      <x:c r="P10" s="7" t="str">
        <x:v>Plan original, dimensions à prototyper.</x:v>
      </x:c>
      <x:c r="Q10" s="7" t="str"/>
      <x:c r="R10" s="21" t="str"/>
      <x:c r="S10" s="21" t="str"/>
    </x:row>
    <x:row r="11" ht="68" customHeight="1">
      <x:c r="A11" s="18" t="str">
        <x:v>HOM-ZONE-THESSIA</x:v>
      </x:c>
      <x:c r="B11" s="9" t="str">
        <x:v>Thessia — archives — espace jouable proposé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Salle de consultation, rayonnage de données et espace d’entretien.</x:v>
      </x:c>
      <x:c r="G11" s="9" t="str">
        <x:v>Dialogue savant et confrontation à une archive incomplète.</x:v>
      </x:c>
      <x:c r="H11" s="9" t="str">
        <x:v>Une archive vide est une information de récit, pas un échec de puzzle du joueur.</x:v>
      </x:c>
      <x:c r="I11" s="9" t="str">
        <x:v>Matériaux lisses et tons froids, écran central discret.</x:v>
      </x:c>
      <x:c r="J11" s="9" t="str">
        <x:v>Garder les trajectoires de sprites sur le sol navigable; traversées de premier plan traitées par masques.</x:v>
      </x:c>
      <x:c r="K11" s="9" t="str"/>
      <x:c r="L11" s="9" t="str">
        <x:v>Scène 3D prévue hom/zones/thessia; volumes de navigation, ancrages d'actions et caméras fixes séparés.</x:v>
      </x:c>
      <x:c r="M11" s="9" t="str">
        <x:v>Conserver l’autonomie des quatre numéros et leurs raccords. Les variantes locales ne sauvent pas des personnages dont l’issue est fixée ni ne donnent à un jeune personnage son arsenal adulte.</x:v>
      </x:c>
      <x:c r="N11" s="9" t="str">
        <x:v>Le blocage de Thessia — archives permet un parcours aller-retour sans caméra aveugle; chaque danger annoncé possède une sortie lisible.</x:v>
      </x:c>
      <x:c r="O11" s="9" t="str">
        <x:v>HOM-WRL-THESSIA</x:v>
      </x:c>
      <x:c r="P11" s="9" t="str">
        <x:v>Plan original, dimensions à prototyper.</x:v>
      </x:c>
      <x:c r="Q11" s="9" t="str"/>
      <x:c r="R11" s="20" t="str"/>
      <x:c r="S11" s="20" t="str"/>
    </x:row>
    <x:row r="12" ht="68" customHeight="1">
      <x:c r="A12" s="19" t="str">
        <x:v>HOM-ZONE-KAHJE</x:v>
      </x:c>
      <x:c r="B12" s="7" t="str">
        <x:v>Kahje — accès au sanctuaire — espace jouable proposé</x:v>
      </x:c>
      <x:c r="C12" s="15" t="str">
        <x:v>Défini</x:v>
      </x:c>
      <x:c r="D12" s="17" t="str">
        <x:v>Extrapolation</x:v>
      </x:c>
      <x:c r="E12" s="17" t="str">
        <x:v>P1</x:v>
      </x:c>
      <x:c r="F12" s="7" t="str">
        <x:v>Accueil, trajet aquatique et espace d’archive liés par des scènes contrôlées.</x:v>
      </x:c>
      <x:c r="G12" s="7" t="str">
        <x:v>Contraste entre négociation, eau et archives.</x:v>
      </x:c>
      <x:c r="H12" s="7" t="str">
        <x:v>Les effets d’eau gardent les sprites et la sortie visibles; maintien biotique traité comme action de scène.</x:v>
      </x:c>
      <x:c r="I12" s="7" t="str">
        <x:v>Bleus profonds, volumes étanches et végétation seulement si vérifiée.</x:v>
      </x:c>
      <x:c r="J12" s="7" t="str">
        <x:v>Garder les trajectoires de sprites sur le sol navigable; traversées de premier plan traitées par masques.</x:v>
      </x:c>
      <x:c r="K12" s="7" t="str"/>
      <x:c r="L12" s="7" t="str">
        <x:v>Scène 3D prévue hom/zones/kahje; volumes de navigation, ancrages d'actions et caméras fixes séparés.</x:v>
      </x:c>
      <x:c r="M12" s="7" t="str">
        <x:v>Conserver l’autonomie des quatre numéros et leurs raccords. Les variantes locales ne sauvent pas des personnages dont l’issue est fixée ni ne donnent à un jeune personnage son arsenal adulte.</x:v>
      </x:c>
      <x:c r="N12" s="7" t="str">
        <x:v>Le blocage de Kahje — accès au sanctuaire permet un parcours aller-retour sans caméra aveugle; chaque danger annoncé possède une sortie lisible.</x:v>
      </x:c>
      <x:c r="O12" s="7" t="str">
        <x:v>HOM-WRL-KAHJE</x:v>
      </x:c>
      <x:c r="P12" s="7" t="str">
        <x:v>Plan original, dimensions à prototyper.</x:v>
      </x:c>
      <x:c r="Q12" s="7" t="str"/>
      <x:c r="R12" s="21" t="str"/>
      <x:c r="S12" s="21" t="str"/>
    </x:row>
  </x:sheetData>
  <x:conditionalFormatting sqref="D7:D12">
    <x:cfRule type="cellIs" dxfId="16" priority="1" operator="equal">
      <x:formula>"À vérifier"</x:formula>
    </x:cfRule>
    <x:cfRule type="cellIs" dxfId="17" priority="2" operator="equal">
      <x:formula>"Extrapolation"</x:formula>
    </x:cfRule>
  </x:conditionalFormatting>
  <x:conditionalFormatting sqref="C7:C12">
    <x:cfRule type="cellIs" dxfId="18" priority="3" operator="equal">
      <x:formula>"Validé"</x:formula>
    </x:cfRule>
  </x:conditionalFormatting>
  <x:conditionalFormatting sqref="E7:E12">
    <x:cfRule type="cellIs" dxfId="19" priority="4" operator="equal">
      <x:formula>"P0"</x:formula>
    </x:cfRule>
  </x:conditionalFormatting>
  <x:dataValidations count="3">
    <x:dataValidation type="list" sqref="C7:C12">
      <x:formula1>"Défini,Prototype,Intégré,Validé"</x:formula1>
    </x:dataValidation>
    <x:dataValidation type="list" sqref="D7:D12">
      <x:formula1>"Établi,À vérifier,Extrapolation,Coupé attesté,Concept abandonné,Allégation écartée"</x:formula1>
    </x:dataValidation>
    <x:dataValidation type="list" sqref="E7:E12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5c4ff190124d5f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Liaisons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Homeworlds — Continuité spatiale et conditions de passage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68" customHeight="1">
      <x:c r="A7" s="18" t="str">
        <x:v>HOM-LINK-EARTH</x:v>
      </x:c>
      <x:c r="B7" s="9" t="str">
        <x:v>Terre — parcours de James — accès et sortie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Transitions de flashback clairement datées; aucune carte entière de San Diego revendiquée.</x:v>
      </x:c>
      <x:c r="G7" s="9" t="str">
        <x:v>Conserver les raccords nécessaires au parcours sans inventer une route galactique officielle.</x:v>
      </x:c>
      <x:c r="H7" s="9" t="str">
        <x:v>Prévisualiser la destination; déclenchement sur confirmation hors combat; conserver objectifs et objets de mission au retour.</x:v>
      </x:c>
      <x:c r="I7" s="9" t="str">
        <x:v>Marquage de direction doublé d’un nom de destination; pas de code fondé sur une seule couleur.</x:v>
      </x:c>
      <x:c r="J7" s="9" t="str"/>
      <x:c r="K7" s="9" t="str"/>
      <x:c r="L7" s="9" t="str">
        <x:v>Liaison proposée HOM/EARTH; sauvegarder zone, point d'entrée et version de chapitre.</x:v>
      </x:c>
      <x:c r="M7" s="9" t="str">
        <x:v>Conserver l’autonomie des quatre numéros et leurs raccords. Les variantes locales ne sauvent pas des personnages dont l’issue est fixée ni ne donnent à un jeune personnage son arsenal adulte.</x:v>
      </x:c>
      <x:c r="N7" s="9" t="str">
        <x:v>Entrer, ressortir et recharger au seuil restitue le même état du chapitre; aucun accès ne court-circuite sa conclusion fixée.</x:v>
      </x:c>
      <x:c r="O7" s="9" t="str">
        <x:v>HOM-ZONE-EARTH</x:v>
      </x:c>
      <x:c r="P7" s="9" t="str">
        <x:v>Raccord de gameplay original; ordre narratif selon les ancrages sourcés.</x:v>
      </x:c>
      <x:c r="Q7" s="9" t="str"/>
      <x:c r="R7" s="20" t="str"/>
      <x:c r="S7" s="20" t="str"/>
    </x:row>
    <x:row r="8" ht="68" customHeight="1">
      <x:c r="A8" s="19" t="str">
        <x:v>HOM-LINK-CITADEL</x:v>
      </x:c>
      <x:c r="B8" s="7" t="str">
        <x:v>Citadelle — accueil et recherche — accès et sortie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Entrées séparées par numéro; aucun voyage instantané de Vega vers l’épisode de Tali.</x:v>
      </x:c>
      <x:c r="G8" s="7" t="str">
        <x:v>Conserver les raccords nécessaires au parcours sans inventer une route galactique officielle.</x:v>
      </x:c>
      <x:c r="H8" s="7" t="str">
        <x:v>Prévisualiser la destination; déclenchement sur confirmation hors combat; conserver objectifs et objets de mission au retour.</x:v>
      </x:c>
      <x:c r="I8" s="7" t="str">
        <x:v>Marquage de direction doublé d’un nom de destination; pas de code fondé sur une seule couleur.</x:v>
      </x:c>
      <x:c r="J8" s="7" t="str"/>
      <x:c r="K8" s="7" t="str"/>
      <x:c r="L8" s="7" t="str">
        <x:v>Liaison proposée HOM/CITADEL; sauvegarder zone, point d'entrée et version de chapitre.</x:v>
      </x:c>
      <x:c r="M8" s="7" t="str">
        <x:v>Conserver l’autonomie des quatre numéros et leurs raccords. Les variantes locales ne sauvent pas des personnages dont l’issue est fixée ni ne donnent à un jeune personnage son arsenal adulte.</x:v>
      </x:c>
      <x:c r="N8" s="7" t="str">
        <x:v>Entrer, ressortir et recharger au seuil restitue le même état du chapitre; aucun accès ne court-circuite sa conclusion fixée.</x:v>
      </x:c>
      <x:c r="O8" s="7" t="str">
        <x:v>HOM-ZONE-CITADEL</x:v>
      </x:c>
      <x:c r="P8" s="7" t="str">
        <x:v>Raccord de gameplay original; ordre narratif selon les ancrages sourcés.</x:v>
      </x:c>
      <x:c r="Q8" s="7" t="str"/>
      <x:c r="R8" s="21" t="str"/>
      <x:c r="S8" s="21" t="str"/>
    </x:row>
    <x:row r="9" ht="68" customHeight="1">
      <x:c r="A9" s="18" t="str">
        <x:v>HOM-LINK-PALAVEN</x:v>
      </x:c>
      <x:c r="B9" s="9" t="str">
        <x:v>Palaven — souvenirs de Garrus — accès et sortie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Les souvenirs s’ouvrent depuis des ancrages de narration; le retour restitue la défense d’Archangel.</x:v>
      </x:c>
      <x:c r="G9" s="9" t="str">
        <x:v>Conserver les raccords nécessaires au parcours sans inventer une route galactique officielle.</x:v>
      </x:c>
      <x:c r="H9" s="9" t="str">
        <x:v>Prévisualiser la destination; déclenchement sur confirmation hors combat; conserver objectifs et objets de mission au retour.</x:v>
      </x:c>
      <x:c r="I9" s="9" t="str">
        <x:v>Marquage de direction doublé d’un nom de destination; pas de code fondé sur une seule couleur.</x:v>
      </x:c>
      <x:c r="J9" s="9" t="str"/>
      <x:c r="K9" s="9" t="str"/>
      <x:c r="L9" s="9" t="str">
        <x:v>Liaison proposée HOM/PALAVEN; sauvegarder zone, point d'entrée et version de chapitre.</x:v>
      </x:c>
      <x:c r="M9" s="9" t="str">
        <x:v>Conserver l’autonomie des quatre numéros et leurs raccords. Les variantes locales ne sauvent pas des personnages dont l’issue est fixée ni ne donnent à un jeune personnage son arsenal adulte.</x:v>
      </x:c>
      <x:c r="N9" s="9" t="str">
        <x:v>Entrer, ressortir et recharger au seuil restitue le même état du chapitre; aucun accès ne court-circuite sa conclusion fixée.</x:v>
      </x:c>
      <x:c r="O9" s="9" t="str">
        <x:v>HOM-ZONE-PALAVEN</x:v>
      </x:c>
      <x:c r="P9" s="9" t="str">
        <x:v>Raccord de gameplay original; ordre narratif selon les ancrages sourcés.</x:v>
      </x:c>
      <x:c r="Q9" s="9" t="str"/>
      <x:c r="R9" s="20" t="str"/>
      <x:c r="S9" s="20" t="str"/>
    </x:row>
    <x:row r="10" ht="68" customHeight="1">
      <x:c r="A10" s="19" t="str">
        <x:v>HOM-LINK-OMEGA</x:v>
      </x:c>
      <x:c r="B10" s="7" t="str">
        <x:v>Omega — position d’Archangel — accès et sortie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Les voies adverses ont des entrées visibles; pas d’apparition derrière un joueur sans annonce.</x:v>
      </x:c>
      <x:c r="G10" s="7" t="str">
        <x:v>Conserver les raccords nécessaires au parcours sans inventer une route galactique officielle.</x:v>
      </x:c>
      <x:c r="H10" s="7" t="str">
        <x:v>Prévisualiser la destination; déclenchement sur confirmation hors combat; conserver objectifs et objets de mission au retour.</x:v>
      </x:c>
      <x:c r="I10" s="7" t="str">
        <x:v>Marquage de direction doublé d’un nom de destination; pas de code fondé sur une seule couleur.</x:v>
      </x:c>
      <x:c r="J10" s="7" t="str"/>
      <x:c r="K10" s="7" t="str"/>
      <x:c r="L10" s="7" t="str">
        <x:v>Liaison proposée HOM/OMEGA; sauvegarder zone, point d'entrée et version de chapitre.</x:v>
      </x:c>
      <x:c r="M10" s="7" t="str">
        <x:v>Conserver l’autonomie des quatre numéros et leurs raccords. Les variantes locales ne sauvent pas des personnages dont l’issue est fixée ni ne donnent à un jeune personnage son arsenal adulte.</x:v>
      </x:c>
      <x:c r="N10" s="7" t="str">
        <x:v>Entrer, ressortir et recharger au seuil restitue le même état du chapitre; aucun accès ne court-circuite sa conclusion fixée.</x:v>
      </x:c>
      <x:c r="O10" s="7" t="str">
        <x:v>HOM-ZONE-OMEGA</x:v>
      </x:c>
      <x:c r="P10" s="7" t="str">
        <x:v>Raccord de gameplay original; ordre narratif selon les ancrages sourcés.</x:v>
      </x:c>
      <x:c r="Q10" s="7" t="str"/>
      <x:c r="R10" s="21" t="str"/>
      <x:c r="S10" s="21" t="str"/>
    </x:row>
    <x:row r="11" ht="68" customHeight="1">
      <x:c r="A11" s="18" t="str">
        <x:v>HOM-LINK-THESSIA</x:v>
      </x:c>
      <x:c r="B11" s="9" t="str">
        <x:v>Thessia — archives — accès et sortie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Accès puis départ vers une autre piste; pas de ville entière ajoutée.</x:v>
      </x:c>
      <x:c r="G11" s="9" t="str">
        <x:v>Conserver les raccords nécessaires au parcours sans inventer une route galactique officielle.</x:v>
      </x:c>
      <x:c r="H11" s="9" t="str">
        <x:v>Prévisualiser la destination; déclenchement sur confirmation hors combat; conserver objectifs et objets de mission au retour.</x:v>
      </x:c>
      <x:c r="I11" s="9" t="str">
        <x:v>Marquage de direction doublé d’un nom de destination; pas de code fondé sur une seule couleur.</x:v>
      </x:c>
      <x:c r="J11" s="9" t="str"/>
      <x:c r="K11" s="9" t="str"/>
      <x:c r="L11" s="9" t="str">
        <x:v>Liaison proposée HOM/THESSIA; sauvegarder zone, point d'entrée et version de chapitre.</x:v>
      </x:c>
      <x:c r="M11" s="9" t="str">
        <x:v>Conserver l’autonomie des quatre numéros et leurs raccords. Les variantes locales ne sauvent pas des personnages dont l’issue est fixée ni ne donnent à un jeune personnage son arsenal adulte.</x:v>
      </x:c>
      <x:c r="N11" s="9" t="str">
        <x:v>Entrer, ressortir et recharger au seuil restitue le même état du chapitre; aucun accès ne court-circuite sa conclusion fixée.</x:v>
      </x:c>
      <x:c r="O11" s="9" t="str">
        <x:v>HOM-ZONE-THESSIA</x:v>
      </x:c>
      <x:c r="P11" s="9" t="str">
        <x:v>Raccord de gameplay original; ordre narratif selon les ancrages sourcés.</x:v>
      </x:c>
      <x:c r="Q11" s="9" t="str"/>
      <x:c r="R11" s="20" t="str"/>
      <x:c r="S11" s="20" t="str"/>
    </x:row>
    <x:row r="12" ht="68" customHeight="1">
      <x:c r="A12" s="19" t="str">
        <x:v>HOM-LINK-KAHJE</x:v>
      </x:c>
      <x:c r="B12" s="7" t="str">
        <x:v>Kahje — accès au sanctuaire — accès et sortie</x:v>
      </x:c>
      <x:c r="C12" s="15" t="str">
        <x:v>Défini</x:v>
      </x:c>
      <x:c r="D12" s="17" t="str">
        <x:v>Extrapolation</x:v>
      </x:c>
      <x:c r="E12" s="17" t="str">
        <x:v>P1</x:v>
      </x:c>
      <x:c r="F12" s="7" t="str">
        <x:v>La liaison aquatique est un segment limité; aucun mode sous-marin général annoncé.</x:v>
      </x:c>
      <x:c r="G12" s="7" t="str">
        <x:v>Conserver les raccords nécessaires au parcours sans inventer une route galactique officielle.</x:v>
      </x:c>
      <x:c r="H12" s="7" t="str">
        <x:v>Prévisualiser la destination; déclenchement sur confirmation hors combat; conserver objectifs et objets de mission au retour.</x:v>
      </x:c>
      <x:c r="I12" s="7" t="str">
        <x:v>Marquage de direction doublé d’un nom de destination; pas de code fondé sur une seule couleur.</x:v>
      </x:c>
      <x:c r="J12" s="7" t="str"/>
      <x:c r="K12" s="7" t="str"/>
      <x:c r="L12" s="7" t="str">
        <x:v>Liaison proposée HOM/KAHJE; sauvegarder zone, point d'entrée et version de chapitre.</x:v>
      </x:c>
      <x:c r="M12" s="7" t="str">
        <x:v>Conserver l’autonomie des quatre numéros et leurs raccords. Les variantes locales ne sauvent pas des personnages dont l’issue est fixée ni ne donnent à un jeune personnage son arsenal adulte.</x:v>
      </x:c>
      <x:c r="N12" s="7" t="str">
        <x:v>Entrer, ressortir et recharger au seuil restitue le même état du chapitre; aucun accès ne court-circuite sa conclusion fixée.</x:v>
      </x:c>
      <x:c r="O12" s="7" t="str">
        <x:v>HOM-ZONE-KAHJE</x:v>
      </x:c>
      <x:c r="P12" s="7" t="str">
        <x:v>Raccord de gameplay original; ordre narratif selon les ancrages sourcés.</x:v>
      </x:c>
      <x:c r="Q12" s="7" t="str"/>
      <x:c r="R12" s="21" t="str"/>
      <x:c r="S12" s="21" t="str"/>
    </x:row>
    <x:row r="13" ht="54" customHeight="1">
      <x:c r="A13" s="18" t="str">
        <x:v>HOM-LINK-MARS</x:v>
      </x:c>
      <x:c r="B13" s="9" t="str">
        <x:v>#4 — raccord documentaire vers Mars</x:v>
      </x:c>
      <x:c r="C13" s="15" t="str">
        <x:v>Défini</x:v>
      </x:c>
      <x:c r="D13" s="16" t="str">
        <x:v>À vérifier</x:v>
      </x:c>
      <x:c r="E13" s="16" t="str">
        <x:v>P1</x:v>
      </x:c>
      <x:c r="F13" s="9" t="str">
        <x:v>La dernière piste rapportée mène Liara à demander l’accès à une installation sur Mars.</x:v>
      </x:c>
      <x:c r="G13" s="9" t="str">
        <x:v>Afficher Mars comme prochaine piste et renvoi vers ME3; aucune carte jouable de Mars ajoutée à Homeworlds.</x:v>
      </x:c>
      <x:c r="H13" s="9" t="str"/>
      <x:c r="I13" s="9" t="str"/>
      <x:c r="J13" s="9" t="str"/>
      <x:c r="K13" s="9" t="str"/>
      <x:c r="L13" s="9" t="str">
        <x:v>Livrable proposé : spécification HOM/links/link-mars; brancher au registre de contenu de l'œuvre seulement après production.</x:v>
      </x:c>
      <x:c r="M13" s="9" t="str">
        <x:v>Fin du module #4 seulement.</x:v>
      </x:c>
      <x:c r="N13" s="9" t="str">
        <x:v>Le raccord ne lance pas une mission de ME3 dans ce classeur et indique clairement la fin du numéro.</x:v>
      </x:c>
      <x:c r="O13" s="9" t="str">
        <x:v>HOM-REF-ISSUE4</x:v>
      </x:c>
      <x:c r="P13" s="9" t="str">
        <x:v>Homeworlds #4, conclusion</x:v>
      </x:c>
      <x:c r="Q13" s="9" t="str">
        <x:v>HOM-S-ISSUE4</x:v>
      </x:c>
      <x:c r="R13" s="20" t="str">
        <x:v>https://masseffect.fandom.com/wiki/Mass_Effect%3A_Homeworlds_4</x:v>
      </x:c>
      <x:c r="S13" s="20" t="str"/>
    </x:row>
  </x:sheetData>
  <x:conditionalFormatting sqref="D7:D13">
    <x:cfRule type="cellIs" dxfId="20" priority="1" operator="equal">
      <x:formula>"À vérifier"</x:formula>
    </x:cfRule>
    <x:cfRule type="cellIs" dxfId="21" priority="2" operator="equal">
      <x:formula>"Extrapolation"</x:formula>
    </x:cfRule>
  </x:conditionalFormatting>
  <x:conditionalFormatting sqref="C7:C13">
    <x:cfRule type="cellIs" dxfId="22" priority="3" operator="equal">
      <x:formula>"Validé"</x:formula>
    </x:cfRule>
  </x:conditionalFormatting>
  <x:conditionalFormatting sqref="E7:E13">
    <x:cfRule type="cellIs" dxfId="23" priority="4" operator="equal">
      <x:formula>"P0"</x:formula>
    </x:cfRule>
  </x:conditionalFormatting>
  <x:dataValidations count="3">
    <x:dataValidation type="list" sqref="C7:C13">
      <x:formula1>"Défini,Prototype,Intégré,Validé"</x:formula1>
    </x:dataValidation>
    <x:dataValidation type="list" sqref="D7:D13">
      <x:formula1>"Établi,À vérifier,Extrapolation,Coupé attesté,Concept abandonné,Allégation écartée"</x:formula1>
    </x:dataValidation>
    <x:dataValidation type="list" sqref="E7:E13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bac052d92df4b95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Décors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Homeworlds — Architecture, matières et cadrages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68" customHeight="1">
      <x:c r="A7" s="18" t="str">
        <x:v>HOM-SET-EARTH</x:v>
      </x:c>
      <x:c r="B7" s="9" t="str">
        <x:v>Terre — parcours de James — décor et repère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Mer visible depuis un point calme, opposée à la densité des rues.</x:v>
      </x:c>
      <x:c r="G7" s="9" t="str">
        <x:v>Fuite urbaine courte et cadre familial.</x:v>
      </x:c>
      <x:c r="H7" s="9" t="str"/>
      <x:c r="I7" s="9" t="str">
        <x:v>Béton clair, enseignes originales et lumière de fin de journée. Séparer gros volumes, surfaces de parcours et petits accessoires; réserver le contraste maximal aux éléments utilisables.</x:v>
      </x:c>
      <x:c r="J7" s="9" t="str">
        <x:v>Seuls les éléments mobiles nécessaires à la lecture du lieu ont une boucle; les lumières restent stables en mode confort.</x:v>
      </x:c>
      <x:c r="K7" s="9" t="str"/>
      <x:c r="L7" s="9" t="str">
        <x:v>Kit modulaire prévu hom/sets/earth; collisions simples et matériau de repère distinct.</x:v>
      </x:c>
      <x:c r="M7" s="9" t="str">
        <x:v>Conserver l’autonomie des quatre numéros et leurs raccords. Les variantes locales ne sauvent pas des personnages dont l’issue est fixée ni ne donnent à un jeune personnage son arsenal adulte.</x:v>
      </x:c>
      <x:c r="N7" s="9" t="str">
        <x:v>Le repère décrit reste visible depuis l'entrée et depuis le retour; aucune décoration ne masque un signal d'interaction.</x:v>
      </x:c>
      <x:c r="O7" s="9" t="str">
        <x:v>HOM-ZONE-EARTH</x:v>
      </x:c>
      <x:c r="P7" s="9" t="str">
        <x:v>Direction artistique originale, matériaux à confronter aux planches.</x:v>
      </x:c>
      <x:c r="Q7" s="9" t="str"/>
      <x:c r="R7" s="20" t="str"/>
      <x:c r="S7" s="20" t="str"/>
    </x:row>
    <x:row r="8" ht="68" customHeight="1">
      <x:c r="A8" s="19" t="str">
        <x:v>HOM-SET-CITADEL</x:v>
      </x:c>
      <x:c r="B8" s="7" t="str">
        <x:v>Citadelle — accueil et recherche — décor et repère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Vue de la station derrière des guichets à contraste calme.</x:v>
      </x:c>
      <x:c r="G8" s="7" t="str">
        <x:v>Deux variantes temporelles de lieu, sans fusion des récits.</x:v>
      </x:c>
      <x:c r="H8" s="7" t="str"/>
      <x:c r="I8" s="7" t="str">
        <x:v>Surfaces claires et lignes d’orientation, foule sobre non bloquante. Séparer gros volumes, surfaces de parcours et petits accessoires; réserver le contraste maximal aux éléments utilisables.</x:v>
      </x:c>
      <x:c r="J8" s="7" t="str">
        <x:v>Seuls les éléments mobiles nécessaires à la lecture du lieu ont une boucle; les lumières restent stables en mode confort.</x:v>
      </x:c>
      <x:c r="K8" s="7" t="str"/>
      <x:c r="L8" s="7" t="str">
        <x:v>Kit modulaire prévu hom/sets/citadel; collisions simples et matériau de repère distinct.</x:v>
      </x:c>
      <x:c r="M8" s="7" t="str">
        <x:v>Conserver l’autonomie des quatre numéros et leurs raccords. Les variantes locales ne sauvent pas des personnages dont l’issue est fixée ni ne donnent à un jeune personnage son arsenal adulte.</x:v>
      </x:c>
      <x:c r="N8" s="7" t="str">
        <x:v>Le repère décrit reste visible depuis l'entrée et depuis le retour; aucune décoration ne masque un signal d'interaction.</x:v>
      </x:c>
      <x:c r="O8" s="7" t="str">
        <x:v>HOM-ZONE-CITADEL</x:v>
      </x:c>
      <x:c r="P8" s="7" t="str">
        <x:v>Direction artistique originale, matériaux à confronter aux planches.</x:v>
      </x:c>
      <x:c r="Q8" s="7" t="str"/>
      <x:c r="R8" s="21" t="str"/>
      <x:c r="S8" s="21" t="str"/>
    </x:row>
    <x:row r="9" ht="68" customHeight="1">
      <x:c r="A9" s="18" t="str">
        <x:v>HOM-SET-PALAVEN</x:v>
      </x:c>
      <x:c r="B9" s="9" t="str">
        <x:v>Palaven — souvenirs de Garrus — décor et repère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Cible d’entraînement distincte d’un ennemi vivant.</x:v>
      </x:c>
      <x:c r="G9" s="9" t="str">
        <x:v>Encadrer les souvenirs familiaux.</x:v>
      </x:c>
      <x:c r="H9" s="9" t="str"/>
      <x:c r="I9" s="9" t="str">
        <x:v>Minéral clair, accessoires sobres et séparation nette des époques. Séparer gros volumes, surfaces de parcours et petits accessoires; réserver le contraste maximal aux éléments utilisables.</x:v>
      </x:c>
      <x:c r="J9" s="9" t="str">
        <x:v>Seuls les éléments mobiles nécessaires à la lecture du lieu ont une boucle; les lumières restent stables en mode confort.</x:v>
      </x:c>
      <x:c r="K9" s="9" t="str"/>
      <x:c r="L9" s="9" t="str">
        <x:v>Kit modulaire prévu hom/sets/palaven; collisions simples et matériau de repère distinct.</x:v>
      </x:c>
      <x:c r="M9" s="9" t="str">
        <x:v>Conserver l’autonomie des quatre numéros et leurs raccords. Les variantes locales ne sauvent pas des personnages dont l’issue est fixée ni ne donnent à un jeune personnage son arsenal adulte.</x:v>
      </x:c>
      <x:c r="N9" s="9" t="str">
        <x:v>Le repère décrit reste visible depuis l'entrée et depuis le retour; aucune décoration ne masque un signal d'interaction.</x:v>
      </x:c>
      <x:c r="O9" s="9" t="str">
        <x:v>HOM-ZONE-PALAVEN</x:v>
      </x:c>
      <x:c r="P9" s="9" t="str">
        <x:v>Direction artistique originale, matériaux à confronter aux planches.</x:v>
      </x:c>
      <x:c r="Q9" s="9" t="str"/>
      <x:c r="R9" s="20" t="str"/>
      <x:c r="S9" s="20" t="str"/>
    </x:row>
    <x:row r="10" ht="68" customHeight="1">
      <x:c r="A10" s="19" t="str">
        <x:v>HOM-SET-OMEGA</x:v>
      </x:c>
      <x:c r="B10" s="7" t="str">
        <x:v>Omega — position d’Archangel — décor et repère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Long axe de tir avec couvert bas et vue de l’approche.</x:v>
      </x:c>
      <x:c r="G10" s="7" t="str">
        <x:v>Défense de position à visibilité contrôlée.</x:v>
      </x:c>
      <x:c r="H10" s="7" t="str"/>
      <x:c r="I10" s="7" t="str">
        <x:v>Métal sombre, balisage orange et poussière faible. Séparer gros volumes, surfaces de parcours et petits accessoires; réserver le contraste maximal aux éléments utilisables.</x:v>
      </x:c>
      <x:c r="J10" s="7" t="str">
        <x:v>Seuls les éléments mobiles nécessaires à la lecture du lieu ont une boucle; les lumières restent stables en mode confort.</x:v>
      </x:c>
      <x:c r="K10" s="7" t="str"/>
      <x:c r="L10" s="7" t="str">
        <x:v>Kit modulaire prévu hom/sets/omega; collisions simples et matériau de repère distinct.</x:v>
      </x:c>
      <x:c r="M10" s="7" t="str">
        <x:v>Conserver l’autonomie des quatre numéros et leurs raccords. Les variantes locales ne sauvent pas des personnages dont l’issue est fixée ni ne donnent à un jeune personnage son arsenal adulte.</x:v>
      </x:c>
      <x:c r="N10" s="7" t="str">
        <x:v>Le repère décrit reste visible depuis l'entrée et depuis le retour; aucune décoration ne masque un signal d'interaction.</x:v>
      </x:c>
      <x:c r="O10" s="7" t="str">
        <x:v>HOM-ZONE-OMEGA</x:v>
      </x:c>
      <x:c r="P10" s="7" t="str">
        <x:v>Direction artistique originale, matériaux à confronter aux planches.</x:v>
      </x:c>
      <x:c r="Q10" s="7" t="str"/>
      <x:c r="R10" s="21" t="str"/>
      <x:c r="S10" s="21" t="str"/>
    </x:row>
    <x:row r="11" ht="68" customHeight="1">
      <x:c r="A11" s="18" t="str">
        <x:v>HOM-SET-THESSIA</x:v>
      </x:c>
      <x:c r="B11" s="9" t="str">
        <x:v>Thessia — archives — décor et repère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Archive centrale éclairée par le haut.</x:v>
      </x:c>
      <x:c r="G11" s="9" t="str">
        <x:v>Dialogue savant et confrontation à une archive incomplète.</x:v>
      </x:c>
      <x:c r="H11" s="9" t="str"/>
      <x:c r="I11" s="9" t="str">
        <x:v>Matériaux lisses et tons froids, écran central discret. Séparer gros volumes, surfaces de parcours et petits accessoires; réserver le contraste maximal aux éléments utilisables.</x:v>
      </x:c>
      <x:c r="J11" s="9" t="str">
        <x:v>Seuls les éléments mobiles nécessaires à la lecture du lieu ont une boucle; les lumières restent stables en mode confort.</x:v>
      </x:c>
      <x:c r="K11" s="9" t="str"/>
      <x:c r="L11" s="9" t="str">
        <x:v>Kit modulaire prévu hom/sets/thessia; collisions simples et matériau de repère distinct.</x:v>
      </x:c>
      <x:c r="M11" s="9" t="str">
        <x:v>Conserver l’autonomie des quatre numéros et leurs raccords. Les variantes locales ne sauvent pas des personnages dont l’issue est fixée ni ne donnent à un jeune personnage son arsenal adulte.</x:v>
      </x:c>
      <x:c r="N11" s="9" t="str">
        <x:v>Le repère décrit reste visible depuis l'entrée et depuis le retour; aucune décoration ne masque un signal d'interaction.</x:v>
      </x:c>
      <x:c r="O11" s="9" t="str">
        <x:v>HOM-ZONE-THESSIA</x:v>
      </x:c>
      <x:c r="P11" s="9" t="str">
        <x:v>Direction artistique originale, matériaux à confronter aux planches.</x:v>
      </x:c>
      <x:c r="Q11" s="9" t="str"/>
      <x:c r="R11" s="20" t="str"/>
      <x:c r="S11" s="20" t="str"/>
    </x:row>
    <x:row r="12" ht="68" customHeight="1">
      <x:c r="A12" s="19" t="str">
        <x:v>HOM-SET-KAHJE</x:v>
      </x:c>
      <x:c r="B12" s="7" t="str">
        <x:v>Kahje — accès au sanctuaire — décor et repère</x:v>
      </x:c>
      <x:c r="C12" s="15" t="str">
        <x:v>Défini</x:v>
      </x:c>
      <x:c r="D12" s="17" t="str">
        <x:v>Extrapolation</x:v>
      </x:c>
      <x:c r="E12" s="17" t="str">
        <x:v>P1</x:v>
      </x:c>
      <x:c r="F12" s="7" t="str">
        <x:v>Courbe de la structure sous l’eau et lumière de l’entrée.</x:v>
      </x:c>
      <x:c r="G12" s="7" t="str">
        <x:v>Contraste entre négociation, eau et archives.</x:v>
      </x:c>
      <x:c r="H12" s="7" t="str"/>
      <x:c r="I12" s="7" t="str">
        <x:v>Bleus profonds, volumes étanches et végétation seulement si vérifiée. Séparer gros volumes, surfaces de parcours et petits accessoires; réserver le contraste maximal aux éléments utilisables.</x:v>
      </x:c>
      <x:c r="J12" s="7" t="str">
        <x:v>Seuls les éléments mobiles nécessaires à la lecture du lieu ont une boucle; les lumières restent stables en mode confort.</x:v>
      </x:c>
      <x:c r="K12" s="7" t="str"/>
      <x:c r="L12" s="7" t="str">
        <x:v>Kit modulaire prévu hom/sets/kahje; collisions simples et matériau de repère distinct.</x:v>
      </x:c>
      <x:c r="M12" s="7" t="str">
        <x:v>Conserver l’autonomie des quatre numéros et leurs raccords. Les variantes locales ne sauvent pas des personnages dont l’issue est fixée ni ne donnent à un jeune personnage son arsenal adulte.</x:v>
      </x:c>
      <x:c r="N12" s="7" t="str">
        <x:v>Le repère décrit reste visible depuis l'entrée et depuis le retour; aucune décoration ne masque un signal d'interaction.</x:v>
      </x:c>
      <x:c r="O12" s="7" t="str">
        <x:v>HOM-ZONE-KAHJE</x:v>
      </x:c>
      <x:c r="P12" s="7" t="str">
        <x:v>Direction artistique originale, matériaux à confronter aux planches.</x:v>
      </x:c>
      <x:c r="Q12" s="7" t="str"/>
      <x:c r="R12" s="21" t="str"/>
      <x:c r="S12" s="21" t="str"/>
    </x:row>
  </x:sheetData>
  <x:conditionalFormatting sqref="D7:D12">
    <x:cfRule type="cellIs" dxfId="24" priority="1" operator="equal">
      <x:formula>"À vérifier"</x:formula>
    </x:cfRule>
    <x:cfRule type="cellIs" dxfId="25" priority="2" operator="equal">
      <x:formula>"Extrapolation"</x:formula>
    </x:cfRule>
  </x:conditionalFormatting>
  <x:conditionalFormatting sqref="C7:C12">
    <x:cfRule type="cellIs" dxfId="26" priority="3" operator="equal">
      <x:formula>"Validé"</x:formula>
    </x:cfRule>
  </x:conditionalFormatting>
  <x:conditionalFormatting sqref="E7:E12">
    <x:cfRule type="cellIs" dxfId="27" priority="4" operator="equal">
      <x:formula>"P0"</x:formula>
    </x:cfRule>
  </x:conditionalFormatting>
  <x:dataValidations count="3">
    <x:dataValidation type="list" sqref="C7:C12">
      <x:formula1>"Défini,Prototype,Intégré,Validé"</x:formula1>
    </x:dataValidation>
    <x:dataValidation type="list" sqref="D7:D12">
      <x:formula1>"Établi,À vérifier,Extrapolation,Coupé attesté,Concept abandonné,Allégation écartée"</x:formula1>
    </x:dataValidation>
    <x:dataValidation type="list" sqref="E7:E12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54ea812a9c4c68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Props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Homeworlds — Objets de décor et interactions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68" customHeight="1">
      <x:c r="A7" s="18" t="str">
        <x:v>HOM-SC-VEGA-YOUTH-PROP</x:v>
      </x:c>
      <x:c r="B7" s="9" t="str">
        <x:v>Borne de contact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Interaction de communication originale.</x:v>
      </x:c>
      <x:c r="G7" s="9" t="str">
        <x:v>Choisir qui appeler dans le cadre du récit.</x:v>
      </x:c>
      <x:c r="H7" s="9" t="str">
        <x:v>Les appels facultatifs ne créent pas de nouveaux personnages officiels; contact utile toujours disponible.</x:v>
      </x:c>
      <x:c r="I7" s="9" t="str">
        <x:v>Panneau public à écran large.</x:v>
      </x:c>
      <x:c r="J7" s="9" t="str">
        <x:v>État repos, sélection, utilisation et remise en place; l’objet conserve son pivot entre ces états.</x:v>
      </x:c>
      <x:c r="K7" s="9" t="str">
        <x:v>Bruit de manipulation original et confirmation visible.</x:v>
      </x:c>
      <x:c r="L7" s="9" t="str">
        <x:v>Objet proposé HOM/VEGA-YOUTH/prop; composant inspectable distinct du déclencheur narratif.</x:v>
      </x:c>
      <x:c r="M7" s="9" t="str">
        <x:v>Conserver l’autonomie des quatre numéros et leurs raccords. Les variantes locales ne sauvent pas des personnages dont l’issue est fixée ni ne donnent à un jeune personnage son arsenal adulte.</x:v>
      </x:c>
      <x:c r="N7" s="9" t="str">
        <x:v>L’objet possède un état visible avant et après interaction; il ne peut pas être perdu ni dupliqué par rechargement.</x:v>
      </x:c>
      <x:c r="O7" s="9" t="str">
        <x:v>HOM-SC-VEGA-YOUTH-MAIN</x:v>
      </x:c>
      <x:c r="P7" s="9" t="str">
        <x:v>Accessoire ou interaction de production proposé; ne vaut pas relevé exhaustif de la planche.</x:v>
      </x:c>
      <x:c r="Q7" s="9" t="str"/>
      <x:c r="R7" s="20" t="str"/>
      <x:c r="S7" s="20" t="str"/>
    </x:row>
    <x:row r="8" ht="68" customHeight="1">
      <x:c r="A8" s="19" t="str">
        <x:v>HOM-SC-VEGA-PRESENT-PROP</x:v>
      </x:c>
      <x:c r="B8" s="7" t="str">
        <x:v>Borne familiale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Interface originale de consultation.</x:v>
      </x:c>
      <x:c r="G8" s="7" t="str">
        <x:v>Présenter explicitement un résultat incomplet.</x:v>
      </x:c>
      <x:c r="H8" s="7" t="str">
        <x:v>Statut aucune information disponible distinct de personne décédée.</x:v>
      </x:c>
      <x:c r="I8" s="7" t="str">
        <x:v>Deux champs et état textuel clair.</x:v>
      </x:c>
      <x:c r="J8" s="7" t="str">
        <x:v>État repos, sélection, utilisation et remise en place; l’objet conserve son pivot entre ces états.</x:v>
      </x:c>
      <x:c r="K8" s="7" t="str">
        <x:v>Bruit de manipulation original et confirmation visible.</x:v>
      </x:c>
      <x:c r="L8" s="7" t="str">
        <x:v>Objet proposé HOM/VEGA-PRESENT/prop; composant inspectable distinct du déclencheur narratif.</x:v>
      </x:c>
      <x:c r="M8" s="7" t="str">
        <x:v>Conserver l’autonomie des quatre numéros et leurs raccords. Les variantes locales ne sauvent pas des personnages dont l’issue est fixée ni ne donnent à un jeune personnage son arsenal adulte.</x:v>
      </x:c>
      <x:c r="N8" s="7" t="str">
        <x:v>L’objet possède un état visible avant et après interaction; il ne peut pas être perdu ni dupliqué par rechargement.</x:v>
      </x:c>
      <x:c r="O8" s="7" t="str">
        <x:v>HOM-SC-VEGA-PRESENT-MAIN</x:v>
      </x:c>
      <x:c r="P8" s="7" t="str">
        <x:v>Accessoire ou interaction de production proposé; ne vaut pas relevé exhaustif de la planche.</x:v>
      </x:c>
      <x:c r="Q8" s="7" t="str"/>
      <x:c r="R8" s="21" t="str"/>
      <x:c r="S8" s="21" t="str"/>
    </x:row>
    <x:row r="9" ht="68" customHeight="1">
      <x:c r="A9" s="18" t="str">
        <x:v>HOM-SC-TALI-TRACE-PROP</x:v>
      </x:c>
      <x:c r="B9" s="9" t="str">
        <x:v>Support de preuve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Objet de mission abstrait proposé.</x:v>
      </x:c>
      <x:c r="G9" s="9" t="str">
        <x:v>Représenter la protection de l’information.</x:v>
      </x:c>
      <x:c r="H9" s="9" t="str">
        <x:v>Double confirmation avant transfert; aucune copie marchande générée.</x:v>
      </x:c>
      <x:c r="I9" s="9" t="str">
        <x:v>Icône de fichier associé au portrait de Tali.</x:v>
      </x:c>
      <x:c r="J9" s="9" t="str">
        <x:v>État repos, sélection, utilisation et remise en place; l’objet conserve son pivot entre ces états.</x:v>
      </x:c>
      <x:c r="K9" s="9" t="str">
        <x:v>Bruit de manipulation original et confirmation visible.</x:v>
      </x:c>
      <x:c r="L9" s="9" t="str">
        <x:v>Objet proposé HOM/TALI-TRACE/prop; composant inspectable distinct du déclencheur narratif.</x:v>
      </x:c>
      <x:c r="M9" s="9" t="str">
        <x:v>Conserver l’autonomie des quatre numéros et leurs raccords. Les variantes locales ne sauvent pas des personnages dont l’issue est fixée ni ne donnent à un jeune personnage son arsenal adulte.</x:v>
      </x:c>
      <x:c r="N9" s="9" t="str">
        <x:v>L’objet possède un état visible avant et après interaction; il ne peut pas être perdu ni dupliqué par rechargement.</x:v>
      </x:c>
      <x:c r="O9" s="9" t="str">
        <x:v>HOM-SC-TALI-TRACE-MAIN</x:v>
      </x:c>
      <x:c r="P9" s="9" t="str">
        <x:v>Accessoire ou interaction de production proposé; ne vaut pas relevé exhaustif de la planche.</x:v>
      </x:c>
      <x:c r="Q9" s="9" t="str"/>
      <x:c r="R9" s="20" t="str"/>
      <x:c r="S9" s="20" t="str"/>
    </x:row>
    <x:row r="10" ht="68" customHeight="1">
      <x:c r="A10" s="19" t="str">
        <x:v>HOM-SC-TALI-CITADEL-PROP</x:v>
      </x:c>
      <x:c r="B10" s="7" t="str">
        <x:v>Liste de contacts limitée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Outil original d’enquête.</x:v>
      </x:c>
      <x:c r="G10" s="7" t="str">
        <x:v>Montrer les pistes déjà tentées.</x:v>
      </x:c>
      <x:c r="H10" s="7" t="str">
        <x:v>Une piste refusée reste lisible avec son motif; aucune disparition silencieuse.</x:v>
      </x:c>
      <x:c r="I10" s="7" t="str">
        <x:v>Trois entrées textuelles maximum dans le prototype.</x:v>
      </x:c>
      <x:c r="J10" s="7" t="str">
        <x:v>État repos, sélection, utilisation et remise en place; l’objet conserve son pivot entre ces états.</x:v>
      </x:c>
      <x:c r="K10" s="7" t="str">
        <x:v>Bruit de manipulation original et confirmation visible.</x:v>
      </x:c>
      <x:c r="L10" s="7" t="str">
        <x:v>Objet proposé HOM/TALI-CITADEL/prop; composant inspectable distinct du déclencheur narratif.</x:v>
      </x:c>
      <x:c r="M10" s="7" t="str">
        <x:v>Conserver l’autonomie des quatre numéros et leurs raccords. Les variantes locales ne sauvent pas des personnages dont l’issue est fixée ni ne donnent à un jeune personnage son arsenal adulte.</x:v>
      </x:c>
      <x:c r="N10" s="7" t="str">
        <x:v>L’objet possède un état visible avant et après interaction; il ne peut pas être perdu ni dupliqué par rechargement.</x:v>
      </x:c>
      <x:c r="O10" s="7" t="str">
        <x:v>HOM-SC-TALI-CITADEL-MAIN</x:v>
      </x:c>
      <x:c r="P10" s="7" t="str">
        <x:v>Accessoire ou interaction de production proposé; ne vaut pas relevé exhaustif de la planche.</x:v>
      </x:c>
      <x:c r="Q10" s="7" t="str"/>
      <x:c r="R10" s="21" t="str"/>
      <x:c r="S10" s="21" t="str"/>
    </x:row>
    <x:row r="11" ht="68" customHeight="1">
      <x:c r="A11" s="18" t="str">
        <x:v>HOM-SC-GARRUS-PAST-PROP</x:v>
      </x:c>
      <x:c r="B11" s="9" t="str">
        <x:v>Cible d’exercice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Accessoire d’entraînement original.</x:v>
      </x:c>
      <x:c r="G11" s="9" t="str">
        <x:v>Éviter d’utiliser un ennemi comme tutoriel familial.</x:v>
      </x:c>
      <x:c r="H11" s="9" t="str">
        <x:v>Le résultat modifie seulement un commentaire de pratique.</x:v>
      </x:c>
      <x:c r="I11" s="9" t="str">
        <x:v>Cible géométrique sans silhouette biologique.</x:v>
      </x:c>
      <x:c r="J11" s="9" t="str">
        <x:v>État repos, sélection, utilisation et remise en place; l’objet conserve son pivot entre ces états.</x:v>
      </x:c>
      <x:c r="K11" s="9" t="str">
        <x:v>Bruit de manipulation original et confirmation visible.</x:v>
      </x:c>
      <x:c r="L11" s="9" t="str">
        <x:v>Objet proposé HOM/GARRUS-PAST/prop; composant inspectable distinct du déclencheur narratif.</x:v>
      </x:c>
      <x:c r="M11" s="9" t="str">
        <x:v>Conserver l’autonomie des quatre numéros et leurs raccords. Les variantes locales ne sauvent pas des personnages dont l’issue est fixée ni ne donnent à un jeune personnage son arsenal adulte.</x:v>
      </x:c>
      <x:c r="N11" s="9" t="str">
        <x:v>L’objet possède un état visible avant et après interaction; il ne peut pas être perdu ni dupliqué par rechargement.</x:v>
      </x:c>
      <x:c r="O11" s="9" t="str">
        <x:v>HOM-SC-GARRUS-PAST-MAIN</x:v>
      </x:c>
      <x:c r="P11" s="9" t="str">
        <x:v>Accessoire ou interaction de production proposé; ne vaut pas relevé exhaustif de la planche.</x:v>
      </x:c>
      <x:c r="Q11" s="9" t="str"/>
      <x:c r="R11" s="20" t="str"/>
      <x:c r="S11" s="20" t="str"/>
    </x:row>
    <x:row r="12" ht="68" customHeight="1">
      <x:c r="A12" s="19" t="str">
        <x:v>HOM-SC-GARRUS-OMEGA-PROP</x:v>
      </x:c>
      <x:c r="B12" s="7" t="str">
        <x:v>Poste radio d’Archangel</x:v>
      </x:c>
      <x:c r="C12" s="15" t="str">
        <x:v>Défini</x:v>
      </x:c>
      <x:c r="D12" s="17" t="str">
        <x:v>Extrapolation</x:v>
      </x:c>
      <x:c r="E12" s="17" t="str">
        <x:v>P1</x:v>
      </x:c>
      <x:c r="F12" s="7" t="str">
        <x:v>Objet de mise en scène proposé.</x:v>
      </x:c>
      <x:c r="G12" s="7" t="str">
        <x:v>Articuler défense et relation familiale.</x:v>
      </x:c>
      <x:c r="H12" s="7" t="str">
        <x:v>Interagir hors fenêtre dangereuse ou en pause de planification.</x:v>
      </x:c>
      <x:c r="I12" s="7" t="str">
        <x:v>Écran simple orienté vers Garrus.</x:v>
      </x:c>
      <x:c r="J12" s="7" t="str">
        <x:v>État repos, sélection, utilisation et remise en place; l’objet conserve son pivot entre ces états.</x:v>
      </x:c>
      <x:c r="K12" s="7" t="str">
        <x:v>Bruit de manipulation original et confirmation visible.</x:v>
      </x:c>
      <x:c r="L12" s="7" t="str">
        <x:v>Objet proposé HOM/GARRUS-OMEGA/prop; composant inspectable distinct du déclencheur narratif.</x:v>
      </x:c>
      <x:c r="M12" s="7" t="str">
        <x:v>Conserver l’autonomie des quatre numéros et leurs raccords. Les variantes locales ne sauvent pas des personnages dont l’issue est fixée ni ne donnent à un jeune personnage son arsenal adulte.</x:v>
      </x:c>
      <x:c r="N12" s="7" t="str">
        <x:v>L’objet possède un état visible avant et après interaction; il ne peut pas être perdu ni dupliqué par rechargement.</x:v>
      </x:c>
      <x:c r="O12" s="7" t="str">
        <x:v>HOM-SC-GARRUS-OMEGA-MAIN</x:v>
      </x:c>
      <x:c r="P12" s="7" t="str">
        <x:v>Accessoire ou interaction de production proposé; ne vaut pas relevé exhaustif de la planche.</x:v>
      </x:c>
      <x:c r="Q12" s="7" t="str"/>
      <x:c r="R12" s="21" t="str"/>
      <x:c r="S12" s="21" t="str"/>
    </x:row>
    <x:row r="13" ht="68" customHeight="1">
      <x:c r="A13" s="18" t="str">
        <x:v>HOM-SC-LIARA-ARCHIVE-PROP</x:v>
      </x:c>
      <x:c r="B13" s="9" t="str">
        <x:v>Carnet de pistes</x:v>
      </x:c>
      <x:c r="C13" s="15" t="str">
        <x:v>Défini</x:v>
      </x:c>
      <x:c r="D13" s="16" t="str">
        <x:v>Extrapolation</x:v>
      </x:c>
      <x:c r="E13" s="16" t="str">
        <x:v>P1</x:v>
      </x:c>
      <x:c r="F13" s="9" t="str">
        <x:v>Journal original à niveaux de certitude.</x:v>
      </x:c>
      <x:c r="G13" s="9" t="str">
        <x:v>Suivre une recherche qui ne donne pas immédiatement la solution.</x:v>
      </x:c>
      <x:c r="H13" s="9" t="str">
        <x:v>Une piste infructueuse reste historisée au lieu d’être supprimée.</x:v>
      </x:c>
      <x:c r="I13" s="9" t="str">
        <x:v>Trois états : examiné, inaccessible, à poursuivre.</x:v>
      </x:c>
      <x:c r="J13" s="9" t="str">
        <x:v>État repos, sélection, utilisation et remise en place; l’objet conserve son pivot entre ces états.</x:v>
      </x:c>
      <x:c r="K13" s="9" t="str">
        <x:v>Bruit de manipulation original et confirmation visible.</x:v>
      </x:c>
      <x:c r="L13" s="9" t="str">
        <x:v>Objet proposé HOM/LIARA-ARCHIVE/prop; composant inspectable distinct du déclencheur narratif.</x:v>
      </x:c>
      <x:c r="M13" s="9" t="str">
        <x:v>Conserver l’autonomie des quatre numéros et leurs raccords. Les variantes locales ne sauvent pas des personnages dont l’issue est fixée ni ne donnent à un jeune personnage son arsenal adulte.</x:v>
      </x:c>
      <x:c r="N13" s="9" t="str">
        <x:v>L’objet possède un état visible avant et après interaction; il ne peut pas être perdu ni dupliqué par rechargement.</x:v>
      </x:c>
      <x:c r="O13" s="9" t="str">
        <x:v>HOM-SC-LIARA-ARCHIVE-MAIN</x:v>
      </x:c>
      <x:c r="P13" s="9" t="str">
        <x:v>Accessoire ou interaction de production proposé; ne vaut pas relevé exhaustif de la planche.</x:v>
      </x:c>
      <x:c r="Q13" s="9" t="str"/>
      <x:c r="R13" s="20" t="str"/>
      <x:c r="S13" s="20" t="str"/>
    </x:row>
    <x:row r="14" ht="68" customHeight="1">
      <x:c r="A14" s="19" t="str">
        <x:v>HOM-SC-LIARA-KAHJE-PROP</x:v>
      </x:c>
      <x:c r="B14" s="7" t="str">
        <x:v>Accès d’archive</x:v>
      </x:c>
      <x:c r="C14" s="15" t="str">
        <x:v>Défini</x:v>
      </x:c>
      <x:c r="D14" s="17" t="str">
        <x:v>Extrapolation</x:v>
      </x:c>
      <x:c r="E14" s="17" t="str">
        <x:v>P1</x:v>
      </x:c>
      <x:c r="F14" s="7" t="str">
        <x:v>Terminal original pour la résolution du prototype.</x:v>
      </x:c>
      <x:c r="G14" s="7" t="str">
        <x:v>Distinguer accès obtenu et solution trouvée.</x:v>
      </x:c>
      <x:c r="H14" s="7" t="str">
        <x:v>Lire la piste ne termine pas la menace des Moissonneurs.</x:v>
      </x:c>
      <x:c r="I14" s="7" t="str">
        <x:v>Panneau lumineux et champs de coordonnées volontairement non chiffrés.</x:v>
      </x:c>
      <x:c r="J14" s="7" t="str">
        <x:v>État repos, sélection, utilisation et remise en place; l’objet conserve son pivot entre ces états.</x:v>
      </x:c>
      <x:c r="K14" s="7" t="str">
        <x:v>Bruit de manipulation original et confirmation visible.</x:v>
      </x:c>
      <x:c r="L14" s="7" t="str">
        <x:v>Objet proposé HOM/LIARA-KAHJE/prop; composant inspectable distinct du déclencheur narratif.</x:v>
      </x:c>
      <x:c r="M14" s="7" t="str">
        <x:v>Conserver l’autonomie des quatre numéros et leurs raccords. Les variantes locales ne sauvent pas des personnages dont l’issue est fixée ni ne donnent à un jeune personnage son arsenal adulte.</x:v>
      </x:c>
      <x:c r="N14" s="7" t="str">
        <x:v>L’objet possède un état visible avant et après interaction; il ne peut pas être perdu ni dupliqué par rechargement.</x:v>
      </x:c>
      <x:c r="O14" s="7" t="str">
        <x:v>HOM-SC-LIARA-KAHJE-MAIN</x:v>
      </x:c>
      <x:c r="P14" s="7" t="str">
        <x:v>Accessoire ou interaction de production proposé; ne vaut pas relevé exhaustif de la planche.</x:v>
      </x:c>
      <x:c r="Q14" s="7" t="str"/>
      <x:c r="R14" s="21" t="str"/>
      <x:c r="S14" s="21" t="str"/>
    </x:row>
  </x:sheetData>
  <x:conditionalFormatting sqref="D7:D14">
    <x:cfRule type="cellIs" dxfId="28" priority="1" operator="equal">
      <x:formula>"À vérifier"</x:formula>
    </x:cfRule>
    <x:cfRule type="cellIs" dxfId="29" priority="2" operator="equal">
      <x:formula>"Extrapolation"</x:formula>
    </x:cfRule>
  </x:conditionalFormatting>
  <x:conditionalFormatting sqref="C7:C14">
    <x:cfRule type="cellIs" dxfId="30" priority="3" operator="equal">
      <x:formula>"Validé"</x:formula>
    </x:cfRule>
  </x:conditionalFormatting>
  <x:conditionalFormatting sqref="E7:E14">
    <x:cfRule type="cellIs" dxfId="31" priority="4" operator="equal">
      <x:formula>"P0"</x:formula>
    </x:cfRule>
  </x:conditionalFormatting>
  <x:dataValidations count="3">
    <x:dataValidation type="list" sqref="C7:C14">
      <x:formula1>"Défini,Prototype,Intégré,Validé"</x:formula1>
    </x:dataValidation>
    <x:dataValidation type="list" sqref="D7:D14">
      <x:formula1>"Établi,À vérifier,Extrapolation,Coupé attesté,Concept abandonné,Allégation écartée"</x:formula1>
    </x:dataValidation>
    <x:dataValidation type="list" sqref="E7:E14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252edcc9e74289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99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Ennemis et boss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Homeworlds — Bestiaire, adversaires et affrontements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68" customHeight="1">
      <x:c r="A7" s="18" t="str">
        <x:v>HOM-EN-DRONE</x:v>
      </x:c>
      <x:c r="B7" s="9" t="str">
        <x:v>Drone de poursuite urbaine</x:v>
      </x:c>
      <x:c r="C7" s="15" t="str">
        <x:v>Défini</x:v>
      </x:c>
      <x:c r="D7" s="16" t="str">
        <x:v>À vérifier</x:v>
      </x:c>
      <x:c r="E7" s="16" t="str">
        <x:v>P1</x:v>
      </x:c>
      <x:c r="F7" s="9" t="str">
        <x:v>Le récit de jeunesse de James comporte un drone de police.</x:v>
      </x:c>
      <x:c r="G7" s="9" t="str">
        <x:v>Obstacle d’observation, pas cible létale obligatoire.</x:v>
      </x:c>
      <x:c r="H7" s="9" t="str">
        <x:v>Profil proposé : Le cône est évitable; l’échec relance un passage, pas un écran de mort spectaculaire.</x:v>
      </x:c>
      <x:c r="I7" s="9" t="str">
        <x:v>Silhouette proposée : Petite silhouette mécanique civile et phare directionnel.</x:v>
      </x:c>
      <x:c r="J7" s="9" t="str">
        <x:v>Balayage lent et pivot visible.</x:v>
      </x:c>
      <x:c r="K7" s="9" t="str">
        <x:v>Avertissement original doublé de texte.</x:v>
      </x:c>
      <x:c r="L7" s="9" t="str">
        <x:v>Livrable proposé : spécification HOM/enemies/en-drone; brancher au registre de contenu de l'œuvre seulement après production.</x:v>
      </x:c>
      <x:c r="M7" s="9" t="str">
        <x:v>Conserver l’autonomie des quatre numéros et leurs raccords. Les variantes locales ne sauvent pas des personnages dont l’issue est fixée ni ne donnent à un jeune personnage son arsenal adulte.</x:v>
      </x:c>
      <x:c r="N7" s="9" t="str">
        <x:v>Drone de poursuite urbaine a une silhouette distincte, un comportement télégraphié et une contre-mesure documentée; aucune valeur n'est annoncée comme statistique officielle.</x:v>
      </x:c>
      <x:c r="O7" s="9" t="str"/>
      <x:c r="P7" s="9" t="str">
        <x:v>Homeworlds #1</x:v>
      </x:c>
      <x:c r="Q7" s="9" t="str">
        <x:v>HOM-S-ISSUE1</x:v>
      </x:c>
      <x:c r="R7" s="20" t="str">
        <x:v>https://masseffect.fandom.com/wiki/Mass_Effect%3A_Homeworlds_1</x:v>
      </x:c>
      <x:c r="S7" s="20" t="str">
        <x:v>L’adversaire ou groupe est attesté selon la source; le combat ATB et ses réglages sont entièrement proposés.</x:v>
      </x:c>
    </x:row>
    <x:row r="8" ht="68" customHeight="1">
      <x:c r="A8" s="19" t="str">
        <x:v>HOM-EN-HUNTERS</x:v>
      </x:c>
      <x:c r="B8" s="7" t="str">
        <x:v>Assassins poursuivant Tali</x:v>
      </x:c>
      <x:c r="C8" s="15" t="str">
        <x:v>Défini</x:v>
      </x:c>
      <x:c r="D8" s="17" t="str">
        <x:v>À vérifier</x:v>
      </x:c>
      <x:c r="E8" s="17" t="str">
        <x:v>P1</x:v>
      </x:c>
      <x:c r="F8" s="7" t="str">
        <x:v>Le synopsis de #2 décrit des assassins à la poursuite de Tali.</x:v>
      </x:c>
      <x:c r="G8" s="7" t="str">
        <x:v>Menace de trajet plutôt qu’armée complète.</x:v>
      </x:c>
      <x:c r="H8" s="7" t="str">
        <x:v>Profil proposé : Les unités cherchent l’objectif de mission; une diversion crée une fenêtre, pas une victoire définitive.</x:v>
      </x:c>
      <x:c r="I8" s="7" t="str">
        <x:v>Silhouette proposée : Silhouettes génériques jusqu’au contrôle des planches; pas de faction inventée.</x:v>
      </x:c>
      <x:c r="J8" s="7" t="str">
        <x:v>Marche discrète, détection et visée.</x:v>
      </x:c>
      <x:c r="K8" s="7" t="str">
        <x:v>Pas brefs et signal de recherche.</x:v>
      </x:c>
      <x:c r="L8" s="7" t="str">
        <x:v>Livrable proposé : spécification HOM/enemies/en-hunters; brancher au registre de contenu de l'œuvre seulement après production.</x:v>
      </x:c>
      <x:c r="M8" s="7" t="str">
        <x:v>Conserver l’autonomie des quatre numéros et leurs raccords. Les variantes locales ne sauvent pas des personnages dont l’issue est fixée ni ne donnent à un jeune personnage son arsenal adulte.</x:v>
      </x:c>
      <x:c r="N8" s="7" t="str">
        <x:v>Assassins poursuivant Tali a une silhouette distincte, un comportement télégraphié et une contre-mesure documentée; aucune valeur n'est annoncée comme statistique officielle.</x:v>
      </x:c>
      <x:c r="O8" s="7" t="str"/>
      <x:c r="P8" s="7" t="str">
        <x:v>Homeworlds #2</x:v>
      </x:c>
      <x:c r="Q8" s="7" t="str">
        <x:v>HOM-S-ISSUE2</x:v>
      </x:c>
      <x:c r="R8" s="21" t="str">
        <x:v>https://masseffect.fandom.com/wiki/Mass_Effect%3A_Homeworlds_2</x:v>
      </x:c>
      <x:c r="S8" s="21" t="str">
        <x:v>L’adversaire ou groupe est attesté selon la source; le combat ATB et ses réglages sont entièrement proposés.</x:v>
      </x:c>
    </x:row>
    <x:row r="9" ht="68" customHeight="1">
      <x:c r="A9" s="18" t="str">
        <x:v>HOM-EN-MERC</x:v>
      </x:c>
      <x:c r="B9" s="9" t="str">
        <x:v>Mercenaires face à Archangel</x:v>
      </x:c>
      <x:c r="C9" s="15" t="str">
        <x:v>Défini</x:v>
      </x:c>
      <x:c r="D9" s="16" t="str">
        <x:v>À vérifier</x:v>
      </x:c>
      <x:c r="E9" s="16" t="str">
        <x:v>P1</x:v>
      </x:c>
      <x:c r="F9" s="9" t="str">
        <x:v>Le troisième numéro montre les gangs attaquant la position d’Archangel.</x:v>
      </x:c>
      <x:c r="G9" s="9" t="str">
        <x:v>Pression coordonnée limitée au cadre de défense.</x:v>
      </x:c>
      <x:c r="H9" s="9" t="str">
        <x:v>Profil proposé : Vagues limitées et entrées visibles; le volume d’ennemis n’est pas un chiffre canon.</x:v>
      </x:c>
      <x:c r="I9" s="9" t="str">
        <x:v>Silhouette proposée : Trois silhouettes de rôle proposées : avance, appui, couverture.</x:v>
      </x:c>
      <x:c r="J9" s="9" t="str">
        <x:v>Déplacement couvert et attaque annoncée.</x:v>
      </x:c>
      <x:c r="K9" s="9" t="str">
        <x:v>Tirs lointains et ordres inventés.</x:v>
      </x:c>
      <x:c r="L9" s="9" t="str">
        <x:v>Livrable proposé : spécification HOM/enemies/en-merc; brancher au registre de contenu de l'œuvre seulement après production.</x:v>
      </x:c>
      <x:c r="M9" s="9" t="str">
        <x:v>Conserver l’autonomie des quatre numéros et leurs raccords. Les variantes locales ne sauvent pas des personnages dont l’issue est fixée ni ne donnent à un jeune personnage son arsenal adulte.</x:v>
      </x:c>
      <x:c r="N9" s="9" t="str">
        <x:v>Mercenaires face à Archangel a une silhouette distincte, un comportement télégraphié et une contre-mesure documentée; aucune valeur n'est annoncée comme statistique officielle.</x:v>
      </x:c>
      <x:c r="O9" s="9" t="str"/>
      <x:c r="P9" s="9" t="str">
        <x:v>Homeworlds #3</x:v>
      </x:c>
      <x:c r="Q9" s="9" t="str">
        <x:v>HOM-S-ISSUE3</x:v>
      </x:c>
      <x:c r="R9" s="20" t="str">
        <x:v>https://masseffect.fandom.com/wiki/Mass_Effect%3A_Homeworlds_3</x:v>
      </x:c>
      <x:c r="S9" s="20" t="str">
        <x:v>L’adversaire ou groupe est attesté selon la source; le combat ATB et ses réglages sont entièrement proposés.</x:v>
      </x:c>
    </x:row>
    <x:row r="10" ht="68" customHeight="1">
      <x:c r="A10" s="19" t="str">
        <x:v>HOM-EN-PHANTOM</x:v>
      </x:c>
      <x:c r="B10" s="7" t="str">
        <x:v>Phantom de Cerberus</x:v>
      </x:c>
      <x:c r="C10" s="15" t="str">
        <x:v>Défini</x:v>
      </x:c>
      <x:c r="D10" s="17" t="str">
        <x:v>À vérifier</x:v>
      </x:c>
      <x:c r="E10" s="17" t="str">
        <x:v>P1</x:v>
      </x:c>
      <x:c r="F10" s="7" t="str">
        <x:v>Le wiki identifie une Phantom dans la séquence de Kahje.</x:v>
      </x:c>
      <x:c r="G10" s="7" t="str">
        <x:v>Confrontation brève de contrôle de distance.</x:v>
      </x:c>
      <x:c r="H10" s="7" t="str">
        <x:v>Profil proposé : Attaque rapprochée télégraphiée; protection du partenaire prioritaire.</x:v>
      </x:c>
      <x:c r="I10" s="7" t="str">
        <x:v>Silhouette proposée : Silhouette fine, lame et effet de déplacement limité; modèle du comic à vérifier.</x:v>
      </x:c>
      <x:c r="J10" s="7" t="str">
        <x:v>Abaissement, bond court et récupération visible.</x:v>
      </x:c>
      <x:c r="K10" s="7" t="str">
        <x:v>Lame et déplacement aérien originaux.</x:v>
      </x:c>
      <x:c r="L10" s="7" t="str">
        <x:v>Livrable proposé : spécification HOM/enemies/en-phantom; brancher au registre de contenu de l'œuvre seulement après production.</x:v>
      </x:c>
      <x:c r="M10" s="7" t="str">
        <x:v>Conserver l’autonomie des quatre numéros et leurs raccords. Les variantes locales ne sauvent pas des personnages dont l’issue est fixée ni ne donnent à un jeune personnage son arsenal adulte.</x:v>
      </x:c>
      <x:c r="N10" s="7" t="str">
        <x:v>Phantom de Cerberus a une silhouette distincte, un comportement télégraphié et une contre-mesure documentée; aucune valeur n'est annoncée comme statistique officielle.</x:v>
      </x:c>
      <x:c r="O10" s="7" t="str"/>
      <x:c r="P10" s="7" t="str">
        <x:v>Homeworlds #4</x:v>
      </x:c>
      <x:c r="Q10" s="7" t="str">
        <x:v>HOM-S-ISSUE4</x:v>
      </x:c>
      <x:c r="R10" s="21" t="str">
        <x:v>https://masseffect.fandom.com/wiki/Mass_Effect%3A_Homeworlds_4</x:v>
      </x:c>
      <x:c r="S10" s="21" t="str">
        <x:v>L’adversaire ou groupe est attesté selon la source; le combat ATB et ses réglages sont entièrement proposés.</x:v>
      </x:c>
    </x:row>
  </x:sheetData>
  <x:conditionalFormatting sqref="D7:D10">
    <x:cfRule type="cellIs" dxfId="32" priority="1" operator="equal">
      <x:formula>"À vérifier"</x:formula>
    </x:cfRule>
    <x:cfRule type="cellIs" dxfId="33" priority="2" operator="equal">
      <x:formula>"Extrapolation"</x:formula>
    </x:cfRule>
  </x:conditionalFormatting>
  <x:conditionalFormatting sqref="C7:C10">
    <x:cfRule type="cellIs" dxfId="34" priority="3" operator="equal">
      <x:formula>"Validé"</x:formula>
    </x:cfRule>
  </x:conditionalFormatting>
  <x:conditionalFormatting sqref="E7:E10">
    <x:cfRule type="cellIs" dxfId="35" priority="4" operator="equal">
      <x:formula>"P0"</x:formula>
    </x:cfRule>
  </x:conditionalFormatting>
  <x:dataValidations count="3">
    <x:dataValidation type="list" sqref="C7:C10">
      <x:formula1>"Défini,Prototype,Intégré,Validé"</x:formula1>
    </x:dataValidation>
    <x:dataValidation type="list" sqref="D7:D10">
      <x:formula1>"Établi,À vérifier,Extrapolation,Coupé attesté,Concept abandonné,Allégation écartée"</x:formula1>
    </x:dataValidation>
    <x:dataValidation type="list" sqref="E7:E1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b14ec70a57439d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Missions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Homeworlds — Étapes de l’intrigue principale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68" customHeight="1">
      <x:c r="A7" s="18" t="str">
        <x:v>HOM-SC-VEGA-YOUTH-MAIN</x:v>
      </x:c>
      <x:c r="B7" s="9" t="str">
        <x:v>#1 — choisir sa voie — objectif jouable</x:v>
      </x:c>
      <x:c r="C7" s="15" t="str">
        <x:v>Défini</x:v>
      </x:c>
      <x:c r="D7" s="16" t="str">
        <x:v>Extrapolation</x:v>
      </x:c>
      <x:c r="E7" s="16" t="str">
        <x:v>P0</x:v>
      </x:c>
      <x:c r="F7" s="9" t="str">
        <x:v>Trouver un chemin sûr jusqu’à un contact de confiance.</x:v>
      </x:c>
      <x:c r="G7" s="9" t="str">
        <x:v>Rue → obstacle → refuge provisoire → conversation.</x:v>
      </x:c>
      <x:c r="H7" s="9" t="str">
        <x:v>Course découpée en observations et traversées; pas de statistiques militaires de l’adulte ni de combat récompensant la violence familiale.</x:v>
      </x:c>
      <x:c r="I7" s="9" t="str">
        <x:v>Rue claire, passage étroit et horizon côtier au retour.</x:v>
      </x:c>
      <x:c r="J7" s="9" t="str">
        <x:v>Entrée prudente, geste d'inspection et retour au contrôle pour « #1 — choisir sa voie »; poser les sprites avant tout changement de caméra.</x:v>
      </x:c>
      <x:c r="K7" s="9" t="str">
        <x:v>Pas pressés puis calme du vent.</x:v>
      </x:c>
      <x:c r="L7" s="9" t="str">
        <x:v>Graphe proposé HOM/quests/VEGA-YOUTH: entrée → objectif actif → résolution → raccord; conditions terminales séparées des points facultatifs.</x:v>
      </x:c>
      <x:c r="M7" s="9" t="str">
        <x:v>Conserver l’autonomie des quatre numéros et leurs raccords. Les variantes locales ne sauvent pas des personnages dont l’issue est fixée ni ne donnent à un jeune personnage son arsenal adulte.</x:v>
      </x:c>
      <x:c r="N7" s="9" t="str">
        <x:v>L'objectif « #1 — choisir sa voie » atteint son raccord annoncé après chaque méthode; sauvegarde, rechargement et saut de scène n'en changent ni le groupe ni les informations acquises.</x:v>
      </x:c>
      <x:c r="O7" s="9" t="str">
        <x:v>HOM-SC-VEGA-YOUTH-REF</x:v>
      </x:c>
      <x:c r="P7" s="9" t="str">
        <x:v>Conception originale rattachée à Homeworlds #1</x:v>
      </x:c>
      <x:c r="Q7" s="9" t="str"/>
      <x:c r="R7" s="20" t="str"/>
      <x:c r="S7" s="20" t="str"/>
    </x:row>
    <x:row r="8" ht="68" customHeight="1">
      <x:c r="A8" s="19" t="str">
        <x:v>HOM-SC-VEGA-PRESENT-MAIN</x:v>
      </x:c>
      <x:c r="B8" s="7" t="str">
        <x:v>#1 — rechercher les proches — objectif jouable</x:v>
      </x:c>
      <x:c r="C8" s="15" t="str">
        <x:v>Défini</x:v>
      </x:c>
      <x:c r="D8" s="17" t="str">
        <x:v>Extrapolation</x:v>
      </x:c>
      <x:c r="E8" s="17" t="str">
        <x:v>P0</x:v>
      </x:c>
      <x:c r="F8" s="7" t="str">
        <x:v>Consulter une borne puis reprendre le trajet vers le groupe.</x:v>
      </x:c>
      <x:c r="G8" s="7" t="str">
        <x:v>Demande → absence d’information → souvenir → retour au présent.</x:v>
      </x:c>
      <x:c r="H8" s="7" t="str">
        <x:v>La recherche ne devient pas un puzzle promettant de retrouver les proches; son résultat source est conservé.</x:v>
      </x:c>
      <x:c r="I8" s="7" t="str">
        <x:v>Zone d’attente calme et informations sans surimpression envahissante.</x:v>
      </x:c>
      <x:c r="J8" s="7" t="str">
        <x:v>Entrée prudente, geste d'inspection et retour au contrôle pour « #1 — rechercher les proches »; poser les sprites avant tout changement de caméra.</x:v>
      </x:c>
      <x:c r="K8" s="7" t="str">
        <x:v>Annonce distante et bref motif de souvenir.</x:v>
      </x:c>
      <x:c r="L8" s="7" t="str">
        <x:v>Graphe proposé HOM/quests/VEGA-PRESENT: entrée → objectif actif → résolution → raccord; conditions terminales séparées des points facultatifs.</x:v>
      </x:c>
      <x:c r="M8" s="7" t="str">
        <x:v>Conserver l’autonomie des quatre numéros et leurs raccords. Les variantes locales ne sauvent pas des personnages dont l’issue est fixée ni ne donnent à un jeune personnage son arsenal adulte.</x:v>
      </x:c>
      <x:c r="N8" s="7" t="str">
        <x:v>L'objectif « #1 — rechercher les proches » atteint son raccord annoncé après chaque méthode; sauvegarde, rechargement et saut de scène n'en changent ni le groupe ni les informations acquises.</x:v>
      </x:c>
      <x:c r="O8" s="7" t="str">
        <x:v>HOM-SC-VEGA-PRESENT-REF</x:v>
      </x:c>
      <x:c r="P8" s="7" t="str">
        <x:v>Conception originale rattachée à Homeworlds #1</x:v>
      </x:c>
      <x:c r="Q8" s="7" t="str"/>
      <x:c r="R8" s="21" t="str"/>
      <x:c r="S8" s="21" t="str"/>
    </x:row>
    <x:row r="9" ht="68" customHeight="1">
      <x:c r="A9" s="18" t="str">
        <x:v>HOM-SC-TALI-TRACE-MAIN</x:v>
      </x:c>
      <x:c r="B9" s="9" t="str">
        <x:v>#2 — protéger la découverte — objectif jouable</x:v>
      </x:c>
      <x:c r="C9" s="15" t="str">
        <x:v>Défini</x:v>
      </x:c>
      <x:c r="D9" s="16" t="str">
        <x:v>Extrapolation</x:v>
      </x:c>
      <x:c r="E9" s="16" t="str">
        <x:v>P0</x:v>
      </x:c>
      <x:c r="F9" s="9" t="str">
        <x:v>Maintenir l’objet de mission en sécurité et atteindre un accès de transit.</x:v>
      </x:c>
      <x:c r="G9" s="9" t="str">
        <x:v>Observation → protection des données → déplacement → sortie.</x:v>
      </x:c>
      <x:c r="H9" s="9" t="str">
        <x:v>Le fichier est un objectif persistant non vendable; une interruption impose une reprise locale, jamais son effacement définitif par hasard.</x:v>
      </x:c>
      <x:c r="I9" s="9" t="str">
        <x:v>Passage étroit et interface discrète, combinaison détachée du fond.</x:v>
      </x:c>
      <x:c r="J9" s="9" t="str">
        <x:v>Entrée prudente, geste d'inspection et retour au contrôle pour « #2 — protéger la découverte »; poser les sprites avant tout changement de caméra.</x:v>
      </x:c>
      <x:c r="K9" s="9" t="str">
        <x:v>Signal de transfert original et pas poursuivants localisés.</x:v>
      </x:c>
      <x:c r="L9" s="9" t="str">
        <x:v>Graphe proposé HOM/quests/TALI-TRACE: entrée → objectif actif → résolution → raccord; conditions terminales séparées des points facultatifs.</x:v>
      </x:c>
      <x:c r="M9" s="9" t="str">
        <x:v>Conserver l’autonomie des quatre numéros et leurs raccords. Les variantes locales ne sauvent pas des personnages dont l’issue est fixée ni ne donnent à un jeune personnage son arsenal adulte.</x:v>
      </x:c>
      <x:c r="N9" s="9" t="str">
        <x:v>L'objectif « #2 — protéger la découverte » atteint son raccord annoncé après chaque méthode; sauvegarde, rechargement et saut de scène n'en changent ni le groupe ni les informations acquises.</x:v>
      </x:c>
      <x:c r="O9" s="9" t="str">
        <x:v>HOM-SC-TALI-TRACE-REF</x:v>
      </x:c>
      <x:c r="P9" s="9" t="str">
        <x:v>Conception originale rattachée à Homeworlds #2</x:v>
      </x:c>
      <x:c r="Q9" s="9" t="str"/>
      <x:c r="R9" s="20" t="str"/>
      <x:c r="S9" s="20" t="str"/>
    </x:row>
    <x:row r="10" ht="68" customHeight="1">
      <x:c r="A10" s="19" t="str">
        <x:v>HOM-SC-TALI-CITADEL-MAIN</x:v>
      </x:c>
      <x:c r="B10" s="7" t="str">
        <x:v>#2 — demander de l’aide — objectif jouable</x:v>
      </x:c>
      <x:c r="C10" s="15" t="str">
        <x:v>Défini</x:v>
      </x:c>
      <x:c r="D10" s="17" t="str">
        <x:v>Extrapolation</x:v>
      </x:c>
      <x:c r="E10" s="17" t="str">
        <x:v>P0</x:v>
      </x:c>
      <x:c r="F10" s="7" t="str">
        <x:v>Identifier un interlocuteur utile tout en gardant la preuve.</x:v>
      </x:c>
      <x:c r="G10" s="7" t="str">
        <x:v>Accueil difficile → options de contact → passage sécurisé → raccord.</x:v>
      </x:c>
      <x:c r="H10" s="7" t="str">
        <x:v>Les obstacles de dialogue ne valident pas les préjugés; ils exposent une difficulté du personnage avec des sorties alternatives claires.</x:v>
      </x:c>
      <x:c r="I10" s="7" t="str">
        <x:v>Accueil clair, vitre et signalétique, passage utile légèrement contrasté.</x:v>
      </x:c>
      <x:c r="J10" s="7" t="str">
        <x:v>Entrée prudente, geste d'inspection et retour au contrôle pour « #2 — demander de l’aide »; poser les sprites avant tout changement de caméra.</x:v>
      </x:c>
      <x:c r="K10" s="7" t="str">
        <x:v>Brouhaha qui baisse lors d’une réponse hostile; sous-titres complets.</x:v>
      </x:c>
      <x:c r="L10" s="7" t="str">
        <x:v>Graphe proposé HOM/quests/TALI-CITADEL: entrée → objectif actif → résolution → raccord; conditions terminales séparées des points facultatifs.</x:v>
      </x:c>
      <x:c r="M10" s="7" t="str">
        <x:v>Conserver l’autonomie des quatre numéros et leurs raccords. Les variantes locales ne sauvent pas des personnages dont l’issue est fixée ni ne donnent à un jeune personnage son arsenal adulte.</x:v>
      </x:c>
      <x:c r="N10" s="7" t="str">
        <x:v>L'objectif « #2 — demander de l’aide » atteint son raccord annoncé après chaque méthode; sauvegarde, rechargement et saut de scène n'en changent ni le groupe ni les informations acquises.</x:v>
      </x:c>
      <x:c r="O10" s="7" t="str">
        <x:v>HOM-SC-TALI-CITADEL-REF</x:v>
      </x:c>
      <x:c r="P10" s="7" t="str">
        <x:v>Conception originale rattachée à Homeworlds #2</x:v>
      </x:c>
      <x:c r="Q10" s="7" t="str"/>
      <x:c r="R10" s="21" t="str"/>
      <x:c r="S10" s="21" t="str"/>
    </x:row>
    <x:row r="11" ht="68" customHeight="1">
      <x:c r="A11" s="18" t="str">
        <x:v>HOM-SC-GARRUS-PAST-MAIN</x:v>
      </x:c>
      <x:c r="B11" s="9" t="str">
        <x:v>#3 — leçons et limites — objectif jouable</x:v>
      </x:c>
      <x:c r="C11" s="15" t="str">
        <x:v>Défini</x:v>
      </x:c>
      <x:c r="D11" s="16" t="str">
        <x:v>Extrapolation</x:v>
      </x:c>
      <x:c r="E11" s="16" t="str">
        <x:v>P0</x:v>
      </x:c>
      <x:c r="F11" s="9" t="str">
        <x:v>Traverser deux souvenirs brefs en conservant leurs différences d’âge.</x:v>
      </x:c>
      <x:c r="G11" s="9" t="str">
        <x:v>Entraînement → échange familial → ellipse → désaccord professionnel.</x:v>
      </x:c>
      <x:c r="H11" s="9" t="str">
        <x:v>Le tir d’entraînement porte sur des cibles mécaniques; aucune précision parfaite obligatoire pour voir le récit.</x:v>
      </x:c>
      <x:c r="I11" s="9" t="str">
        <x:v>Cibles sobres, silhouette de l’instructeur en retrait.</x:v>
      </x:c>
      <x:c r="J11" s="9" t="str">
        <x:v>Entrée prudente, geste d'inspection et retour au contrôle pour « #3 — leçons et limites »; poser les sprites avant tout changement de caméra.</x:v>
      </x:c>
      <x:c r="K11" s="9" t="str">
        <x:v>Impact mécanique doux et silence de discussion.</x:v>
      </x:c>
      <x:c r="L11" s="9" t="str">
        <x:v>Graphe proposé HOM/quests/GARRUS-PAST: entrée → objectif actif → résolution → raccord; conditions terminales séparées des points facultatifs.</x:v>
      </x:c>
      <x:c r="M11" s="9" t="str">
        <x:v>Conserver l’autonomie des quatre numéros et leurs raccords. Les variantes locales ne sauvent pas des personnages dont l’issue est fixée ni ne donnent à un jeune personnage son arsenal adulte.</x:v>
      </x:c>
      <x:c r="N11" s="9" t="str">
        <x:v>L'objectif « #3 — leçons et limites » atteint son raccord annoncé après chaque méthode; sauvegarde, rechargement et saut de scène n'en changent ni le groupe ni les informations acquises.</x:v>
      </x:c>
      <x:c r="O11" s="9" t="str">
        <x:v>HOM-SC-GARRUS-PAST-REF</x:v>
      </x:c>
      <x:c r="P11" s="9" t="str">
        <x:v>Conception originale rattachée à Homeworlds #3</x:v>
      </x:c>
      <x:c r="Q11" s="9" t="str"/>
      <x:c r="R11" s="20" t="str"/>
      <x:c r="S11" s="20" t="str"/>
    </x:row>
    <x:row r="12" ht="68" customHeight="1">
      <x:c r="A12" s="19" t="str">
        <x:v>HOM-SC-GARRUS-OMEGA-MAIN</x:v>
      </x:c>
      <x:c r="B12" s="7" t="str">
        <x:v>#3 — tenir comme Archangel — objectif jouable</x:v>
      </x:c>
      <x:c r="C12" s="15" t="str">
        <x:v>Défini</x:v>
      </x:c>
      <x:c r="D12" s="17" t="str">
        <x:v>Extrapolation</x:v>
      </x:c>
      <x:c r="E12" s="17" t="str">
        <x:v>P0</x:v>
      </x:c>
      <x:c r="F12" s="7" t="str">
        <x:v>Tenir les approches visibles jusqu’au raccord narratif.</x:v>
      </x:c>
      <x:c r="G12" s="7" t="str">
        <x:v>Repérage → vagues limitées proposées → communication → raccord.</x:v>
      </x:c>
      <x:c r="H12" s="7" t="str">
        <x:v>Le nombre de vagues est un réglage de prototype; une ligne claire montre le temps narratif restant, sans promettre la reconquête d’Omega.</x:v>
      </x:c>
      <x:c r="I12" s="7" t="str">
        <x:v>Couloir de tir dégagé et point radio protégé.</x:v>
      </x:c>
      <x:c r="J12" s="7" t="str">
        <x:v>Entrée prudente, geste d'inspection et retour au contrôle pour « #3 — tenir comme Archangel »; poser les sprites avant tout changement de caméra.</x:v>
      </x:c>
      <x:c r="K12" s="7" t="str">
        <x:v>Tirs éloignés, souffle et communication fragile.</x:v>
      </x:c>
      <x:c r="L12" s="7" t="str">
        <x:v>Graphe proposé HOM/quests/GARRUS-OMEGA: entrée → objectif actif → résolution → raccord; conditions terminales séparées des points facultatifs.</x:v>
      </x:c>
      <x:c r="M12" s="7" t="str">
        <x:v>Conserver l’autonomie des quatre numéros et leurs raccords. Les variantes locales ne sauvent pas des personnages dont l’issue est fixée ni ne donnent à un jeune personnage son arsenal adulte.</x:v>
      </x:c>
      <x:c r="N12" s="7" t="str">
        <x:v>L'objectif « #3 — tenir comme Archangel » atteint son raccord annoncé après chaque méthode; sauvegarde, rechargement et saut de scène n'en changent ni le groupe ni les informations acquises.</x:v>
      </x:c>
      <x:c r="O12" s="7" t="str">
        <x:v>HOM-SC-GARRUS-OMEGA-REF</x:v>
      </x:c>
      <x:c r="P12" s="7" t="str">
        <x:v>Conception originale rattachée à Homeworlds #3</x:v>
      </x:c>
      <x:c r="Q12" s="7" t="str"/>
      <x:c r="R12" s="21" t="str"/>
      <x:c r="S12" s="21" t="str"/>
    </x:row>
    <x:row r="13" ht="68" customHeight="1">
      <x:c r="A13" s="18" t="str">
        <x:v>HOM-SC-LIARA-ARCHIVE-MAIN</x:v>
      </x:c>
      <x:c r="B13" s="9" t="str">
        <x:v>#4 — suivre les archives — objectif jouable</x:v>
      </x:c>
      <x:c r="C13" s="15" t="str">
        <x:v>Défini</x:v>
      </x:c>
      <x:c r="D13" s="16" t="str">
        <x:v>Extrapolation</x:v>
      </x:c>
      <x:c r="E13" s="16" t="str">
        <x:v>P0</x:v>
      </x:c>
      <x:c r="F13" s="9" t="str">
        <x:v>Consulter les sources accessibles et obtenir un accès documenté.</x:v>
      </x:c>
      <x:c r="G13" s="9" t="str">
        <x:v>Entretien savant → archive insuffisante → nouvelle piste → négociation d’accès.</x:v>
      </x:c>
      <x:c r="H13" s="9" t="str">
        <x:v>Le joueur classe observation, rumeur et accès; aucune archive inventée ne révèle la solution complète aux Moissonneurs.</x:v>
      </x:c>
      <x:c r="I13" s="9" t="str">
        <x:v>Écrans froids puis lumière aquatique et éléments de sanctuaire à contrôler.</x:v>
      </x:c>
      <x:c r="J13" s="9" t="str">
        <x:v>Entrée prudente, geste d'inspection et retour au contrôle pour « #4 — suivre les archives »; poser les sprites avant tout changement de caméra.</x:v>
      </x:c>
      <x:c r="K13" s="9" t="str">
        <x:v>Ambiance savante calme puis résonance sous l’eau.</x:v>
      </x:c>
      <x:c r="L13" s="9" t="str">
        <x:v>Graphe proposé HOM/quests/LIARA-ARCHIVE: entrée → objectif actif → résolution → raccord; conditions terminales séparées des points facultatifs.</x:v>
      </x:c>
      <x:c r="M13" s="9" t="str">
        <x:v>Conserver l’autonomie des quatre numéros et leurs raccords. Les variantes locales ne sauvent pas des personnages dont l’issue est fixée ni ne donnent à un jeune personnage son arsenal adulte.</x:v>
      </x:c>
      <x:c r="N13" s="9" t="str">
        <x:v>L'objectif « #4 — suivre les archives » atteint son raccord annoncé après chaque méthode; sauvegarde, rechargement et saut de scène n'en changent ni le groupe ni les informations acquises.</x:v>
      </x:c>
      <x:c r="O13" s="9" t="str">
        <x:v>HOM-SC-LIARA-ARCHIVE-REF</x:v>
      </x:c>
      <x:c r="P13" s="9" t="str">
        <x:v>Conception originale rattachée à Homeworlds #4</x:v>
      </x:c>
      <x:c r="Q13" s="9" t="str"/>
      <x:c r="R13" s="20" t="str"/>
      <x:c r="S13" s="20" t="str"/>
    </x:row>
    <x:row r="14" ht="68" customHeight="1">
      <x:c r="A14" s="19" t="str">
        <x:v>HOM-SC-LIARA-KAHJE-MAIN</x:v>
      </x:c>
      <x:c r="B14" s="7" t="str">
        <x:v>#4 — passage sous l’eau — objectif jouable</x:v>
      </x:c>
      <x:c r="C14" s="15" t="str">
        <x:v>Défini</x:v>
      </x:c>
      <x:c r="D14" s="17" t="str">
        <x:v>Extrapolation</x:v>
      </x:c>
      <x:c r="E14" s="17" t="str">
        <x:v>P0</x:v>
      </x:c>
      <x:c r="F14" s="7" t="str">
        <x:v>Maintenir un volume protégé puis atteindre l’archive utile.</x:v>
      </x:c>
      <x:c r="G14" s="7" t="str">
        <x:v>Alerte → maintien biotique → arrivée → confrontation → sortie.</x:v>
      </x:c>
      <x:c r="H14" s="7" t="str">
        <x:v>Le maintien occupe Liara tandis que le partenaire gère un accès; les mesures de pression sont des jauges abstraites proposées.</x:v>
      </x:c>
      <x:c r="I14" s="7" t="str">
        <x:v>Eau transparente stylisée, bord de volume clair et point d’arrivée fixe.</x:v>
      </x:c>
      <x:c r="J14" s="7" t="str">
        <x:v>Entrée prudente, geste d'inspection et retour au contrôle pour « #4 — passage sous l’eau »; poser les sprites avant tout changement de caméra.</x:v>
      </x:c>
      <x:c r="K14" s="7" t="str">
        <x:v>Grave aquatique et vibration du maintien, doublés d’une barre qualitative.</x:v>
      </x:c>
      <x:c r="L14" s="7" t="str">
        <x:v>Graphe proposé HOM/quests/LIARA-KAHJE: entrée → objectif actif → résolution → raccord; conditions terminales séparées des points facultatifs.</x:v>
      </x:c>
      <x:c r="M14" s="7" t="str">
        <x:v>Conserver l’autonomie des quatre numéros et leurs raccords. Les variantes locales ne sauvent pas des personnages dont l’issue est fixée ni ne donnent à un jeune personnage son arsenal adulte.</x:v>
      </x:c>
      <x:c r="N14" s="7" t="str">
        <x:v>L'objectif « #4 — passage sous l’eau » atteint son raccord annoncé après chaque méthode; sauvegarde, rechargement et saut de scène n'en changent ni le groupe ni les informations acquises.</x:v>
      </x:c>
      <x:c r="O14" s="7" t="str">
        <x:v>HOM-SC-LIARA-KAHJE-REF</x:v>
      </x:c>
      <x:c r="P14" s="7" t="str">
        <x:v>Conception originale rattachée à Homeworlds #4</x:v>
      </x:c>
      <x:c r="Q14" s="7" t="str"/>
      <x:c r="R14" s="21" t="str"/>
      <x:c r="S14" s="21" t="str"/>
    </x:row>
  </x:sheetData>
  <x:conditionalFormatting sqref="D7:D14">
    <x:cfRule type="cellIs" dxfId="36" priority="1" operator="equal">
      <x:formula>"À vérifier"</x:formula>
    </x:cfRule>
    <x:cfRule type="cellIs" dxfId="37" priority="2" operator="equal">
      <x:formula>"Extrapolation"</x:formula>
    </x:cfRule>
  </x:conditionalFormatting>
  <x:conditionalFormatting sqref="C7:C14">
    <x:cfRule type="cellIs" dxfId="38" priority="3" operator="equal">
      <x:formula>"Validé"</x:formula>
    </x:cfRule>
  </x:conditionalFormatting>
  <x:conditionalFormatting sqref="E7:E14">
    <x:cfRule type="cellIs" dxfId="39" priority="4" operator="equal">
      <x:formula>"P0"</x:formula>
    </x:cfRule>
  </x:conditionalFormatting>
  <x:dataValidations count="3">
    <x:dataValidation type="list" sqref="C7:C14">
      <x:formula1>"Défini,Prototype,Intégré,Validé"</x:formula1>
    </x:dataValidation>
    <x:dataValidation type="list" sqref="D7:D14">
      <x:formula1>"Établi,À vérifier,Extrapolation,Coupé attesté,Concept abandonné,Allégation écartée"</x:formula1>
    </x:dataValidation>
    <x:dataValidation type="list" sqref="E7:E14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3aa038d22a94377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Secondaires et DLC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Homeworlds — Contenus annexes, variantes et extensions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68" customHeight="1">
      <x:c r="A7" s="18" t="str">
        <x:v>HOM-SC-VEGA-YOUTH-SIDE</x:v>
      </x:c>
      <x:c r="B7" s="9" t="str">
        <x:v>Aider au passage d’un immeuble</x:v>
      </x:c>
      <x:c r="C7" s="15" t="str">
        <x:v>Défini</x:v>
      </x:c>
      <x:c r="D7" s="16" t="str">
        <x:v>Extrapolation</x:v>
      </x:c>
      <x:c r="E7" s="16" t="str">
        <x:v>P2</x:v>
      </x:c>
      <x:c r="F7" s="9" t="str">
        <x:v>Interaction facultative inspirée du thème d’entraide, à comparer au numéro.</x:v>
      </x:c>
      <x:c r="G7" s="9" t="str">
        <x:v>Exprimer James autrement que par la fuite.</x:v>
      </x:c>
      <x:c r="H7" s="9" t="str">
        <x:v>Ouvrir un accès civil sans obtenir une arme ni une récompense disproportionnée.</x:v>
      </x:c>
      <x:c r="I7" s="9" t="str">
        <x:v>Rue claire, passage étroit et horizon côtier au retour.</x:v>
      </x:c>
      <x:c r="J7" s="9" t="str">
        <x:v>Inspection, interaction courte, confirmation; permettre de renoncer sans bloquer le chemin principal.</x:v>
      </x:c>
      <x:c r="K7" s="9" t="str">
        <x:v>Confirmation discrète; aucune réplique source réemployée.</x:v>
      </x:c>
      <x:c r="L7" s="9" t="str">
        <x:v>Objectif facultatif HOM/VEGA-YOUTH/optional; récompense locale de contexte, pas de modification de la fin.</x:v>
      </x:c>
      <x:c r="M7" s="9" t="str">
        <x:v>Conserver l’autonomie des quatre numéros et leurs raccords. Les variantes locales ne sauvent pas des personnages dont l’issue est fixée ni ne donnent à un jeune personnage son arsenal adulte.</x:v>
      </x:c>
      <x:c r="N7" s="9" t="str">
        <x:v>Terminer, ignorer ou abandonner cette tâche laisse le récit principal accessible et conserve correctement l’état en sauvegarde.</x:v>
      </x:c>
      <x:c r="O7" s="9" t="str">
        <x:v>HOM-SC-VEGA-YOUTH-MAIN</x:v>
      </x:c>
      <x:c r="P7" s="9" t="str">
        <x:v>Ajout original; cette tâche n’est pas attestée dans le comic.</x:v>
      </x:c>
      <x:c r="Q7" s="9" t="str"/>
      <x:c r="R7" s="20" t="str"/>
      <x:c r="S7" s="20" t="str"/>
    </x:row>
    <x:row r="8" ht="68" customHeight="1">
      <x:c r="A8" s="19" t="str">
        <x:v>HOM-SC-VEGA-PRESENT-SIDE</x:v>
      </x:c>
      <x:c r="B8" s="7" t="str">
        <x:v>Consulter les procédures d’accueil</x:v>
      </x:c>
      <x:c r="C8" s="15" t="str">
        <x:v>Défini</x:v>
      </x:c>
      <x:c r="D8" s="17" t="str">
        <x:v>Extrapolation</x:v>
      </x:c>
      <x:c r="E8" s="17" t="str">
        <x:v>P2</x:v>
      </x:c>
      <x:c r="F8" s="7" t="str">
        <x:v>Texte de service original très bref.</x:v>
      </x:c>
      <x:c r="G8" s="7" t="str">
        <x:v>Contextualiser la station.</x:v>
      </x:c>
      <x:c r="H8" s="7" t="str">
        <x:v>Ne débloque pas un registre secret donnant une réponse canon nouvelle.</x:v>
      </x:c>
      <x:c r="I8" s="7" t="str">
        <x:v>Zone d’attente calme et informations sans surimpression envahissante.</x:v>
      </x:c>
      <x:c r="J8" s="7" t="str">
        <x:v>Inspection, interaction courte, confirmation; permettre de renoncer sans bloquer le chemin principal.</x:v>
      </x:c>
      <x:c r="K8" s="7" t="str">
        <x:v>Confirmation discrète; aucune réplique source réemployée.</x:v>
      </x:c>
      <x:c r="L8" s="7" t="str">
        <x:v>Objectif facultatif HOM/VEGA-PRESENT/optional; récompense locale de contexte, pas de modification de la fin.</x:v>
      </x:c>
      <x:c r="M8" s="7" t="str">
        <x:v>Conserver l’autonomie des quatre numéros et leurs raccords. Les variantes locales ne sauvent pas des personnages dont l’issue est fixée ni ne donnent à un jeune personnage son arsenal adulte.</x:v>
      </x:c>
      <x:c r="N8" s="7" t="str">
        <x:v>Terminer, ignorer ou abandonner cette tâche laisse le récit principal accessible et conserve correctement l’état en sauvegarde.</x:v>
      </x:c>
      <x:c r="O8" s="7" t="str">
        <x:v>HOM-SC-VEGA-PRESENT-MAIN</x:v>
      </x:c>
      <x:c r="P8" s="7" t="str">
        <x:v>Ajout original; cette tâche n’est pas attestée dans le comic.</x:v>
      </x:c>
      <x:c r="Q8" s="7" t="str"/>
      <x:c r="R8" s="21" t="str"/>
      <x:c r="S8" s="21" t="str"/>
    </x:row>
    <x:row r="9" ht="68" customHeight="1">
      <x:c r="A9" s="18" t="str">
        <x:v>HOM-SC-TALI-TRACE-SIDE</x:v>
      </x:c>
      <x:c r="B9" s="9" t="str">
        <x:v>Vérifier l’intégrité de la copie</x:v>
      </x:c>
      <x:c r="C9" s="15" t="str">
        <x:v>Défini</x:v>
      </x:c>
      <x:c r="D9" s="16" t="str">
        <x:v>Extrapolation</x:v>
      </x:c>
      <x:c r="E9" s="16" t="str">
        <x:v>P2</x:v>
      </x:c>
      <x:c r="F9" s="9" t="str">
        <x:v>Action technique originale limitée à la scène.</x:v>
      </x:c>
      <x:c r="G9" s="9" t="str">
        <x:v>Donner une marge de sécurité.</x:v>
      </x:c>
      <x:c r="H9" s="9" t="str">
        <x:v>Confirme le statut du fichier, ne révèle pas de contenu canon supplémentaire.</x:v>
      </x:c>
      <x:c r="I9" s="9" t="str">
        <x:v>Passage étroit et interface discrète, combinaison détachée du fond.</x:v>
      </x:c>
      <x:c r="J9" s="9" t="str">
        <x:v>Inspection, interaction courte, confirmation; permettre de renoncer sans bloquer le chemin principal.</x:v>
      </x:c>
      <x:c r="K9" s="9" t="str">
        <x:v>Confirmation discrète; aucune réplique source réemployée.</x:v>
      </x:c>
      <x:c r="L9" s="9" t="str">
        <x:v>Objectif facultatif HOM/TALI-TRACE/optional; récompense locale de contexte, pas de modification de la fin.</x:v>
      </x:c>
      <x:c r="M9" s="9" t="str">
        <x:v>Conserver l’autonomie des quatre numéros et leurs raccords. Les variantes locales ne sauvent pas des personnages dont l’issue est fixée ni ne donnent à un jeune personnage son arsenal adulte.</x:v>
      </x:c>
      <x:c r="N9" s="9" t="str">
        <x:v>Terminer, ignorer ou abandonner cette tâche laisse le récit principal accessible et conserve correctement l’état en sauvegarde.</x:v>
      </x:c>
      <x:c r="O9" s="9" t="str">
        <x:v>HOM-SC-TALI-TRACE-MAIN</x:v>
      </x:c>
      <x:c r="P9" s="9" t="str">
        <x:v>Ajout original; cette tâche n’est pas attestée dans le comic.</x:v>
      </x:c>
      <x:c r="Q9" s="9" t="str"/>
      <x:c r="R9" s="20" t="str"/>
      <x:c r="S9" s="20" t="str"/>
    </x:row>
    <x:row r="10" ht="68" customHeight="1">
      <x:c r="A10" s="19" t="str">
        <x:v>HOM-SC-TALI-CITADEL-SIDE</x:v>
      </x:c>
      <x:c r="B10" s="7" t="str">
        <x:v>Repérer un point d’attente sûr</x:v>
      </x:c>
      <x:c r="C10" s="15" t="str">
        <x:v>Défini</x:v>
      </x:c>
      <x:c r="D10" s="17" t="str">
        <x:v>Extrapolation</x:v>
      </x:c>
      <x:c r="E10" s="17" t="str">
        <x:v>P2</x:v>
      </x:c>
      <x:c r="F10" s="7" t="str">
        <x:v>Recherche facultative originale.</x:v>
      </x:c>
      <x:c r="G10" s="7" t="str">
        <x:v>Offrir un espace de reprise.</x:v>
      </x:c>
      <x:c r="H10" s="7" t="str">
        <x:v>Aucune prime de réputation globale pour une conversation subie.</x:v>
      </x:c>
      <x:c r="I10" s="7" t="str">
        <x:v>Accueil clair, vitre et signalétique, passage utile légèrement contrasté.</x:v>
      </x:c>
      <x:c r="J10" s="7" t="str">
        <x:v>Inspection, interaction courte, confirmation; permettre de renoncer sans bloquer le chemin principal.</x:v>
      </x:c>
      <x:c r="K10" s="7" t="str">
        <x:v>Confirmation discrète; aucune réplique source réemployée.</x:v>
      </x:c>
      <x:c r="L10" s="7" t="str">
        <x:v>Objectif facultatif HOM/TALI-CITADEL/optional; récompense locale de contexte, pas de modification de la fin.</x:v>
      </x:c>
      <x:c r="M10" s="7" t="str">
        <x:v>Conserver l’autonomie des quatre numéros et leurs raccords. Les variantes locales ne sauvent pas des personnages dont l’issue est fixée ni ne donnent à un jeune personnage son arsenal adulte.</x:v>
      </x:c>
      <x:c r="N10" s="7" t="str">
        <x:v>Terminer, ignorer ou abandonner cette tâche laisse le récit principal accessible et conserve correctement l’état en sauvegarde.</x:v>
      </x:c>
      <x:c r="O10" s="7" t="str">
        <x:v>HOM-SC-TALI-CITADEL-MAIN</x:v>
      </x:c>
      <x:c r="P10" s="7" t="str">
        <x:v>Ajout original; cette tâche n’est pas attestée dans le comic.</x:v>
      </x:c>
      <x:c r="Q10" s="7" t="str"/>
      <x:c r="R10" s="21" t="str"/>
      <x:c r="S10" s="21" t="str"/>
    </x:row>
    <x:row r="11" ht="68" customHeight="1">
      <x:c r="A11" s="18" t="str">
        <x:v>HOM-SC-GARRUS-PAST-SIDE</x:v>
      </x:c>
      <x:c r="B11" s="9" t="str">
        <x:v>Observer la correction de posture</x:v>
      </x:c>
      <x:c r="C11" s="15" t="str">
        <x:v>Défini</x:v>
      </x:c>
      <x:c r="D11" s="16" t="str">
        <x:v>Extrapolation</x:v>
      </x:c>
      <x:c r="E11" s="16" t="str">
        <x:v>P2</x:v>
      </x:c>
      <x:c r="F11" s="9" t="str">
        <x:v>Démonstration originale facultative.</x:v>
      </x:c>
      <x:c r="G11" s="9" t="str">
        <x:v>Rendre la leçon accessible.</x:v>
      </x:c>
      <x:c r="H11" s="9" t="str">
        <x:v>Peut être rejouée sans obtenir une amélioration canon permanente.</x:v>
      </x:c>
      <x:c r="I11" s="9" t="str">
        <x:v>Cibles sobres, silhouette de l’instructeur en retrait.</x:v>
      </x:c>
      <x:c r="J11" s="9" t="str">
        <x:v>Inspection, interaction courte, confirmation; permettre de renoncer sans bloquer le chemin principal.</x:v>
      </x:c>
      <x:c r="K11" s="9" t="str">
        <x:v>Confirmation discrète; aucune réplique source réemployée.</x:v>
      </x:c>
      <x:c r="L11" s="9" t="str">
        <x:v>Objectif facultatif HOM/GARRUS-PAST/optional; récompense locale de contexte, pas de modification de la fin.</x:v>
      </x:c>
      <x:c r="M11" s="9" t="str">
        <x:v>Conserver l’autonomie des quatre numéros et leurs raccords. Les variantes locales ne sauvent pas des personnages dont l’issue est fixée ni ne donnent à un jeune personnage son arsenal adulte.</x:v>
      </x:c>
      <x:c r="N11" s="9" t="str">
        <x:v>Terminer, ignorer ou abandonner cette tâche laisse le récit principal accessible et conserve correctement l’état en sauvegarde.</x:v>
      </x:c>
      <x:c r="O11" s="9" t="str">
        <x:v>HOM-SC-GARRUS-PAST-MAIN</x:v>
      </x:c>
      <x:c r="P11" s="9" t="str">
        <x:v>Ajout original; cette tâche n’est pas attestée dans le comic.</x:v>
      </x:c>
      <x:c r="Q11" s="9" t="str"/>
      <x:c r="R11" s="20" t="str"/>
      <x:c r="S11" s="20" t="str"/>
    </x:row>
    <x:row r="12" ht="68" customHeight="1">
      <x:c r="A12" s="19" t="str">
        <x:v>HOM-SC-GARRUS-OMEGA-SIDE</x:v>
      </x:c>
      <x:c r="B12" s="7" t="str">
        <x:v>Vérifier un ancien couvert</x:v>
      </x:c>
      <x:c r="C12" s="15" t="str">
        <x:v>Défini</x:v>
      </x:c>
      <x:c r="D12" s="17" t="str">
        <x:v>Extrapolation</x:v>
      </x:c>
      <x:c r="E12" s="17" t="str">
        <x:v>P2</x:v>
      </x:c>
      <x:c r="F12" s="7" t="str">
        <x:v>Inspection tactique originale.</x:v>
      </x:c>
      <x:c r="G12" s="7" t="str">
        <x:v>Donner une option de défense proche.</x:v>
      </x:c>
      <x:c r="H12" s="7" t="str">
        <x:v>Ne découvre pas une équipe survivante non attestée.</x:v>
      </x:c>
      <x:c r="I12" s="7" t="str">
        <x:v>Couloir de tir dégagé et point radio protégé.</x:v>
      </x:c>
      <x:c r="J12" s="7" t="str">
        <x:v>Inspection, interaction courte, confirmation; permettre de renoncer sans bloquer le chemin principal.</x:v>
      </x:c>
      <x:c r="K12" s="7" t="str">
        <x:v>Confirmation discrète; aucune réplique source réemployée.</x:v>
      </x:c>
      <x:c r="L12" s="7" t="str">
        <x:v>Objectif facultatif HOM/GARRUS-OMEGA/optional; récompense locale de contexte, pas de modification de la fin.</x:v>
      </x:c>
      <x:c r="M12" s="7" t="str">
        <x:v>Conserver l’autonomie des quatre numéros et leurs raccords. Les variantes locales ne sauvent pas des personnages dont l’issue est fixée ni ne donnent à un jeune personnage son arsenal adulte.</x:v>
      </x:c>
      <x:c r="N12" s="7" t="str">
        <x:v>Terminer, ignorer ou abandonner cette tâche laisse le récit principal accessible et conserve correctement l’état en sauvegarde.</x:v>
      </x:c>
      <x:c r="O12" s="7" t="str">
        <x:v>HOM-SC-GARRUS-OMEGA-MAIN</x:v>
      </x:c>
      <x:c r="P12" s="7" t="str">
        <x:v>Ajout original; cette tâche n’est pas attestée dans le comic.</x:v>
      </x:c>
      <x:c r="Q12" s="7" t="str"/>
      <x:c r="R12" s="21" t="str"/>
      <x:c r="S12" s="21" t="str"/>
    </x:row>
    <x:row r="13" ht="68" customHeight="1">
      <x:c r="A13" s="18" t="str">
        <x:v>HOM-SC-LIARA-ARCHIVE-SIDE</x:v>
      </x:c>
      <x:c r="B13" s="9" t="str">
        <x:v>Annoter une archive lacunaire</x:v>
      </x:c>
      <x:c r="C13" s="15" t="str">
        <x:v>Défini</x:v>
      </x:c>
      <x:c r="D13" s="16" t="str">
        <x:v>Extrapolation</x:v>
      </x:c>
      <x:c r="E13" s="16" t="str">
        <x:v>P2</x:v>
      </x:c>
      <x:c r="F13" s="9" t="str">
        <x:v>Tâche originale de comparaison.</x:v>
      </x:c>
      <x:c r="G13" s="9" t="str">
        <x:v>Valoriser une information négative.</x:v>
      </x:c>
      <x:c r="H13" s="9" t="str">
        <x:v>Ne crée pas un nouveau savoir prothéen officiel.</x:v>
      </x:c>
      <x:c r="I13" s="9" t="str">
        <x:v>Écrans froids puis lumière aquatique et éléments de sanctuaire à contrôler.</x:v>
      </x:c>
      <x:c r="J13" s="9" t="str">
        <x:v>Inspection, interaction courte, confirmation; permettre de renoncer sans bloquer le chemin principal.</x:v>
      </x:c>
      <x:c r="K13" s="9" t="str">
        <x:v>Confirmation discrète; aucune réplique source réemployée.</x:v>
      </x:c>
      <x:c r="L13" s="9" t="str">
        <x:v>Objectif facultatif HOM/LIARA-ARCHIVE/optional; récompense locale de contexte, pas de modification de la fin.</x:v>
      </x:c>
      <x:c r="M13" s="9" t="str">
        <x:v>Conserver l’autonomie des quatre numéros et leurs raccords. Les variantes locales ne sauvent pas des personnages dont l’issue est fixée ni ne donnent à un jeune personnage son arsenal adulte.</x:v>
      </x:c>
      <x:c r="N13" s="9" t="str">
        <x:v>Terminer, ignorer ou abandonner cette tâche laisse le récit principal accessible et conserve correctement l’état en sauvegarde.</x:v>
      </x:c>
      <x:c r="O13" s="9" t="str">
        <x:v>HOM-SC-LIARA-ARCHIVE-MAIN</x:v>
      </x:c>
      <x:c r="P13" s="9" t="str">
        <x:v>Ajout original; cette tâche n’est pas attestée dans le comic.</x:v>
      </x:c>
      <x:c r="Q13" s="9" t="str"/>
      <x:c r="R13" s="20" t="str"/>
      <x:c r="S13" s="20" t="str"/>
    </x:row>
    <x:row r="14" ht="68" customHeight="1">
      <x:c r="A14" s="19" t="str">
        <x:v>HOM-SC-LIARA-KAHJE-SIDE</x:v>
      </x:c>
      <x:c r="B14" s="7" t="str">
        <x:v>Préparer le retour d’un blessé</x:v>
      </x:c>
      <x:c r="C14" s="15" t="str">
        <x:v>Défini</x:v>
      </x:c>
      <x:c r="D14" s="17" t="str">
        <x:v>Extrapolation</x:v>
      </x:c>
      <x:c r="E14" s="17" t="str">
        <x:v>P2</x:v>
      </x:c>
      <x:c r="F14" s="7" t="str">
        <x:v>Aide locale originale.</x:v>
      </x:c>
      <x:c r="G14" s="7" t="str">
        <x:v>Donner une conséquence tangible à la coopération.</x:v>
      </x:c>
      <x:c r="H14" s="7" t="str">
        <x:v>Ne change ni le raccord vers Mars ni l’identité de l’assaillant source.</x:v>
      </x:c>
      <x:c r="I14" s="7" t="str">
        <x:v>Eau transparente stylisée, bord de volume clair et point d’arrivée fixe.</x:v>
      </x:c>
      <x:c r="J14" s="7" t="str">
        <x:v>Inspection, interaction courte, confirmation; permettre de renoncer sans bloquer le chemin principal.</x:v>
      </x:c>
      <x:c r="K14" s="7" t="str">
        <x:v>Confirmation discrète; aucune réplique source réemployée.</x:v>
      </x:c>
      <x:c r="L14" s="7" t="str">
        <x:v>Objectif facultatif HOM/LIARA-KAHJE/optional; récompense locale de contexte, pas de modification de la fin.</x:v>
      </x:c>
      <x:c r="M14" s="7" t="str">
        <x:v>Conserver l’autonomie des quatre numéros et leurs raccords. Les variantes locales ne sauvent pas des personnages dont l’issue est fixée ni ne donnent à un jeune personnage son arsenal adulte.</x:v>
      </x:c>
      <x:c r="N14" s="7" t="str">
        <x:v>Terminer, ignorer ou abandonner cette tâche laisse le récit principal accessible et conserve correctement l’état en sauvegarde.</x:v>
      </x:c>
      <x:c r="O14" s="7" t="str">
        <x:v>HOM-SC-LIARA-KAHJE-MAIN</x:v>
      </x:c>
      <x:c r="P14" s="7" t="str">
        <x:v>Ajout original; cette tâche n’est pas attestée dans le comic.</x:v>
      </x:c>
      <x:c r="Q14" s="7" t="str"/>
      <x:c r="R14" s="21" t="str"/>
      <x:c r="S14" s="21" t="str"/>
    </x:row>
  </x:sheetData>
  <x:conditionalFormatting sqref="D7:D14">
    <x:cfRule type="cellIs" dxfId="40" priority="1" operator="equal">
      <x:formula>"À vérifier"</x:formula>
    </x:cfRule>
    <x:cfRule type="cellIs" dxfId="41" priority="2" operator="equal">
      <x:formula>"Extrapolation"</x:formula>
    </x:cfRule>
  </x:conditionalFormatting>
  <x:conditionalFormatting sqref="C7:C14">
    <x:cfRule type="cellIs" dxfId="42" priority="3" operator="equal">
      <x:formula>"Validé"</x:formula>
    </x:cfRule>
  </x:conditionalFormatting>
  <x:conditionalFormatting sqref="E7:E14">
    <x:cfRule type="cellIs" dxfId="43" priority="4" operator="equal">
      <x:formula>"P0"</x:formula>
    </x:cfRule>
  </x:conditionalFormatting>
  <x:dataValidations count="3">
    <x:dataValidation type="list" sqref="C7:C14">
      <x:formula1>"Défini,Prototype,Intégré,Validé"</x:formula1>
    </x:dataValidation>
    <x:dataValidation type="list" sqref="D7:D14">
      <x:formula1>"Établi,À vérifier,Extrapolation,Coupé attesté,Concept abandonné,Allégation écartée"</x:formula1>
    </x:dataValidation>
    <x:dataValidation type="list" sqref="E7:E14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b4556e139594b12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Choix et relations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Homeworlds — Conséquences persistantes et relations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68" customHeight="1">
      <x:c r="A7" s="18" t="str">
        <x:v>HOM-SC-VEGA-YOUTH-CHOICE</x:v>
      </x:c>
      <x:c r="B7" s="9" t="str">
        <x:v>#1 — choisir sa voie — stratégie locale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Prendre la toiture ou se fondre dans une zone de service proposée.</x:v>
      </x:c>
      <x:c r="G7" s="9" t="str">
        <x:v>Choix de méthode dans une adaptation; aucun embranchement alternatif n’est déclaré officiel.</x:v>
      </x:c>
      <x:c r="H7" s="9" t="str">
        <x:v>La toiture privilégie le placement, le service l’observation; même retour narratif.</x:v>
      </x:c>
      <x:c r="I7" s="9" t="str">
        <x:v>Deux options nommées avec leur conséquence immédiate; coût affiché avant engagement.</x:v>
      </x:c>
      <x:c r="J7" s="9" t="str">
        <x:v>Geler les poses de dialogue pendant le choix; ne pas consommer une action en quittant le menu.</x:v>
      </x:c>
      <x:c r="K7" s="9" t="str">
        <x:v>Retour de sélection sobre; confirmation distincte d’une simple navigation.</x:v>
      </x:c>
      <x:c r="L7" s="9" t="str">
        <x:v>Décision locale HOM/VEGA-YOUTH; stocker la méthode choisie et les conséquences temporaires, puis rejoindre le point de raccord.</x:v>
      </x:c>
      <x:c r="M7" s="9" t="str">
        <x:v>Conserver l’autonomie des quatre numéros et leurs raccords. Les variantes locales ne sauvent pas des personnages dont l’issue est fixée ni ne donnent à un jeune personnage son arsenal adulte.</x:v>
      </x:c>
      <x:c r="N7" s="9" t="str">
        <x:v>Les deux méthodes peuvent être comprises avant sélection; chacune rejoint le même ancrage canon sans supprimer un personnage nécessaire.</x:v>
      </x:c>
      <x:c r="O7" s="9" t="str">
        <x:v>HOM-SC-VEGA-YOUTH-MAIN</x:v>
      </x:c>
      <x:c r="P7" s="9" t="str">
        <x:v>Bifurcation de gameplay originale, pas un choix présent dans l’œuvre.</x:v>
      </x:c>
      <x:c r="Q7" s="9" t="str"/>
      <x:c r="R7" s="20" t="str"/>
      <x:c r="S7" s="20" t="str"/>
    </x:row>
    <x:row r="8" ht="68" customHeight="1">
      <x:c r="A8" s="19" t="str">
        <x:v>HOM-SC-VEGA-PRESENT-CHOICE</x:v>
      </x:c>
      <x:c r="B8" s="7" t="str">
        <x:v>#1 — rechercher les proches — stratégie locale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Consulter d’abord un registre ou demander de l’aide au guichet.</x:v>
      </x:c>
      <x:c r="G8" s="7" t="str">
        <x:v>Choix de méthode dans une adaptation; aucun embranchement alternatif n’est déclaré officiel.</x:v>
      </x:c>
      <x:c r="H8" s="7" t="str">
        <x:v>Change l’ordre d’exposition seulement; l’absence de nouvelles n’est pas punie.</x:v>
      </x:c>
      <x:c r="I8" s="7" t="str">
        <x:v>Deux options nommées avec leur conséquence immédiate; coût affiché avant engagement.</x:v>
      </x:c>
      <x:c r="J8" s="7" t="str">
        <x:v>Geler les poses de dialogue pendant le choix; ne pas consommer une action en quittant le menu.</x:v>
      </x:c>
      <x:c r="K8" s="7" t="str">
        <x:v>Retour de sélection sobre; confirmation distincte d’une simple navigation.</x:v>
      </x:c>
      <x:c r="L8" s="7" t="str">
        <x:v>Décision locale HOM/VEGA-PRESENT; stocker la méthode choisie et les conséquences temporaires, puis rejoindre le point de raccord.</x:v>
      </x:c>
      <x:c r="M8" s="7" t="str">
        <x:v>Conserver l’autonomie des quatre numéros et leurs raccords. Les variantes locales ne sauvent pas des personnages dont l’issue est fixée ni ne donnent à un jeune personnage son arsenal adulte.</x:v>
      </x:c>
      <x:c r="N8" s="7" t="str">
        <x:v>Les deux méthodes peuvent être comprises avant sélection; chacune rejoint le même ancrage canon sans supprimer un personnage nécessaire.</x:v>
      </x:c>
      <x:c r="O8" s="7" t="str">
        <x:v>HOM-SC-VEGA-PRESENT-MAIN</x:v>
      </x:c>
      <x:c r="P8" s="7" t="str">
        <x:v>Bifurcation de gameplay originale, pas un choix présent dans l’œuvre.</x:v>
      </x:c>
      <x:c r="Q8" s="7" t="str"/>
      <x:c r="R8" s="21" t="str"/>
      <x:c r="S8" s="21" t="str"/>
    </x:row>
    <x:row r="9" ht="68" customHeight="1">
      <x:c r="A9" s="18" t="str">
        <x:v>HOM-SC-TALI-TRACE-CHOICE</x:v>
      </x:c>
      <x:c r="B9" s="9" t="str">
        <x:v>#2 — protéger la découverte — stratégie locale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Dissimuler la route ou créer une diversion technique.</x:v>
      </x:c>
      <x:c r="G9" s="9" t="str">
        <x:v>Choix de méthode dans une adaptation; aucun embranchement alternatif n’est déclaré officiel.</x:v>
      </x:c>
      <x:c r="H9" s="9" t="str">
        <x:v>La dissimulation coûte du temps, la diversion consomme une ressource locale proposée.</x:v>
      </x:c>
      <x:c r="I9" s="9" t="str">
        <x:v>Deux options nommées avec leur conséquence immédiate; coût affiché avant engagement.</x:v>
      </x:c>
      <x:c r="J9" s="9" t="str">
        <x:v>Geler les poses de dialogue pendant le choix; ne pas consommer une action en quittant le menu.</x:v>
      </x:c>
      <x:c r="K9" s="9" t="str">
        <x:v>Retour de sélection sobre; confirmation distincte d’une simple navigation.</x:v>
      </x:c>
      <x:c r="L9" s="9" t="str">
        <x:v>Décision locale HOM/TALI-TRACE; stocker la méthode choisie et les conséquences temporaires, puis rejoindre le point de raccord.</x:v>
      </x:c>
      <x:c r="M9" s="9" t="str">
        <x:v>Conserver l’autonomie des quatre numéros et leurs raccords. Les variantes locales ne sauvent pas des personnages dont l’issue est fixée ni ne donnent à un jeune personnage son arsenal adulte.</x:v>
      </x:c>
      <x:c r="N9" s="9" t="str">
        <x:v>Les deux méthodes peuvent être comprises avant sélection; chacune rejoint le même ancrage canon sans supprimer un personnage nécessaire.</x:v>
      </x:c>
      <x:c r="O9" s="9" t="str">
        <x:v>HOM-SC-TALI-TRACE-MAIN</x:v>
      </x:c>
      <x:c r="P9" s="9" t="str">
        <x:v>Bifurcation de gameplay originale, pas un choix présent dans l’œuvre.</x:v>
      </x:c>
      <x:c r="Q9" s="9" t="str"/>
      <x:c r="R9" s="20" t="str"/>
      <x:c r="S9" s="20" t="str"/>
    </x:row>
    <x:row r="10" ht="68" customHeight="1">
      <x:c r="A10" s="19" t="str">
        <x:v>HOM-SC-TALI-CITADEL-CHOICE</x:v>
      </x:c>
      <x:c r="B10" s="7" t="str">
        <x:v>#2 — demander de l’aide — stratégie locale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Insister auprès d’un service ou chercher un contact indirect proposé.</x:v>
      </x:c>
      <x:c r="G10" s="7" t="str">
        <x:v>Choix de méthode dans une adaptation; aucun embranchement alternatif n’est déclaré officiel.</x:v>
      </x:c>
      <x:c r="H10" s="7" t="str">
        <x:v>Deux parcours locaux convergent sans modifier le raccord vers ME1.</x:v>
      </x:c>
      <x:c r="I10" s="7" t="str">
        <x:v>Deux options nommées avec leur conséquence immédiate; coût affiché avant engagement.</x:v>
      </x:c>
      <x:c r="J10" s="7" t="str">
        <x:v>Geler les poses de dialogue pendant le choix; ne pas consommer une action en quittant le menu.</x:v>
      </x:c>
      <x:c r="K10" s="7" t="str">
        <x:v>Retour de sélection sobre; confirmation distincte d’une simple navigation.</x:v>
      </x:c>
      <x:c r="L10" s="7" t="str">
        <x:v>Décision locale HOM/TALI-CITADEL; stocker la méthode choisie et les conséquences temporaires, puis rejoindre le point de raccord.</x:v>
      </x:c>
      <x:c r="M10" s="7" t="str">
        <x:v>Conserver l’autonomie des quatre numéros et leurs raccords. Les variantes locales ne sauvent pas des personnages dont l’issue est fixée ni ne donnent à un jeune personnage son arsenal adulte.</x:v>
      </x:c>
      <x:c r="N10" s="7" t="str">
        <x:v>Les deux méthodes peuvent être comprises avant sélection; chacune rejoint le même ancrage canon sans supprimer un personnage nécessaire.</x:v>
      </x:c>
      <x:c r="O10" s="7" t="str">
        <x:v>HOM-SC-TALI-CITADEL-MAIN</x:v>
      </x:c>
      <x:c r="P10" s="7" t="str">
        <x:v>Bifurcation de gameplay originale, pas un choix présent dans l’œuvre.</x:v>
      </x:c>
      <x:c r="Q10" s="7" t="str"/>
      <x:c r="R10" s="21" t="str"/>
      <x:c r="S10" s="21" t="str"/>
    </x:row>
    <x:row r="11" ht="68" customHeight="1">
      <x:c r="A11" s="18" t="str">
        <x:v>HOM-SC-GARRUS-PAST-CHOICE</x:v>
      </x:c>
      <x:c r="B11" s="9" t="str">
        <x:v>#3 — leçons et limites — stratégie locale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Réessayer le geste ou demander une explication.</x:v>
      </x:c>
      <x:c r="G11" s="9" t="str">
        <x:v>Choix de méthode dans une adaptation; aucun embranchement alternatif n’est déclaré officiel.</x:v>
      </x:c>
      <x:c r="H11" s="9" t="str">
        <x:v>Les deux approches avancent; le dialogue ne remplace pas les faits familiaux du numéro.</x:v>
      </x:c>
      <x:c r="I11" s="9" t="str">
        <x:v>Deux options nommées avec leur conséquence immédiate; coût affiché avant engagement.</x:v>
      </x:c>
      <x:c r="J11" s="9" t="str">
        <x:v>Geler les poses de dialogue pendant le choix; ne pas consommer une action en quittant le menu.</x:v>
      </x:c>
      <x:c r="K11" s="9" t="str">
        <x:v>Retour de sélection sobre; confirmation distincte d’une simple navigation.</x:v>
      </x:c>
      <x:c r="L11" s="9" t="str">
        <x:v>Décision locale HOM/GARRUS-PAST; stocker la méthode choisie et les conséquences temporaires, puis rejoindre le point de raccord.</x:v>
      </x:c>
      <x:c r="M11" s="9" t="str">
        <x:v>Conserver l’autonomie des quatre numéros et leurs raccords. Les variantes locales ne sauvent pas des personnages dont l’issue est fixée ni ne donnent à un jeune personnage son arsenal adulte.</x:v>
      </x:c>
      <x:c r="N11" s="9" t="str">
        <x:v>Les deux méthodes peuvent être comprises avant sélection; chacune rejoint le même ancrage canon sans supprimer un personnage nécessaire.</x:v>
      </x:c>
      <x:c r="O11" s="9" t="str">
        <x:v>HOM-SC-GARRUS-PAST-MAIN</x:v>
      </x:c>
      <x:c r="P11" s="9" t="str">
        <x:v>Bifurcation de gameplay originale, pas un choix présent dans l’œuvre.</x:v>
      </x:c>
      <x:c r="Q11" s="9" t="str"/>
      <x:c r="R11" s="20" t="str"/>
      <x:c r="S11" s="20" t="str"/>
    </x:row>
    <x:row r="12" ht="68" customHeight="1">
      <x:c r="A12" s="19" t="str">
        <x:v>HOM-SC-GARRUS-OMEGA-CHOICE</x:v>
      </x:c>
      <x:c r="B12" s="7" t="str">
        <x:v>#3 — tenir comme Archangel — stratégie locale</x:v>
      </x:c>
      <x:c r="C12" s="15" t="str">
        <x:v>Défini</x:v>
      </x:c>
      <x:c r="D12" s="17" t="str">
        <x:v>Extrapolation</x:v>
      </x:c>
      <x:c r="E12" s="17" t="str">
        <x:v>P1</x:v>
      </x:c>
      <x:c r="F12" s="7" t="str">
        <x:v>Réserver des tirs d’interruption ou renforcer le passage proche.</x:v>
      </x:c>
      <x:c r="G12" s="7" t="str">
        <x:v>Choix de méthode dans une adaptation; aucun embranchement alternatif n’est déclaré officiel.</x:v>
      </x:c>
      <x:c r="H12" s="7" t="str">
        <x:v>Portée et défense locale s’équilibrent; aucune variante ne ressuscite l’équipe.</x:v>
      </x:c>
      <x:c r="I12" s="7" t="str">
        <x:v>Deux options nommées avec leur conséquence immédiate; coût affiché avant engagement.</x:v>
      </x:c>
      <x:c r="J12" s="7" t="str">
        <x:v>Geler les poses de dialogue pendant le choix; ne pas consommer une action en quittant le menu.</x:v>
      </x:c>
      <x:c r="K12" s="7" t="str">
        <x:v>Retour de sélection sobre; confirmation distincte d’une simple navigation.</x:v>
      </x:c>
      <x:c r="L12" s="7" t="str">
        <x:v>Décision locale HOM/GARRUS-OMEGA; stocker la méthode choisie et les conséquences temporaires, puis rejoindre le point de raccord.</x:v>
      </x:c>
      <x:c r="M12" s="7" t="str">
        <x:v>Conserver l’autonomie des quatre numéros et leurs raccords. Les variantes locales ne sauvent pas des personnages dont l’issue est fixée ni ne donnent à un jeune personnage son arsenal adulte.</x:v>
      </x:c>
      <x:c r="N12" s="7" t="str">
        <x:v>Les deux méthodes peuvent être comprises avant sélection; chacune rejoint le même ancrage canon sans supprimer un personnage nécessaire.</x:v>
      </x:c>
      <x:c r="O12" s="7" t="str">
        <x:v>HOM-SC-GARRUS-OMEGA-MAIN</x:v>
      </x:c>
      <x:c r="P12" s="7" t="str">
        <x:v>Bifurcation de gameplay originale, pas un choix présent dans l’œuvre.</x:v>
      </x:c>
      <x:c r="Q12" s="7" t="str"/>
      <x:c r="R12" s="21" t="str"/>
      <x:c r="S12" s="21" t="str"/>
    </x:row>
    <x:row r="13" ht="68" customHeight="1">
      <x:c r="A13" s="18" t="str">
        <x:v>HOM-SC-LIARA-ARCHIVE-CHOICE</x:v>
      </x:c>
      <x:c r="B13" s="9" t="str">
        <x:v>#4 — suivre les archives — stratégie locale</x:v>
      </x:c>
      <x:c r="C13" s="15" t="str">
        <x:v>Défini</x:v>
      </x:c>
      <x:c r="D13" s="16" t="str">
        <x:v>Extrapolation</x:v>
      </x:c>
      <x:c r="E13" s="16" t="str">
        <x:v>P1</x:v>
      </x:c>
      <x:c r="F13" s="9" t="str">
        <x:v>Présenter l’enjeu scientifique ou négocier les conditions d’accès.</x:v>
      </x:c>
      <x:c r="G13" s="9" t="str">
        <x:v>Choix de méthode dans une adaptation; aucun embranchement alternatif n’est déclaré officiel.</x:v>
      </x:c>
      <x:c r="H13" s="9" t="str">
        <x:v>Change le ton et une ressource locale; le site visé reste le même.</x:v>
      </x:c>
      <x:c r="I13" s="9" t="str">
        <x:v>Deux options nommées avec leur conséquence immédiate; coût affiché avant engagement.</x:v>
      </x:c>
      <x:c r="J13" s="9" t="str">
        <x:v>Geler les poses de dialogue pendant le choix; ne pas consommer une action en quittant le menu.</x:v>
      </x:c>
      <x:c r="K13" s="9" t="str">
        <x:v>Retour de sélection sobre; confirmation distincte d’une simple navigation.</x:v>
      </x:c>
      <x:c r="L13" s="9" t="str">
        <x:v>Décision locale HOM/LIARA-ARCHIVE; stocker la méthode choisie et les conséquences temporaires, puis rejoindre le point de raccord.</x:v>
      </x:c>
      <x:c r="M13" s="9" t="str">
        <x:v>Conserver l’autonomie des quatre numéros et leurs raccords. Les variantes locales ne sauvent pas des personnages dont l’issue est fixée ni ne donnent à un jeune personnage son arsenal adulte.</x:v>
      </x:c>
      <x:c r="N13" s="9" t="str">
        <x:v>Les deux méthodes peuvent être comprises avant sélection; chacune rejoint le même ancrage canon sans supprimer un personnage nécessaire.</x:v>
      </x:c>
      <x:c r="O13" s="9" t="str">
        <x:v>HOM-SC-LIARA-ARCHIVE-MAIN</x:v>
      </x:c>
      <x:c r="P13" s="9" t="str">
        <x:v>Bifurcation de gameplay originale, pas un choix présent dans l’œuvre.</x:v>
      </x:c>
      <x:c r="Q13" s="9" t="str"/>
      <x:c r="R13" s="20" t="str"/>
      <x:c r="S13" s="20" t="str"/>
    </x:row>
    <x:row r="14" ht="68" customHeight="1">
      <x:c r="A14" s="19" t="str">
        <x:v>HOM-SC-LIARA-KAHJE-CHOICE</x:v>
      </x:c>
      <x:c r="B14" s="7" t="str">
        <x:v>#4 — passage sous l’eau — stratégie locale</x:v>
      </x:c>
      <x:c r="C14" s="15" t="str">
        <x:v>Défini</x:v>
      </x:c>
      <x:c r="D14" s="17" t="str">
        <x:v>Extrapolation</x:v>
      </x:c>
      <x:c r="E14" s="17" t="str">
        <x:v>P1</x:v>
      </x:c>
      <x:c r="F14" s="7" t="str">
        <x:v>Stabiliser la trajectoire ou renforcer temporairement le maintien.</x:v>
      </x:c>
      <x:c r="G14" s="7" t="str">
        <x:v>Choix de méthode dans une adaptation; aucun embranchement alternatif n’est déclaré officiel.</x:v>
      </x:c>
      <x:c r="H14" s="7" t="str">
        <x:v>L’une raccourcit le segment, l’autre réduit le risque; aucune immunité permanente à l’eau obtenue.</x:v>
      </x:c>
      <x:c r="I14" s="7" t="str">
        <x:v>Deux options nommées avec leur conséquence immédiate; coût affiché avant engagement.</x:v>
      </x:c>
      <x:c r="J14" s="7" t="str">
        <x:v>Geler les poses de dialogue pendant le choix; ne pas consommer une action en quittant le menu.</x:v>
      </x:c>
      <x:c r="K14" s="7" t="str">
        <x:v>Retour de sélection sobre; confirmation distincte d’une simple navigation.</x:v>
      </x:c>
      <x:c r="L14" s="7" t="str">
        <x:v>Décision locale HOM/LIARA-KAHJE; stocker la méthode choisie et les conséquences temporaires, puis rejoindre le point de raccord.</x:v>
      </x:c>
      <x:c r="M14" s="7" t="str">
        <x:v>Conserver l’autonomie des quatre numéros et leurs raccords. Les variantes locales ne sauvent pas des personnages dont l’issue est fixée ni ne donnent à un jeune personnage son arsenal adulte.</x:v>
      </x:c>
      <x:c r="N14" s="7" t="str">
        <x:v>Les deux méthodes peuvent être comprises avant sélection; chacune rejoint le même ancrage canon sans supprimer un personnage nécessaire.</x:v>
      </x:c>
      <x:c r="O14" s="7" t="str">
        <x:v>HOM-SC-LIARA-KAHJE-MAIN</x:v>
      </x:c>
      <x:c r="P14" s="7" t="str">
        <x:v>Bifurcation de gameplay originale, pas un choix présent dans l’œuvre.</x:v>
      </x:c>
      <x:c r="Q14" s="7" t="str"/>
      <x:c r="R14" s="21" t="str"/>
      <x:c r="S14" s="21" t="str"/>
    </x:row>
  </x:sheetData>
  <x:conditionalFormatting sqref="D7:D14">
    <x:cfRule type="cellIs" dxfId="44" priority="1" operator="equal">
      <x:formula>"À vérifier"</x:formula>
    </x:cfRule>
    <x:cfRule type="cellIs" dxfId="45" priority="2" operator="equal">
      <x:formula>"Extrapolation"</x:formula>
    </x:cfRule>
  </x:conditionalFormatting>
  <x:conditionalFormatting sqref="C7:C14">
    <x:cfRule type="cellIs" dxfId="46" priority="3" operator="equal">
      <x:formula>"Validé"</x:formula>
    </x:cfRule>
  </x:conditionalFormatting>
  <x:conditionalFormatting sqref="E7:E14">
    <x:cfRule type="cellIs" dxfId="47" priority="4" operator="equal">
      <x:formula>"P0"</x:formula>
    </x:cfRule>
  </x:conditionalFormatting>
  <x:dataValidations count="3">
    <x:dataValidation type="list" sqref="C7:C14">
      <x:formula1>"Défini,Prototype,Intégré,Validé"</x:formula1>
    </x:dataValidation>
    <x:dataValidation type="list" sqref="D7:D14">
      <x:formula1>"Établi,À vérifier,Extrapolation,Coupé attesté,Concept abandonné,Allégation écartée"</x:formula1>
    </x:dataValidation>
    <x:dataValidation type="list" sqref="E7:E14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9334b86d69344d7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Dialogues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Homeworlds — Situations de dialogue et conditions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68" customHeight="1">
      <x:c r="A7" s="18" t="str">
        <x:v>HOM-SC-VEGA-YOUTH-DIA</x:v>
      </x:c>
      <x:c r="B7" s="9" t="str">
        <x:v>#1 — choisir sa voie — intentions de conversation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James cherche du soutien; le dialogue souligne le choix de son propre avenir sans écrire une issue familiale nouvelle.</x:v>
      </x:c>
      <x:c r="G7" s="9" t="str">
        <x:v>Préserver le thème « autonomie personnelle »; échanges nouveaux, sans recopier les bulles.</x:v>
      </x:c>
      <x:c r="H7" s="9" t="str">
        <x:v>Proposer questions de contexte, reformulation et fin de conversation; les informations nécessaires restent accessibles après une réponse sceptique.</x:v>
      </x:c>
      <x:c r="I7" s="9" t="str">
        <x:v>Portraits sobres avec locuteur et destinataire; encart distinct si l’information est un soupçon.</x:v>
      </x:c>
      <x:c r="J7" s="9" t="str">
        <x:v>Entrée prudente, geste d'inspection et retour au contrôle pour « #1 — choisir sa voie »; poser les sprites avant tout changement de caméra.</x:v>
      </x:c>
      <x:c r="K7" s="9" t="str">
        <x:v>Dialogue original à écrire; texte intégral accessible, avance manuelle et rappel des locuteurs.</x:v>
      </x:c>
      <x:c r="L7" s="9" t="str">
        <x:v>Arbre proposé HOM/VEGA-YOUTH/dialogue; séparer ce qui est su, ce qui est affirmé et ce qui reste caché au joueur.</x:v>
      </x:c>
      <x:c r="M7" s="9" t="str">
        <x:v>Conserver l’autonomie des quatre numéros et leurs raccords. Les variantes locales ne sauvent pas des personnages dont l’issue est fixée ni ne donnent à un jeune personnage son arsenal adulte.</x:v>
      </x:c>
      <x:c r="N7" s="9" t="str">
        <x:v>Le lecteur peut identifier le locuteur, son but et le niveau de certitude; aucune phrase du comic n’est reproduite comme dialogue final.</x:v>
      </x:c>
      <x:c r="O7" s="9" t="str">
        <x:v>HOM-SC-VEGA-YOUTH-MAIN</x:v>
      </x:c>
      <x:c r="P7" s="9" t="str">
        <x:v>Écriture originale à partir des thèmes, sans transcrire les bulles.</x:v>
      </x:c>
      <x:c r="Q7" s="9" t="str"/>
      <x:c r="R7" s="20" t="str"/>
      <x:c r="S7" s="20" t="str"/>
    </x:row>
    <x:row r="8" ht="68" customHeight="1">
      <x:c r="A8" s="19" t="str">
        <x:v>HOM-SC-VEGA-PRESENT-DIA</x:v>
      </x:c>
      <x:c r="B8" s="7" t="str">
        <x:v>#1 — rechercher les proches — intentions de conversation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Échanges originaux sur l’incertitude et le départ; aucune conclusion sur le sort des proches non attestée.</x:v>
      </x:c>
      <x:c r="G8" s="7" t="str">
        <x:v>Préserver le thème « attente et incertitude »; échanges nouveaux, sans recopier les bulles.</x:v>
      </x:c>
      <x:c r="H8" s="7" t="str">
        <x:v>Proposer questions de contexte, reformulation et fin de conversation; les informations nécessaires restent accessibles après une réponse sceptique.</x:v>
      </x:c>
      <x:c r="I8" s="7" t="str">
        <x:v>Portraits sobres avec locuteur et destinataire; encart distinct si l’information est un soupçon.</x:v>
      </x:c>
      <x:c r="J8" s="7" t="str">
        <x:v>Entrée prudente, geste d'inspection et retour au contrôle pour « #1 — rechercher les proches »; poser les sprites avant tout changement de caméra.</x:v>
      </x:c>
      <x:c r="K8" s="7" t="str">
        <x:v>Dialogue original à écrire; texte intégral accessible, avance manuelle et rappel des locuteurs.</x:v>
      </x:c>
      <x:c r="L8" s="7" t="str">
        <x:v>Arbre proposé HOM/VEGA-PRESENT/dialogue; séparer ce qui est su, ce qui est affirmé et ce qui reste caché au joueur.</x:v>
      </x:c>
      <x:c r="M8" s="7" t="str">
        <x:v>Conserver l’autonomie des quatre numéros et leurs raccords. Les variantes locales ne sauvent pas des personnages dont l’issue est fixée ni ne donnent à un jeune personnage son arsenal adulte.</x:v>
      </x:c>
      <x:c r="N8" s="7" t="str">
        <x:v>Le lecteur peut identifier le locuteur, son but et le niveau de certitude; aucune phrase du comic n’est reproduite comme dialogue final.</x:v>
      </x:c>
      <x:c r="O8" s="7" t="str">
        <x:v>HOM-SC-VEGA-PRESENT-MAIN</x:v>
      </x:c>
      <x:c r="P8" s="7" t="str">
        <x:v>Écriture originale à partir des thèmes, sans transcrire les bulles.</x:v>
      </x:c>
      <x:c r="Q8" s="7" t="str"/>
      <x:c r="R8" s="21" t="str"/>
      <x:c r="S8" s="21" t="str"/>
    </x:row>
    <x:row r="9" ht="68" customHeight="1">
      <x:c r="A9" s="18" t="str">
        <x:v>HOM-SC-TALI-TRACE-DIA</x:v>
      </x:c>
      <x:c r="B9" s="9" t="str">
        <x:v>#2 — protéger la découverte — intentions de conversation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Tali distingue ce qu’elle sait de ce qu’elle espère prouver; ne pas réciter toute l’intrigue de ME1.</x:v>
      </x:c>
      <x:c r="G9" s="9" t="str">
        <x:v>Préserver le thème « preuve et survie »; échanges nouveaux, sans recopier les bulles.</x:v>
      </x:c>
      <x:c r="H9" s="9" t="str">
        <x:v>Proposer questions de contexte, reformulation et fin de conversation; les informations nécessaires restent accessibles après une réponse sceptique.</x:v>
      </x:c>
      <x:c r="I9" s="9" t="str">
        <x:v>Portraits sobres avec locuteur et destinataire; encart distinct si l’information est un soupçon.</x:v>
      </x:c>
      <x:c r="J9" s="9" t="str">
        <x:v>Entrée prudente, geste d'inspection et retour au contrôle pour « #2 — protéger la découverte »; poser les sprites avant tout changement de caméra.</x:v>
      </x:c>
      <x:c r="K9" s="9" t="str">
        <x:v>Dialogue original à écrire; texte intégral accessible, avance manuelle et rappel des locuteurs.</x:v>
      </x:c>
      <x:c r="L9" s="9" t="str">
        <x:v>Arbre proposé HOM/TALI-TRACE/dialogue; séparer ce qui est su, ce qui est affirmé et ce qui reste caché au joueur.</x:v>
      </x:c>
      <x:c r="M9" s="9" t="str">
        <x:v>Conserver l’autonomie des quatre numéros et leurs raccords. Les variantes locales ne sauvent pas des personnages dont l’issue est fixée ni ne donnent à un jeune personnage son arsenal adulte.</x:v>
      </x:c>
      <x:c r="N9" s="9" t="str">
        <x:v>Le lecteur peut identifier le locuteur, son but et le niveau de certitude; aucune phrase du comic n’est reproduite comme dialogue final.</x:v>
      </x:c>
      <x:c r="O9" s="9" t="str">
        <x:v>HOM-SC-TALI-TRACE-MAIN</x:v>
      </x:c>
      <x:c r="P9" s="9" t="str">
        <x:v>Écriture originale à partir des thèmes, sans transcrire les bulles.</x:v>
      </x:c>
      <x:c r="Q9" s="9" t="str"/>
      <x:c r="R9" s="20" t="str"/>
      <x:c r="S9" s="20" t="str"/>
    </x:row>
    <x:row r="10" ht="68" customHeight="1">
      <x:c r="A10" s="19" t="str">
        <x:v>HOM-SC-TALI-CITADEL-DIA</x:v>
      </x:c>
      <x:c r="B10" s="7" t="str">
        <x:v>#2 — demander de l’aide — intentions de conversation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Écrire des réponses de dignité, de prudence ou de retrait; éviter un compteur moral punissant la colère de Tali.</x:v>
      </x:c>
      <x:c r="G10" s="7" t="str">
        <x:v>Préserver le thème « préjugés et confiance »; échanges nouveaux, sans recopier les bulles.</x:v>
      </x:c>
      <x:c r="H10" s="7" t="str">
        <x:v>Proposer questions de contexte, reformulation et fin de conversation; les informations nécessaires restent accessibles après une réponse sceptique.</x:v>
      </x:c>
      <x:c r="I10" s="7" t="str">
        <x:v>Portraits sobres avec locuteur et destinataire; encart distinct si l’information est un soupçon.</x:v>
      </x:c>
      <x:c r="J10" s="7" t="str">
        <x:v>Entrée prudente, geste d'inspection et retour au contrôle pour « #2 — demander de l’aide »; poser les sprites avant tout changement de caméra.</x:v>
      </x:c>
      <x:c r="K10" s="7" t="str">
        <x:v>Dialogue original à écrire; texte intégral accessible, avance manuelle et rappel des locuteurs.</x:v>
      </x:c>
      <x:c r="L10" s="7" t="str">
        <x:v>Arbre proposé HOM/TALI-CITADEL/dialogue; séparer ce qui est su, ce qui est affirmé et ce qui reste caché au joueur.</x:v>
      </x:c>
      <x:c r="M10" s="7" t="str">
        <x:v>Conserver l’autonomie des quatre numéros et leurs raccords. Les variantes locales ne sauvent pas des personnages dont l’issue est fixée ni ne donnent à un jeune personnage son arsenal adulte.</x:v>
      </x:c>
      <x:c r="N10" s="7" t="str">
        <x:v>Le lecteur peut identifier le locuteur, son but et le niveau de certitude; aucune phrase du comic n’est reproduite comme dialogue final.</x:v>
      </x:c>
      <x:c r="O10" s="7" t="str">
        <x:v>HOM-SC-TALI-CITADEL-MAIN</x:v>
      </x:c>
      <x:c r="P10" s="7" t="str">
        <x:v>Écriture originale à partir des thèmes, sans transcrire les bulles.</x:v>
      </x:c>
      <x:c r="Q10" s="7" t="str"/>
      <x:c r="R10" s="21" t="str"/>
      <x:c r="S10" s="21" t="str"/>
    </x:row>
    <x:row r="11" ht="68" customHeight="1">
      <x:c r="A11" s="18" t="str">
        <x:v>HOM-SC-GARRUS-PAST-DIA</x:v>
      </x:c>
      <x:c r="B11" s="9" t="str">
        <x:v>#3 — leçons et limites — intentions de conversation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Intention de transmission, frustration puis question de méthode; aucune citation longue du père.</x:v>
      </x:c>
      <x:c r="G11" s="9" t="str">
        <x:v>Préserver le thème « discipline et responsabilité »; échanges nouveaux, sans recopier les bulles.</x:v>
      </x:c>
      <x:c r="H11" s="9" t="str">
        <x:v>Proposer questions de contexte, reformulation et fin de conversation; les informations nécessaires restent accessibles après une réponse sceptique.</x:v>
      </x:c>
      <x:c r="I11" s="9" t="str">
        <x:v>Portraits sobres avec locuteur et destinataire; encart distinct si l’information est un soupçon.</x:v>
      </x:c>
      <x:c r="J11" s="9" t="str">
        <x:v>Entrée prudente, geste d'inspection et retour au contrôle pour « #3 — leçons et limites »; poser les sprites avant tout changement de caméra.</x:v>
      </x:c>
      <x:c r="K11" s="9" t="str">
        <x:v>Dialogue original à écrire; texte intégral accessible, avance manuelle et rappel des locuteurs.</x:v>
      </x:c>
      <x:c r="L11" s="9" t="str">
        <x:v>Arbre proposé HOM/GARRUS-PAST/dialogue; séparer ce qui est su, ce qui est affirmé et ce qui reste caché au joueur.</x:v>
      </x:c>
      <x:c r="M11" s="9" t="str">
        <x:v>Conserver l’autonomie des quatre numéros et leurs raccords. Les variantes locales ne sauvent pas des personnages dont l’issue est fixée ni ne donnent à un jeune personnage son arsenal adulte.</x:v>
      </x:c>
      <x:c r="N11" s="9" t="str">
        <x:v>Le lecteur peut identifier le locuteur, son but et le niveau de certitude; aucune phrase du comic n’est reproduite comme dialogue final.</x:v>
      </x:c>
      <x:c r="O11" s="9" t="str">
        <x:v>HOM-SC-GARRUS-PAST-MAIN</x:v>
      </x:c>
      <x:c r="P11" s="9" t="str">
        <x:v>Écriture originale à partir des thèmes, sans transcrire les bulles.</x:v>
      </x:c>
      <x:c r="Q11" s="9" t="str"/>
      <x:c r="R11" s="20" t="str"/>
      <x:c r="S11" s="20" t="str"/>
    </x:row>
    <x:row r="12" ht="68" customHeight="1">
      <x:c r="A12" s="19" t="str">
        <x:v>HOM-SC-GARRUS-OMEGA-DIA</x:v>
      </x:c>
      <x:c r="B12" s="7" t="str">
        <x:v>#3 — tenir comme Archangel — intentions de conversation</x:v>
      </x:c>
      <x:c r="C12" s="15" t="str">
        <x:v>Défini</x:v>
      </x:c>
      <x:c r="D12" s="17" t="str">
        <x:v>Extrapolation</x:v>
      </x:c>
      <x:c r="E12" s="17" t="str">
        <x:v>P1</x:v>
      </x:c>
      <x:c r="F12" s="7" t="str">
        <x:v>Garrus peut enregistrer ses intentions en texte original bref, avec distinction entre souvenirs et situation présente.</x:v>
      </x:c>
      <x:c r="G12" s="7" t="str">
        <x:v>Préserver le thème « solitude et conséquence »; échanges nouveaux, sans recopier les bulles.</x:v>
      </x:c>
      <x:c r="H12" s="7" t="str">
        <x:v>Proposer questions de contexte, reformulation et fin de conversation; les informations nécessaires restent accessibles après une réponse sceptique.</x:v>
      </x:c>
      <x:c r="I12" s="7" t="str">
        <x:v>Portraits sobres avec locuteur et destinataire; encart distinct si l’information est un soupçon.</x:v>
      </x:c>
      <x:c r="J12" s="7" t="str">
        <x:v>Entrée prudente, geste d'inspection et retour au contrôle pour « #3 — tenir comme Archangel »; poser les sprites avant tout changement de caméra.</x:v>
      </x:c>
      <x:c r="K12" s="7" t="str">
        <x:v>Dialogue original à écrire; texte intégral accessible, avance manuelle et rappel des locuteurs.</x:v>
      </x:c>
      <x:c r="L12" s="7" t="str">
        <x:v>Arbre proposé HOM/GARRUS-OMEGA/dialogue; séparer ce qui est su, ce qui est affirmé et ce qui reste caché au joueur.</x:v>
      </x:c>
      <x:c r="M12" s="7" t="str">
        <x:v>Conserver l’autonomie des quatre numéros et leurs raccords. Les variantes locales ne sauvent pas des personnages dont l’issue est fixée ni ne donnent à un jeune personnage son arsenal adulte.</x:v>
      </x:c>
      <x:c r="N12" s="7" t="str">
        <x:v>Le lecteur peut identifier le locuteur, son but et le niveau de certitude; aucune phrase du comic n’est reproduite comme dialogue final.</x:v>
      </x:c>
      <x:c r="O12" s="7" t="str">
        <x:v>HOM-SC-GARRUS-OMEGA-MAIN</x:v>
      </x:c>
      <x:c r="P12" s="7" t="str">
        <x:v>Écriture originale à partir des thèmes, sans transcrire les bulles.</x:v>
      </x:c>
      <x:c r="Q12" s="7" t="str"/>
      <x:c r="R12" s="21" t="str"/>
      <x:c r="S12" s="21" t="str"/>
    </x:row>
    <x:row r="13" ht="68" customHeight="1">
      <x:c r="A13" s="18" t="str">
        <x:v>HOM-SC-LIARA-ARCHIVE-DIA</x:v>
      </x:c>
      <x:c r="B13" s="9" t="str">
        <x:v>#4 — suivre les archives — intentions de conversation</x:v>
      </x:c>
      <x:c r="C13" s="15" t="str">
        <x:v>Défini</x:v>
      </x:c>
      <x:c r="D13" s="16" t="str">
        <x:v>Extrapolation</x:v>
      </x:c>
      <x:c r="E13" s="16" t="str">
        <x:v>P1</x:v>
      </x:c>
      <x:c r="F13" s="9" t="str">
        <x:v>Passante évoque le parcours de Liara; les interlocuteurs de Kahje exposent leurs conditions sans caricature de leur culture.</x:v>
      </x:c>
      <x:c r="G13" s="9" t="str">
        <x:v>Préserver le thème « savoir incomplet »; échanges nouveaux, sans recopier les bulles.</x:v>
      </x:c>
      <x:c r="H13" s="9" t="str">
        <x:v>Proposer questions de contexte, reformulation et fin de conversation; les informations nécessaires restent accessibles après une réponse sceptique.</x:v>
      </x:c>
      <x:c r="I13" s="9" t="str">
        <x:v>Portraits sobres avec locuteur et destinataire; encart distinct si l’information est un soupçon.</x:v>
      </x:c>
      <x:c r="J13" s="9" t="str">
        <x:v>Entrée prudente, geste d'inspection et retour au contrôle pour « #4 — suivre les archives »; poser les sprites avant tout changement de caméra.</x:v>
      </x:c>
      <x:c r="K13" s="9" t="str">
        <x:v>Dialogue original à écrire; texte intégral accessible, avance manuelle et rappel des locuteurs.</x:v>
      </x:c>
      <x:c r="L13" s="9" t="str">
        <x:v>Arbre proposé HOM/LIARA-ARCHIVE/dialogue; séparer ce qui est su, ce qui est affirmé et ce qui reste caché au joueur.</x:v>
      </x:c>
      <x:c r="M13" s="9" t="str">
        <x:v>Conserver l’autonomie des quatre numéros et leurs raccords. Les variantes locales ne sauvent pas des personnages dont l’issue est fixée ni ne donnent à un jeune personnage son arsenal adulte.</x:v>
      </x:c>
      <x:c r="N13" s="9" t="str">
        <x:v>Le lecteur peut identifier le locuteur, son but et le niveau de certitude; aucune phrase du comic n’est reproduite comme dialogue final.</x:v>
      </x:c>
      <x:c r="O13" s="9" t="str">
        <x:v>HOM-SC-LIARA-ARCHIVE-MAIN</x:v>
      </x:c>
      <x:c r="P13" s="9" t="str">
        <x:v>Écriture originale à partir des thèmes, sans transcrire les bulles.</x:v>
      </x:c>
      <x:c r="Q13" s="9" t="str"/>
      <x:c r="R13" s="20" t="str"/>
      <x:c r="S13" s="20" t="str"/>
    </x:row>
    <x:row r="14" ht="68" customHeight="1">
      <x:c r="A14" s="19" t="str">
        <x:v>HOM-SC-LIARA-KAHJE-DIA</x:v>
      </x:c>
      <x:c r="B14" s="7" t="str">
        <x:v>#4 — passage sous l’eau — intentions de conversation</x:v>
      </x:c>
      <x:c r="C14" s="15" t="str">
        <x:v>Défini</x:v>
      </x:c>
      <x:c r="D14" s="17" t="str">
        <x:v>Extrapolation</x:v>
      </x:c>
      <x:c r="E14" s="17" t="str">
        <x:v>P1</x:v>
      </x:c>
      <x:c r="F14" s="7" t="str">
        <x:v>Coordination Liara/Quoyle et doute sur l’origine de l’attaque; ne pas affirmer les dénégations d’un antagoniste comme vérité.</x:v>
      </x:c>
      <x:c r="G14" s="7" t="str">
        <x:v>Préserver le thème « puissance au service d’un objectif »; échanges nouveaux, sans recopier les bulles.</x:v>
      </x:c>
      <x:c r="H14" s="7" t="str">
        <x:v>Proposer questions de contexte, reformulation et fin de conversation; les informations nécessaires restent accessibles après une réponse sceptique.</x:v>
      </x:c>
      <x:c r="I14" s="7" t="str">
        <x:v>Portraits sobres avec locuteur et destinataire; encart distinct si l’information est un soupçon.</x:v>
      </x:c>
      <x:c r="J14" s="7" t="str">
        <x:v>Entrée prudente, geste d'inspection et retour au contrôle pour « #4 — passage sous l’eau »; poser les sprites avant tout changement de caméra.</x:v>
      </x:c>
      <x:c r="K14" s="7" t="str">
        <x:v>Dialogue original à écrire; texte intégral accessible, avance manuelle et rappel des locuteurs.</x:v>
      </x:c>
      <x:c r="L14" s="7" t="str">
        <x:v>Arbre proposé HOM/LIARA-KAHJE/dialogue; séparer ce qui est su, ce qui est affirmé et ce qui reste caché au joueur.</x:v>
      </x:c>
      <x:c r="M14" s="7" t="str">
        <x:v>Conserver l’autonomie des quatre numéros et leurs raccords. Les variantes locales ne sauvent pas des personnages dont l’issue est fixée ni ne donnent à un jeune personnage son arsenal adulte.</x:v>
      </x:c>
      <x:c r="N14" s="7" t="str">
        <x:v>Le lecteur peut identifier le locuteur, son but et le niveau de certitude; aucune phrase du comic n’est reproduite comme dialogue final.</x:v>
      </x:c>
      <x:c r="O14" s="7" t="str">
        <x:v>HOM-SC-LIARA-KAHJE-MAIN</x:v>
      </x:c>
      <x:c r="P14" s="7" t="str">
        <x:v>Écriture originale à partir des thèmes, sans transcrire les bulles.</x:v>
      </x:c>
      <x:c r="Q14" s="7" t="str"/>
      <x:c r="R14" s="21" t="str"/>
      <x:c r="S14" s="21" t="str"/>
    </x:row>
  </x:sheetData>
  <x:conditionalFormatting sqref="D7:D14">
    <x:cfRule type="cellIs" dxfId="48" priority="1" operator="equal">
      <x:formula>"À vérifier"</x:formula>
    </x:cfRule>
    <x:cfRule type="cellIs" dxfId="49" priority="2" operator="equal">
      <x:formula>"Extrapolation"</x:formula>
    </x:cfRule>
  </x:conditionalFormatting>
  <x:conditionalFormatting sqref="C7:C14">
    <x:cfRule type="cellIs" dxfId="50" priority="3" operator="equal">
      <x:formula>"Validé"</x:formula>
    </x:cfRule>
  </x:conditionalFormatting>
  <x:conditionalFormatting sqref="E7:E14">
    <x:cfRule type="cellIs" dxfId="51" priority="4" operator="equal">
      <x:formula>"P0"</x:formula>
    </x:cfRule>
  </x:conditionalFormatting>
  <x:dataValidations count="3">
    <x:dataValidation type="list" sqref="C7:C14">
      <x:formula1>"Défini,Prototype,Intégré,Validé"</x:formula1>
    </x:dataValidation>
    <x:dataValidation type="list" sqref="D7:D14">
      <x:formula1>"Établi,À vérifier,Extrapolation,Coupé attesté,Concept abandonné,Allégation écartée"</x:formula1>
    </x:dataValidation>
    <x:dataValidation type="list" sqref="E7:E14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4035ac79504fa6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Cinématiques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Homeworlds — Séquences et mise en scène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68" customHeight="1">
      <x:c r="A7" s="18" t="str">
        <x:v>HOM-SC-VEGA-YOUTH-CINE</x:v>
      </x:c>
      <x:c r="B7" s="9" t="str">
        <x:v>#1 — choisir sa voie — raccord mis en scène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Caméra fixe à chaque obstacle, puis plan calme au refuge.</x:v>
      </x:c>
      <x:c r="G7" s="9" t="str">
        <x:v>Rue → obstacle → refuge provisoire → conversation.</x:v>
      </x:c>
      <x:c r="H7" s="9" t="str"/>
      <x:c r="I7" s="9" t="str">
        <x:v>Rue claire, passage étroit et horizon côtier au retour.</x:v>
      </x:c>
      <x:c r="J7" s="9" t="str">
        <x:v>Entrée prudente, geste d'inspection et retour au contrôle pour « #1 — choisir sa voie »; poser les sprites avant tout changement de caméra.</x:v>
      </x:c>
      <x:c r="K7" s="9" t="str">
        <x:v>Pas pressés puis calme du vent.</x:v>
      </x:c>
      <x:c r="L7" s="9" t="str">
        <x:v>Séquence proposée HOM/VEGA-YOUTH/cinematic; mise à jour des états avant restitution du contrôle; bouton passer et relecture séparés.</x:v>
      </x:c>
      <x:c r="M7" s="9" t="str">
        <x:v>Conserver l’autonomie des quatre numéros et leurs raccords. Les variantes locales ne sauvent pas des personnages dont l’issue est fixée ni ne donnent à un jeune personnage son arsenal adulte.</x:v>
      </x:c>
      <x:c r="N7" s="9" t="str">
        <x:v>La version passée et la version regardée aboutissent au même placement, inventaire et objectif; les sous-titres ne sont pas coupés.</x:v>
      </x:c>
      <x:c r="O7" s="9" t="str">
        <x:v>HOM-SC-VEGA-YOUTH-MAIN</x:v>
      </x:c>
      <x:c r="P7" s="9" t="str">
        <x:v>Découpage original pour sprites 2D sur décor 3D.</x:v>
      </x:c>
      <x:c r="Q7" s="9" t="str"/>
      <x:c r="R7" s="20" t="str"/>
      <x:c r="S7" s="20" t="str"/>
    </x:row>
    <x:row r="8" ht="68" customHeight="1">
      <x:c r="A8" s="19" t="str">
        <x:v>HOM-SC-VEGA-PRESENT-CINE</x:v>
      </x:c>
      <x:c r="B8" s="7" t="str">
        <x:v>#1 — rechercher les proches — raccord mis en scène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Transition de mémoire par un objet de la borne puis retour au même point.</x:v>
      </x:c>
      <x:c r="G8" s="7" t="str">
        <x:v>Demande → absence d’information → souvenir → retour au présent.</x:v>
      </x:c>
      <x:c r="H8" s="7" t="str"/>
      <x:c r="I8" s="7" t="str">
        <x:v>Zone d’attente calme et informations sans surimpression envahissante.</x:v>
      </x:c>
      <x:c r="J8" s="7" t="str">
        <x:v>Entrée prudente, geste d'inspection et retour au contrôle pour « #1 — rechercher les proches »; poser les sprites avant tout changement de caméra.</x:v>
      </x:c>
      <x:c r="K8" s="7" t="str">
        <x:v>Annonce distante et bref motif de souvenir.</x:v>
      </x:c>
      <x:c r="L8" s="7" t="str">
        <x:v>Séquence proposée HOM/VEGA-PRESENT/cinematic; mise à jour des états avant restitution du contrôle; bouton passer et relecture séparés.</x:v>
      </x:c>
      <x:c r="M8" s="7" t="str">
        <x:v>Conserver l’autonomie des quatre numéros et leurs raccords. Les variantes locales ne sauvent pas des personnages dont l’issue est fixée ni ne donnent à un jeune personnage son arsenal adulte.</x:v>
      </x:c>
      <x:c r="N8" s="7" t="str">
        <x:v>La version passée et la version regardée aboutissent au même placement, inventaire et objectif; les sous-titres ne sont pas coupés.</x:v>
      </x:c>
      <x:c r="O8" s="7" t="str">
        <x:v>HOM-SC-VEGA-PRESENT-MAIN</x:v>
      </x:c>
      <x:c r="P8" s="7" t="str">
        <x:v>Découpage original pour sprites 2D sur décor 3D.</x:v>
      </x:c>
      <x:c r="Q8" s="7" t="str"/>
      <x:c r="R8" s="21" t="str"/>
      <x:c r="S8" s="21" t="str"/>
    </x:row>
    <x:row r="9" ht="68" customHeight="1">
      <x:c r="A9" s="18" t="str">
        <x:v>HOM-SC-TALI-TRACE-CINE</x:v>
      </x:c>
      <x:c r="B9" s="9" t="str">
        <x:v>#2 — protéger la découverte — raccord mis en scène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Cadre rapproché sur le poignet puis vue large sur la sortie.</x:v>
      </x:c>
      <x:c r="G9" s="9" t="str">
        <x:v>Observation → protection des données → déplacement → sortie.</x:v>
      </x:c>
      <x:c r="H9" s="9" t="str"/>
      <x:c r="I9" s="9" t="str">
        <x:v>Passage étroit et interface discrète, combinaison détachée du fond.</x:v>
      </x:c>
      <x:c r="J9" s="9" t="str">
        <x:v>Entrée prudente, geste d'inspection et retour au contrôle pour « #2 — protéger la découverte »; poser les sprites avant tout changement de caméra.</x:v>
      </x:c>
      <x:c r="K9" s="9" t="str">
        <x:v>Signal de transfert original et pas poursuivants localisés.</x:v>
      </x:c>
      <x:c r="L9" s="9" t="str">
        <x:v>Séquence proposée HOM/TALI-TRACE/cinematic; mise à jour des états avant restitution du contrôle; bouton passer et relecture séparés.</x:v>
      </x:c>
      <x:c r="M9" s="9" t="str">
        <x:v>Conserver l’autonomie des quatre numéros et leurs raccords. Les variantes locales ne sauvent pas des personnages dont l’issue est fixée ni ne donnent à un jeune personnage son arsenal adulte.</x:v>
      </x:c>
      <x:c r="N9" s="9" t="str">
        <x:v>La version passée et la version regardée aboutissent au même placement, inventaire et objectif; les sous-titres ne sont pas coupés.</x:v>
      </x:c>
      <x:c r="O9" s="9" t="str">
        <x:v>HOM-SC-TALI-TRACE-MAIN</x:v>
      </x:c>
      <x:c r="P9" s="9" t="str">
        <x:v>Découpage original pour sprites 2D sur décor 3D.</x:v>
      </x:c>
      <x:c r="Q9" s="9" t="str"/>
      <x:c r="R9" s="20" t="str"/>
      <x:c r="S9" s="20" t="str"/>
    </x:row>
    <x:row r="10" ht="68" customHeight="1">
      <x:c r="A10" s="19" t="str">
        <x:v>HOM-SC-TALI-CITADEL-CINE</x:v>
      </x:c>
      <x:c r="B10" s="7" t="str">
        <x:v>#2 — demander de l’aide — raccord mis en scène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Décalage entre grande architecture et petite silhouette isolée.</x:v>
      </x:c>
      <x:c r="G10" s="7" t="str">
        <x:v>Accueil difficile → options de contact → passage sécurisé → raccord.</x:v>
      </x:c>
      <x:c r="H10" s="7" t="str"/>
      <x:c r="I10" s="7" t="str">
        <x:v>Accueil clair, vitre et signalétique, passage utile légèrement contrasté.</x:v>
      </x:c>
      <x:c r="J10" s="7" t="str">
        <x:v>Entrée prudente, geste d'inspection et retour au contrôle pour « #2 — demander de l’aide »; poser les sprites avant tout changement de caméra.</x:v>
      </x:c>
      <x:c r="K10" s="7" t="str">
        <x:v>Brouhaha qui baisse lors d’une réponse hostile; sous-titres complets.</x:v>
      </x:c>
      <x:c r="L10" s="7" t="str">
        <x:v>Séquence proposée HOM/TALI-CITADEL/cinematic; mise à jour des états avant restitution du contrôle; bouton passer et relecture séparés.</x:v>
      </x:c>
      <x:c r="M10" s="7" t="str">
        <x:v>Conserver l’autonomie des quatre numéros et leurs raccords. Les variantes locales ne sauvent pas des personnages dont l’issue est fixée ni ne donnent à un jeune personnage son arsenal adulte.</x:v>
      </x:c>
      <x:c r="N10" s="7" t="str">
        <x:v>La version passée et la version regardée aboutissent au même placement, inventaire et objectif; les sous-titres ne sont pas coupés.</x:v>
      </x:c>
      <x:c r="O10" s="7" t="str">
        <x:v>HOM-SC-TALI-CITADEL-MAIN</x:v>
      </x:c>
      <x:c r="P10" s="7" t="str">
        <x:v>Découpage original pour sprites 2D sur décor 3D.</x:v>
      </x:c>
      <x:c r="Q10" s="7" t="str"/>
      <x:c r="R10" s="21" t="str"/>
      <x:c r="S10" s="21" t="str"/>
    </x:row>
    <x:row r="11" ht="68" customHeight="1">
      <x:c r="A11" s="18" t="str">
        <x:v>HOM-SC-GARRUS-PAST-CINE</x:v>
      </x:c>
      <x:c r="B11" s="9" t="str">
        <x:v>#3 — leçons et limites — raccord mis en scène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Même axe de cible repris à deux époques, avec changements clairs de costume.</x:v>
      </x:c>
      <x:c r="G11" s="9" t="str">
        <x:v>Entraînement → échange familial → ellipse → désaccord professionnel.</x:v>
      </x:c>
      <x:c r="H11" s="9" t="str"/>
      <x:c r="I11" s="9" t="str">
        <x:v>Cibles sobres, silhouette de l’instructeur en retrait.</x:v>
      </x:c>
      <x:c r="J11" s="9" t="str">
        <x:v>Entrée prudente, geste d'inspection et retour au contrôle pour « #3 — leçons et limites »; poser les sprites avant tout changement de caméra.</x:v>
      </x:c>
      <x:c r="K11" s="9" t="str">
        <x:v>Impact mécanique doux et silence de discussion.</x:v>
      </x:c>
      <x:c r="L11" s="9" t="str">
        <x:v>Séquence proposée HOM/GARRUS-PAST/cinematic; mise à jour des états avant restitution du contrôle; bouton passer et relecture séparés.</x:v>
      </x:c>
      <x:c r="M11" s="9" t="str">
        <x:v>Conserver l’autonomie des quatre numéros et leurs raccords. Les variantes locales ne sauvent pas des personnages dont l’issue est fixée ni ne donnent à un jeune personnage son arsenal adulte.</x:v>
      </x:c>
      <x:c r="N11" s="9" t="str">
        <x:v>La version passée et la version regardée aboutissent au même placement, inventaire et objectif; les sous-titres ne sont pas coupés.</x:v>
      </x:c>
      <x:c r="O11" s="9" t="str">
        <x:v>HOM-SC-GARRUS-PAST-MAIN</x:v>
      </x:c>
      <x:c r="P11" s="9" t="str">
        <x:v>Découpage original pour sprites 2D sur décor 3D.</x:v>
      </x:c>
      <x:c r="Q11" s="9" t="str"/>
      <x:c r="R11" s="20" t="str"/>
      <x:c r="S11" s="20" t="str"/>
    </x:row>
    <x:row r="12" ht="68" customHeight="1">
      <x:c r="A12" s="19" t="str">
        <x:v>HOM-SC-GARRUS-OMEGA-CINE</x:v>
      </x:c>
      <x:c r="B12" s="7" t="str">
        <x:v>#3 — tenir comme Archangel — raccord mis en scène</x:v>
      </x:c>
      <x:c r="C12" s="15" t="str">
        <x:v>Défini</x:v>
      </x:c>
      <x:c r="D12" s="17" t="str">
        <x:v>Extrapolation</x:v>
      </x:c>
      <x:c r="E12" s="17" t="str">
        <x:v>P1</x:v>
      </x:c>
      <x:c r="F12" s="7" t="str">
        <x:v>Position haute stable; événements hors champ annoncés sur la carte.</x:v>
      </x:c>
      <x:c r="G12" s="7" t="str">
        <x:v>Repérage → vagues limitées proposées → communication → raccord.</x:v>
      </x:c>
      <x:c r="H12" s="7" t="str"/>
      <x:c r="I12" s="7" t="str">
        <x:v>Couloir de tir dégagé et point radio protégé.</x:v>
      </x:c>
      <x:c r="J12" s="7" t="str">
        <x:v>Entrée prudente, geste d'inspection et retour au contrôle pour « #3 — tenir comme Archangel »; poser les sprites avant tout changement de caméra.</x:v>
      </x:c>
      <x:c r="K12" s="7" t="str">
        <x:v>Tirs éloignés, souffle et communication fragile.</x:v>
      </x:c>
      <x:c r="L12" s="7" t="str">
        <x:v>Séquence proposée HOM/GARRUS-OMEGA/cinematic; mise à jour des états avant restitution du contrôle; bouton passer et relecture séparés.</x:v>
      </x:c>
      <x:c r="M12" s="7" t="str">
        <x:v>Conserver l’autonomie des quatre numéros et leurs raccords. Les variantes locales ne sauvent pas des personnages dont l’issue est fixée ni ne donnent à un jeune personnage son arsenal adulte.</x:v>
      </x:c>
      <x:c r="N12" s="7" t="str">
        <x:v>La version passée et la version regardée aboutissent au même placement, inventaire et objectif; les sous-titres ne sont pas coupés.</x:v>
      </x:c>
      <x:c r="O12" s="7" t="str">
        <x:v>HOM-SC-GARRUS-OMEGA-MAIN</x:v>
      </x:c>
      <x:c r="P12" s="7" t="str">
        <x:v>Découpage original pour sprites 2D sur décor 3D.</x:v>
      </x:c>
      <x:c r="Q12" s="7" t="str"/>
      <x:c r="R12" s="21" t="str"/>
      <x:c r="S12" s="21" t="str"/>
    </x:row>
    <x:row r="13" ht="68" customHeight="1">
      <x:c r="A13" s="18" t="str">
        <x:v>HOM-SC-LIARA-ARCHIVE-CINE</x:v>
      </x:c>
      <x:c r="B13" s="9" t="str">
        <x:v>#4 — suivre les archives — raccord mis en scène</x:v>
      </x:c>
      <x:c r="C13" s="15" t="str">
        <x:v>Défini</x:v>
      </x:c>
      <x:c r="D13" s="16" t="str">
        <x:v>Extrapolation</x:v>
      </x:c>
      <x:c r="E13" s="16" t="str">
        <x:v>P1</x:v>
      </x:c>
      <x:c r="F13" s="9" t="str">
        <x:v>Alternance de bureaux d’archive et de seuils monumentaux; pas de longue exposition copiée.</x:v>
      </x:c>
      <x:c r="G13" s="9" t="str">
        <x:v>Entretien savant → archive insuffisante → nouvelle piste → négociation d’accès.</x:v>
      </x:c>
      <x:c r="H13" s="9" t="str"/>
      <x:c r="I13" s="9" t="str">
        <x:v>Écrans froids puis lumière aquatique et éléments de sanctuaire à contrôler.</x:v>
      </x:c>
      <x:c r="J13" s="9" t="str">
        <x:v>Entrée prudente, geste d'inspection et retour au contrôle pour « #4 — suivre les archives »; poser les sprites avant tout changement de caméra.</x:v>
      </x:c>
      <x:c r="K13" s="9" t="str">
        <x:v>Ambiance savante calme puis résonance sous l’eau.</x:v>
      </x:c>
      <x:c r="L13" s="9" t="str">
        <x:v>Séquence proposée HOM/LIARA-ARCHIVE/cinematic; mise à jour des états avant restitution du contrôle; bouton passer et relecture séparés.</x:v>
      </x:c>
      <x:c r="M13" s="9" t="str">
        <x:v>Conserver l’autonomie des quatre numéros et leurs raccords. Les variantes locales ne sauvent pas des personnages dont l’issue est fixée ni ne donnent à un jeune personnage son arsenal adulte.</x:v>
      </x:c>
      <x:c r="N13" s="9" t="str">
        <x:v>La version passée et la version regardée aboutissent au même placement, inventaire et objectif; les sous-titres ne sont pas coupés.</x:v>
      </x:c>
      <x:c r="O13" s="9" t="str">
        <x:v>HOM-SC-LIARA-ARCHIVE-MAIN</x:v>
      </x:c>
      <x:c r="P13" s="9" t="str">
        <x:v>Découpage original pour sprites 2D sur décor 3D.</x:v>
      </x:c>
      <x:c r="Q13" s="9" t="str"/>
      <x:c r="R13" s="20" t="str"/>
      <x:c r="S13" s="20" t="str"/>
    </x:row>
    <x:row r="14" ht="68" customHeight="1">
      <x:c r="A14" s="19" t="str">
        <x:v>HOM-SC-LIARA-KAHJE-CINE</x:v>
      </x:c>
      <x:c r="B14" s="7" t="str">
        <x:v>#4 — passage sous l’eau — raccord mis en scène</x:v>
      </x:c>
      <x:c r="C14" s="15" t="str">
        <x:v>Défini</x:v>
      </x:c>
      <x:c r="D14" s="17" t="str">
        <x:v>Extrapolation</x:v>
      </x:c>
      <x:c r="E14" s="17" t="str">
        <x:v>P1</x:v>
      </x:c>
      <x:c r="F14" s="7" t="str">
        <x:v>Vue latérale du volume protégé, puis reprise du sol dans l’archive.</x:v>
      </x:c>
      <x:c r="G14" s="7" t="str">
        <x:v>Alerte → maintien biotique → arrivée → confrontation → sortie.</x:v>
      </x:c>
      <x:c r="H14" s="7" t="str"/>
      <x:c r="I14" s="7" t="str">
        <x:v>Eau transparente stylisée, bord de volume clair et point d’arrivée fixe.</x:v>
      </x:c>
      <x:c r="J14" s="7" t="str">
        <x:v>Entrée prudente, geste d'inspection et retour au contrôle pour « #4 — passage sous l’eau »; poser les sprites avant tout changement de caméra.</x:v>
      </x:c>
      <x:c r="K14" s="7" t="str">
        <x:v>Grave aquatique et vibration du maintien, doublés d’une barre qualitative.</x:v>
      </x:c>
      <x:c r="L14" s="7" t="str">
        <x:v>Séquence proposée HOM/LIARA-KAHJE/cinematic; mise à jour des états avant restitution du contrôle; bouton passer et relecture séparés.</x:v>
      </x:c>
      <x:c r="M14" s="7" t="str">
        <x:v>Conserver l’autonomie des quatre numéros et leurs raccords. Les variantes locales ne sauvent pas des personnages dont l’issue est fixée ni ne donnent à un jeune personnage son arsenal adulte.</x:v>
      </x:c>
      <x:c r="N14" s="7" t="str">
        <x:v>La version passée et la version regardée aboutissent au même placement, inventaire et objectif; les sous-titres ne sont pas coupés.</x:v>
      </x:c>
      <x:c r="O14" s="7" t="str">
        <x:v>HOM-SC-LIARA-KAHJE-MAIN</x:v>
      </x:c>
      <x:c r="P14" s="7" t="str">
        <x:v>Découpage original pour sprites 2D sur décor 3D.</x:v>
      </x:c>
      <x:c r="Q14" s="7" t="str"/>
      <x:c r="R14" s="21" t="str"/>
      <x:c r="S14" s="21" t="str"/>
    </x:row>
  </x:sheetData>
  <x:conditionalFormatting sqref="D7:D14">
    <x:cfRule type="cellIs" dxfId="52" priority="1" operator="equal">
      <x:formula>"À vérifier"</x:formula>
    </x:cfRule>
    <x:cfRule type="cellIs" dxfId="53" priority="2" operator="equal">
      <x:formula>"Extrapolation"</x:formula>
    </x:cfRule>
  </x:conditionalFormatting>
  <x:conditionalFormatting sqref="C7:C14">
    <x:cfRule type="cellIs" dxfId="54" priority="3" operator="equal">
      <x:formula>"Validé"</x:formula>
    </x:cfRule>
  </x:conditionalFormatting>
  <x:conditionalFormatting sqref="E7:E14">
    <x:cfRule type="cellIs" dxfId="55" priority="4" operator="equal">
      <x:formula>"P0"</x:formula>
    </x:cfRule>
  </x:conditionalFormatting>
  <x:dataValidations count="3">
    <x:dataValidation type="list" sqref="C7:C14">
      <x:formula1>"Défini,Prototype,Intégré,Validé"</x:formula1>
    </x:dataValidation>
    <x:dataValidation type="list" sqref="D7:D14">
      <x:formula1>"Établi,À vérifier,Extrapolation,Coupé attesté,Concept abandonné,Allégation écartée"</x:formula1>
    </x:dataValidation>
    <x:dataValidation type="list" sqref="E7:E14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d2e997beee64483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Armes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Homeworlds — Familles, modèles et comportements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68" customHeight="1">
      <x:c r="A7" s="18" t="str">
        <x:v>HOM-KIT-SNIPER</x:v>
      </x:c>
      <x:c r="B7" s="9" t="str">
        <x:v>Fusil de précision de Garrus — profil proposé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Une arme longue pour l’entraînement et la défense, en variantes temporelles séparées.</x:v>
      </x:c>
      <x:c r="G7" s="9" t="str">
        <x:v>Exprimer la progression sans importer des statistiques du jeu.</x:v>
      </x:c>
      <x:c r="H7" s="9" t="str">
        <x:v>Version exercice sans dégâts sur personnes; version défense avec ligne de vue et réserve ATB.</x:v>
      </x:c>
      <x:c r="I7" s="9" t="str">
        <x:v>Canon long lisible à l’échelle sprite; modèle à contrôler.</x:v>
      </x:c>
      <x:c r="J7" s="9" t="str">
        <x:v>Épaulé stable et retour au couvert.</x:v>
      </x:c>
      <x:c r="K7" s="9" t="str">
        <x:v>Confirmation audiovisuelle originale, doublée d’un libellé.</x:v>
      </x:c>
      <x:c r="L7" s="9" t="str">
        <x:v>Spécification de ressource HOM/kit/SNIPER; données séparées du moteur, interface de coût et états d'épuisement prévus.</x:v>
      </x:c>
      <x:c r="M7" s="9" t="str">
        <x:v>Conserver l’autonomie des quatre numéros et leurs raccords. Les variantes locales ne sauvent pas des personnages dont l’issue est fixée ni ne donnent à un jeune personnage son arsenal adulte.</x:v>
      </x:c>
      <x:c r="N7" s="9" t="str">
        <x:v>Les deux variantes ne partagent pas par erreur leurs cibles ou dégâts.</x:v>
      </x:c>
      <x:c r="O7" s="9" t="str"/>
      <x:c r="P7" s="9" t="str">
        <x:v>Création de gameplay et direction visuelle originales; modèle exact à vérifier si une arme source est évoquée.</x:v>
      </x:c>
      <x:c r="Q7" s="9" t="str"/>
      <x:c r="R7" s="20" t="str"/>
      <x:c r="S7" s="20" t="str"/>
    </x:row>
  </x:sheetData>
  <x:conditionalFormatting sqref="D7:D7">
    <x:cfRule type="cellIs" dxfId="56" priority="1" operator="equal">
      <x:formula>"À vérifier"</x:formula>
    </x:cfRule>
    <x:cfRule type="cellIs" dxfId="57" priority="2" operator="equal">
      <x:formula>"Extrapolation"</x:formula>
    </x:cfRule>
  </x:conditionalFormatting>
  <x:conditionalFormatting sqref="C7:C7">
    <x:cfRule type="cellIs" dxfId="58" priority="3" operator="equal">
      <x:formula>"Validé"</x:formula>
    </x:cfRule>
  </x:conditionalFormatting>
  <x:conditionalFormatting sqref="E7:E7">
    <x:cfRule type="cellIs" dxfId="59" priority="4" operator="equal">
      <x:formula>"P0"</x:formula>
    </x:cfRule>
  </x:conditionalFormatting>
  <x:dataValidations count="3">
    <x:dataValidation type="list" sqref="C7">
      <x:formula1>"Défini,Prototype,Intégré,Validé"</x:formula1>
    </x:dataValidation>
    <x:dataValidation type="list" sqref="D7">
      <x:formula1>"Établi,À vérifier,Extrapolation,Coupé attesté,Concept abandonné,Allégation écartée"</x:formula1>
    </x:dataValidation>
    <x:dataValidation type="list" sqref="E7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983175c54a245ba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Armures et équipement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Homeworlds — Protections, modules et consommables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68" customHeight="1">
      <x:c r="A7" s="18" t="str">
        <x:v>HOM-KIT-PROOF</x:v>
      </x:c>
      <x:c r="B7" s="9" t="str">
        <x:v>Objet de preuve de Tali — représentation proposée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Ressource de mission persistante.</x:v>
      </x:c>
      <x:c r="G7" s="9" t="str">
        <x:v>Relier survie et recherche d’aide.</x:v>
      </x:c>
      <x:c r="H7" s="9" t="str">
        <x:v>Non vendable, non jetable, transfert scripté vérifié.</x:v>
      </x:c>
      <x:c r="I7" s="9" t="str">
        <x:v>Icône de fichier protégée, pas de nouveau modèle canon nommé.</x:v>
      </x:c>
      <x:c r="J7" s="9" t="str">
        <x:v>Inspection du poignet et sauvegarde.</x:v>
      </x:c>
      <x:c r="K7" s="9" t="str">
        <x:v>Confirmation audiovisuelle originale, doublée d’un libellé.</x:v>
      </x:c>
      <x:c r="L7" s="9" t="str">
        <x:v>Spécification de ressource HOM/kit/PROOF; données séparées du moteur, interface de coût et états d'épuisement prévus.</x:v>
      </x:c>
      <x:c r="M7" s="9" t="str">
        <x:v>Conserver l’autonomie des quatre numéros et leurs raccords. Les variantes locales ne sauvent pas des personnages dont l’issue est fixée ni ne donnent à un jeune personnage son arsenal adulte.</x:v>
      </x:c>
      <x:c r="N7" s="9" t="str">
        <x:v>Un rechargement ne duplique ni ne perd l’objet.</x:v>
      </x:c>
      <x:c r="O7" s="9" t="str"/>
      <x:c r="P7" s="9" t="str">
        <x:v>Création de gameplay et direction visuelle originales; modèle exact à vérifier si une arme source est évoquée.</x:v>
      </x:c>
      <x:c r="Q7" s="9" t="str"/>
      <x:c r="R7" s="20" t="str"/>
      <x:c r="S7" s="20" t="str"/>
    </x:row>
    <x:row r="8" ht="68" customHeight="1">
      <x:c r="A8" s="19" t="str">
        <x:v>HOM-KIT-CHRONO</x:v>
      </x:c>
      <x:c r="B8" s="7" t="str">
        <x:v>Sélecteur d’époque du catalogue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Outil d’interface original pour les flashbacks.</x:v>
      </x:c>
      <x:c r="G8" s="7" t="str">
        <x:v>Empêcher le mélange des avatars et savoirs.</x:v>
      </x:c>
      <x:c r="H8" s="7" t="str">
        <x:v>Afficher personnage, numéro et période qualitative avant chargement.</x:v>
      </x:c>
      <x:c r="I8" s="7" t="str">
        <x:v>Portrait et étiquette de période en texte.</x:v>
      </x:c>
      <x:c r="J8" s="7" t="str">
        <x:v>Fondu bref annulable.</x:v>
      </x:c>
      <x:c r="K8" s="7" t="str">
        <x:v>Confirmation audiovisuelle originale, doublée d’un libellé.</x:v>
      </x:c>
      <x:c r="L8" s="7" t="str">
        <x:v>Spécification de ressource HOM/kit/CHRONO; données séparées du moteur, interface de coût et états d'épuisement prévus.</x:v>
      </x:c>
      <x:c r="M8" s="7" t="str">
        <x:v>Conserver l’autonomie des quatre numéros et leurs raccords. Les variantes locales ne sauvent pas des personnages dont l’issue est fixée ni ne donnent à un jeune personnage son arsenal adulte.</x:v>
      </x:c>
      <x:c r="N8" s="7" t="str">
        <x:v>Un équipement d’adulte ne peut entrer dans un souvenir de jeunesse.</x:v>
      </x:c>
      <x:c r="O8" s="7" t="str"/>
      <x:c r="P8" s="7" t="str">
        <x:v>Création de gameplay et direction visuelle originales; modèle exact à vérifier si une arme source est évoquée.</x:v>
      </x:c>
      <x:c r="Q8" s="7" t="str"/>
      <x:c r="R8" s="21" t="str"/>
      <x:c r="S8" s="21" t="str"/>
    </x:row>
  </x:sheetData>
  <x:conditionalFormatting sqref="D7:D8">
    <x:cfRule type="cellIs" dxfId="60" priority="1" operator="equal">
      <x:formula>"À vérifier"</x:formula>
    </x:cfRule>
    <x:cfRule type="cellIs" dxfId="61" priority="2" operator="equal">
      <x:formula>"Extrapolation"</x:formula>
    </x:cfRule>
  </x:conditionalFormatting>
  <x:conditionalFormatting sqref="C7:C8">
    <x:cfRule type="cellIs" dxfId="62" priority="3" operator="equal">
      <x:formula>"Validé"</x:formula>
    </x:cfRule>
  </x:conditionalFormatting>
  <x:conditionalFormatting sqref="E7:E8">
    <x:cfRule type="cellIs" dxfId="63" priority="4" operator="equal">
      <x:formula>"P0"</x:formula>
    </x:cfRule>
  </x:conditionalFormatting>
  <x:dataValidations count="3">
    <x:dataValidation type="list" sqref="C7:C8">
      <x:formula1>"Défini,Prototype,Intégré,Validé"</x:formula1>
    </x:dataValidation>
    <x:dataValidation type="list" sqref="D7:D8">
      <x:formula1>"Établi,À vérifier,Extrapolation,Coupé attesté,Concept abandonné,Allégation écartée"</x:formula1>
    </x:dataValidation>
    <x:dataValidation type="list" sqref="E7:E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ee0951fde647c1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Pouvoirs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Homeworlds — Capacités canoniques et traduction ATB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68" customHeight="1">
      <x:c r="A7" s="18" t="str">
        <x:v>HOM-KIT-BUBBLE</x:v>
      </x:c>
      <x:c r="B7" s="9" t="str">
        <x:v>Maintien biotique de Liara — règle proposée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Abstraction de scène pour le trajet aquatique.</x:v>
      </x:c>
      <x:c r="G7" s="9" t="str">
        <x:v>Rendre la coopération lisible.</x:v>
      </x:c>
      <x:c r="H7" s="9" t="str">
        <x:v>Pendant le maintien, Liara ne lance pas une autre commande offensive; difficulté et durée restent réglages de prototype.</x:v>
      </x:c>
      <x:c r="I7" s="9" t="str">
        <x:v>Surface claire et contour stable.</x:v>
      </x:c>
      <x:c r="J7" s="9" t="str">
        <x:v>Bras maintenus et posture de concentration.</x:v>
      </x:c>
      <x:c r="K7" s="9" t="str">
        <x:v>Confirmation audiovisuelle originale, doublée d’un libellé.</x:v>
      </x:c>
      <x:c r="L7" s="9" t="str">
        <x:v>Spécification de ressource HOM/kit/BUBBLE; données séparées du moteur, interface de coût et états d'épuisement prévus.</x:v>
      </x:c>
      <x:c r="M7" s="9" t="str">
        <x:v>Conserver l’autonomie des quatre numéros et leurs raccords. Les variantes locales ne sauvent pas des personnages dont l’issue est fixée ni ne donnent à un jeune personnage son arsenal adulte.</x:v>
      </x:c>
      <x:c r="N7" s="9" t="str">
        <x:v>Le volume ne cache ni le partenaire ni l’issue; mode confort disponible.</x:v>
      </x:c>
      <x:c r="O7" s="9" t="str"/>
      <x:c r="P7" s="9" t="str">
        <x:v>Création de gameplay et direction visuelle originales; modèle exact à vérifier si une arme source est évoquée.</x:v>
      </x:c>
      <x:c r="Q7" s="9" t="str"/>
      <x:c r="R7" s="20" t="str"/>
      <x:c r="S7" s="20" t="str"/>
    </x:row>
  </x:sheetData>
  <x:conditionalFormatting sqref="D7:D7">
    <x:cfRule type="cellIs" dxfId="64" priority="1" operator="equal">
      <x:formula>"À vérifier"</x:formula>
    </x:cfRule>
    <x:cfRule type="cellIs" dxfId="65" priority="2" operator="equal">
      <x:formula>"Extrapolation"</x:formula>
    </x:cfRule>
  </x:conditionalFormatting>
  <x:conditionalFormatting sqref="C7:C7">
    <x:cfRule type="cellIs" dxfId="66" priority="3" operator="equal">
      <x:formula>"Validé"</x:formula>
    </x:cfRule>
  </x:conditionalFormatting>
  <x:conditionalFormatting sqref="E7:E7">
    <x:cfRule type="cellIs" dxfId="67" priority="4" operator="equal">
      <x:formula>"P0"</x:formula>
    </x:cfRule>
  </x:conditionalFormatting>
  <x:dataValidations count="3">
    <x:dataValidation type="list" sqref="C7">
      <x:formula1>"Défini,Prototype,Intégré,Validé"</x:formula1>
    </x:dataValidation>
    <x:dataValidation type="list" sqref="D7">
      <x:formula1>"Établi,À vérifier,Extrapolation,Coupé attesté,Concept abandonné,Allégation écartée"</x:formula1>
    </x:dataValidation>
    <x:dataValidation type="list" sqref="E7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bcef596ae334af4"/>
  </x:tableParts>
</x:worksheet>
</file>

<file path=xl/worksheets/sheet1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Movesets alliés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Homeworlds — Actions et contraintes par équipier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68" customHeight="1">
      <x:c r="A7" s="18" t="str">
        <x:v>HOM-ALLY-VEGA</x:v>
      </x:c>
      <x:c r="B7" s="9" t="str">
        <x:v>Trouver une issue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Action de groupe originale pour James Vega.</x:v>
      </x:c>
      <x:c r="G7" s="9" t="str">
        <x:v>Deux avatars temporels distincts; le jeune James privilégie fuite et observation.</x:v>
      </x:c>
      <x:c r="H7" s="9" t="str">
        <x:v>Proposition #1 : observer un obstacle pour révéler un chemin de fuite; aucune aptitude militaire adulte donnée au jeune James.</x:v>
      </x:c>
      <x:c r="I7" s="9" t="str">
        <x:v>Pictogramme de passage et avatar temporel affiché.</x:v>
      </x:c>
      <x:c r="J7" s="9" t="str">
        <x:v>Jeune : course, souffle et regard inquiet; adulte : lecture et marche posée.</x:v>
      </x:c>
      <x:c r="K7" s="9" t="str">
        <x:v>Confirmation courte doublée d’un pictogramme; événement silencieux visible dans le journal de combat.</x:v>
      </x:c>
      <x:c r="L7" s="9" t="str">
        <x:v>Commande ATB proposée HOM/VEGA/assist; résoudre cible, coût proposé, contre-mesure et annulation avant les dégâts.</x:v>
      </x:c>
      <x:c r="M7" s="9" t="str">
        <x:v>Conserver l’autonomie des quatre numéros et leurs raccords. Les variantes locales ne sauvent pas des personnages dont l’issue est fixée ni ne donnent à un jeune personnage son arsenal adulte.</x:v>
      </x:c>
      <x:c r="N7" s="9" t="str">
        <x:v>La commande indique son coût avant validation, échoue proprement si la cible devient invalide et ne déclenche pas une action canon supplémentaire.</x:v>
      </x:c>
      <x:c r="O7" s="9" t="str">
        <x:v>HOM-ACT-VEGA, HOM-ANI-VEGA</x:v>
      </x:c>
      <x:c r="P7" s="9" t="str">
        <x:v>Adaptation originale du rôle; pas un pouvoir officiel du comic.</x:v>
      </x:c>
      <x:c r="Q7" s="9" t="str"/>
      <x:c r="R7" s="20" t="str"/>
      <x:c r="S7" s="20" t="str"/>
    </x:row>
    <x:row r="8" ht="68" customHeight="1">
      <x:c r="A8" s="19" t="str">
        <x:v>HOM-ALLY-TALI</x:v>
      </x:c>
      <x:c r="B8" s="7" t="str">
        <x:v>Sauvegarde de terrain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Action de groupe originale pour Tali’Zorah.</x:v>
      </x:c>
      <x:c r="G8" s="7" t="str">
        <x:v>Protagoniste technique isolée; la preuve compte davantage que le nombre d’ennemis vaincus.</x:v>
      </x:c>
      <x:c r="H8" s="7" t="str">
        <x:v>Proposition #2 : réserver une action pour protéger l’objet de mission contre une interruption; ce n’est pas un pouvoir canon nouveau.</x:v>
      </x:c>
      <x:c r="I8" s="7" t="str">
        <x:v>Icône de fichier verrouillé, barre de préparation proposée.</x:v>
      </x:c>
      <x:c r="J8" s="7" t="str">
        <x:v>Protection du poignet, inspection, recul prudent et course brève.</x:v>
      </x:c>
      <x:c r="K8" s="7" t="str">
        <x:v>Confirmation courte doublée d’un pictogramme; événement silencieux visible dans le journal de combat.</x:v>
      </x:c>
      <x:c r="L8" s="7" t="str">
        <x:v>Commande ATB proposée HOM/TALI/assist; résoudre cible, coût proposé, contre-mesure et annulation avant les dégâts.</x:v>
      </x:c>
      <x:c r="M8" s="7" t="str">
        <x:v>Conserver l’autonomie des quatre numéros et leurs raccords. Les variantes locales ne sauvent pas des personnages dont l’issue est fixée ni ne donnent à un jeune personnage son arsenal adulte.</x:v>
      </x:c>
      <x:c r="N8" s="7" t="str">
        <x:v>La commande indique son coût avant validation, échoue proprement si la cible devient invalide et ne déclenche pas une action canon supplémentaire.</x:v>
      </x:c>
      <x:c r="O8" s="7" t="str">
        <x:v>HOM-ACT-TALI, HOM-ANI-TALI</x:v>
      </x:c>
      <x:c r="P8" s="7" t="str">
        <x:v>Adaptation originale du rôle; pas un pouvoir officiel du comic.</x:v>
      </x:c>
      <x:c r="Q8" s="7" t="str"/>
      <x:c r="R8" s="21" t="str"/>
      <x:c r="S8" s="21" t="str"/>
    </x:row>
    <x:row r="9" ht="68" customHeight="1">
      <x:c r="A9" s="18" t="str">
        <x:v>HOM-ALLY-GARRUS</x:v>
      </x:c>
      <x:c r="B9" s="9" t="str">
        <x:v>Couverture de précision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Action de groupe originale pour Garrus Vakarian.</x:v>
      </x:c>
      <x:c r="G9" s="9" t="str">
        <x:v>Versions jeune, C-Sec et Archangel séparées; tactiques accessibles selon l’époque.</x:v>
      </x:c>
      <x:c r="H9" s="9" t="str">
        <x:v>Proposition #3 : retenir une action pour interrompre une cible marquée lors de sa traversée; ligne de vue obligatoire.</x:v>
      </x:c>
      <x:c r="I9" s="9" t="str">
        <x:v>Trait fin et cible marquée par forme.</x:v>
      </x:c>
      <x:c r="J9" s="9" t="str">
        <x:v>Tir posé, contrôle du couloir et fatigue croissante.</x:v>
      </x:c>
      <x:c r="K9" s="9" t="str">
        <x:v>Confirmation courte doublée d’un pictogramme; événement silencieux visible dans le journal de combat.</x:v>
      </x:c>
      <x:c r="L9" s="9" t="str">
        <x:v>Commande ATB proposée HOM/GARRUS/assist; résoudre cible, coût proposé, contre-mesure et annulation avant les dégâts.</x:v>
      </x:c>
      <x:c r="M9" s="9" t="str">
        <x:v>Conserver l’autonomie des quatre numéros et leurs raccords. Les variantes locales ne sauvent pas des personnages dont l’issue est fixée ni ne donnent à un jeune personnage son arsenal adulte.</x:v>
      </x:c>
      <x:c r="N9" s="9" t="str">
        <x:v>La commande indique son coût avant validation, échoue proprement si la cible devient invalide et ne déclenche pas une action canon supplémentaire.</x:v>
      </x:c>
      <x:c r="O9" s="9" t="str">
        <x:v>HOM-ACT-GARRUS, HOM-ANI-GARRUS</x:v>
      </x:c>
      <x:c r="P9" s="9" t="str">
        <x:v>Adaptation originale du rôle; pas un pouvoir officiel du comic.</x:v>
      </x:c>
      <x:c r="Q9" s="9" t="str"/>
      <x:c r="R9" s="20" t="str"/>
      <x:c r="S9" s="20" t="str"/>
    </x:row>
    <x:row r="10" ht="68" customHeight="1">
      <x:c r="A10" s="19" t="str">
        <x:v>HOM-ALLY-LIARA</x:v>
      </x:c>
      <x:c r="B10" s="7" t="str">
        <x:v>Maintenir l’espace sûr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Action de groupe originale pour Liara T’Soni.</x:v>
      </x:c>
      <x:c r="G10" s="7" t="str">
        <x:v>Enquêtrice mobile; contrôle biotique d’environnement limité au segment.</x:v>
      </x:c>
      <x:c r="H10" s="7" t="str">
        <x:v>Proposition #4 : consacrer une action au maintien d’un volume protégé pendant que le partenaire agit; annuler l’attaque de Liara durant le maintien.</x:v>
      </x:c>
      <x:c r="I10" s="7" t="str">
        <x:v>Contour continu du volume plus icône de concentration.</x:v>
      </x:c>
      <x:c r="J10" s="7" t="str">
        <x:v>Inspection minutieuse, maintien d’une barrière et soutien d’un blessé.</x:v>
      </x:c>
      <x:c r="K10" s="7" t="str">
        <x:v>Confirmation courte doublée d’un pictogramme; événement silencieux visible dans le journal de combat.</x:v>
      </x:c>
      <x:c r="L10" s="7" t="str">
        <x:v>Commande ATB proposée HOM/LIARA/assist; résoudre cible, coût proposé, contre-mesure et annulation avant les dégâts.</x:v>
      </x:c>
      <x:c r="M10" s="7" t="str">
        <x:v>Conserver l’autonomie des quatre numéros et leurs raccords. Les variantes locales ne sauvent pas des personnages dont l’issue est fixée ni ne donnent à un jeune personnage son arsenal adulte.</x:v>
      </x:c>
      <x:c r="N10" s="7" t="str">
        <x:v>La commande indique son coût avant validation, échoue proprement si la cible devient invalide et ne déclenche pas une action canon supplémentaire.</x:v>
      </x:c>
      <x:c r="O10" s="7" t="str">
        <x:v>HOM-ACT-LIARA, HOM-ANI-LIARA</x:v>
      </x:c>
      <x:c r="P10" s="7" t="str">
        <x:v>Adaptation originale du rôle; pas un pouvoir officiel du comic.</x:v>
      </x:c>
      <x:c r="Q10" s="7" t="str"/>
      <x:c r="R10" s="21" t="str"/>
      <x:c r="S10" s="21" t="str"/>
    </x:row>
    <x:row r="11" ht="68" customHeight="1">
      <x:c r="A11" s="18" t="str">
        <x:v>HOM-ALLY-QUOYLE</x:v>
      </x:c>
      <x:c r="B11" s="9" t="str">
        <x:v>Route de service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Action de groupe originale pour Quoyle.</x:v>
      </x:c>
      <x:c r="G11" s="9" t="str">
        <x:v>Soutien de navigation local; rôle limité à cet épisode.</x:v>
      </x:c>
      <x:c r="H11" s="9" t="str">
        <x:v>Proposition : préparer un accès connu avant l’action de Liara; ne donne pas un piratage universel des sanctuaires.</x:v>
      </x:c>
      <x:c r="I11" s="9" t="str">
        <x:v>Un seul accès marqué, avec statut prêt.</x:v>
      </x:c>
      <x:c r="J11" s="9" t="str">
        <x:v>Pilotage, alerte, appui sur la paroi et marche assistée.</x:v>
      </x:c>
      <x:c r="K11" s="9" t="str">
        <x:v>Confirmation courte doublée d’un pictogramme; événement silencieux visible dans le journal de combat.</x:v>
      </x:c>
      <x:c r="L11" s="9" t="str">
        <x:v>Commande ATB proposée HOM/QUOYLE/assist; résoudre cible, coût proposé, contre-mesure et annulation avant les dégâts.</x:v>
      </x:c>
      <x:c r="M11" s="9" t="str">
        <x:v>Conserver l’autonomie des quatre numéros et leurs raccords. Les variantes locales ne sauvent pas des personnages dont l’issue est fixée ni ne donnent à un jeune personnage son arsenal adulte.</x:v>
      </x:c>
      <x:c r="N11" s="9" t="str">
        <x:v>La commande indique son coût avant validation, échoue proprement si la cible devient invalide et ne déclenche pas une action canon supplémentaire.</x:v>
      </x:c>
      <x:c r="O11" s="9" t="str">
        <x:v>HOM-ACT-QUOYLE, HOM-ANI-QUOYLE</x:v>
      </x:c>
      <x:c r="P11" s="9" t="str">
        <x:v>Adaptation originale du rôle; pas un pouvoir officiel du comic.</x:v>
      </x:c>
      <x:c r="Q11" s="9" t="str"/>
      <x:c r="R11" s="20" t="str"/>
      <x:c r="S11" s="20" t="str"/>
    </x:row>
  </x:sheetData>
  <x:conditionalFormatting sqref="D7:D11">
    <x:cfRule type="cellIs" dxfId="68" priority="1" operator="equal">
      <x:formula>"À vérifier"</x:formula>
    </x:cfRule>
    <x:cfRule type="cellIs" dxfId="69" priority="2" operator="equal">
      <x:formula>"Extrapolation"</x:formula>
    </x:cfRule>
  </x:conditionalFormatting>
  <x:conditionalFormatting sqref="C7:C11">
    <x:cfRule type="cellIs" dxfId="70" priority="3" operator="equal">
      <x:formula>"Validé"</x:formula>
    </x:cfRule>
  </x:conditionalFormatting>
  <x:conditionalFormatting sqref="E7:E11">
    <x:cfRule type="cellIs" dxfId="71" priority="4" operator="equal">
      <x:formula>"P0"</x:formula>
    </x:cfRule>
  </x:conditionalFormatting>
  <x:dataValidations count="3">
    <x:dataValidation type="list" sqref="C7:C11">
      <x:formula1>"Défini,Prototype,Intégré,Validé"</x:formula1>
    </x:dataValidation>
    <x:dataValidation type="list" sqref="D7:D11">
      <x:formula1>"Établi,À vérifier,Extrapolation,Coupé attesté,Concept abandonné,Allégation écartée"</x:formula1>
    </x:dataValidation>
    <x:dataValidation type="list" sqref="E7:E11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09b0e6710754e7b"/>
  </x:tableParts>
</x:worksheet>
</file>

<file path=xl/worksheets/sheet2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Movesets ennemis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Homeworlds — Télégraphes, actions et réponses tactiques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68" customHeight="1">
      <x:c r="A7" s="18" t="str">
        <x:v>HOM-EN-DRONE-M1</x:v>
      </x:c>
      <x:c r="B7" s="9" t="str">
        <x:v>Balayage de toiture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Pattern original de recherche.</x:v>
      </x:c>
      <x:c r="G7" s="9" t="str">
        <x:v>Obstacle d’observation, pas cible létale obligatoire.</x:v>
      </x:c>
      <x:c r="H7" s="9" t="str">
        <x:v>Attendre derrière un obstacle puis traverser; pause possible.</x:v>
      </x:c>
      <x:c r="I7" s="9" t="str">
        <x:v>Cône rayé et flèche de rotation.</x:v>
      </x:c>
      <x:c r="J7" s="9" t="str">
        <x:v>Balayage lent et pivot visible.</x:v>
      </x:c>
      <x:c r="K7" s="9" t="str">
        <x:v>Avertissement original doublé de texte.</x:v>
      </x:c>
      <x:c r="L7" s="9" t="str">
        <x:v>Action proposée HOM/DRONE/1; étapes annonce → attente ATB → validation cible → résolution; annulation explicite si neutralisé.</x:v>
      </x:c>
      <x:c r="M7" s="9" t="str">
        <x:v>Conserver l’autonomie des quatre numéros et leurs raccords. Les variantes locales ne sauvent pas des personnages dont l’issue est fixée ni ne donnent à un jeune personnage son arsenal adulte.</x:v>
      </x:c>
      <x:c r="N7" s="9" t="str">
        <x:v>Le joueur peut reconnaître la préparation et employer la contre-mesure avant la résolution; aucune attaque invisible ou imparable hors séquence annoncée.</x:v>
      </x:c>
      <x:c r="O7" s="9" t="str">
        <x:v>HOM-EN-DRONE</x:v>
      </x:c>
      <x:c r="P7" s="9" t="str">
        <x:v>Pattern original; pas de valeur numérique canon.</x:v>
      </x:c>
      <x:c r="Q7" s="9" t="str"/>
      <x:c r="R7" s="20" t="str"/>
      <x:c r="S7" s="20" t="str"/>
    </x:row>
    <x:row r="8" ht="68" customHeight="1">
      <x:c r="A8" s="19" t="str">
        <x:v>HOM-EN-DRONE-M2</x:v>
      </x:c>
      <x:c r="B8" s="7" t="str">
        <x:v>Verrou de poursuite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Pattern original de pression.</x:v>
      </x:c>
      <x:c r="G8" s="7" t="str">
        <x:v>Obstacle d’observation, pas cible létale obligatoire.</x:v>
      </x:c>
      <x:c r="H8" s="7" t="str">
        <x:v>Quitter le cône avant la fermeture; aucun tir immédiat sans annonce.</x:v>
      </x:c>
      <x:c r="I8" s="7" t="str">
        <x:v>Contour progressif sur la zone observée.</x:v>
      </x:c>
      <x:c r="J8" s="7" t="str">
        <x:v>Balayage lent et pivot visible.</x:v>
      </x:c>
      <x:c r="K8" s="7" t="str">
        <x:v>Avertissement original doublé de texte.</x:v>
      </x:c>
      <x:c r="L8" s="7" t="str">
        <x:v>Action proposée HOM/DRONE/2; étapes annonce → attente ATB → validation cible → résolution; annulation explicite si neutralisé.</x:v>
      </x:c>
      <x:c r="M8" s="7" t="str">
        <x:v>Conserver l’autonomie des quatre numéros et leurs raccords. Les variantes locales ne sauvent pas des personnages dont l’issue est fixée ni ne donnent à un jeune personnage son arsenal adulte.</x:v>
      </x:c>
      <x:c r="N8" s="7" t="str">
        <x:v>Le joueur peut reconnaître la préparation et employer la contre-mesure avant la résolution; aucune attaque invisible ou imparable hors séquence annoncée.</x:v>
      </x:c>
      <x:c r="O8" s="7" t="str">
        <x:v>HOM-EN-DRONE</x:v>
      </x:c>
      <x:c r="P8" s="7" t="str">
        <x:v>Pattern original; pas de valeur numérique canon.</x:v>
      </x:c>
      <x:c r="Q8" s="7" t="str"/>
      <x:c r="R8" s="21" t="str"/>
      <x:c r="S8" s="21" t="str"/>
    </x:row>
    <x:row r="9" ht="68" customHeight="1">
      <x:c r="A9" s="18" t="str">
        <x:v>HOM-EN-HUNTERS-M1</x:v>
      </x:c>
      <x:c r="B9" s="9" t="str">
        <x:v>Coupe-route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Pattern original de blocage.</x:v>
      </x:c>
      <x:c r="G9" s="9" t="str">
        <x:v>Menace de trajet plutôt qu’armée complète.</x:v>
      </x:c>
      <x:c r="H9" s="9" t="str">
        <x:v>Une route ferme après annonce; la seconde reste ouverte.</x:v>
      </x:c>
      <x:c r="I9" s="9" t="str">
        <x:v>Accès barré par pictogramme.</x:v>
      </x:c>
      <x:c r="J9" s="9" t="str">
        <x:v>Marche discrète, détection et visée.</x:v>
      </x:c>
      <x:c r="K9" s="9" t="str">
        <x:v>Pas brefs et signal de recherche.</x:v>
      </x:c>
      <x:c r="L9" s="9" t="str">
        <x:v>Action proposée HOM/HUNTERS/1; étapes annonce → attente ATB → validation cible → résolution; annulation explicite si neutralisé.</x:v>
      </x:c>
      <x:c r="M9" s="9" t="str">
        <x:v>Conserver l’autonomie des quatre numéros et leurs raccords. Les variantes locales ne sauvent pas des personnages dont l’issue est fixée ni ne donnent à un jeune personnage son arsenal adulte.</x:v>
      </x:c>
      <x:c r="N9" s="9" t="str">
        <x:v>Le joueur peut reconnaître la préparation et employer la contre-mesure avant la résolution; aucune attaque invisible ou imparable hors séquence annoncée.</x:v>
      </x:c>
      <x:c r="O9" s="9" t="str">
        <x:v>HOM-EN-HUNTERS</x:v>
      </x:c>
      <x:c r="P9" s="9" t="str">
        <x:v>Pattern original; pas de valeur numérique canon.</x:v>
      </x:c>
      <x:c r="Q9" s="9" t="str"/>
      <x:c r="R9" s="20" t="str"/>
      <x:c r="S9" s="20" t="str"/>
    </x:row>
    <x:row r="10" ht="68" customHeight="1">
      <x:c r="A10" s="19" t="str">
        <x:v>HOM-EN-HUNTERS-M2</x:v>
      </x:c>
      <x:c r="B10" s="7" t="str">
        <x:v>Recherche de preuve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Pattern original de proximité.</x:v>
      </x:c>
      <x:c r="G10" s="7" t="str">
        <x:v>Menace de trajet plutôt qu’armée complète.</x:v>
      </x:c>
      <x:c r="H10" s="7" t="str">
        <x:v>S’écarter ou interrompre l’approche pour garder l’objet protégé.</x:v>
      </x:c>
      <x:c r="I10" s="7" t="str">
        <x:v>Icône de dossier ciblé.</x:v>
      </x:c>
      <x:c r="J10" s="7" t="str">
        <x:v>Marche discrète, détection et visée.</x:v>
      </x:c>
      <x:c r="K10" s="7" t="str">
        <x:v>Pas brefs et signal de recherche.</x:v>
      </x:c>
      <x:c r="L10" s="7" t="str">
        <x:v>Action proposée HOM/HUNTERS/2; étapes annonce → attente ATB → validation cible → résolution; annulation explicite si neutralisé.</x:v>
      </x:c>
      <x:c r="M10" s="7" t="str">
        <x:v>Conserver l’autonomie des quatre numéros et leurs raccords. Les variantes locales ne sauvent pas des personnages dont l’issue est fixée ni ne donnent à un jeune personnage son arsenal adulte.</x:v>
      </x:c>
      <x:c r="N10" s="7" t="str">
        <x:v>Le joueur peut reconnaître la préparation et employer la contre-mesure avant la résolution; aucune attaque invisible ou imparable hors séquence annoncée.</x:v>
      </x:c>
      <x:c r="O10" s="7" t="str">
        <x:v>HOM-EN-HUNTERS</x:v>
      </x:c>
      <x:c r="P10" s="7" t="str">
        <x:v>Pattern original; pas de valeur numérique canon.</x:v>
      </x:c>
      <x:c r="Q10" s="7" t="str"/>
      <x:c r="R10" s="21" t="str"/>
      <x:c r="S10" s="21" t="str"/>
    </x:row>
    <x:row r="11" ht="68" customHeight="1">
      <x:c r="A11" s="18" t="str">
        <x:v>HOM-EN-MERC-M1</x:v>
      </x:c>
      <x:c r="B11" s="9" t="str">
        <x:v>Progression sous appui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Pattern original de duo.</x:v>
      </x:c>
      <x:c r="G11" s="9" t="str">
        <x:v>Pression coordonnée limitée au cadre de défense.</x:v>
      </x:c>
      <x:c r="H11" s="9" t="str">
        <x:v>Interrompre l’appui permet de déplacer Garrus; viser l’avant ralentit l’avance.</x:v>
      </x:c>
      <x:c r="I11" s="9" t="str">
        <x:v>Deux flèches de rôle.</x:v>
      </x:c>
      <x:c r="J11" s="9" t="str">
        <x:v>Déplacement couvert et attaque annoncée.</x:v>
      </x:c>
      <x:c r="K11" s="9" t="str">
        <x:v>Tirs lointains et ordres inventés.</x:v>
      </x:c>
      <x:c r="L11" s="9" t="str">
        <x:v>Action proposée HOM/MERC/1; étapes annonce → attente ATB → validation cible → résolution; annulation explicite si neutralisé.</x:v>
      </x:c>
      <x:c r="M11" s="9" t="str">
        <x:v>Conserver l’autonomie des quatre numéros et leurs raccords. Les variantes locales ne sauvent pas des personnages dont l’issue est fixée ni ne donnent à un jeune personnage son arsenal adulte.</x:v>
      </x:c>
      <x:c r="N11" s="9" t="str">
        <x:v>Le joueur peut reconnaître la préparation et employer la contre-mesure avant la résolution; aucune attaque invisible ou imparable hors séquence annoncée.</x:v>
      </x:c>
      <x:c r="O11" s="9" t="str">
        <x:v>HOM-EN-MERC</x:v>
      </x:c>
      <x:c r="P11" s="9" t="str">
        <x:v>Pattern original; pas de valeur numérique canon.</x:v>
      </x:c>
      <x:c r="Q11" s="9" t="str"/>
      <x:c r="R11" s="20" t="str"/>
      <x:c r="S11" s="20" t="str"/>
    </x:row>
    <x:row r="12" ht="68" customHeight="1">
      <x:c r="A12" s="19" t="str">
        <x:v>HOM-EN-MERC-M2</x:v>
      </x:c>
      <x:c r="B12" s="7" t="str">
        <x:v>Tentative de franchissement</x:v>
      </x:c>
      <x:c r="C12" s="15" t="str">
        <x:v>Défini</x:v>
      </x:c>
      <x:c r="D12" s="17" t="str">
        <x:v>Extrapolation</x:v>
      </x:c>
      <x:c r="E12" s="17" t="str">
        <x:v>P1</x:v>
      </x:c>
      <x:c r="F12" s="7" t="str">
        <x:v>Pattern original d’assaut proche.</x:v>
      </x:c>
      <x:c r="G12" s="7" t="str">
        <x:v>Pression coordonnée limitée au cadre de défense.</x:v>
      </x:c>
      <x:c r="H12" s="7" t="str">
        <x:v>Réserver une action d’interruption ou quitter le point exposé.</x:v>
      </x:c>
      <x:c r="I12" s="7" t="str">
        <x:v>Bande de traversée.</x:v>
      </x:c>
      <x:c r="J12" s="7" t="str">
        <x:v>Déplacement couvert et attaque annoncée.</x:v>
      </x:c>
      <x:c r="K12" s="7" t="str">
        <x:v>Tirs lointains et ordres inventés.</x:v>
      </x:c>
      <x:c r="L12" s="7" t="str">
        <x:v>Action proposée HOM/MERC/2; étapes annonce → attente ATB → validation cible → résolution; annulation explicite si neutralisé.</x:v>
      </x:c>
      <x:c r="M12" s="7" t="str">
        <x:v>Conserver l’autonomie des quatre numéros et leurs raccords. Les variantes locales ne sauvent pas des personnages dont l’issue est fixée ni ne donnent à un jeune personnage son arsenal adulte.</x:v>
      </x:c>
      <x:c r="N12" s="7" t="str">
        <x:v>Le joueur peut reconnaître la préparation et employer la contre-mesure avant la résolution; aucune attaque invisible ou imparable hors séquence annoncée.</x:v>
      </x:c>
      <x:c r="O12" s="7" t="str">
        <x:v>HOM-EN-MERC</x:v>
      </x:c>
      <x:c r="P12" s="7" t="str">
        <x:v>Pattern original; pas de valeur numérique canon.</x:v>
      </x:c>
      <x:c r="Q12" s="7" t="str"/>
      <x:c r="R12" s="21" t="str"/>
      <x:c r="S12" s="21" t="str"/>
    </x:row>
    <x:row r="13" ht="68" customHeight="1">
      <x:c r="A13" s="18" t="str">
        <x:v>HOM-EN-PHANTOM-M1</x:v>
      </x:c>
      <x:c r="B13" s="9" t="str">
        <x:v>Approche masquée</x:v>
      </x:c>
      <x:c r="C13" s="15" t="str">
        <x:v>Défini</x:v>
      </x:c>
      <x:c r="D13" s="16" t="str">
        <x:v>Extrapolation</x:v>
      </x:c>
      <x:c r="E13" s="16" t="str">
        <x:v>P1</x:v>
      </x:c>
      <x:c r="F13" s="9" t="str">
        <x:v>Pattern original de déplacement.</x:v>
      </x:c>
      <x:c r="G13" s="9" t="str">
        <x:v>Confrontation brève de contrôle de distance.</x:v>
      </x:c>
      <x:c r="H13" s="9" t="str">
        <x:v>Le trajet est annoncé au sol même si la silhouette s’efface partiellement.</x:v>
      </x:c>
      <x:c r="I13" s="9" t="str">
        <x:v>Trace hachurée.</x:v>
      </x:c>
      <x:c r="J13" s="9" t="str">
        <x:v>Abaissement, bond court et récupération visible.</x:v>
      </x:c>
      <x:c r="K13" s="9" t="str">
        <x:v>Lame et déplacement aérien originaux.</x:v>
      </x:c>
      <x:c r="L13" s="9" t="str">
        <x:v>Action proposée HOM/PHANTOM/1; étapes annonce → attente ATB → validation cible → résolution; annulation explicite si neutralisé.</x:v>
      </x:c>
      <x:c r="M13" s="9" t="str">
        <x:v>Conserver l’autonomie des quatre numéros et leurs raccords. Les variantes locales ne sauvent pas des personnages dont l’issue est fixée ni ne donnent à un jeune personnage son arsenal adulte.</x:v>
      </x:c>
      <x:c r="N13" s="9" t="str">
        <x:v>Le joueur peut reconnaître la préparation et employer la contre-mesure avant la résolution; aucune attaque invisible ou imparable hors séquence annoncée.</x:v>
      </x:c>
      <x:c r="O13" s="9" t="str">
        <x:v>HOM-EN-PHANTOM</x:v>
      </x:c>
      <x:c r="P13" s="9" t="str">
        <x:v>Pattern original; pas de valeur numérique canon.</x:v>
      </x:c>
      <x:c r="Q13" s="9" t="str"/>
      <x:c r="R13" s="20" t="str"/>
      <x:c r="S13" s="20" t="str"/>
    </x:row>
    <x:row r="14" ht="68" customHeight="1">
      <x:c r="A14" s="19" t="str">
        <x:v>HOM-EN-PHANTOM-M2</x:v>
      </x:c>
      <x:c r="B14" s="7" t="str">
        <x:v>Coupe de concentration</x:v>
      </x:c>
      <x:c r="C14" s="15" t="str">
        <x:v>Défini</x:v>
      </x:c>
      <x:c r="D14" s="17" t="str">
        <x:v>Extrapolation</x:v>
      </x:c>
      <x:c r="E14" s="17" t="str">
        <x:v>P1</x:v>
      </x:c>
      <x:c r="F14" s="7" t="str">
        <x:v>Pattern original d’interruption.</x:v>
      </x:c>
      <x:c r="G14" s="7" t="str">
        <x:v>Confrontation brève de contrôle de distance.</x:v>
      </x:c>
      <x:c r="H14" s="7" t="str">
        <x:v>Protéger Liara ou interrompre la charge avant le maintien.</x:v>
      </x:c>
      <x:c r="I14" s="7" t="str">
        <x:v>Icône concentration menacée.</x:v>
      </x:c>
      <x:c r="J14" s="7" t="str">
        <x:v>Abaissement, bond court et récupération visible.</x:v>
      </x:c>
      <x:c r="K14" s="7" t="str">
        <x:v>Lame et déplacement aérien originaux.</x:v>
      </x:c>
      <x:c r="L14" s="7" t="str">
        <x:v>Action proposée HOM/PHANTOM/2; étapes annonce → attente ATB → validation cible → résolution; annulation explicite si neutralisé.</x:v>
      </x:c>
      <x:c r="M14" s="7" t="str">
        <x:v>Conserver l’autonomie des quatre numéros et leurs raccords. Les variantes locales ne sauvent pas des personnages dont l’issue est fixée ni ne donnent à un jeune personnage son arsenal adulte.</x:v>
      </x:c>
      <x:c r="N14" s="7" t="str">
        <x:v>Le joueur peut reconnaître la préparation et employer la contre-mesure avant la résolution; aucune attaque invisible ou imparable hors séquence annoncée.</x:v>
      </x:c>
      <x:c r="O14" s="7" t="str">
        <x:v>HOM-EN-PHANTOM</x:v>
      </x:c>
      <x:c r="P14" s="7" t="str">
        <x:v>Pattern original; pas de valeur numérique canon.</x:v>
      </x:c>
      <x:c r="Q14" s="7" t="str"/>
      <x:c r="R14" s="21" t="str"/>
      <x:c r="S14" s="21" t="str"/>
    </x:row>
  </x:sheetData>
  <x:conditionalFormatting sqref="D7:D14">
    <x:cfRule type="cellIs" dxfId="72" priority="1" operator="equal">
      <x:formula>"À vérifier"</x:formula>
    </x:cfRule>
    <x:cfRule type="cellIs" dxfId="73" priority="2" operator="equal">
      <x:formula>"Extrapolation"</x:formula>
    </x:cfRule>
  </x:conditionalFormatting>
  <x:conditionalFormatting sqref="C7:C14">
    <x:cfRule type="cellIs" dxfId="74" priority="3" operator="equal">
      <x:formula>"Validé"</x:formula>
    </x:cfRule>
  </x:conditionalFormatting>
  <x:conditionalFormatting sqref="E7:E14">
    <x:cfRule type="cellIs" dxfId="75" priority="4" operator="equal">
      <x:formula>"P0"</x:formula>
    </x:cfRule>
  </x:conditionalFormatting>
  <x:dataValidations count="3">
    <x:dataValidation type="list" sqref="C7:C14">
      <x:formula1>"Défini,Prototype,Intégré,Validé"</x:formula1>
    </x:dataValidation>
    <x:dataValidation type="list" sqref="D7:D14">
      <x:formula1>"Établi,À vérifier,Extrapolation,Coupé attesté,Concept abandonné,Allégation écartée"</x:formula1>
    </x:dataValidation>
    <x:dataValidation type="list" sqref="E7:E14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a15f8fe2284596"/>
  </x:tableParts>
</x:worksheet>
</file>

<file path=xl/worksheets/sheet2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Animations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Homeworlds — Bibliothèque d’animation pour sprites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82" customHeight="1">
      <x:c r="A7" s="18" t="str">
        <x:v>HOM-ANI-VEGA</x:v>
      </x:c>
      <x:c r="B7" s="9" t="str">
        <x:v>James Vega — jeu de poses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Définir les transitions propres au rôle de James Vega.</x:v>
      </x:c>
      <x:c r="G7" s="9" t="str">
        <x:v>Deux avatars temporels distincts; le jeune James privilégie fuite et observation.</x:v>
      </x:c>
      <x:c r="H7" s="9" t="str"/>
      <x:c r="I7" s="9" t="str">
        <x:v>Version jeune en vêtements civils; version adulte en tenue de service à contrôler; portraits clairement datés.</x:v>
      </x:c>
      <x:c r="J7" s="9" t="str">
        <x:v>Jeune : course, souffle et regard inquiet; adulte : lecture et marche posée. Décomposer anticipation, action, retour et interruption; garder un état neutre utilisable après une cinématique sautée.</x:v>
      </x:c>
      <x:c r="K7" s="9" t="str">
        <x:v>Associer les contacts de sol ou de siège à des événements; éviter le bruitage répété sur une pose tenue.</x:v>
      </x:c>
      <x:c r="L7" s="9" t="str">
        <x:v>Table d'animation prévue HOM/VEGA; paramètres direction, locomotion, accessoire et interruption.</x:v>
      </x:c>
      <x:c r="M7" s="9" t="str">
        <x:v>Conserver l’autonomie des quatre numéros et leurs raccords. Les variantes locales ne sauvent pas des personnages dont l’issue est fixée ni ne donnent à un jeune personnage son arsenal adulte.</x:v>
      </x:c>
      <x:c r="N7" s="9" t="str">
        <x:v>Un enchaînement déplacement → interaction → interruption → reprise conserve le pivot et les accessoires de James Vega.</x:v>
      </x:c>
      <x:c r="O7" s="9" t="str">
        <x:v>HOM-ACT-VEGA, HOM-SPR-VEGA</x:v>
      </x:c>
      <x:c r="P7" s="9" t="str">
        <x:v>Conception originale, aucune cadence extraite du comic.</x:v>
      </x:c>
      <x:c r="Q7" s="9" t="str"/>
      <x:c r="R7" s="20" t="str"/>
      <x:c r="S7" s="20" t="str"/>
    </x:row>
    <x:row r="8" ht="68" customHeight="1">
      <x:c r="A8" s="19" t="str">
        <x:v>HOM-ANI-TALI</x:v>
      </x:c>
      <x:c r="B8" s="7" t="str">
        <x:v>Tali’Zorah — jeu de poses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Définir les transitions propres au rôle de Tali’Zorah.</x:v>
      </x:c>
      <x:c r="G8" s="7" t="str">
        <x:v>Protagoniste technique isolée; la preuve compte davantage que le nombre d’ennemis vaincus.</x:v>
      </x:c>
      <x:c r="H8" s="7" t="str"/>
      <x:c r="I8" s="7" t="str">
        <x:v>Combinaison et masque quarien, capuche distincte; motifs et couleurs à contrôler dans #2.</x:v>
      </x:c>
      <x:c r="J8" s="7" t="str">
        <x:v>Protection du poignet, inspection, recul prudent et course brève. Décomposer anticipation, action, retour et interruption; garder un état neutre utilisable après une cinématique sautée.</x:v>
      </x:c>
      <x:c r="K8" s="7" t="str">
        <x:v>Associer les contacts de sol ou de siège à des événements; éviter le bruitage répété sur une pose tenue.</x:v>
      </x:c>
      <x:c r="L8" s="7" t="str">
        <x:v>Table d'animation prévue HOM/TALI; paramètres direction, locomotion, accessoire et interruption.</x:v>
      </x:c>
      <x:c r="M8" s="7" t="str">
        <x:v>Conserver l’autonomie des quatre numéros et leurs raccords. Les variantes locales ne sauvent pas des personnages dont l’issue est fixée ni ne donnent à un jeune personnage son arsenal adulte.</x:v>
      </x:c>
      <x:c r="N8" s="7" t="str">
        <x:v>Un enchaînement déplacement → interaction → interruption → reprise conserve le pivot et les accessoires de Tali’Zorah.</x:v>
      </x:c>
      <x:c r="O8" s="7" t="str">
        <x:v>HOM-ACT-TALI, HOM-SPR-TALI</x:v>
      </x:c>
      <x:c r="P8" s="7" t="str">
        <x:v>Conception originale, aucune cadence extraite du comic.</x:v>
      </x:c>
      <x:c r="Q8" s="7" t="str"/>
      <x:c r="R8" s="21" t="str"/>
      <x:c r="S8" s="21" t="str"/>
    </x:row>
    <x:row r="9" ht="68" customHeight="1">
      <x:c r="A9" s="18" t="str">
        <x:v>HOM-ANI-GARRUS</x:v>
      </x:c>
      <x:c r="B9" s="9" t="str">
        <x:v>Garrus Vakarian — jeu de poses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Définir les transitions propres au rôle de Garrus Vakarian.</x:v>
      </x:c>
      <x:c r="G9" s="9" t="str">
        <x:v>Versions jeune, C-Sec et Archangel séparées; tactiques accessibles selon l’époque.</x:v>
      </x:c>
      <x:c r="H9" s="9" t="str"/>
      <x:c r="I9" s="9" t="str">
        <x:v>Crête turienne et armure de chaque époque à vérifier; aucune blessure tardive sur les sprites antérieurs.</x:v>
      </x:c>
      <x:c r="J9" s="9" t="str">
        <x:v>Tir posé, contrôle du couloir et fatigue croissante. Décomposer anticipation, action, retour et interruption; garder un état neutre utilisable après une cinématique sautée.</x:v>
      </x:c>
      <x:c r="K9" s="9" t="str">
        <x:v>Associer les contacts de sol ou de siège à des événements; éviter le bruitage répété sur une pose tenue.</x:v>
      </x:c>
      <x:c r="L9" s="9" t="str">
        <x:v>Table d'animation prévue HOM/GARRUS; paramètres direction, locomotion, accessoire et interruption.</x:v>
      </x:c>
      <x:c r="M9" s="9" t="str">
        <x:v>Conserver l’autonomie des quatre numéros et leurs raccords. Les variantes locales ne sauvent pas des personnages dont l’issue est fixée ni ne donnent à un jeune personnage son arsenal adulte.</x:v>
      </x:c>
      <x:c r="N9" s="9" t="str">
        <x:v>Un enchaînement déplacement → interaction → interruption → reprise conserve le pivot et les accessoires de Garrus Vakarian.</x:v>
      </x:c>
      <x:c r="O9" s="9" t="str">
        <x:v>HOM-ACT-GARRUS, HOM-SPR-GARRUS</x:v>
      </x:c>
      <x:c r="P9" s="9" t="str">
        <x:v>Conception originale, aucune cadence extraite du comic.</x:v>
      </x:c>
      <x:c r="Q9" s="9" t="str"/>
      <x:c r="R9" s="20" t="str"/>
      <x:c r="S9" s="20" t="str"/>
    </x:row>
    <x:row r="10" ht="68" customHeight="1">
      <x:c r="A10" s="19" t="str">
        <x:v>HOM-ANI-LIARA</x:v>
      </x:c>
      <x:c r="B10" s="7" t="str">
        <x:v>Liara T’Soni — jeu de poses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Définir les transitions propres au rôle de Liara T’Soni.</x:v>
      </x:c>
      <x:c r="G10" s="7" t="str">
        <x:v>Enquêtrice mobile; contrôle biotique d’environnement limité au segment.</x:v>
      </x:c>
      <x:c r="H10" s="7" t="str"/>
      <x:c r="I10" s="7" t="str">
        <x:v>Asari en tenue de voyage, outil d’archive et posture concentrée.</x:v>
      </x:c>
      <x:c r="J10" s="7" t="str">
        <x:v>Inspection minutieuse, maintien d’une barrière et soutien d’un blessé. Décomposer anticipation, action, retour et interruption; garder un état neutre utilisable après une cinématique sautée.</x:v>
      </x:c>
      <x:c r="K10" s="7" t="str">
        <x:v>Associer les contacts de sol ou de siège à des événements; éviter le bruitage répété sur une pose tenue.</x:v>
      </x:c>
      <x:c r="L10" s="7" t="str">
        <x:v>Table d'animation prévue HOM/LIARA; paramètres direction, locomotion, accessoire et interruption.</x:v>
      </x:c>
      <x:c r="M10" s="7" t="str">
        <x:v>Conserver l’autonomie des quatre numéros et leurs raccords. Les variantes locales ne sauvent pas des personnages dont l’issue est fixée ni ne donnent à un jeune personnage son arsenal adulte.</x:v>
      </x:c>
      <x:c r="N10" s="7" t="str">
        <x:v>Un enchaînement déplacement → interaction → interruption → reprise conserve le pivot et les accessoires de Liara T’Soni.</x:v>
      </x:c>
      <x:c r="O10" s="7" t="str">
        <x:v>HOM-ACT-LIARA, HOM-SPR-LIARA</x:v>
      </x:c>
      <x:c r="P10" s="7" t="str">
        <x:v>Conception originale, aucune cadence extraite du comic.</x:v>
      </x:c>
      <x:c r="Q10" s="7" t="str"/>
      <x:c r="R10" s="21" t="str"/>
      <x:c r="S10" s="21" t="str"/>
    </x:row>
    <x:row r="11" ht="68" customHeight="1">
      <x:c r="A11" s="18" t="str">
        <x:v>HOM-ANI-EMILIO</x:v>
      </x:c>
      <x:c r="B11" s="9" t="str">
        <x:v>Emilio Vega — jeu de poses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Définir les transitions propres au rôle de Emilio Vega.</x:v>
      </x:c>
      <x:c r="G11" s="9" t="str">
        <x:v>Soutien familial; conversation de reconstruction de confiance.</x:v>
      </x:c>
      <x:c r="H11" s="9" t="str"/>
      <x:c r="I11" s="9" t="str">
        <x:v>Vêtements civils simples et silhouette accueillante, référence d’âge à vérifier.</x:v>
      </x:c>
      <x:c r="J11" s="9" t="str">
        <x:v>Position assise calme, geste ouvert et écoute. Décomposer anticipation, action, retour et interruption; garder un état neutre utilisable après une cinématique sautée.</x:v>
      </x:c>
      <x:c r="K11" s="9" t="str">
        <x:v>Associer les contacts de sol ou de siège à des événements; éviter le bruitage répété sur une pose tenue.</x:v>
      </x:c>
      <x:c r="L11" s="9" t="str">
        <x:v>Table d'animation prévue HOM/EMILIO; paramètres direction, locomotion, accessoire et interruption.</x:v>
      </x:c>
      <x:c r="M11" s="9" t="str">
        <x:v>Conserver l’autonomie des quatre numéros et leurs raccords. Les variantes locales ne sauvent pas des personnages dont l’issue est fixée ni ne donnent à un jeune personnage son arsenal adulte.</x:v>
      </x:c>
      <x:c r="N11" s="9" t="str">
        <x:v>Un enchaînement déplacement → interaction → interruption → reprise conserve le pivot et les accessoires de Emilio Vega.</x:v>
      </x:c>
      <x:c r="O11" s="9" t="str">
        <x:v>HOM-ACT-EMILIO, HOM-SPR-EMILIO</x:v>
      </x:c>
      <x:c r="P11" s="9" t="str">
        <x:v>Conception originale, aucune cadence extraite du comic.</x:v>
      </x:c>
      <x:c r="Q11" s="9" t="str"/>
      <x:c r="R11" s="20" t="str"/>
      <x:c r="S11" s="20" t="str"/>
    </x:row>
    <x:row r="12" ht="68" customHeight="1">
      <x:c r="A12" s="19" t="str">
        <x:v>HOM-ANI-JOSH</x:v>
      </x:c>
      <x:c r="B12" s="7" t="str">
        <x:v>Josh Sanders — jeu de poses</x:v>
      </x:c>
      <x:c r="C12" s="15" t="str">
        <x:v>Défini</x:v>
      </x:c>
      <x:c r="D12" s="17" t="str">
        <x:v>Extrapolation</x:v>
      </x:c>
      <x:c r="E12" s="17" t="str">
        <x:v>P1</x:v>
      </x:c>
      <x:c r="F12" s="7" t="str">
        <x:v>Définir les transitions propres au rôle de Josh Sanders.</x:v>
      </x:c>
      <x:c r="G12" s="7" t="str">
        <x:v>Conflit familial traité par mise en scène et dialogue, pas par un boss récompensé.</x:v>
      </x:c>
      <x:c r="H12" s="7" t="str"/>
      <x:c r="I12" s="7" t="str">
        <x:v>Silhouette civile fermée, environnement domestique peu éclairé; détails à vérifier.</x:v>
      </x:c>
      <x:c r="J12" s="7" t="str">
        <x:v>Gestes tendus, fermeture d’un passage et posture menaçante. Décomposer anticipation, action, retour et interruption; garder un état neutre utilisable après une cinématique sautée.</x:v>
      </x:c>
      <x:c r="K12" s="7" t="str">
        <x:v>Associer les contacts de sol ou de siège à des événements; éviter le bruitage répété sur une pose tenue.</x:v>
      </x:c>
      <x:c r="L12" s="7" t="str">
        <x:v>Table d'animation prévue HOM/JOSH; paramètres direction, locomotion, accessoire et interruption.</x:v>
      </x:c>
      <x:c r="M12" s="7" t="str">
        <x:v>Conserver l’autonomie des quatre numéros et leurs raccords. Les variantes locales ne sauvent pas des personnages dont l’issue est fixée ni ne donnent à un jeune personnage son arsenal adulte.</x:v>
      </x:c>
      <x:c r="N12" s="7" t="str">
        <x:v>Un enchaînement déplacement → interaction → interruption → reprise conserve le pivot et les accessoires de Josh Sanders.</x:v>
      </x:c>
      <x:c r="O12" s="7" t="str">
        <x:v>HOM-ACT-JOSH, HOM-SPR-JOSH</x:v>
      </x:c>
      <x:c r="P12" s="7" t="str">
        <x:v>Conception originale, aucune cadence extraite du comic.</x:v>
      </x:c>
      <x:c r="Q12" s="7" t="str"/>
      <x:c r="R12" s="21" t="str"/>
      <x:c r="S12" s="21" t="str"/>
    </x:row>
    <x:row r="13" ht="68" customHeight="1">
      <x:c r="A13" s="18" t="str">
        <x:v>HOM-ANI-FATHER</x:v>
      </x:c>
      <x:c r="B13" s="9" t="str">
        <x:v>Père de Garrus — jeu de poses</x:v>
      </x:c>
      <x:c r="C13" s="15" t="str">
        <x:v>Défini</x:v>
      </x:c>
      <x:c r="D13" s="16" t="str">
        <x:v>Extrapolation</x:v>
      </x:c>
      <x:c r="E13" s="16" t="str">
        <x:v>P1</x:v>
      </x:c>
      <x:c r="F13" s="9" t="str">
        <x:v>Définir les transitions propres au rôle de Père de Garrus.</x:v>
      </x:c>
      <x:c r="G13" s="9" t="str">
        <x:v>Voix de discipline et relation familiale; ne pas attribuer un prénom non vérifié.</x:v>
      </x:c>
      <x:c r="H13" s="9" t="str"/>
      <x:c r="I13" s="9" t="str">
        <x:v>Turien plus âgé, tenue variant entre entraînement et service.</x:v>
      </x:c>
      <x:c r="J13" s="9" t="str">
        <x:v>Position d’instructeur, démonstration brève et écoute à distance. Décomposer anticipation, action, retour et interruption; garder un état neutre utilisable après une cinématique sautée.</x:v>
      </x:c>
      <x:c r="K13" s="9" t="str">
        <x:v>Associer les contacts de sol ou de siège à des événements; éviter le bruitage répété sur une pose tenue.</x:v>
      </x:c>
      <x:c r="L13" s="9" t="str">
        <x:v>Table d'animation prévue HOM/FATHER; paramètres direction, locomotion, accessoire et interruption.</x:v>
      </x:c>
      <x:c r="M13" s="9" t="str">
        <x:v>Conserver l’autonomie des quatre numéros et leurs raccords. Les variantes locales ne sauvent pas des personnages dont l’issue est fixée ni ne donnent à un jeune personnage son arsenal adulte.</x:v>
      </x:c>
      <x:c r="N13" s="9" t="str">
        <x:v>Un enchaînement déplacement → interaction → interruption → reprise conserve le pivot et les accessoires de Père de Garrus.</x:v>
      </x:c>
      <x:c r="O13" s="9" t="str">
        <x:v>HOM-ACT-FATHER, HOM-SPR-FATHER</x:v>
      </x:c>
      <x:c r="P13" s="9" t="str">
        <x:v>Conception originale, aucune cadence extraite du comic.</x:v>
      </x:c>
      <x:c r="Q13" s="9" t="str"/>
      <x:c r="R13" s="20" t="str"/>
      <x:c r="S13" s="20" t="str"/>
    </x:row>
    <x:row r="14" ht="68" customHeight="1">
      <x:c r="A14" s="19" t="str">
        <x:v>HOM-ANI-SIDONIS</x:v>
      </x:c>
      <x:c r="B14" s="7" t="str">
        <x:v>Sidonis — jeu de poses</x:v>
      </x:c>
      <x:c r="C14" s="15" t="str">
        <x:v>Défini</x:v>
      </x:c>
      <x:c r="D14" s="17" t="str">
        <x:v>Extrapolation</x:v>
      </x:c>
      <x:c r="E14" s="17" t="str">
        <x:v>P1</x:v>
      </x:c>
      <x:c r="F14" s="7" t="str">
        <x:v>Définir les transitions propres au rôle de Sidonis.</x:v>
      </x:c>
      <x:c r="G14" s="7" t="str">
        <x:v>Membre du contexte de l’équipe; disponibilité narrative contrôlée.</x:v>
      </x:c>
      <x:c r="H14" s="7" t="str"/>
      <x:c r="I14" s="7" t="str">
        <x:v>Turien de terrain et silhouette plus fermée que Garrus; armure à vérifier.</x:v>
      </x:c>
      <x:c r="J14" s="7" t="str">
        <x:v>Regard évitant, déplacement au couvert et conversation courte. Décomposer anticipation, action, retour et interruption; garder un état neutre utilisable après une cinématique sautée.</x:v>
      </x:c>
      <x:c r="K14" s="7" t="str">
        <x:v>Associer les contacts de sol ou de siège à des événements; éviter le bruitage répété sur une pose tenue.</x:v>
      </x:c>
      <x:c r="L14" s="7" t="str">
        <x:v>Table d'animation prévue HOM/SIDONIS; paramètres direction, locomotion, accessoire et interruption.</x:v>
      </x:c>
      <x:c r="M14" s="7" t="str">
        <x:v>Conserver l’autonomie des quatre numéros et leurs raccords. Les variantes locales ne sauvent pas des personnages dont l’issue est fixée ni ne donnent à un jeune personnage son arsenal adulte.</x:v>
      </x:c>
      <x:c r="N14" s="7" t="str">
        <x:v>Un enchaînement déplacement → interaction → interruption → reprise conserve le pivot et les accessoires de Sidonis.</x:v>
      </x:c>
      <x:c r="O14" s="7" t="str">
        <x:v>HOM-ACT-SIDONIS, HOM-SPR-SIDONIS</x:v>
      </x:c>
      <x:c r="P14" s="7" t="str">
        <x:v>Conception originale, aucune cadence extraite du comic.</x:v>
      </x:c>
      <x:c r="Q14" s="7" t="str"/>
      <x:c r="R14" s="21" t="str"/>
      <x:c r="S14" s="21" t="str"/>
    </x:row>
    <x:row r="15" ht="68" customHeight="1">
      <x:c r="A15" s="18" t="str">
        <x:v>HOM-ANI-PASSANTE</x:v>
      </x:c>
      <x:c r="B15" s="9" t="str">
        <x:v>Docteur Passante — jeu de poses</x:v>
      </x:c>
      <x:c r="C15" s="15" t="str">
        <x:v>Défini</x:v>
      </x:c>
      <x:c r="D15" s="16" t="str">
        <x:v>Extrapolation</x:v>
      </x:c>
      <x:c r="E15" s="16" t="str">
        <x:v>P1</x:v>
      </x:c>
      <x:c r="F15" s="9" t="str">
        <x:v>Définir les transitions propres au rôle de Docteur Passante.</x:v>
      </x:c>
      <x:c r="G15" s="9" t="str">
        <x:v>Interlocutrice d’archive et de parcours personnel.</x:v>
      </x:c>
      <x:c r="H15" s="9" t="str"/>
      <x:c r="I15" s="9" t="str">
        <x:v>Tenue savante asari proposée, matériel de consultation discret.</x:v>
      </x:c>
      <x:c r="J15" s="9" t="str">
        <x:v>Désignation d’une archive, réflexion et salut. Décomposer anticipation, action, retour et interruption; garder un état neutre utilisable après une cinématique sautée.</x:v>
      </x:c>
      <x:c r="K15" s="9" t="str">
        <x:v>Associer les contacts de sol ou de siège à des événements; éviter le bruitage répété sur une pose tenue.</x:v>
      </x:c>
      <x:c r="L15" s="9" t="str">
        <x:v>Table d'animation prévue HOM/PASSANTE; paramètres direction, locomotion, accessoire et interruption.</x:v>
      </x:c>
      <x:c r="M15" s="9" t="str">
        <x:v>Conserver l’autonomie des quatre numéros et leurs raccords. Les variantes locales ne sauvent pas des personnages dont l’issue est fixée ni ne donnent à un jeune personnage son arsenal adulte.</x:v>
      </x:c>
      <x:c r="N15" s="9" t="str">
        <x:v>Un enchaînement déplacement → interaction → interruption → reprise conserve le pivot et les accessoires de Docteur Passante.</x:v>
      </x:c>
      <x:c r="O15" s="9" t="str">
        <x:v>HOM-ACT-PASSANTE, HOM-SPR-PASSANTE</x:v>
      </x:c>
      <x:c r="P15" s="9" t="str">
        <x:v>Conception originale, aucune cadence extraite du comic.</x:v>
      </x:c>
      <x:c r="Q15" s="9" t="str"/>
      <x:c r="R15" s="20" t="str"/>
      <x:c r="S15" s="20" t="str"/>
    </x:row>
    <x:row r="16" ht="68" customHeight="1">
      <x:c r="A16" s="19" t="str">
        <x:v>HOM-ANI-QUOYLE</x:v>
      </x:c>
      <x:c r="B16" s="7" t="str">
        <x:v>Quoyle — jeu de poses</x:v>
      </x:c>
      <x:c r="C16" s="15" t="str">
        <x:v>Défini</x:v>
      </x:c>
      <x:c r="D16" s="17" t="str">
        <x:v>Extrapolation</x:v>
      </x:c>
      <x:c r="E16" s="17" t="str">
        <x:v>P1</x:v>
      </x:c>
      <x:c r="F16" s="7" t="str">
        <x:v>Définir les transitions propres au rôle de Quoyle.</x:v>
      </x:c>
      <x:c r="G16" s="7" t="str">
        <x:v>Soutien de navigation local; rôle limité à cet épisode.</x:v>
      </x:c>
      <x:c r="H16" s="7" t="str"/>
      <x:c r="I16" s="7" t="str">
        <x:v>Silhouette drell, vêtement de service et accessoire de pilotage à comparer.</x:v>
      </x:c>
      <x:c r="J16" s="7" t="str">
        <x:v>Pilotage, alerte, appui sur la paroi et marche assistée. Décomposer anticipation, action, retour et interruption; garder un état neutre utilisable après une cinématique sautée.</x:v>
      </x:c>
      <x:c r="K16" s="7" t="str">
        <x:v>Associer les contacts de sol ou de siège à des événements; éviter le bruitage répété sur une pose tenue.</x:v>
      </x:c>
      <x:c r="L16" s="7" t="str">
        <x:v>Table d'animation prévue HOM/QUOYLE; paramètres direction, locomotion, accessoire et interruption.</x:v>
      </x:c>
      <x:c r="M16" s="7" t="str">
        <x:v>Conserver l’autonomie des quatre numéros et leurs raccords. Les variantes locales ne sauvent pas des personnages dont l’issue est fixée ni ne donnent à un jeune personnage son arsenal adulte.</x:v>
      </x:c>
      <x:c r="N16" s="7" t="str">
        <x:v>Un enchaînement déplacement → interaction → interruption → reprise conserve le pivot et les accessoires de Quoyle.</x:v>
      </x:c>
      <x:c r="O16" s="7" t="str">
        <x:v>HOM-ACT-QUOYLE, HOM-SPR-QUOYLE</x:v>
      </x:c>
      <x:c r="P16" s="7" t="str">
        <x:v>Conception originale, aucune cadence extraite du comic.</x:v>
      </x:c>
      <x:c r="Q16" s="7" t="str"/>
      <x:c r="R16" s="21" t="str"/>
      <x:c r="S16" s="21" t="str"/>
    </x:row>
    <x:row r="17" ht="68" customHeight="1">
      <x:c r="A17" s="18" t="str">
        <x:v>HOM-ANI-HACKETT</x:v>
      </x:c>
      <x:c r="B17" s="9" t="str">
        <x:v>Amiral Hackett — jeu de poses</x:v>
      </x:c>
      <x:c r="C17" s="15" t="str">
        <x:v>Défini</x:v>
      </x:c>
      <x:c r="D17" s="16" t="str">
        <x:v>Extrapolation</x:v>
      </x:c>
      <x:c r="E17" s="16" t="str">
        <x:v>P1</x:v>
      </x:c>
      <x:c r="F17" s="9" t="str">
        <x:v>Définir les transitions propres au rôle de Amiral Hackett.</x:v>
      </x:c>
      <x:c r="G17" s="9" t="str">
        <x:v>Interlocuteur distant pour le raccord documentaire.</x:v>
      </x:c>
      <x:c r="H17" s="9" t="str"/>
      <x:c r="I17" s="9" t="str">
        <x:v>Portrait d’officier en communication, sans présence physique ajoutée sur Kahje.</x:v>
      </x:c>
      <x:c r="J17" s="9" t="str">
        <x:v>Hologramme stable, consultation puis fermeture du canal. Décomposer anticipation, action, retour et interruption; garder un état neutre utilisable après une cinématique sautée.</x:v>
      </x:c>
      <x:c r="K17" s="9" t="str">
        <x:v>Associer les contacts de sol ou de siège à des événements; éviter le bruitage répété sur une pose tenue.</x:v>
      </x:c>
      <x:c r="L17" s="9" t="str">
        <x:v>Table d'animation prévue HOM/HACKETT; paramètres direction, locomotion, accessoire et interruption.</x:v>
      </x:c>
      <x:c r="M17" s="9" t="str">
        <x:v>Conserver l’autonomie des quatre numéros et leurs raccords. Les variantes locales ne sauvent pas des personnages dont l’issue est fixée ni ne donnent à un jeune personnage son arsenal adulte.</x:v>
      </x:c>
      <x:c r="N17" s="9" t="str">
        <x:v>Un enchaînement déplacement → interaction → interruption → reprise conserve le pivot et les accessoires de Amiral Hackett.</x:v>
      </x:c>
      <x:c r="O17" s="9" t="str">
        <x:v>HOM-ACT-HACKETT, HOM-SPR-HACKETT</x:v>
      </x:c>
      <x:c r="P17" s="9" t="str">
        <x:v>Conception originale, aucune cadence extraite du comic.</x:v>
      </x:c>
      <x:c r="Q17" s="9" t="str"/>
      <x:c r="R17" s="20" t="str"/>
      <x:c r="S17" s="20" t="str"/>
    </x:row>
  </x:sheetData>
  <x:conditionalFormatting sqref="D7:D17">
    <x:cfRule type="cellIs" dxfId="76" priority="1" operator="equal">
      <x:formula>"À vérifier"</x:formula>
    </x:cfRule>
    <x:cfRule type="cellIs" dxfId="77" priority="2" operator="equal">
      <x:formula>"Extrapolation"</x:formula>
    </x:cfRule>
  </x:conditionalFormatting>
  <x:conditionalFormatting sqref="C7:C17">
    <x:cfRule type="cellIs" dxfId="78" priority="3" operator="equal">
      <x:formula>"Validé"</x:formula>
    </x:cfRule>
  </x:conditionalFormatting>
  <x:conditionalFormatting sqref="E7:E17">
    <x:cfRule type="cellIs" dxfId="79" priority="4" operator="equal">
      <x:formula>"P0"</x:formula>
    </x:cfRule>
  </x:conditionalFormatting>
  <x:dataValidations count="3">
    <x:dataValidation type="list" sqref="C7:C17">
      <x:formula1>"Défini,Prototype,Intégré,Validé"</x:formula1>
    </x:dataValidation>
    <x:dataValidation type="list" sqref="D7:D17">
      <x:formula1>"Établi,À vérifier,Extrapolation,Coupé attesté,Concept abandonné,Allégation écartée"</x:formula1>
    </x:dataValidation>
    <x:dataValidation type="list" sqref="E7:E17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64ba81666f04b2a"/>
  </x:tableParts>
</x:worksheet>
</file>

<file path=xl/worksheets/sheet2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Sprites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Homeworlds — Livrables 2D, portraits et variantes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68" customHeight="1">
      <x:c r="A7" s="18" t="str">
        <x:v>HOM-SPR-VEGA</x:v>
      </x:c>
      <x:c r="B7" s="9" t="str">
        <x:v>James Vega — planche de sprites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Produire une silhouette lisible pour James Vega dans le module Homeworlds.</x:v>
      </x:c>
      <x:c r="G7" s="9" t="str">
        <x:v>Deux avatars temporels distincts; le jeune James privilégie fuite et observation.</x:v>
      </x:c>
      <x:c r="H7" s="9" t="str"/>
      <x:c r="I7" s="9" t="str">
        <x:v>Version jeune en vêtements civils; version adulte en tenue de service à contrôler; portraits clairement datés. Prévoir face, dos et profils trois-quarts; conserver le même pivot de pieds dans chaque pose.</x:v>
      </x:c>
      <x:c r="J7" s="9" t="str">
        <x:v>Jeune : course, souffle et regard inquiet; adulte : lecture et marche posée. Séparer arme/objet tenu du corps lorsque le changement de main est nécessaire.</x:v>
      </x:c>
      <x:c r="K7" s="9" t="str"/>
      <x:c r="L7" s="9" t="str">
        <x:v>Atlas prévu hom/actors/vega; métadonnées pivot, masque d'occlusion, orientation et état. Aucun fichier de sprite n'est livré par ce catalogue.</x:v>
      </x:c>
      <x:c r="M7" s="9" t="str">
        <x:v>Conserver l’autonomie des quatre numéros et leurs raccords. Les variantes locales ne sauvent pas des personnages dont l’issue est fixée ni ne donnent à un jeune personnage son arsenal adulte.</x:v>
      </x:c>
      <x:c r="N7" s="9" t="str">
        <x:v>La planche permet d'identifier James Vega sans portrait UI à l'échelle de jeu; pieds stables devant les occultations du décor 3D.</x:v>
      </x:c>
      <x:c r="O7" s="9" t="str">
        <x:v>HOM-ACT-VEGA</x:v>
      </x:c>
      <x:c r="P7" s="9" t="str">
        <x:v>Conception originale; référence visuelle du personnage à contrôler.</x:v>
      </x:c>
      <x:c r="Q7" s="9" t="str"/>
      <x:c r="R7" s="20" t="str"/>
      <x:c r="S7" s="20" t="str"/>
    </x:row>
    <x:row r="8" ht="68" customHeight="1">
      <x:c r="A8" s="19" t="str">
        <x:v>HOM-SPR-TALI</x:v>
      </x:c>
      <x:c r="B8" s="7" t="str">
        <x:v>Tali’Zorah — planche de sprites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Produire une silhouette lisible pour Tali’Zorah dans le module Homeworlds.</x:v>
      </x:c>
      <x:c r="G8" s="7" t="str">
        <x:v>Protagoniste technique isolée; la preuve compte davantage que le nombre d’ennemis vaincus.</x:v>
      </x:c>
      <x:c r="H8" s="7" t="str"/>
      <x:c r="I8" s="7" t="str">
        <x:v>Combinaison et masque quarien, capuche distincte; motifs et couleurs à contrôler dans #2. Prévoir face, dos et profils trois-quarts; conserver le même pivot de pieds dans chaque pose.</x:v>
      </x:c>
      <x:c r="J8" s="7" t="str">
        <x:v>Protection du poignet, inspection, recul prudent et course brève. Séparer arme/objet tenu du corps lorsque le changement de main est nécessaire.</x:v>
      </x:c>
      <x:c r="K8" s="7" t="str"/>
      <x:c r="L8" s="7" t="str">
        <x:v>Atlas prévu hom/actors/tali; métadonnées pivot, masque d'occlusion, orientation et état. Aucun fichier de sprite n'est livré par ce catalogue.</x:v>
      </x:c>
      <x:c r="M8" s="7" t="str">
        <x:v>Conserver l’autonomie des quatre numéros et leurs raccords. Les variantes locales ne sauvent pas des personnages dont l’issue est fixée ni ne donnent à un jeune personnage son arsenal adulte.</x:v>
      </x:c>
      <x:c r="N8" s="7" t="str">
        <x:v>La planche permet d'identifier Tali’Zorah sans portrait UI à l'échelle de jeu; pieds stables devant les occultations du décor 3D.</x:v>
      </x:c>
      <x:c r="O8" s="7" t="str">
        <x:v>HOM-ACT-TALI</x:v>
      </x:c>
      <x:c r="P8" s="7" t="str">
        <x:v>Conception originale; référence visuelle du personnage à contrôler.</x:v>
      </x:c>
      <x:c r="Q8" s="7" t="str"/>
      <x:c r="R8" s="21" t="str"/>
      <x:c r="S8" s="21" t="str"/>
    </x:row>
    <x:row r="9" ht="68" customHeight="1">
      <x:c r="A9" s="18" t="str">
        <x:v>HOM-SPR-GARRUS</x:v>
      </x:c>
      <x:c r="B9" s="9" t="str">
        <x:v>Garrus Vakarian — planche de sprites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Produire une silhouette lisible pour Garrus Vakarian dans le module Homeworlds.</x:v>
      </x:c>
      <x:c r="G9" s="9" t="str">
        <x:v>Versions jeune, C-Sec et Archangel séparées; tactiques accessibles selon l’époque.</x:v>
      </x:c>
      <x:c r="H9" s="9" t="str"/>
      <x:c r="I9" s="9" t="str">
        <x:v>Crête turienne et armure de chaque époque à vérifier; aucune blessure tardive sur les sprites antérieurs. Prévoir face, dos et profils trois-quarts; conserver le même pivot de pieds dans chaque pose.</x:v>
      </x:c>
      <x:c r="J9" s="9" t="str">
        <x:v>Tir posé, contrôle du couloir et fatigue croissante. Séparer arme/objet tenu du corps lorsque le changement de main est nécessaire.</x:v>
      </x:c>
      <x:c r="K9" s="9" t="str"/>
      <x:c r="L9" s="9" t="str">
        <x:v>Atlas prévu hom/actors/garrus; métadonnées pivot, masque d'occlusion, orientation et état. Aucun fichier de sprite n'est livré par ce catalogue.</x:v>
      </x:c>
      <x:c r="M9" s="9" t="str">
        <x:v>Conserver l’autonomie des quatre numéros et leurs raccords. Les variantes locales ne sauvent pas des personnages dont l’issue est fixée ni ne donnent à un jeune personnage son arsenal adulte.</x:v>
      </x:c>
      <x:c r="N9" s="9" t="str">
        <x:v>La planche permet d'identifier Garrus Vakarian sans portrait UI à l'échelle de jeu; pieds stables devant les occultations du décor 3D.</x:v>
      </x:c>
      <x:c r="O9" s="9" t="str">
        <x:v>HOM-ACT-GARRUS</x:v>
      </x:c>
      <x:c r="P9" s="9" t="str">
        <x:v>Conception originale; référence visuelle du personnage à contrôler.</x:v>
      </x:c>
      <x:c r="Q9" s="9" t="str"/>
      <x:c r="R9" s="20" t="str"/>
      <x:c r="S9" s="20" t="str"/>
    </x:row>
    <x:row r="10" ht="68" customHeight="1">
      <x:c r="A10" s="19" t="str">
        <x:v>HOM-SPR-LIARA</x:v>
      </x:c>
      <x:c r="B10" s="7" t="str">
        <x:v>Liara T’Soni — planche de sprites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Produire une silhouette lisible pour Liara T’Soni dans le module Homeworlds.</x:v>
      </x:c>
      <x:c r="G10" s="7" t="str">
        <x:v>Enquêtrice mobile; contrôle biotique d’environnement limité au segment.</x:v>
      </x:c>
      <x:c r="H10" s="7" t="str"/>
      <x:c r="I10" s="7" t="str">
        <x:v>Asari en tenue de voyage, outil d’archive et posture concentrée. Prévoir face, dos et profils trois-quarts; conserver le même pivot de pieds dans chaque pose.</x:v>
      </x:c>
      <x:c r="J10" s="7" t="str">
        <x:v>Inspection minutieuse, maintien d’une barrière et soutien d’un blessé. Séparer arme/objet tenu du corps lorsque le changement de main est nécessaire.</x:v>
      </x:c>
      <x:c r="K10" s="7" t="str"/>
      <x:c r="L10" s="7" t="str">
        <x:v>Atlas prévu hom/actors/liara; métadonnées pivot, masque d'occlusion, orientation et état. Aucun fichier de sprite n'est livré par ce catalogue.</x:v>
      </x:c>
      <x:c r="M10" s="7" t="str">
        <x:v>Conserver l’autonomie des quatre numéros et leurs raccords. Les variantes locales ne sauvent pas des personnages dont l’issue est fixée ni ne donnent à un jeune personnage son arsenal adulte.</x:v>
      </x:c>
      <x:c r="N10" s="7" t="str">
        <x:v>La planche permet d'identifier Liara T’Soni sans portrait UI à l'échelle de jeu; pieds stables devant les occultations du décor 3D.</x:v>
      </x:c>
      <x:c r="O10" s="7" t="str">
        <x:v>HOM-ACT-LIARA</x:v>
      </x:c>
      <x:c r="P10" s="7" t="str">
        <x:v>Conception originale; référence visuelle du personnage à contrôler.</x:v>
      </x:c>
      <x:c r="Q10" s="7" t="str"/>
      <x:c r="R10" s="21" t="str"/>
      <x:c r="S10" s="21" t="str"/>
    </x:row>
    <x:row r="11" ht="68" customHeight="1">
      <x:c r="A11" s="18" t="str">
        <x:v>HOM-SPR-EMILIO</x:v>
      </x:c>
      <x:c r="B11" s="9" t="str">
        <x:v>Emilio Vega — planche de sprites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Produire une silhouette lisible pour Emilio Vega dans le module Homeworlds.</x:v>
      </x:c>
      <x:c r="G11" s="9" t="str">
        <x:v>Soutien familial; conversation de reconstruction de confiance.</x:v>
      </x:c>
      <x:c r="H11" s="9" t="str"/>
      <x:c r="I11" s="9" t="str">
        <x:v>Vêtements civils simples et silhouette accueillante, référence d’âge à vérifier. Prévoir face, dos et profils trois-quarts; conserver le même pivot de pieds dans chaque pose.</x:v>
      </x:c>
      <x:c r="J11" s="9" t="str">
        <x:v>Position assise calme, geste ouvert et écoute. Séparer arme/objet tenu du corps lorsque le changement de main est nécessaire.</x:v>
      </x:c>
      <x:c r="K11" s="9" t="str"/>
      <x:c r="L11" s="9" t="str">
        <x:v>Atlas prévu hom/actors/emilio; métadonnées pivot, masque d'occlusion, orientation et état. Aucun fichier de sprite n'est livré par ce catalogue.</x:v>
      </x:c>
      <x:c r="M11" s="9" t="str">
        <x:v>Conserver l’autonomie des quatre numéros et leurs raccords. Les variantes locales ne sauvent pas des personnages dont l’issue est fixée ni ne donnent à un jeune personnage son arsenal adulte.</x:v>
      </x:c>
      <x:c r="N11" s="9" t="str">
        <x:v>La planche permet d'identifier Emilio Vega sans portrait UI à l'échelle de jeu; pieds stables devant les occultations du décor 3D.</x:v>
      </x:c>
      <x:c r="O11" s="9" t="str">
        <x:v>HOM-ACT-EMILIO</x:v>
      </x:c>
      <x:c r="P11" s="9" t="str">
        <x:v>Conception originale; référence visuelle du personnage à contrôler.</x:v>
      </x:c>
      <x:c r="Q11" s="9" t="str"/>
      <x:c r="R11" s="20" t="str"/>
      <x:c r="S11" s="20" t="str"/>
    </x:row>
    <x:row r="12" ht="68" customHeight="1">
      <x:c r="A12" s="19" t="str">
        <x:v>HOM-SPR-JOSH</x:v>
      </x:c>
      <x:c r="B12" s="7" t="str">
        <x:v>Josh Sanders — planche de sprites</x:v>
      </x:c>
      <x:c r="C12" s="15" t="str">
        <x:v>Défini</x:v>
      </x:c>
      <x:c r="D12" s="17" t="str">
        <x:v>Extrapolation</x:v>
      </x:c>
      <x:c r="E12" s="17" t="str">
        <x:v>P1</x:v>
      </x:c>
      <x:c r="F12" s="7" t="str">
        <x:v>Produire une silhouette lisible pour Josh Sanders dans le module Homeworlds.</x:v>
      </x:c>
      <x:c r="G12" s="7" t="str">
        <x:v>Conflit familial traité par mise en scène et dialogue, pas par un boss récompensé.</x:v>
      </x:c>
      <x:c r="H12" s="7" t="str"/>
      <x:c r="I12" s="7" t="str">
        <x:v>Silhouette civile fermée, environnement domestique peu éclairé; détails à vérifier. Prévoir face, dos et profils trois-quarts; conserver le même pivot de pieds dans chaque pose.</x:v>
      </x:c>
      <x:c r="J12" s="7" t="str">
        <x:v>Gestes tendus, fermeture d’un passage et posture menaçante. Séparer arme/objet tenu du corps lorsque le changement de main est nécessaire.</x:v>
      </x:c>
      <x:c r="K12" s="7" t="str"/>
      <x:c r="L12" s="7" t="str">
        <x:v>Atlas prévu hom/actors/josh; métadonnées pivot, masque d'occlusion, orientation et état. Aucun fichier de sprite n'est livré par ce catalogue.</x:v>
      </x:c>
      <x:c r="M12" s="7" t="str">
        <x:v>Conserver l’autonomie des quatre numéros et leurs raccords. Les variantes locales ne sauvent pas des personnages dont l’issue est fixée ni ne donnent à un jeune personnage son arsenal adulte.</x:v>
      </x:c>
      <x:c r="N12" s="7" t="str">
        <x:v>La planche permet d'identifier Josh Sanders sans portrait UI à l'échelle de jeu; pieds stables devant les occultations du décor 3D.</x:v>
      </x:c>
      <x:c r="O12" s="7" t="str">
        <x:v>HOM-ACT-JOSH</x:v>
      </x:c>
      <x:c r="P12" s="7" t="str">
        <x:v>Conception originale; référence visuelle du personnage à contrôler.</x:v>
      </x:c>
      <x:c r="Q12" s="7" t="str"/>
      <x:c r="R12" s="21" t="str"/>
      <x:c r="S12" s="21" t="str"/>
    </x:row>
    <x:row r="13" ht="68" customHeight="1">
      <x:c r="A13" s="18" t="str">
        <x:v>HOM-SPR-FATHER</x:v>
      </x:c>
      <x:c r="B13" s="9" t="str">
        <x:v>Père de Garrus — planche de sprites</x:v>
      </x:c>
      <x:c r="C13" s="15" t="str">
        <x:v>Défini</x:v>
      </x:c>
      <x:c r="D13" s="16" t="str">
        <x:v>Extrapolation</x:v>
      </x:c>
      <x:c r="E13" s="16" t="str">
        <x:v>P1</x:v>
      </x:c>
      <x:c r="F13" s="9" t="str">
        <x:v>Produire une silhouette lisible pour Père de Garrus dans le module Homeworlds.</x:v>
      </x:c>
      <x:c r="G13" s="9" t="str">
        <x:v>Voix de discipline et relation familiale; ne pas attribuer un prénom non vérifié.</x:v>
      </x:c>
      <x:c r="H13" s="9" t="str"/>
      <x:c r="I13" s="9" t="str">
        <x:v>Turien plus âgé, tenue variant entre entraînement et service. Prévoir face, dos et profils trois-quarts; conserver le même pivot de pieds dans chaque pose.</x:v>
      </x:c>
      <x:c r="J13" s="9" t="str">
        <x:v>Position d’instructeur, démonstration brève et écoute à distance. Séparer arme/objet tenu du corps lorsque le changement de main est nécessaire.</x:v>
      </x:c>
      <x:c r="K13" s="9" t="str"/>
      <x:c r="L13" s="9" t="str">
        <x:v>Atlas prévu hom/actors/father; métadonnées pivot, masque d'occlusion, orientation et état. Aucun fichier de sprite n'est livré par ce catalogue.</x:v>
      </x:c>
      <x:c r="M13" s="9" t="str">
        <x:v>Conserver l’autonomie des quatre numéros et leurs raccords. Les variantes locales ne sauvent pas des personnages dont l’issue est fixée ni ne donnent à un jeune personnage son arsenal adulte.</x:v>
      </x:c>
      <x:c r="N13" s="9" t="str">
        <x:v>La planche permet d'identifier Père de Garrus sans portrait UI à l'échelle de jeu; pieds stables devant les occultations du décor 3D.</x:v>
      </x:c>
      <x:c r="O13" s="9" t="str">
        <x:v>HOM-ACT-FATHER</x:v>
      </x:c>
      <x:c r="P13" s="9" t="str">
        <x:v>Conception originale; référence visuelle du personnage à contrôler.</x:v>
      </x:c>
      <x:c r="Q13" s="9" t="str"/>
      <x:c r="R13" s="20" t="str"/>
      <x:c r="S13" s="20" t="str"/>
    </x:row>
    <x:row r="14" ht="68" customHeight="1">
      <x:c r="A14" s="19" t="str">
        <x:v>HOM-SPR-SIDONIS</x:v>
      </x:c>
      <x:c r="B14" s="7" t="str">
        <x:v>Sidonis — planche de sprites</x:v>
      </x:c>
      <x:c r="C14" s="15" t="str">
        <x:v>Défini</x:v>
      </x:c>
      <x:c r="D14" s="17" t="str">
        <x:v>Extrapolation</x:v>
      </x:c>
      <x:c r="E14" s="17" t="str">
        <x:v>P1</x:v>
      </x:c>
      <x:c r="F14" s="7" t="str">
        <x:v>Produire une silhouette lisible pour Sidonis dans le module Homeworlds.</x:v>
      </x:c>
      <x:c r="G14" s="7" t="str">
        <x:v>Membre du contexte de l’équipe; disponibilité narrative contrôlée.</x:v>
      </x:c>
      <x:c r="H14" s="7" t="str"/>
      <x:c r="I14" s="7" t="str">
        <x:v>Turien de terrain et silhouette plus fermée que Garrus; armure à vérifier. Prévoir face, dos et profils trois-quarts; conserver le même pivot de pieds dans chaque pose.</x:v>
      </x:c>
      <x:c r="J14" s="7" t="str">
        <x:v>Regard évitant, déplacement au couvert et conversation courte. Séparer arme/objet tenu du corps lorsque le changement de main est nécessaire.</x:v>
      </x:c>
      <x:c r="K14" s="7" t="str"/>
      <x:c r="L14" s="7" t="str">
        <x:v>Atlas prévu hom/actors/sidonis; métadonnées pivot, masque d'occlusion, orientation et état. Aucun fichier de sprite n'est livré par ce catalogue.</x:v>
      </x:c>
      <x:c r="M14" s="7" t="str">
        <x:v>Conserver l’autonomie des quatre numéros et leurs raccords. Les variantes locales ne sauvent pas des personnages dont l’issue est fixée ni ne donnent à un jeune personnage son arsenal adulte.</x:v>
      </x:c>
      <x:c r="N14" s="7" t="str">
        <x:v>La planche permet d'identifier Sidonis sans portrait UI à l'échelle de jeu; pieds stables devant les occultations du décor 3D.</x:v>
      </x:c>
      <x:c r="O14" s="7" t="str">
        <x:v>HOM-ACT-SIDONIS</x:v>
      </x:c>
      <x:c r="P14" s="7" t="str">
        <x:v>Conception originale; référence visuelle du personnage à contrôler.</x:v>
      </x:c>
      <x:c r="Q14" s="7" t="str"/>
      <x:c r="R14" s="21" t="str"/>
      <x:c r="S14" s="21" t="str"/>
    </x:row>
    <x:row r="15" ht="68" customHeight="1">
      <x:c r="A15" s="18" t="str">
        <x:v>HOM-SPR-PASSANTE</x:v>
      </x:c>
      <x:c r="B15" s="9" t="str">
        <x:v>Docteur Passante — planche de sprites</x:v>
      </x:c>
      <x:c r="C15" s="15" t="str">
        <x:v>Défini</x:v>
      </x:c>
      <x:c r="D15" s="16" t="str">
        <x:v>Extrapolation</x:v>
      </x:c>
      <x:c r="E15" s="16" t="str">
        <x:v>P1</x:v>
      </x:c>
      <x:c r="F15" s="9" t="str">
        <x:v>Produire une silhouette lisible pour Docteur Passante dans le module Homeworlds.</x:v>
      </x:c>
      <x:c r="G15" s="9" t="str">
        <x:v>Interlocutrice d’archive et de parcours personnel.</x:v>
      </x:c>
      <x:c r="H15" s="9" t="str"/>
      <x:c r="I15" s="9" t="str">
        <x:v>Tenue savante asari proposée, matériel de consultation discret. Prévoir face, dos et profils trois-quarts; conserver le même pivot de pieds dans chaque pose.</x:v>
      </x:c>
      <x:c r="J15" s="9" t="str">
        <x:v>Désignation d’une archive, réflexion et salut. Séparer arme/objet tenu du corps lorsque le changement de main est nécessaire.</x:v>
      </x:c>
      <x:c r="K15" s="9" t="str"/>
      <x:c r="L15" s="9" t="str">
        <x:v>Atlas prévu hom/actors/passante; métadonnées pivot, masque d'occlusion, orientation et état. Aucun fichier de sprite n'est livré par ce catalogue.</x:v>
      </x:c>
      <x:c r="M15" s="9" t="str">
        <x:v>Conserver l’autonomie des quatre numéros et leurs raccords. Les variantes locales ne sauvent pas des personnages dont l’issue est fixée ni ne donnent à un jeune personnage son arsenal adulte.</x:v>
      </x:c>
      <x:c r="N15" s="9" t="str">
        <x:v>La planche permet d'identifier Docteur Passante sans portrait UI à l'échelle de jeu; pieds stables devant les occultations du décor 3D.</x:v>
      </x:c>
      <x:c r="O15" s="9" t="str">
        <x:v>HOM-ACT-PASSANTE</x:v>
      </x:c>
      <x:c r="P15" s="9" t="str">
        <x:v>Conception originale; référence visuelle du personnage à contrôler.</x:v>
      </x:c>
      <x:c r="Q15" s="9" t="str"/>
      <x:c r="R15" s="20" t="str"/>
      <x:c r="S15" s="20" t="str"/>
    </x:row>
    <x:row r="16" ht="68" customHeight="1">
      <x:c r="A16" s="19" t="str">
        <x:v>HOM-SPR-QUOYLE</x:v>
      </x:c>
      <x:c r="B16" s="7" t="str">
        <x:v>Quoyle — planche de sprites</x:v>
      </x:c>
      <x:c r="C16" s="15" t="str">
        <x:v>Défini</x:v>
      </x:c>
      <x:c r="D16" s="17" t="str">
        <x:v>Extrapolation</x:v>
      </x:c>
      <x:c r="E16" s="17" t="str">
        <x:v>P1</x:v>
      </x:c>
      <x:c r="F16" s="7" t="str">
        <x:v>Produire une silhouette lisible pour Quoyle dans le module Homeworlds.</x:v>
      </x:c>
      <x:c r="G16" s="7" t="str">
        <x:v>Soutien de navigation local; rôle limité à cet épisode.</x:v>
      </x:c>
      <x:c r="H16" s="7" t="str"/>
      <x:c r="I16" s="7" t="str">
        <x:v>Silhouette drell, vêtement de service et accessoire de pilotage à comparer. Prévoir face, dos et profils trois-quarts; conserver le même pivot de pieds dans chaque pose.</x:v>
      </x:c>
      <x:c r="J16" s="7" t="str">
        <x:v>Pilotage, alerte, appui sur la paroi et marche assistée. Séparer arme/objet tenu du corps lorsque le changement de main est nécessaire.</x:v>
      </x:c>
      <x:c r="K16" s="7" t="str"/>
      <x:c r="L16" s="7" t="str">
        <x:v>Atlas prévu hom/actors/quoyle; métadonnées pivot, masque d'occlusion, orientation et état. Aucun fichier de sprite n'est livré par ce catalogue.</x:v>
      </x:c>
      <x:c r="M16" s="7" t="str">
        <x:v>Conserver l’autonomie des quatre numéros et leurs raccords. Les variantes locales ne sauvent pas des personnages dont l’issue est fixée ni ne donnent à un jeune personnage son arsenal adulte.</x:v>
      </x:c>
      <x:c r="N16" s="7" t="str">
        <x:v>La planche permet d'identifier Quoyle sans portrait UI à l'échelle de jeu; pieds stables devant les occultations du décor 3D.</x:v>
      </x:c>
      <x:c r="O16" s="7" t="str">
        <x:v>HOM-ACT-QUOYLE</x:v>
      </x:c>
      <x:c r="P16" s="7" t="str">
        <x:v>Conception originale; référence visuelle du personnage à contrôler.</x:v>
      </x:c>
      <x:c r="Q16" s="7" t="str"/>
      <x:c r="R16" s="21" t="str"/>
      <x:c r="S16" s="21" t="str"/>
    </x:row>
    <x:row r="17" ht="68" customHeight="1">
      <x:c r="A17" s="18" t="str">
        <x:v>HOM-SPR-HACKETT</x:v>
      </x:c>
      <x:c r="B17" s="9" t="str">
        <x:v>Amiral Hackett — planche de sprites</x:v>
      </x:c>
      <x:c r="C17" s="15" t="str">
        <x:v>Défini</x:v>
      </x:c>
      <x:c r="D17" s="16" t="str">
        <x:v>Extrapolation</x:v>
      </x:c>
      <x:c r="E17" s="16" t="str">
        <x:v>P1</x:v>
      </x:c>
      <x:c r="F17" s="9" t="str">
        <x:v>Produire une silhouette lisible pour Amiral Hackett dans le module Homeworlds.</x:v>
      </x:c>
      <x:c r="G17" s="9" t="str">
        <x:v>Interlocuteur distant pour le raccord documentaire.</x:v>
      </x:c>
      <x:c r="H17" s="9" t="str"/>
      <x:c r="I17" s="9" t="str">
        <x:v>Portrait d’officier en communication, sans présence physique ajoutée sur Kahje. Prévoir face, dos et profils trois-quarts; conserver le même pivot de pieds dans chaque pose.</x:v>
      </x:c>
      <x:c r="J17" s="9" t="str">
        <x:v>Hologramme stable, consultation puis fermeture du canal. Séparer arme/objet tenu du corps lorsque le changement de main est nécessaire.</x:v>
      </x:c>
      <x:c r="K17" s="9" t="str"/>
      <x:c r="L17" s="9" t="str">
        <x:v>Atlas prévu hom/actors/hackett; métadonnées pivot, masque d'occlusion, orientation et état. Aucun fichier de sprite n'est livré par ce catalogue.</x:v>
      </x:c>
      <x:c r="M17" s="9" t="str">
        <x:v>Conserver l’autonomie des quatre numéros et leurs raccords. Les variantes locales ne sauvent pas des personnages dont l’issue est fixée ni ne donnent à un jeune personnage son arsenal adulte.</x:v>
      </x:c>
      <x:c r="N17" s="9" t="str">
        <x:v>La planche permet d'identifier Amiral Hackett sans portrait UI à l'échelle de jeu; pieds stables devant les occultations du décor 3D.</x:v>
      </x:c>
      <x:c r="O17" s="9" t="str">
        <x:v>HOM-ACT-HACKETT</x:v>
      </x:c>
      <x:c r="P17" s="9" t="str">
        <x:v>Conception originale; référence visuelle du personnage à contrôler.</x:v>
      </x:c>
      <x:c r="Q17" s="9" t="str"/>
      <x:c r="R17" s="20" t="str"/>
      <x:c r="S17" s="20" t="str"/>
    </x:row>
  </x:sheetData>
  <x:conditionalFormatting sqref="D7:D17">
    <x:cfRule type="cellIs" dxfId="80" priority="1" operator="equal">
      <x:formula>"À vérifier"</x:formula>
    </x:cfRule>
    <x:cfRule type="cellIs" dxfId="81" priority="2" operator="equal">
      <x:formula>"Extrapolation"</x:formula>
    </x:cfRule>
  </x:conditionalFormatting>
  <x:conditionalFormatting sqref="C7:C17">
    <x:cfRule type="cellIs" dxfId="82" priority="3" operator="equal">
      <x:formula>"Validé"</x:formula>
    </x:cfRule>
  </x:conditionalFormatting>
  <x:conditionalFormatting sqref="E7:E17">
    <x:cfRule type="cellIs" dxfId="83" priority="4" operator="equal">
      <x:formula>"P0"</x:formula>
    </x:cfRule>
  </x:conditionalFormatting>
  <x:dataValidations count="3">
    <x:dataValidation type="list" sqref="C7:C17">
      <x:formula1>"Défini,Prototype,Intégré,Validé"</x:formula1>
    </x:dataValidation>
    <x:dataValidation type="list" sqref="D7:D17">
      <x:formula1>"Établi,À vérifier,Extrapolation,Coupé attesté,Concept abandonné,Allégation écartée"</x:formula1>
    </x:dataValidation>
    <x:dataValidation type="list" sqref="E7:E17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b3ca9804f964cdf"/>
  </x:tableParts>
</x:worksheet>
</file>

<file path=xl/worksheets/sheet2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VFX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Homeworlds — Effets visuels et lisibilité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68" customHeight="1">
      <x:c r="A7" s="18" t="str">
        <x:v>HOM-SC-VEGA-YOUTH-VFX</x:v>
      </x:c>
      <x:c r="B7" s="9" t="str">
        <x:v>#1 — choisir sa voie — signal visuel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Chemin potentiel en pointillés, affiché seulement après observation.</x:v>
      </x:c>
      <x:c r="G7" s="9" t="str">
        <x:v>Rendre lisibles les interactions propres à cette séquence à la taille réelle du jeu.</x:v>
      </x:c>
      <x:c r="H7" s="9" t="str"/>
      <x:c r="I7" s="9" t="str">
        <x:v>Chemin potentiel en pointillés, affiché seulement après observation.</x:v>
      </x:c>
      <x:c r="J7" s="9" t="str">
        <x:v>Anticipation séparée de l’impact; variante sans flash, sans secousse et à contraste renforcé.</x:v>
      </x:c>
      <x:c r="K7" s="9" t="str">
        <x:v>Pas pressés puis calme du vent.</x:v>
      </x:c>
      <x:c r="L7" s="9" t="str">
        <x:v>Émetteur proposé HOM/VEGA-YOUTH/vfx; ancrage sur monde 3D et tri compatible avec les sprites; options de confort indépendantes.</x:v>
      </x:c>
      <x:c r="M7" s="9" t="str">
        <x:v>Conserver l’autonomie des quatre numéros et leurs raccords. Les variantes locales ne sauvent pas des personnages dont l’issue est fixée ni ne donnent à un jeune personnage son arsenal adulte.</x:v>
      </x:c>
      <x:c r="N7" s="9" t="str">
        <x:v>Le signal reste identifiable en pause et sans son; aucun flash plein écran indispensable pour comprendre la résolution.</x:v>
      </x:c>
      <x:c r="O7" s="9" t="str">
        <x:v>HOM-SC-VEGA-YOUTH-MAIN</x:v>
      </x:c>
      <x:c r="P7" s="9" t="str">
        <x:v>VFX original; intensité et timing à régler au prototype.</x:v>
      </x:c>
      <x:c r="Q7" s="9" t="str"/>
      <x:c r="R7" s="20" t="str"/>
      <x:c r="S7" s="20" t="str"/>
    </x:row>
    <x:row r="8" ht="68" customHeight="1">
      <x:c r="A8" s="19" t="str">
        <x:v>HOM-SC-VEGA-PRESENT-VFX</x:v>
      </x:c>
      <x:c r="B8" s="7" t="str">
        <x:v>#1 — rechercher les proches — signal visuel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Fondu lent entre époques, option sans animation disponible.</x:v>
      </x:c>
      <x:c r="G8" s="7" t="str">
        <x:v>Rendre lisibles les interactions propres à cette séquence à la taille réelle du jeu.</x:v>
      </x:c>
      <x:c r="H8" s="7" t="str"/>
      <x:c r="I8" s="7" t="str">
        <x:v>Fondu lent entre époques, option sans animation disponible.</x:v>
      </x:c>
      <x:c r="J8" s="7" t="str">
        <x:v>Anticipation séparée de l’impact; variante sans flash, sans secousse et à contraste renforcé.</x:v>
      </x:c>
      <x:c r="K8" s="7" t="str">
        <x:v>Annonce distante et bref motif de souvenir.</x:v>
      </x:c>
      <x:c r="L8" s="7" t="str">
        <x:v>Émetteur proposé HOM/VEGA-PRESENT/vfx; ancrage sur monde 3D et tri compatible avec les sprites; options de confort indépendantes.</x:v>
      </x:c>
      <x:c r="M8" s="7" t="str">
        <x:v>Conserver l’autonomie des quatre numéros et leurs raccords. Les variantes locales ne sauvent pas des personnages dont l’issue est fixée ni ne donnent à un jeune personnage son arsenal adulte.</x:v>
      </x:c>
      <x:c r="N8" s="7" t="str">
        <x:v>Le signal reste identifiable en pause et sans son; aucun flash plein écran indispensable pour comprendre la résolution.</x:v>
      </x:c>
      <x:c r="O8" s="7" t="str">
        <x:v>HOM-SC-VEGA-PRESENT-MAIN</x:v>
      </x:c>
      <x:c r="P8" s="7" t="str">
        <x:v>VFX original; intensité et timing à régler au prototype.</x:v>
      </x:c>
      <x:c r="Q8" s="7" t="str"/>
      <x:c r="R8" s="21" t="str"/>
      <x:c r="S8" s="21" t="str"/>
    </x:row>
    <x:row r="9" ht="68" customHeight="1">
      <x:c r="A9" s="18" t="str">
        <x:v>HOM-SC-TALI-TRACE-VFX</x:v>
      </x:c>
      <x:c r="B9" s="9" t="str">
        <x:v>#2 — protéger la découverte — signal visuel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Cadre de transfert solide avec texte protégé/en cours.</x:v>
      </x:c>
      <x:c r="G9" s="9" t="str">
        <x:v>Rendre lisibles les interactions propres à cette séquence à la taille réelle du jeu.</x:v>
      </x:c>
      <x:c r="H9" s="9" t="str"/>
      <x:c r="I9" s="9" t="str">
        <x:v>Cadre de transfert solide avec texte protégé/en cours.</x:v>
      </x:c>
      <x:c r="J9" s="9" t="str">
        <x:v>Anticipation séparée de l’impact; variante sans flash, sans secousse et à contraste renforcé.</x:v>
      </x:c>
      <x:c r="K9" s="9" t="str">
        <x:v>Signal de transfert original et pas poursuivants localisés.</x:v>
      </x:c>
      <x:c r="L9" s="9" t="str">
        <x:v>Émetteur proposé HOM/TALI-TRACE/vfx; ancrage sur monde 3D et tri compatible avec les sprites; options de confort indépendantes.</x:v>
      </x:c>
      <x:c r="M9" s="9" t="str">
        <x:v>Conserver l’autonomie des quatre numéros et leurs raccords. Les variantes locales ne sauvent pas des personnages dont l’issue est fixée ni ne donnent à un jeune personnage son arsenal adulte.</x:v>
      </x:c>
      <x:c r="N9" s="9" t="str">
        <x:v>Le signal reste identifiable en pause et sans son; aucun flash plein écran indispensable pour comprendre la résolution.</x:v>
      </x:c>
      <x:c r="O9" s="9" t="str">
        <x:v>HOM-SC-TALI-TRACE-MAIN</x:v>
      </x:c>
      <x:c r="P9" s="9" t="str">
        <x:v>VFX original; intensité et timing à régler au prototype.</x:v>
      </x:c>
      <x:c r="Q9" s="9" t="str"/>
      <x:c r="R9" s="20" t="str"/>
      <x:c r="S9" s="20" t="str"/>
    </x:row>
    <x:row r="10" ht="68" customHeight="1">
      <x:c r="A10" s="19" t="str">
        <x:v>HOM-SC-TALI-CITADEL-VFX</x:v>
      </x:c>
      <x:c r="B10" s="7" t="str">
        <x:v>#2 — demander de l’aide — signal visuel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Marqueurs de piste ouverte/fermée par forme, sans étiqueter une espèce entière.</x:v>
      </x:c>
      <x:c r="G10" s="7" t="str">
        <x:v>Rendre lisibles les interactions propres à cette séquence à la taille réelle du jeu.</x:v>
      </x:c>
      <x:c r="H10" s="7" t="str"/>
      <x:c r="I10" s="7" t="str">
        <x:v>Marqueurs de piste ouverte/fermée par forme, sans étiqueter une espèce entière.</x:v>
      </x:c>
      <x:c r="J10" s="7" t="str">
        <x:v>Anticipation séparée de l’impact; variante sans flash, sans secousse et à contraste renforcé.</x:v>
      </x:c>
      <x:c r="K10" s="7" t="str">
        <x:v>Brouhaha qui baisse lors d’une réponse hostile; sous-titres complets.</x:v>
      </x:c>
      <x:c r="L10" s="7" t="str">
        <x:v>Émetteur proposé HOM/TALI-CITADEL/vfx; ancrage sur monde 3D et tri compatible avec les sprites; options de confort indépendantes.</x:v>
      </x:c>
      <x:c r="M10" s="7" t="str">
        <x:v>Conserver l’autonomie des quatre numéros et leurs raccords. Les variantes locales ne sauvent pas des personnages dont l’issue est fixée ni ne donnent à un jeune personnage son arsenal adulte.</x:v>
      </x:c>
      <x:c r="N10" s="7" t="str">
        <x:v>Le signal reste identifiable en pause et sans son; aucun flash plein écran indispensable pour comprendre la résolution.</x:v>
      </x:c>
      <x:c r="O10" s="7" t="str">
        <x:v>HOM-SC-TALI-CITADEL-MAIN</x:v>
      </x:c>
      <x:c r="P10" s="7" t="str">
        <x:v>VFX original; intensité et timing à régler au prototype.</x:v>
      </x:c>
      <x:c r="Q10" s="7" t="str"/>
      <x:c r="R10" s="21" t="str"/>
      <x:c r="S10" s="21" t="str"/>
    </x:row>
    <x:row r="11" ht="68" customHeight="1">
      <x:c r="A11" s="18" t="str">
        <x:v>HOM-SC-GARRUS-PAST-VFX</x:v>
      </x:c>
      <x:c r="B11" s="9" t="str">
        <x:v>#3 — leçons et limites — signal visuel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Repère de visée stable, assistance optionnelle sans pénalité.</x:v>
      </x:c>
      <x:c r="G11" s="9" t="str">
        <x:v>Rendre lisibles les interactions propres à cette séquence à la taille réelle du jeu.</x:v>
      </x:c>
      <x:c r="H11" s="9" t="str"/>
      <x:c r="I11" s="9" t="str">
        <x:v>Repère de visée stable, assistance optionnelle sans pénalité.</x:v>
      </x:c>
      <x:c r="J11" s="9" t="str">
        <x:v>Anticipation séparée de l’impact; variante sans flash, sans secousse et à contraste renforcé.</x:v>
      </x:c>
      <x:c r="K11" s="9" t="str">
        <x:v>Impact mécanique doux et silence de discussion.</x:v>
      </x:c>
      <x:c r="L11" s="9" t="str">
        <x:v>Émetteur proposé HOM/GARRUS-PAST/vfx; ancrage sur monde 3D et tri compatible avec les sprites; options de confort indépendantes.</x:v>
      </x:c>
      <x:c r="M11" s="9" t="str">
        <x:v>Conserver l’autonomie des quatre numéros et leurs raccords. Les variantes locales ne sauvent pas des personnages dont l’issue est fixée ni ne donnent à un jeune personnage son arsenal adulte.</x:v>
      </x:c>
      <x:c r="N11" s="9" t="str">
        <x:v>Le signal reste identifiable en pause et sans son; aucun flash plein écran indispensable pour comprendre la résolution.</x:v>
      </x:c>
      <x:c r="O11" s="9" t="str">
        <x:v>HOM-SC-GARRUS-PAST-MAIN</x:v>
      </x:c>
      <x:c r="P11" s="9" t="str">
        <x:v>VFX original; intensité et timing à régler au prototype.</x:v>
      </x:c>
      <x:c r="Q11" s="9" t="str"/>
      <x:c r="R11" s="20" t="str"/>
      <x:c r="S11" s="20" t="str"/>
    </x:row>
    <x:row r="12" ht="68" customHeight="1">
      <x:c r="A12" s="19" t="str">
        <x:v>HOM-SC-GARRUS-OMEGA-VFX</x:v>
      </x:c>
      <x:c r="B12" s="7" t="str">
        <x:v>#3 — tenir comme Archangel — signal visuel</x:v>
      </x:c>
      <x:c r="C12" s="15" t="str">
        <x:v>Défini</x:v>
      </x:c>
      <x:c r="D12" s="17" t="str">
        <x:v>Extrapolation</x:v>
      </x:c>
      <x:c r="E12" s="17" t="str">
        <x:v>P1</x:v>
      </x:c>
      <x:c r="F12" s="7" t="str">
        <x:v>Approches marquées par motifs distincts; traces de tir brèves.</x:v>
      </x:c>
      <x:c r="G12" s="7" t="str">
        <x:v>Rendre lisibles les interactions propres à cette séquence à la taille réelle du jeu.</x:v>
      </x:c>
      <x:c r="H12" s="7" t="str"/>
      <x:c r="I12" s="7" t="str">
        <x:v>Approches marquées par motifs distincts; traces de tir brèves.</x:v>
      </x:c>
      <x:c r="J12" s="7" t="str">
        <x:v>Anticipation séparée de l’impact; variante sans flash, sans secousse et à contraste renforcé.</x:v>
      </x:c>
      <x:c r="K12" s="7" t="str">
        <x:v>Tirs éloignés, souffle et communication fragile.</x:v>
      </x:c>
      <x:c r="L12" s="7" t="str">
        <x:v>Émetteur proposé HOM/GARRUS-OMEGA/vfx; ancrage sur monde 3D et tri compatible avec les sprites; options de confort indépendantes.</x:v>
      </x:c>
      <x:c r="M12" s="7" t="str">
        <x:v>Conserver l’autonomie des quatre numéros et leurs raccords. Les variantes locales ne sauvent pas des personnages dont l’issue est fixée ni ne donnent à un jeune personnage son arsenal adulte.</x:v>
      </x:c>
      <x:c r="N12" s="7" t="str">
        <x:v>Le signal reste identifiable en pause et sans son; aucun flash plein écran indispensable pour comprendre la résolution.</x:v>
      </x:c>
      <x:c r="O12" s="7" t="str">
        <x:v>HOM-SC-GARRUS-OMEGA-MAIN</x:v>
      </x:c>
      <x:c r="P12" s="7" t="str">
        <x:v>VFX original; intensité et timing à régler au prototype.</x:v>
      </x:c>
      <x:c r="Q12" s="7" t="str"/>
      <x:c r="R12" s="21" t="str"/>
      <x:c r="S12" s="21" t="str"/>
    </x:row>
    <x:row r="13" ht="68" customHeight="1">
      <x:c r="A13" s="18" t="str">
        <x:v>HOM-SC-LIARA-ARCHIVE-VFX</x:v>
      </x:c>
      <x:c r="B13" s="9" t="str">
        <x:v>#4 — suivre les archives — signal visuel</x:v>
      </x:c>
      <x:c r="C13" s="15" t="str">
        <x:v>Défini</x:v>
      </x:c>
      <x:c r="D13" s="16" t="str">
        <x:v>Extrapolation</x:v>
      </x:c>
      <x:c r="E13" s="16" t="str">
        <x:v>P1</x:v>
      </x:c>
      <x:c r="F13" s="9" t="str">
        <x:v>Liaisons de pistes en pointillés, aucun indicateur de vérité absolue.</x:v>
      </x:c>
      <x:c r="G13" s="9" t="str">
        <x:v>Rendre lisibles les interactions propres à cette séquence à la taille réelle du jeu.</x:v>
      </x:c>
      <x:c r="H13" s="9" t="str"/>
      <x:c r="I13" s="9" t="str">
        <x:v>Liaisons de pistes en pointillés, aucun indicateur de vérité absolue.</x:v>
      </x:c>
      <x:c r="J13" s="9" t="str">
        <x:v>Anticipation séparée de l’impact; variante sans flash, sans secousse et à contraste renforcé.</x:v>
      </x:c>
      <x:c r="K13" s="9" t="str">
        <x:v>Ambiance savante calme puis résonance sous l’eau.</x:v>
      </x:c>
      <x:c r="L13" s="9" t="str">
        <x:v>Émetteur proposé HOM/LIARA-ARCHIVE/vfx; ancrage sur monde 3D et tri compatible avec les sprites; options de confort indépendantes.</x:v>
      </x:c>
      <x:c r="M13" s="9" t="str">
        <x:v>Conserver l’autonomie des quatre numéros et leurs raccords. Les variantes locales ne sauvent pas des personnages dont l’issue est fixée ni ne donnent à un jeune personnage son arsenal adulte.</x:v>
      </x:c>
      <x:c r="N13" s="9" t="str">
        <x:v>Le signal reste identifiable en pause et sans son; aucun flash plein écran indispensable pour comprendre la résolution.</x:v>
      </x:c>
      <x:c r="O13" s="9" t="str">
        <x:v>HOM-SC-LIARA-ARCHIVE-MAIN</x:v>
      </x:c>
      <x:c r="P13" s="9" t="str">
        <x:v>VFX original; intensité et timing à régler au prototype.</x:v>
      </x:c>
      <x:c r="Q13" s="9" t="str"/>
      <x:c r="R13" s="20" t="str"/>
      <x:c r="S13" s="20" t="str"/>
    </x:row>
    <x:row r="14" ht="68" customHeight="1">
      <x:c r="A14" s="19" t="str">
        <x:v>HOM-SC-LIARA-KAHJE-VFX</x:v>
      </x:c>
      <x:c r="B14" s="7" t="str">
        <x:v>#4 — passage sous l’eau — signal visuel</x:v>
      </x:c>
      <x:c r="C14" s="15" t="str">
        <x:v>Défini</x:v>
      </x:c>
      <x:c r="D14" s="17" t="str">
        <x:v>Extrapolation</x:v>
      </x:c>
      <x:c r="E14" s="17" t="str">
        <x:v>P1</x:v>
      </x:c>
      <x:c r="F14" s="7" t="str">
        <x:v>Surface biotique continue, variante opaque réduite pour les sprites.</x:v>
      </x:c>
      <x:c r="G14" s="7" t="str">
        <x:v>Rendre lisibles les interactions propres à cette séquence à la taille réelle du jeu.</x:v>
      </x:c>
      <x:c r="H14" s="7" t="str"/>
      <x:c r="I14" s="7" t="str">
        <x:v>Surface biotique continue, variante opaque réduite pour les sprites.</x:v>
      </x:c>
      <x:c r="J14" s="7" t="str">
        <x:v>Anticipation séparée de l’impact; variante sans flash, sans secousse et à contraste renforcé.</x:v>
      </x:c>
      <x:c r="K14" s="7" t="str">
        <x:v>Grave aquatique et vibration du maintien, doublés d’une barre qualitative.</x:v>
      </x:c>
      <x:c r="L14" s="7" t="str">
        <x:v>Émetteur proposé HOM/LIARA-KAHJE/vfx; ancrage sur monde 3D et tri compatible avec les sprites; options de confort indépendantes.</x:v>
      </x:c>
      <x:c r="M14" s="7" t="str">
        <x:v>Conserver l’autonomie des quatre numéros et leurs raccords. Les variantes locales ne sauvent pas des personnages dont l’issue est fixée ni ne donnent à un jeune personnage son arsenal adulte.</x:v>
      </x:c>
      <x:c r="N14" s="7" t="str">
        <x:v>Le signal reste identifiable en pause et sans son; aucun flash plein écran indispensable pour comprendre la résolution.</x:v>
      </x:c>
      <x:c r="O14" s="7" t="str">
        <x:v>HOM-SC-LIARA-KAHJE-MAIN</x:v>
      </x:c>
      <x:c r="P14" s="7" t="str">
        <x:v>VFX original; intensité et timing à régler au prototype.</x:v>
      </x:c>
      <x:c r="Q14" s="7" t="str"/>
      <x:c r="R14" s="21" t="str"/>
      <x:c r="S14" s="21" t="str"/>
    </x:row>
  </x:sheetData>
  <x:conditionalFormatting sqref="D7:D14">
    <x:cfRule type="cellIs" dxfId="84" priority="1" operator="equal">
      <x:formula>"À vérifier"</x:formula>
    </x:cfRule>
    <x:cfRule type="cellIs" dxfId="85" priority="2" operator="equal">
      <x:formula>"Extrapolation"</x:formula>
    </x:cfRule>
  </x:conditionalFormatting>
  <x:conditionalFormatting sqref="C7:C14">
    <x:cfRule type="cellIs" dxfId="86" priority="3" operator="equal">
      <x:formula>"Validé"</x:formula>
    </x:cfRule>
  </x:conditionalFormatting>
  <x:conditionalFormatting sqref="E7:E14">
    <x:cfRule type="cellIs" dxfId="87" priority="4" operator="equal">
      <x:formula>"P0"</x:formula>
    </x:cfRule>
  </x:conditionalFormatting>
  <x:dataValidations count="3">
    <x:dataValidation type="list" sqref="C7:C14">
      <x:formula1>"Défini,Prototype,Intégré,Validé"</x:formula1>
    </x:dataValidation>
    <x:dataValidation type="list" sqref="D7:D14">
      <x:formula1>"Établi,À vérifier,Extrapolation,Coupé attesté,Concept abandonné,Allégation écartée"</x:formula1>
    </x:dataValidation>
    <x:dataValidation type="list" sqref="E7:E14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6fda09635be42c1"/>
  </x:tableParts>
</x:worksheet>
</file>

<file path=xl/worksheets/sheet2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Audio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Homeworlds — Ambiances, effets et musique originale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68" customHeight="1">
      <x:c r="A7" s="18" t="str">
        <x:v>HOM-AUD-EARTH</x:v>
      </x:c>
      <x:c r="B7" s="9" t="str">
        <x:v>Terre — parcours de James — paysage sonore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Circulation, vent côtier et calme du bord de mer.</x:v>
      </x:c>
      <x:c r="G7" s="9" t="str">
        <x:v>Fuite urbaine courte et cadre familial.</x:v>
      </x:c>
      <x:c r="H7" s="9" t="str">
        <x:v>Doubler les alarmes utiles par texte, symbole ou changement de pose; les bruits d’ambiance ne portent pas seuls une information obligatoire.</x:v>
      </x:c>
      <x:c r="I7" s="9" t="str">
        <x:v>Béton clair, enseignes originales et lumière de fin de journée.</x:v>
      </x:c>
      <x:c r="J7" s="9" t="str">
        <x:v>Déclencher les contacts mécaniques au mouvement visible; éviter les boucles désynchronisées des portes.</x:v>
      </x:c>
      <x:c r="K7" s="9" t="str">
        <x:v>Circulation, vent côtier et calme du bord de mer. Composer une ambiance originale en couches fond / activité / danger, avec réglage indépendant des voix.</x:v>
      </x:c>
      <x:c r="L7" s="9" t="str">
        <x:v>Bus proposé HOM/EARTH; snapshots exploration, tension et dialogue; fondus après chargement.</x:v>
      </x:c>
      <x:c r="M7" s="9" t="str">
        <x:v>Conserver l’autonomie des quatre numéros et leurs raccords. Les variantes locales ne sauvent pas des personnages dont l’issue est fixée ni ne donnent à un jeune personnage son arsenal adulte.</x:v>
      </x:c>
      <x:c r="N7" s="9" t="str">
        <x:v>Un parcours muet reste compréhensible; l’entrée en dialogue baisse les ambiances sans couper brutalement leur réverbération.</x:v>
      </x:c>
      <x:c r="O7" s="9" t="str">
        <x:v>HOM-ZONE-EARTH</x:v>
      </x:c>
      <x:c r="P7" s="9" t="str">
        <x:v>Création sonore originale; aucune piste commerciale requise.</x:v>
      </x:c>
      <x:c r="Q7" s="9" t="str"/>
      <x:c r="R7" s="20" t="str"/>
      <x:c r="S7" s="20" t="str"/>
    </x:row>
    <x:row r="8" ht="68" customHeight="1">
      <x:c r="A8" s="19" t="str">
        <x:v>HOM-AUD-CITADEL</x:v>
      </x:c>
      <x:c r="B8" s="7" t="str">
        <x:v>Citadelle — accueil et recherche — paysage sonore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Annonces originales, pas mesurés et files d’attente à faible intensité.</x:v>
      </x:c>
      <x:c r="G8" s="7" t="str">
        <x:v>Deux variantes temporelles de lieu, sans fusion des récits.</x:v>
      </x:c>
      <x:c r="H8" s="7" t="str">
        <x:v>Doubler les alarmes utiles par texte, symbole ou changement de pose; les bruits d’ambiance ne portent pas seuls une information obligatoire.</x:v>
      </x:c>
      <x:c r="I8" s="7" t="str">
        <x:v>Surfaces claires et lignes d’orientation, foule sobre non bloquante.</x:v>
      </x:c>
      <x:c r="J8" s="7" t="str">
        <x:v>Déclencher les contacts mécaniques au mouvement visible; éviter les boucles désynchronisées des portes.</x:v>
      </x:c>
      <x:c r="K8" s="7" t="str">
        <x:v>Annonces originales, pas mesurés et files d’attente à faible intensité. Composer une ambiance originale en couches fond / activité / danger, avec réglage indépendant des voix.</x:v>
      </x:c>
      <x:c r="L8" s="7" t="str">
        <x:v>Bus proposé HOM/CITADEL; snapshots exploration, tension et dialogue; fondus après chargement.</x:v>
      </x:c>
      <x:c r="M8" s="7" t="str">
        <x:v>Conserver l’autonomie des quatre numéros et leurs raccords. Les variantes locales ne sauvent pas des personnages dont l’issue est fixée ni ne donnent à un jeune personnage son arsenal adulte.</x:v>
      </x:c>
      <x:c r="N8" s="7" t="str">
        <x:v>Un parcours muet reste compréhensible; l’entrée en dialogue baisse les ambiances sans couper brutalement leur réverbération.</x:v>
      </x:c>
      <x:c r="O8" s="7" t="str">
        <x:v>HOM-ZONE-CITADEL</x:v>
      </x:c>
      <x:c r="P8" s="7" t="str">
        <x:v>Création sonore originale; aucune piste commerciale requise.</x:v>
      </x:c>
      <x:c r="Q8" s="7" t="str"/>
      <x:c r="R8" s="21" t="str"/>
      <x:c r="S8" s="21" t="str"/>
    </x:row>
    <x:row r="9" ht="68" customHeight="1">
      <x:c r="A9" s="18" t="str">
        <x:v>HOM-AUD-PALAVEN</x:v>
      </x:c>
      <x:c r="B9" s="9" t="str">
        <x:v>Palaven — souvenirs de Garrus — paysage sonore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Vent sec, cibles mécaniques et silence de conversation.</x:v>
      </x:c>
      <x:c r="G9" s="9" t="str">
        <x:v>Encadrer les souvenirs familiaux.</x:v>
      </x:c>
      <x:c r="H9" s="9" t="str">
        <x:v>Doubler les alarmes utiles par texte, symbole ou changement de pose; les bruits d’ambiance ne portent pas seuls une information obligatoire.</x:v>
      </x:c>
      <x:c r="I9" s="9" t="str">
        <x:v>Minéral clair, accessoires sobres et séparation nette des époques.</x:v>
      </x:c>
      <x:c r="J9" s="9" t="str">
        <x:v>Déclencher les contacts mécaniques au mouvement visible; éviter les boucles désynchronisées des portes.</x:v>
      </x:c>
      <x:c r="K9" s="9" t="str">
        <x:v>Vent sec, cibles mécaniques et silence de conversation. Composer une ambiance originale en couches fond / activité / danger, avec réglage indépendant des voix.</x:v>
      </x:c>
      <x:c r="L9" s="9" t="str">
        <x:v>Bus proposé HOM/PALAVEN; snapshots exploration, tension et dialogue; fondus après chargement.</x:v>
      </x:c>
      <x:c r="M9" s="9" t="str">
        <x:v>Conserver l’autonomie des quatre numéros et leurs raccords. Les variantes locales ne sauvent pas des personnages dont l’issue est fixée ni ne donnent à un jeune personnage son arsenal adulte.</x:v>
      </x:c>
      <x:c r="N9" s="9" t="str">
        <x:v>Un parcours muet reste compréhensible; l’entrée en dialogue baisse les ambiances sans couper brutalement leur réverbération.</x:v>
      </x:c>
      <x:c r="O9" s="9" t="str">
        <x:v>HOM-ZONE-PALAVEN</x:v>
      </x:c>
      <x:c r="P9" s="9" t="str">
        <x:v>Création sonore originale; aucune piste commerciale requise.</x:v>
      </x:c>
      <x:c r="Q9" s="9" t="str"/>
      <x:c r="R9" s="20" t="str"/>
      <x:c r="S9" s="20" t="str"/>
    </x:row>
    <x:row r="10" ht="68" customHeight="1">
      <x:c r="A10" s="19" t="str">
        <x:v>HOM-AUD-OMEGA</x:v>
      </x:c>
      <x:c r="B10" s="7" t="str">
        <x:v>Omega — position d’Archangel — paysage sonore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Tirs lointains, radio et souffle contenu.</x:v>
      </x:c>
      <x:c r="G10" s="7" t="str">
        <x:v>Défense de position à visibilité contrôlée.</x:v>
      </x:c>
      <x:c r="H10" s="7" t="str">
        <x:v>Doubler les alarmes utiles par texte, symbole ou changement de pose; les bruits d’ambiance ne portent pas seuls une information obligatoire.</x:v>
      </x:c>
      <x:c r="I10" s="7" t="str">
        <x:v>Métal sombre, balisage orange et poussière faible.</x:v>
      </x:c>
      <x:c r="J10" s="7" t="str">
        <x:v>Déclencher les contacts mécaniques au mouvement visible; éviter les boucles désynchronisées des portes.</x:v>
      </x:c>
      <x:c r="K10" s="7" t="str">
        <x:v>Tirs lointains, radio et souffle contenu. Composer une ambiance originale en couches fond / activité / danger, avec réglage indépendant des voix.</x:v>
      </x:c>
      <x:c r="L10" s="7" t="str">
        <x:v>Bus proposé HOM/OMEGA; snapshots exploration, tension et dialogue; fondus après chargement.</x:v>
      </x:c>
      <x:c r="M10" s="7" t="str">
        <x:v>Conserver l’autonomie des quatre numéros et leurs raccords. Les variantes locales ne sauvent pas des personnages dont l’issue est fixée ni ne donnent à un jeune personnage son arsenal adulte.</x:v>
      </x:c>
      <x:c r="N10" s="7" t="str">
        <x:v>Un parcours muet reste compréhensible; l’entrée en dialogue baisse les ambiances sans couper brutalement leur réverbération.</x:v>
      </x:c>
      <x:c r="O10" s="7" t="str">
        <x:v>HOM-ZONE-OMEGA</x:v>
      </x:c>
      <x:c r="P10" s="7" t="str">
        <x:v>Création sonore originale; aucune piste commerciale requise.</x:v>
      </x:c>
      <x:c r="Q10" s="7" t="str"/>
      <x:c r="R10" s="21" t="str"/>
      <x:c r="S10" s="21" t="str"/>
    </x:row>
    <x:row r="11" ht="68" customHeight="1">
      <x:c r="A11" s="18" t="str">
        <x:v>HOM-AUD-THESSIA</x:v>
      </x:c>
      <x:c r="B11" s="9" t="str">
        <x:v>Thessia — archives — paysage sonore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Réverbération légère et feuilletage numérique original.</x:v>
      </x:c>
      <x:c r="G11" s="9" t="str">
        <x:v>Dialogue savant et confrontation à une archive incomplète.</x:v>
      </x:c>
      <x:c r="H11" s="9" t="str">
        <x:v>Doubler les alarmes utiles par texte, symbole ou changement de pose; les bruits d’ambiance ne portent pas seuls une information obligatoire.</x:v>
      </x:c>
      <x:c r="I11" s="9" t="str">
        <x:v>Matériaux lisses et tons froids, écran central discret.</x:v>
      </x:c>
      <x:c r="J11" s="9" t="str">
        <x:v>Déclencher les contacts mécaniques au mouvement visible; éviter les boucles désynchronisées des portes.</x:v>
      </x:c>
      <x:c r="K11" s="9" t="str">
        <x:v>Réverbération légère et feuilletage numérique original. Composer une ambiance originale en couches fond / activité / danger, avec réglage indépendant des voix.</x:v>
      </x:c>
      <x:c r="L11" s="9" t="str">
        <x:v>Bus proposé HOM/THESSIA; snapshots exploration, tension et dialogue; fondus après chargement.</x:v>
      </x:c>
      <x:c r="M11" s="9" t="str">
        <x:v>Conserver l’autonomie des quatre numéros et leurs raccords. Les variantes locales ne sauvent pas des personnages dont l’issue est fixée ni ne donnent à un jeune personnage son arsenal adulte.</x:v>
      </x:c>
      <x:c r="N11" s="9" t="str">
        <x:v>Un parcours muet reste compréhensible; l’entrée en dialogue baisse les ambiances sans couper brutalement leur réverbération.</x:v>
      </x:c>
      <x:c r="O11" s="9" t="str">
        <x:v>HOM-ZONE-THESSIA</x:v>
      </x:c>
      <x:c r="P11" s="9" t="str">
        <x:v>Création sonore originale; aucune piste commerciale requise.</x:v>
      </x:c>
      <x:c r="Q11" s="9" t="str"/>
      <x:c r="R11" s="20" t="str"/>
      <x:c r="S11" s="20" t="str"/>
    </x:row>
    <x:row r="12" ht="68" customHeight="1">
      <x:c r="A12" s="19" t="str">
        <x:v>HOM-AUD-KAHJE</x:v>
      </x:c>
      <x:c r="B12" s="7" t="str">
        <x:v>Kahje — accès au sanctuaire — paysage sonore</x:v>
      </x:c>
      <x:c r="C12" s="15" t="str">
        <x:v>Défini</x:v>
      </x:c>
      <x:c r="D12" s="17" t="str">
        <x:v>Extrapolation</x:v>
      </x:c>
      <x:c r="E12" s="17" t="str">
        <x:v>P1</x:v>
      </x:c>
      <x:c r="F12" s="7" t="str">
        <x:v>Pression sourde, coque et gouttes ponctuelles.</x:v>
      </x:c>
      <x:c r="G12" s="7" t="str">
        <x:v>Contraste entre négociation, eau et archives.</x:v>
      </x:c>
      <x:c r="H12" s="7" t="str">
        <x:v>Doubler les alarmes utiles par texte, symbole ou changement de pose; les bruits d’ambiance ne portent pas seuls une information obligatoire.</x:v>
      </x:c>
      <x:c r="I12" s="7" t="str">
        <x:v>Bleus profonds, volumes étanches et végétation seulement si vérifiée.</x:v>
      </x:c>
      <x:c r="J12" s="7" t="str">
        <x:v>Déclencher les contacts mécaniques au mouvement visible; éviter les boucles désynchronisées des portes.</x:v>
      </x:c>
      <x:c r="K12" s="7" t="str">
        <x:v>Pression sourde, coque et gouttes ponctuelles. Composer une ambiance originale en couches fond / activité / danger, avec réglage indépendant des voix.</x:v>
      </x:c>
      <x:c r="L12" s="7" t="str">
        <x:v>Bus proposé HOM/KAHJE; snapshots exploration, tension et dialogue; fondus après chargement.</x:v>
      </x:c>
      <x:c r="M12" s="7" t="str">
        <x:v>Conserver l’autonomie des quatre numéros et leurs raccords. Les variantes locales ne sauvent pas des personnages dont l’issue est fixée ni ne donnent à un jeune personnage son arsenal adulte.</x:v>
      </x:c>
      <x:c r="N12" s="7" t="str">
        <x:v>Un parcours muet reste compréhensible; l’entrée en dialogue baisse les ambiances sans couper brutalement leur réverbération.</x:v>
      </x:c>
      <x:c r="O12" s="7" t="str">
        <x:v>HOM-ZONE-KAHJE</x:v>
      </x:c>
      <x:c r="P12" s="7" t="str">
        <x:v>Création sonore originale; aucune piste commerciale requise.</x:v>
      </x:c>
      <x:c r="Q12" s="7" t="str"/>
      <x:c r="R12" s="21" t="str"/>
      <x:c r="S12" s="21" t="str"/>
    </x:row>
  </x:sheetData>
  <x:conditionalFormatting sqref="D7:D12">
    <x:cfRule type="cellIs" dxfId="88" priority="1" operator="equal">
      <x:formula>"À vérifier"</x:formula>
    </x:cfRule>
    <x:cfRule type="cellIs" dxfId="89" priority="2" operator="equal">
      <x:formula>"Extrapolation"</x:formula>
    </x:cfRule>
  </x:conditionalFormatting>
  <x:conditionalFormatting sqref="C7:C12">
    <x:cfRule type="cellIs" dxfId="90" priority="3" operator="equal">
      <x:formula>"Validé"</x:formula>
    </x:cfRule>
  </x:conditionalFormatting>
  <x:conditionalFormatting sqref="E7:E12">
    <x:cfRule type="cellIs" dxfId="91" priority="4" operator="equal">
      <x:formula>"P0"</x:formula>
    </x:cfRule>
  </x:conditionalFormatting>
  <x:dataValidations count="3">
    <x:dataValidation type="list" sqref="C7:C12">
      <x:formula1>"Défini,Prototype,Intégré,Validé"</x:formula1>
    </x:dataValidation>
    <x:dataValidation type="list" sqref="D7:D12">
      <x:formula1>"Établi,À vérifier,Extrapolation,Coupé attesté,Concept abandonné,Allégation écartée"</x:formula1>
    </x:dataValidation>
    <x:dataValidation type="list" sqref="E7:E12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8fb848ef3942ac"/>
  </x:tableParts>
</x:worksheet>
</file>

<file path=xl/worksheets/sheet2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Systèmes et UI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Homeworlds — Interface et règles de jeu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68" customHeight="1">
      <x:c r="A7" s="18" t="str">
        <x:v>HOM-SYS-CANON</x:v>
      </x:c>
      <x:c r="B7" s="9" t="str">
        <x:v>Journal à deux niveaux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Dans Homeworlds, séparer faits attestés, données à contrôler et événements issus des règles du fan game.</x:v>
      </x:c>
      <x:c r="G7" s="9" t="str">
        <x:v>La continuité éditoriale est distincte des essais de gameplay; un choix stratégique ne réécrit pas la fin publiée.</x:v>
      </x:c>
      <x:c r="H7" s="9" t="str">
        <x:v>La continuité éditoriale est distincte des essais de gameplay; un choix stratégique ne réécrit pas la fin publiée.</x:v>
      </x:c>
      <x:c r="I7" s="9" t="str"/>
      <x:c r="J7" s="9" t="str"/>
      <x:c r="K7" s="9" t="str"/>
      <x:c r="L7" s="9" t="str">
        <x:v>Contrat de production HOM/SYS-CANON; à appliquer au futur contenu de l'œuvre.</x:v>
      </x:c>
      <x:c r="M7" s="9" t="str">
        <x:v>Conserver l’autonomie des quatre numéros et leurs raccords. Les variantes locales ne sauvent pas des personnages dont l’issue est fixée ni ne donnent à un jeune personnage son arsenal adulte.</x:v>
      </x:c>
      <x:c r="N7" s="9" t="str">
        <x:v>Chaque entrée de journal porte sa provenance; un résultat de combat ne change jamais le niveau de certitude du fait source.</x:v>
      </x:c>
      <x:c r="O7" s="9" t="str">
        <x:v>HOM-REF-SCOPE</x:v>
      </x:c>
      <x:c r="P7" s="9" t="str">
        <x:v>Règle originale de production; les ancrages de continuité sont documentés dans les fiches REF.</x:v>
      </x:c>
      <x:c r="Q7" s="9" t="str"/>
      <x:c r="R7" s="20" t="str"/>
      <x:c r="S7" s="20" t="str"/>
    </x:row>
    <x:row r="8" ht="68" customHeight="1">
      <x:c r="A8" s="19" t="str">
        <x:v>HOM-SYS-GROUP</x:v>
      </x:c>
      <x:c r="B8" s="7" t="str">
        <x:v>Groupe propre au chapitre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Un protagoniste principal par numéro. Les soutiens locaux, notamment Quoyle pour Liara, ne traversent pas automatiquement les autres récits.</x:v>
      </x:c>
      <x:c r="G8" s="7" t="str">
        <x:v>Former le groupe à partir du chapitre actif; les rôles de soutien ne deviennent pas des recrutements permanents.</x:v>
      </x:c>
      <x:c r="H8" s="7" t="str">
        <x:v>Former le groupe à partir du chapitre actif; les rôles de soutien ne deviennent pas des recrutements permanents.</x:v>
      </x:c>
      <x:c r="I8" s="7" t="str"/>
      <x:c r="J8" s="7" t="str"/>
      <x:c r="K8" s="7" t="str"/>
      <x:c r="L8" s="7" t="str">
        <x:v>Contrat de production HOM/SYS-GROUP; à appliquer au futur contenu de l'œuvre.</x:v>
      </x:c>
      <x:c r="M8" s="7" t="str">
        <x:v>Conserver l’autonomie des quatre numéros et leurs raccords. Les variantes locales ne sauvent pas des personnages dont l’issue est fixée ni ne donnent à un jeune personnage son arsenal adulte.</x:v>
      </x:c>
      <x:c r="N8" s="7" t="str">
        <x:v>Recharger un chapitre restitue uniquement son groupe autorisé, ses positions et ses commandes proposées.</x:v>
      </x:c>
      <x:c r="O8" s="7" t="str">
        <x:v>HOM-REF-SCOPE</x:v>
      </x:c>
      <x:c r="P8" s="7" t="str">
        <x:v>Règle originale de production; les ancrages de continuité sont documentés dans les fiches REF.</x:v>
      </x:c>
      <x:c r="Q8" s="7" t="str"/>
      <x:c r="R8" s="21" t="str"/>
      <x:c r="S8" s="21" t="str"/>
    </x:row>
    <x:row r="9" ht="68" customHeight="1">
      <x:c r="A9" s="18" t="str">
        <x:v>HOM-SYS-ATB</x:v>
      </x:c>
      <x:c r="B9" s="9" t="str">
        <x:v>Rythme ATB proposé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#1 : observation et fuite; #2 : protection d’un objectif; #3 : défense de position; #4 : biotique et environnement. Tous sont des systèmes originaux.</x:v>
      </x:c>
      <x:c r="G9" s="9" t="str">
        <x:v>Pause de planification, annonce visible, résolution déterministe et commandes annulables avant confirmation.</x:v>
      </x:c>
      <x:c r="H9" s="9" t="str">
        <x:v>Pause de planification, annonce visible, résolution déterministe et commandes annulables avant confirmation.</x:v>
      </x:c>
      <x:c r="I9" s="9" t="str"/>
      <x:c r="J9" s="9" t="str"/>
      <x:c r="K9" s="9" t="str"/>
      <x:c r="L9" s="9" t="str">
        <x:v>Contrat de production HOM/SYS-ATB; à appliquer au futur contenu de l'œuvre.</x:v>
      </x:c>
      <x:c r="M9" s="9" t="str">
        <x:v>Conserver l’autonomie des quatre numéros et leurs raccords. Les variantes locales ne sauvent pas des personnages dont l’issue est fixée ni ne donnent à un jeune personnage son arsenal adulte.</x:v>
      </x:c>
      <x:c r="N9" s="9" t="str">
        <x:v>Un lecteur peut suivre chaque préparation sans son; la vitesse réglable ne modifie pas les conditions du raccord narratif.</x:v>
      </x:c>
      <x:c r="O9" s="9" t="str">
        <x:v>HOM-REF-SCOPE</x:v>
      </x:c>
      <x:c r="P9" s="9" t="str">
        <x:v>Règle originale de production; les ancrages de continuité sont documentés dans les fiches REF.</x:v>
      </x:c>
      <x:c r="Q9" s="9" t="str"/>
      <x:c r="R9" s="20" t="str"/>
      <x:c r="S9" s="20" t="str"/>
    </x:row>
    <x:row r="10" ht="68" customHeight="1">
      <x:c r="A10" s="19" t="str">
        <x:v>HOM-SYS-SAVE</x:v>
      </x:c>
      <x:c r="B10" s="7" t="str">
        <x:v>Sauvegarde des modules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Conserver la progression de Homeworlds sans exporter une issue hypothétique vers la continuité des jeux.</x:v>
      </x:c>
      <x:c r="G10" s="7" t="str">
        <x:v>Sauvegarder séparément les quatre récits et leurs flashbacks. Conserver les objets de mission dans le bon numéro, sans transférer les capacités adultes vers un avatar jeune.</x:v>
      </x:c>
      <x:c r="H10" s="7" t="str">
        <x:v>Sauvegarder séparément les quatre récits et leurs flashbacks. Conserver les objets de mission dans le bon numéro, sans transférer les capacités adultes vers un avatar jeune.</x:v>
      </x:c>
      <x:c r="I10" s="7" t="str"/>
      <x:c r="J10" s="7" t="str"/>
      <x:c r="K10" s="7" t="str"/>
      <x:c r="L10" s="7" t="str">
        <x:v>Contrat de production HOM/SYS-SAVE; à appliquer au futur contenu de l'œuvre.</x:v>
      </x:c>
      <x:c r="M10" s="7" t="str">
        <x:v>Conserver l’autonomie des quatre numéros et leurs raccords. Les variantes locales ne sauvent pas des personnages dont l’issue est fixée ni ne donnent à un jeune personnage son arsenal adulte.</x:v>
      </x:c>
      <x:c r="N10" s="7" t="str">
        <x:v>Sauvegarder, quitter et reprendre avant/après un raccord ne double aucun objet, objectif ou récompense.</x:v>
      </x:c>
      <x:c r="O10" s="7" t="str">
        <x:v>HOM-REF-SCOPE</x:v>
      </x:c>
      <x:c r="P10" s="7" t="str">
        <x:v>Règle originale de production; les ancrages de continuité sont documentés dans les fiches REF.</x:v>
      </x:c>
      <x:c r="Q10" s="7" t="str"/>
      <x:c r="R10" s="21" t="str"/>
      <x:c r="S10" s="21" t="str"/>
    </x:row>
  </x:sheetData>
  <x:conditionalFormatting sqref="D7:D10">
    <x:cfRule type="cellIs" dxfId="92" priority="1" operator="equal">
      <x:formula>"À vérifier"</x:formula>
    </x:cfRule>
    <x:cfRule type="cellIs" dxfId="93" priority="2" operator="equal">
      <x:formula>"Extrapolation"</x:formula>
    </x:cfRule>
  </x:conditionalFormatting>
  <x:conditionalFormatting sqref="C7:C10">
    <x:cfRule type="cellIs" dxfId="94" priority="3" operator="equal">
      <x:formula>"Validé"</x:formula>
    </x:cfRule>
  </x:conditionalFormatting>
  <x:conditionalFormatting sqref="E7:E10">
    <x:cfRule type="cellIs" dxfId="95" priority="4" operator="equal">
      <x:formula>"P0"</x:formula>
    </x:cfRule>
  </x:conditionalFormatting>
  <x:dataValidations count="3">
    <x:dataValidation type="list" sqref="C7:C10">
      <x:formula1>"Défini,Prototype,Intégré,Validé"</x:formula1>
    </x:dataValidation>
    <x:dataValidation type="list" sqref="D7:D10">
      <x:formula1>"Établi,À vérifier,Extrapolation,Coupé attesté,Concept abandonné,Allégation écartée"</x:formula1>
    </x:dataValidation>
    <x:dataValidation type="list" sqref="E7:E1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850005b913041ec"/>
  </x:tableParts>
</x:worksheet>
</file>

<file path=xl/worksheets/sheet2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QA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Homeworlds — Critères de test et contrôles de fidélité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68" customHeight="1">
      <x:c r="A7" s="18" t="str">
        <x:v>HOM-SC-VEGA-YOUTH-QA</x:v>
      </x:c>
      <x:c r="B7" s="9" t="str">
        <x:v>#1 — choisir sa voie — contrôle du parcours</x:v>
      </x:c>
      <x:c r="C7" s="15" t="str">
        <x:v>Défini</x:v>
      </x:c>
      <x:c r="D7" s="16" t="str">
        <x:v>Extrapolation</x:v>
      </x:c>
      <x:c r="E7" s="16" t="str">
        <x:v>P0</x:v>
      </x:c>
      <x:c r="F7" s="9" t="str">
        <x:v>Rejouer « #1 — choisir sa voie » par les deux méthodes proposées, avec tâche facultative ignorée puis terminée, et en sautant le raccord.</x:v>
      </x:c>
      <x:c r="G7" s="9" t="str">
        <x:v>Rue → obstacle → refuge provisoire → conversation.</x:v>
      </x:c>
      <x:c r="H7" s="9" t="str">
        <x:v>Course découpée en observations et traversées; pas de statistiques militaires de l’adulte ni de combat récompensant la violence familiale.</x:v>
      </x:c>
      <x:c r="I7" s="9" t="str"/>
      <x:c r="J7" s="9" t="str"/>
      <x:c r="K7" s="9" t="str"/>
      <x:c r="L7" s="9" t="str">
        <x:v>Scénarios de recette à exécuter pour HOM/VEGA-YOUTH; consigner résultat réel et preuve seulement lors d’une future réalisation.</x:v>
      </x:c>
      <x:c r="M7" s="9" t="str">
        <x:v>Fiche de recette définie; aucun test du jeu n’a été exécuté par ce catalogue.</x:v>
      </x:c>
      <x:c r="N7" s="9" t="str">
        <x:v>L'objectif « #1 — choisir sa voie » atteint son raccord annoncé après chaque méthode; sauvegarde, rechargement et saut de scène n'en changent ni le groupe ni les informations acquises.</x:v>
      </x:c>
      <x:c r="O7" s="9" t="str">
        <x:v>HOM-SC-VEGA-YOUTH-MAIN, HOM-SC-VEGA-YOUTH-CHOICE, HOM-SC-VEGA-YOUTH-CINE, HOM-SC-VEGA-YOUTH-PROP</x:v>
      </x:c>
      <x:c r="P7" s="9" t="str">
        <x:v>Critère de production original, pas une validation déjà obtenue.</x:v>
      </x:c>
      <x:c r="Q7" s="9" t="str"/>
      <x:c r="R7" s="20" t="str"/>
      <x:c r="S7" s="20" t="str"/>
    </x:row>
    <x:row r="8" ht="68" customHeight="1">
      <x:c r="A8" s="19" t="str">
        <x:v>HOM-SC-VEGA-PRESENT-QA</x:v>
      </x:c>
      <x:c r="B8" s="7" t="str">
        <x:v>#1 — rechercher les proches — contrôle du parcours</x:v>
      </x:c>
      <x:c r="C8" s="15" t="str">
        <x:v>Défini</x:v>
      </x:c>
      <x:c r="D8" s="17" t="str">
        <x:v>Extrapolation</x:v>
      </x:c>
      <x:c r="E8" s="17" t="str">
        <x:v>P0</x:v>
      </x:c>
      <x:c r="F8" s="7" t="str">
        <x:v>Rejouer « #1 — rechercher les proches » par les deux méthodes proposées, avec tâche facultative ignorée puis terminée, et en sautant le raccord.</x:v>
      </x:c>
      <x:c r="G8" s="7" t="str">
        <x:v>Demande → absence d’information → souvenir → retour au présent.</x:v>
      </x:c>
      <x:c r="H8" s="7" t="str">
        <x:v>La recherche ne devient pas un puzzle promettant de retrouver les proches; son résultat source est conservé.</x:v>
      </x:c>
      <x:c r="I8" s="7" t="str"/>
      <x:c r="J8" s="7" t="str"/>
      <x:c r="K8" s="7" t="str"/>
      <x:c r="L8" s="7" t="str">
        <x:v>Scénarios de recette à exécuter pour HOM/VEGA-PRESENT; consigner résultat réel et preuve seulement lors d’une future réalisation.</x:v>
      </x:c>
      <x:c r="M8" s="7" t="str">
        <x:v>Fiche de recette définie; aucun test du jeu n’a été exécuté par ce catalogue.</x:v>
      </x:c>
      <x:c r="N8" s="7" t="str">
        <x:v>L'objectif « #1 — rechercher les proches » atteint son raccord annoncé après chaque méthode; sauvegarde, rechargement et saut de scène n'en changent ni le groupe ni les informations acquises.</x:v>
      </x:c>
      <x:c r="O8" s="7" t="str">
        <x:v>HOM-SC-VEGA-PRESENT-MAIN, HOM-SC-VEGA-PRESENT-CHOICE, HOM-SC-VEGA-PRESENT-CINE, HOM-SC-VEGA-PRESENT-PROP</x:v>
      </x:c>
      <x:c r="P8" s="7" t="str">
        <x:v>Critère de production original, pas une validation déjà obtenue.</x:v>
      </x:c>
      <x:c r="Q8" s="7" t="str"/>
      <x:c r="R8" s="21" t="str"/>
      <x:c r="S8" s="21" t="str"/>
    </x:row>
    <x:row r="9" ht="68" customHeight="1">
      <x:c r="A9" s="18" t="str">
        <x:v>HOM-SC-TALI-TRACE-QA</x:v>
      </x:c>
      <x:c r="B9" s="9" t="str">
        <x:v>#2 — protéger la découverte — contrôle du parcours</x:v>
      </x:c>
      <x:c r="C9" s="15" t="str">
        <x:v>Défini</x:v>
      </x:c>
      <x:c r="D9" s="16" t="str">
        <x:v>Extrapolation</x:v>
      </x:c>
      <x:c r="E9" s="16" t="str">
        <x:v>P0</x:v>
      </x:c>
      <x:c r="F9" s="9" t="str">
        <x:v>Rejouer « #2 — protéger la découverte » par les deux méthodes proposées, avec tâche facultative ignorée puis terminée, et en sautant le raccord.</x:v>
      </x:c>
      <x:c r="G9" s="9" t="str">
        <x:v>Observation → protection des données → déplacement → sortie.</x:v>
      </x:c>
      <x:c r="H9" s="9" t="str">
        <x:v>Le fichier est un objectif persistant non vendable; une interruption impose une reprise locale, jamais son effacement définitif par hasard.</x:v>
      </x:c>
      <x:c r="I9" s="9" t="str"/>
      <x:c r="J9" s="9" t="str"/>
      <x:c r="K9" s="9" t="str"/>
      <x:c r="L9" s="9" t="str">
        <x:v>Scénarios de recette à exécuter pour HOM/TALI-TRACE; consigner résultat réel et preuve seulement lors d’une future réalisation.</x:v>
      </x:c>
      <x:c r="M9" s="9" t="str">
        <x:v>Fiche de recette définie; aucun test du jeu n’a été exécuté par ce catalogue.</x:v>
      </x:c>
      <x:c r="N9" s="9" t="str">
        <x:v>L'objectif « #2 — protéger la découverte » atteint son raccord annoncé après chaque méthode; sauvegarde, rechargement et saut de scène n'en changent ni le groupe ni les informations acquises.</x:v>
      </x:c>
      <x:c r="O9" s="9" t="str">
        <x:v>HOM-SC-TALI-TRACE-MAIN, HOM-SC-TALI-TRACE-CHOICE, HOM-SC-TALI-TRACE-CINE, HOM-SC-TALI-TRACE-PROP</x:v>
      </x:c>
      <x:c r="P9" s="9" t="str">
        <x:v>Critère de production original, pas une validation déjà obtenue.</x:v>
      </x:c>
      <x:c r="Q9" s="9" t="str"/>
      <x:c r="R9" s="20" t="str"/>
      <x:c r="S9" s="20" t="str"/>
    </x:row>
    <x:row r="10" ht="68" customHeight="1">
      <x:c r="A10" s="19" t="str">
        <x:v>HOM-SC-TALI-CITADEL-QA</x:v>
      </x:c>
      <x:c r="B10" s="7" t="str">
        <x:v>#2 — demander de l’aide — contrôle du parcours</x:v>
      </x:c>
      <x:c r="C10" s="15" t="str">
        <x:v>Défini</x:v>
      </x:c>
      <x:c r="D10" s="17" t="str">
        <x:v>Extrapolation</x:v>
      </x:c>
      <x:c r="E10" s="17" t="str">
        <x:v>P0</x:v>
      </x:c>
      <x:c r="F10" s="7" t="str">
        <x:v>Rejouer « #2 — demander de l’aide » par les deux méthodes proposées, avec tâche facultative ignorée puis terminée, et en sautant le raccord.</x:v>
      </x:c>
      <x:c r="G10" s="7" t="str">
        <x:v>Accueil difficile → options de contact → passage sécurisé → raccord.</x:v>
      </x:c>
      <x:c r="H10" s="7" t="str">
        <x:v>Les obstacles de dialogue ne valident pas les préjugés; ils exposent une difficulté du personnage avec des sorties alternatives claires.</x:v>
      </x:c>
      <x:c r="I10" s="7" t="str"/>
      <x:c r="J10" s="7" t="str"/>
      <x:c r="K10" s="7" t="str"/>
      <x:c r="L10" s="7" t="str">
        <x:v>Scénarios de recette à exécuter pour HOM/TALI-CITADEL; consigner résultat réel et preuve seulement lors d’une future réalisation.</x:v>
      </x:c>
      <x:c r="M10" s="7" t="str">
        <x:v>Fiche de recette définie; aucun test du jeu n’a été exécuté par ce catalogue.</x:v>
      </x:c>
      <x:c r="N10" s="7" t="str">
        <x:v>L'objectif « #2 — demander de l’aide » atteint son raccord annoncé après chaque méthode; sauvegarde, rechargement et saut de scène n'en changent ni le groupe ni les informations acquises.</x:v>
      </x:c>
      <x:c r="O10" s="7" t="str">
        <x:v>HOM-SC-TALI-CITADEL-MAIN, HOM-SC-TALI-CITADEL-CHOICE, HOM-SC-TALI-CITADEL-CINE, HOM-SC-TALI-CITADEL-PROP</x:v>
      </x:c>
      <x:c r="P10" s="7" t="str">
        <x:v>Critère de production original, pas une validation déjà obtenue.</x:v>
      </x:c>
      <x:c r="Q10" s="7" t="str"/>
      <x:c r="R10" s="21" t="str"/>
      <x:c r="S10" s="21" t="str"/>
    </x:row>
    <x:row r="11" ht="68" customHeight="1">
      <x:c r="A11" s="18" t="str">
        <x:v>HOM-SC-GARRUS-PAST-QA</x:v>
      </x:c>
      <x:c r="B11" s="9" t="str">
        <x:v>#3 — leçons et limites — contrôle du parcours</x:v>
      </x:c>
      <x:c r="C11" s="15" t="str">
        <x:v>Défini</x:v>
      </x:c>
      <x:c r="D11" s="16" t="str">
        <x:v>Extrapolation</x:v>
      </x:c>
      <x:c r="E11" s="16" t="str">
        <x:v>P0</x:v>
      </x:c>
      <x:c r="F11" s="9" t="str">
        <x:v>Rejouer « #3 — leçons et limites » par les deux méthodes proposées, avec tâche facultative ignorée puis terminée, et en sautant le raccord.</x:v>
      </x:c>
      <x:c r="G11" s="9" t="str">
        <x:v>Entraînement → échange familial → ellipse → désaccord professionnel.</x:v>
      </x:c>
      <x:c r="H11" s="9" t="str">
        <x:v>Le tir d’entraînement porte sur des cibles mécaniques; aucune précision parfaite obligatoire pour voir le récit.</x:v>
      </x:c>
      <x:c r="I11" s="9" t="str"/>
      <x:c r="J11" s="9" t="str"/>
      <x:c r="K11" s="9" t="str"/>
      <x:c r="L11" s="9" t="str">
        <x:v>Scénarios de recette à exécuter pour HOM/GARRUS-PAST; consigner résultat réel et preuve seulement lors d’une future réalisation.</x:v>
      </x:c>
      <x:c r="M11" s="9" t="str">
        <x:v>Fiche de recette définie; aucun test du jeu n’a été exécuté par ce catalogue.</x:v>
      </x:c>
      <x:c r="N11" s="9" t="str">
        <x:v>L'objectif « #3 — leçons et limites » atteint son raccord annoncé après chaque méthode; sauvegarde, rechargement et saut de scène n'en changent ni le groupe ni les informations acquises.</x:v>
      </x:c>
      <x:c r="O11" s="9" t="str">
        <x:v>HOM-SC-GARRUS-PAST-MAIN, HOM-SC-GARRUS-PAST-CHOICE, HOM-SC-GARRUS-PAST-CINE, HOM-SC-GARRUS-PAST-PROP</x:v>
      </x:c>
      <x:c r="P11" s="9" t="str">
        <x:v>Critère de production original, pas une validation déjà obtenue.</x:v>
      </x:c>
      <x:c r="Q11" s="9" t="str"/>
      <x:c r="R11" s="20" t="str"/>
      <x:c r="S11" s="20" t="str"/>
    </x:row>
    <x:row r="12" ht="68" customHeight="1">
      <x:c r="A12" s="19" t="str">
        <x:v>HOM-SC-GARRUS-OMEGA-QA</x:v>
      </x:c>
      <x:c r="B12" s="7" t="str">
        <x:v>#3 — tenir comme Archangel — contrôle du parcours</x:v>
      </x:c>
      <x:c r="C12" s="15" t="str">
        <x:v>Défini</x:v>
      </x:c>
      <x:c r="D12" s="17" t="str">
        <x:v>Extrapolation</x:v>
      </x:c>
      <x:c r="E12" s="17" t="str">
        <x:v>P0</x:v>
      </x:c>
      <x:c r="F12" s="7" t="str">
        <x:v>Rejouer « #3 — tenir comme Archangel » par les deux méthodes proposées, avec tâche facultative ignorée puis terminée, et en sautant le raccord.</x:v>
      </x:c>
      <x:c r="G12" s="7" t="str">
        <x:v>Repérage → vagues limitées proposées → communication → raccord.</x:v>
      </x:c>
      <x:c r="H12" s="7" t="str">
        <x:v>Le nombre de vagues est un réglage de prototype; une ligne claire montre le temps narratif restant, sans promettre la reconquête d’Omega.</x:v>
      </x:c>
      <x:c r="I12" s="7" t="str"/>
      <x:c r="J12" s="7" t="str"/>
      <x:c r="K12" s="7" t="str"/>
      <x:c r="L12" s="7" t="str">
        <x:v>Scénarios de recette à exécuter pour HOM/GARRUS-OMEGA; consigner résultat réel et preuve seulement lors d’une future réalisation.</x:v>
      </x:c>
      <x:c r="M12" s="7" t="str">
        <x:v>Fiche de recette définie; aucun test du jeu n’a été exécuté par ce catalogue.</x:v>
      </x:c>
      <x:c r="N12" s="7" t="str">
        <x:v>L'objectif « #3 — tenir comme Archangel » atteint son raccord annoncé après chaque méthode; sauvegarde, rechargement et saut de scène n'en changent ni le groupe ni les informations acquises.</x:v>
      </x:c>
      <x:c r="O12" s="7" t="str">
        <x:v>HOM-SC-GARRUS-OMEGA-MAIN, HOM-SC-GARRUS-OMEGA-CHOICE, HOM-SC-GARRUS-OMEGA-CINE, HOM-SC-GARRUS-OMEGA-PROP</x:v>
      </x:c>
      <x:c r="P12" s="7" t="str">
        <x:v>Critère de production original, pas une validation déjà obtenue.</x:v>
      </x:c>
      <x:c r="Q12" s="7" t="str"/>
      <x:c r="R12" s="21" t="str"/>
      <x:c r="S12" s="21" t="str"/>
    </x:row>
    <x:row r="13" ht="68" customHeight="1">
      <x:c r="A13" s="18" t="str">
        <x:v>HOM-SC-LIARA-ARCHIVE-QA</x:v>
      </x:c>
      <x:c r="B13" s="9" t="str">
        <x:v>#4 — suivre les archives — contrôle du parcours</x:v>
      </x:c>
      <x:c r="C13" s="15" t="str">
        <x:v>Défini</x:v>
      </x:c>
      <x:c r="D13" s="16" t="str">
        <x:v>Extrapolation</x:v>
      </x:c>
      <x:c r="E13" s="16" t="str">
        <x:v>P0</x:v>
      </x:c>
      <x:c r="F13" s="9" t="str">
        <x:v>Rejouer « #4 — suivre les archives » par les deux méthodes proposées, avec tâche facultative ignorée puis terminée, et en sautant le raccord.</x:v>
      </x:c>
      <x:c r="G13" s="9" t="str">
        <x:v>Entretien savant → archive insuffisante → nouvelle piste → négociation d’accès.</x:v>
      </x:c>
      <x:c r="H13" s="9" t="str">
        <x:v>Le joueur classe observation, rumeur et accès; aucune archive inventée ne révèle la solution complète aux Moissonneurs.</x:v>
      </x:c>
      <x:c r="I13" s="9" t="str"/>
      <x:c r="J13" s="9" t="str"/>
      <x:c r="K13" s="9" t="str"/>
      <x:c r="L13" s="9" t="str">
        <x:v>Scénarios de recette à exécuter pour HOM/LIARA-ARCHIVE; consigner résultat réel et preuve seulement lors d’une future réalisation.</x:v>
      </x:c>
      <x:c r="M13" s="9" t="str">
        <x:v>Fiche de recette définie; aucun test du jeu n’a été exécuté par ce catalogue.</x:v>
      </x:c>
      <x:c r="N13" s="9" t="str">
        <x:v>L'objectif « #4 — suivre les archives » atteint son raccord annoncé après chaque méthode; sauvegarde, rechargement et saut de scène n'en changent ni le groupe ni les informations acquises.</x:v>
      </x:c>
      <x:c r="O13" s="9" t="str">
        <x:v>HOM-SC-LIARA-ARCHIVE-MAIN, HOM-SC-LIARA-ARCHIVE-CHOICE, HOM-SC-LIARA-ARCHIVE-CINE, HOM-SC-LIARA-ARCHIVE-PROP</x:v>
      </x:c>
      <x:c r="P13" s="9" t="str">
        <x:v>Critère de production original, pas une validation déjà obtenue.</x:v>
      </x:c>
      <x:c r="Q13" s="9" t="str"/>
      <x:c r="R13" s="20" t="str"/>
      <x:c r="S13" s="20" t="str"/>
    </x:row>
    <x:row r="14" ht="68" customHeight="1">
      <x:c r="A14" s="19" t="str">
        <x:v>HOM-SC-LIARA-KAHJE-QA</x:v>
      </x:c>
      <x:c r="B14" s="7" t="str">
        <x:v>#4 — passage sous l’eau — contrôle du parcours</x:v>
      </x:c>
      <x:c r="C14" s="15" t="str">
        <x:v>Défini</x:v>
      </x:c>
      <x:c r="D14" s="17" t="str">
        <x:v>Extrapolation</x:v>
      </x:c>
      <x:c r="E14" s="17" t="str">
        <x:v>P0</x:v>
      </x:c>
      <x:c r="F14" s="7" t="str">
        <x:v>Rejouer « #4 — passage sous l’eau » par les deux méthodes proposées, avec tâche facultative ignorée puis terminée, et en sautant le raccord.</x:v>
      </x:c>
      <x:c r="G14" s="7" t="str">
        <x:v>Alerte → maintien biotique → arrivée → confrontation → sortie.</x:v>
      </x:c>
      <x:c r="H14" s="7" t="str">
        <x:v>Le maintien occupe Liara tandis que le partenaire gère un accès; les mesures de pression sont des jauges abstraites proposées.</x:v>
      </x:c>
      <x:c r="I14" s="7" t="str"/>
      <x:c r="J14" s="7" t="str"/>
      <x:c r="K14" s="7" t="str"/>
      <x:c r="L14" s="7" t="str">
        <x:v>Scénarios de recette à exécuter pour HOM/LIARA-KAHJE; consigner résultat réel et preuve seulement lors d’une future réalisation.</x:v>
      </x:c>
      <x:c r="M14" s="7" t="str">
        <x:v>Fiche de recette définie; aucun test du jeu n’a été exécuté par ce catalogue.</x:v>
      </x:c>
      <x:c r="N14" s="7" t="str">
        <x:v>L'objectif « #4 — passage sous l’eau » atteint son raccord annoncé après chaque méthode; sauvegarde, rechargement et saut de scène n'en changent ni le groupe ni les informations acquises.</x:v>
      </x:c>
      <x:c r="O14" s="7" t="str">
        <x:v>HOM-SC-LIARA-KAHJE-MAIN, HOM-SC-LIARA-KAHJE-CHOICE, HOM-SC-LIARA-KAHJE-CINE, HOM-SC-LIARA-KAHJE-PROP</x:v>
      </x:c>
      <x:c r="P14" s="7" t="str">
        <x:v>Critère de production original, pas une validation déjà obtenue.</x:v>
      </x:c>
      <x:c r="Q14" s="7" t="str"/>
      <x:c r="R14" s="21" t="str"/>
      <x:c r="S14" s="21" t="str"/>
    </x:row>
    <x:row r="15" ht="54" customHeight="1">
      <x:c r="A15" s="18" t="str">
        <x:v>HOM-QA-SOURCE</x:v>
      </x:c>
      <x:c r="B15" s="9" t="str">
        <x:v>Vérification des références</x:v>
      </x:c>
      <x:c r="C15" s="15" t="str">
        <x:v>Défini</x:v>
      </x:c>
      <x:c r="D15" s="16" t="str">
        <x:v>Extrapolation</x:v>
      </x:c>
      <x:c r="E15" s="16" t="str">
        <x:v>P0</x:v>
      </x:c>
      <x:c r="F15" s="9" t="str">
        <x:v>Contrôler Homeworlds dans une édition autorisée avant de transformer les éléments À vérifier en faits établis.</x:v>
      </x:c>
      <x:c r="G15" s="9" t="str">
        <x:v>Vérifier le bon numéro, les graphies, les costumes et le placement exact des séquences; aucune pagination non consultée fournie.</x:v>
      </x:c>
      <x:c r="H15" s="9" t="str"/>
      <x:c r="I15" s="9" t="str"/>
      <x:c r="J15" s="9" t="str"/>
      <x:c r="K15" s="9" t="str"/>
      <x:c r="L15" s="9" t="str">
        <x:v>Contrat de production HOM/QA-SOURCE; à appliquer au futur contenu de l'œuvre.</x:v>
      </x:c>
      <x:c r="M15" s="9" t="str">
        <x:v>Recette planifiée; aucune réalisation testée ici.</x:v>
      </x:c>
      <x:c r="N15" s="9" t="str">
        <x:v>Chaque ajout de nom, page, costume ou date est lié à la bonne édition; les descriptions restent brèves et paraphrasées.</x:v>
      </x:c>
      <x:c r="O15" s="9" t="str">
        <x:v>HOM-REF-SCOPE</x:v>
      </x:c>
      <x:c r="P15" s="9" t="str">
        <x:v>Règle originale de production; les ancrages de continuité sont documentés dans les fiches REF.</x:v>
      </x:c>
      <x:c r="Q15" s="9" t="str"/>
      <x:c r="R15" s="20" t="str"/>
      <x:c r="S15" s="20" t="str"/>
    </x:row>
    <x:row r="16" ht="54" customHeight="1">
      <x:c r="A16" s="19" t="str">
        <x:v>HOM-QA-VISIBILITY</x:v>
      </x:c>
      <x:c r="B16" s="7" t="str">
        <x:v>Lecture des sprites et du terrain</x:v>
      </x:c>
      <x:c r="C16" s="15" t="str">
        <x:v>Défini</x:v>
      </x:c>
      <x:c r="D16" s="17" t="str">
        <x:v>Extrapolation</x:v>
      </x:c>
      <x:c r="E16" s="17" t="str">
        <x:v>P0</x:v>
      </x:c>
      <x:c r="F16" s="7" t="str">
        <x:v>Contrôler la taille des sprites, la séparation des silhouettes et les sorties sous la caméra fixe de chaque scène.</x:v>
      </x:c>
      <x:c r="G16" s="7" t="str">
        <x:v>Faire parcourir les zones avec premier plan actif, sous-titres larges et mode de contraste renforcé.</x:v>
      </x:c>
      <x:c r="H16" s="7" t="str"/>
      <x:c r="I16" s="7" t="str"/>
      <x:c r="J16" s="7" t="str"/>
      <x:c r="K16" s="7" t="str"/>
      <x:c r="L16" s="7" t="str">
        <x:v>Contrat de production HOM/QA-VISIBILITY; à appliquer au futur contenu de l'œuvre.</x:v>
      </x:c>
      <x:c r="M16" s="7" t="str">
        <x:v>Recette planifiée; aucune réalisation testée ici.</x:v>
      </x:c>
      <x:c r="N16" s="7" t="str">
        <x:v>Le personnage contrôlé, les sorties et le signal de danger restent localisables sans désactiver le décor.</x:v>
      </x:c>
      <x:c r="O16" s="7" t="str">
        <x:v>HOM-REF-SCOPE</x:v>
      </x:c>
      <x:c r="P16" s="7" t="str">
        <x:v>Règle originale de production; les ancrages de continuité sont documentés dans les fiches REF.</x:v>
      </x:c>
      <x:c r="Q16" s="7" t="str"/>
      <x:c r="R16" s="21" t="str"/>
      <x:c r="S16" s="21" t="str"/>
    </x:row>
    <x:row r="17" ht="68" customHeight="1">
      <x:c r="A17" s="18" t="str">
        <x:v>HOM-QA-NARRATIVE</x:v>
      </x:c>
      <x:c r="B17" s="9" t="str">
        <x:v>Convergence narrative</x:v>
      </x:c>
      <x:c r="C17" s="15" t="str">
        <x:v>Défini</x:v>
      </x:c>
      <x:c r="D17" s="16" t="str">
        <x:v>Extrapolation</x:v>
      </x:c>
      <x:c r="E17" s="16" t="str">
        <x:v>P0</x:v>
      </x:c>
      <x:c r="F17" s="9" t="str">
        <x:v>Conserver l’autonomie des quatre numéros et leurs raccords. Les variantes locales ne sauvent pas des personnages dont l’issue est fixée ni ne donnent à un jeune personnage son arsenal adulte.</x:v>
      </x:c>
      <x:c r="G17" s="9" t="str">
        <x:v>La continuité éditoriale est distincte des essais de gameplay; un choix stratégique ne réécrit pas la fin publiée.</x:v>
      </x:c>
      <x:c r="H17" s="9" t="str"/>
      <x:c r="I17" s="9" t="str"/>
      <x:c r="J17" s="9" t="str"/>
      <x:c r="K17" s="9" t="str"/>
      <x:c r="L17" s="9" t="str">
        <x:v>Contrat de production HOM/QA-NARRATIVE; à appliquer au futur contenu de l'œuvre.</x:v>
      </x:c>
      <x:c r="M17" s="9" t="str">
        <x:v>Recette planifiée; aucune réalisation testée ici.</x:v>
      </x:c>
      <x:c r="N17" s="9" t="str">
        <x:v>Jouer chaque choix local et passer chaque cinématique produit les mêmes ancrages de conclusion; les divergences restent marquées adaptation.</x:v>
      </x:c>
      <x:c r="O17" s="9" t="str">
        <x:v>HOM-REF-SCOPE</x:v>
      </x:c>
      <x:c r="P17" s="9" t="str">
        <x:v>Règle originale de production; les ancrages de continuité sont documentés dans les fiches REF.</x:v>
      </x:c>
      <x:c r="Q17" s="9" t="str"/>
      <x:c r="R17" s="20" t="str"/>
      <x:c r="S17" s="20" t="str"/>
    </x:row>
  </x:sheetData>
  <x:conditionalFormatting sqref="D7:D17">
    <x:cfRule type="cellIs" dxfId="96" priority="1" operator="equal">
      <x:formula>"À vérifier"</x:formula>
    </x:cfRule>
    <x:cfRule type="cellIs" dxfId="97" priority="2" operator="equal">
      <x:formula>"Extrapolation"</x:formula>
    </x:cfRule>
  </x:conditionalFormatting>
  <x:conditionalFormatting sqref="C7:C17">
    <x:cfRule type="cellIs" dxfId="98" priority="3" operator="equal">
      <x:formula>"Validé"</x:formula>
    </x:cfRule>
  </x:conditionalFormatting>
  <x:conditionalFormatting sqref="E7:E17">
    <x:cfRule type="cellIs" dxfId="99" priority="4" operator="equal">
      <x:formula>"P0"</x:formula>
    </x:cfRule>
  </x:conditionalFormatting>
  <x:dataValidations count="3">
    <x:dataValidation type="list" sqref="C7:C17">
      <x:formula1>"Défini,Prototype,Intégré,Validé"</x:formula1>
    </x:dataValidation>
    <x:dataValidation type="list" sqref="D7:D17">
      <x:formula1>"Établi,À vérifier,Extrapolation,Coupé attesté,Concept abandonné,Allégation écartée"</x:formula1>
    </x:dataValidation>
    <x:dataValidation type="list" sqref="E7:E17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54f868ca934e80"/>
  </x:tableParts>
</x:worksheet>
</file>

<file path=xl/worksheets/sheet2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Continuité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Homeworlds — États persistants, chronologie et limites de l’adaptation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82" customHeight="1">
      <x:c r="A7" s="18" t="str">
        <x:v>HOM-CNT-PLACE</x:v>
      </x:c>
      <x:c r="B7" s="9" t="str">
        <x:v>Position dans l’univers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#1 alterne jeunesse et cadre pendant ME3; #2 précède la rencontre de Tali avec Shepard; #3 relie passé et Archangel; #4 mène vers les recherches de Liara avant ME3. Les dates fines doivent être contrôlées dans les numéros.</x:v>
      </x:c>
      <x:c r="G7" s="9" t="str">
        <x:v>La continuité éditoriale est distincte des essais de gameplay; un choix stratégique ne réécrit pas la fin publiée.</x:v>
      </x:c>
      <x:c r="H7" s="9" t="str"/>
      <x:c r="I7" s="9" t="str"/>
      <x:c r="J7" s="9" t="str"/>
      <x:c r="K7" s="9" t="str"/>
      <x:c r="L7" s="9" t="str">
        <x:v>Contrat de production HOM/CNT-PLACE; à appliquer au futur contenu de l'œuvre.</x:v>
      </x:c>
      <x:c r="M7" s="9" t="str">
        <x:v>Conserver l’autonomie des quatre numéros et leurs raccords. Les variantes locales ne sauvent pas des personnages dont l’issue est fixée ni ne donnent à un jeune personnage son arsenal adulte.</x:v>
      </x:c>
      <x:c r="N7" s="9" t="str">
        <x:v>La frise indique les incertitudes et les liens avec les autres œuvres sans attribuer une date non sourcée.</x:v>
      </x:c>
      <x:c r="O7" s="9" t="str">
        <x:v>HOM-REF-SCOPE</x:v>
      </x:c>
      <x:c r="P7" s="9" t="str">
        <x:v>Règle originale de production; les ancrages de continuité sont documentés dans les fiches REF.</x:v>
      </x:c>
      <x:c r="Q7" s="9" t="str"/>
      <x:c r="R7" s="20" t="str"/>
      <x:c r="S7" s="20" t="str"/>
    </x:row>
    <x:row r="8" ht="68" customHeight="1">
      <x:c r="A8" s="19" t="str">
        <x:v>HOM-CNT-NO-CUT</x:v>
      </x:c>
      <x:c r="B8" s="7" t="str">
        <x:v>Contenus non attestés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Aucune rumeur de scène coupée n’est intégrée à Homeworlds.</x:v>
      </x:c>
      <x:c r="G8" s="7" t="str">
        <x:v>Un contenu absent des notices consultées reste non documenté; une illustration préparatoire ne prouve pas une scène canon.</x:v>
      </x:c>
      <x:c r="H8" s="7" t="str"/>
      <x:c r="I8" s="7" t="str"/>
      <x:c r="J8" s="7" t="str"/>
      <x:c r="K8" s="7" t="str"/>
      <x:c r="L8" s="7" t="str">
        <x:v>Contrat de production HOM/CNT-NO-CUT; à appliquer au futur contenu de l'œuvre.</x:v>
      </x:c>
      <x:c r="M8" s="7" t="str">
        <x:v>Conserver l’autonomie des quatre numéros et leurs raccords. Les variantes locales ne sauvent pas des personnages dont l’issue est fixée ni ne donnent à un jeune personnage son arsenal adulte.</x:v>
      </x:c>
      <x:c r="N8" s="7" t="str">
        <x:v>Une future fiche Coupé attesté ou Concept abandonné devra citer une preuve primaire spécifique.</x:v>
      </x:c>
      <x:c r="O8" s="7" t="str">
        <x:v>HOM-REF-SCOPE</x:v>
      </x:c>
      <x:c r="P8" s="7" t="str">
        <x:v>Règle originale de production; les ancrages de continuité sont documentés dans les fiches REF.</x:v>
      </x:c>
      <x:c r="Q8" s="7" t="str"/>
      <x:c r="R8" s="21" t="str"/>
      <x:c r="S8" s="21" t="str"/>
    </x:row>
  </x:sheetData>
  <x:conditionalFormatting sqref="D7:D8">
    <x:cfRule type="cellIs" dxfId="100" priority="1" operator="equal">
      <x:formula>"À vérifier"</x:formula>
    </x:cfRule>
    <x:cfRule type="cellIs" dxfId="101" priority="2" operator="equal">
      <x:formula>"Extrapolation"</x:formula>
    </x:cfRule>
  </x:conditionalFormatting>
  <x:conditionalFormatting sqref="C7:C8">
    <x:cfRule type="cellIs" dxfId="102" priority="3" operator="equal">
      <x:formula>"Validé"</x:formula>
    </x:cfRule>
  </x:conditionalFormatting>
  <x:conditionalFormatting sqref="E7:E8">
    <x:cfRule type="cellIs" dxfId="103" priority="4" operator="equal">
      <x:formula>"P0"</x:formula>
    </x:cfRule>
  </x:conditionalFormatting>
  <x:dataValidations count="3">
    <x:dataValidation type="list" sqref="C7:C8">
      <x:formula1>"Défini,Prototype,Intégré,Validé"</x:formula1>
    </x:dataValidation>
    <x:dataValidation type="list" sqref="D7:D8">
      <x:formula1>"Établi,À vérifier,Extrapolation,Coupé attesté,Concept abandonné,Allégation écartée"</x:formula1>
    </x:dataValidation>
    <x:dataValidation type="list" sqref="E7:E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02e8be39fed4c6b"/>
  </x:tableParts>
</x:worksheet>
</file>

<file path=xl/worksheets/sheet28.xml><?xml version="1.0" encoding="utf-8"?>
<x:worksheet xmlns:x="http://schemas.openxmlformats.org/spreadsheetml/2006/main">
  <x:sheetPr>
    <x:tabColor rgb="FF78929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67" hidden="0" customWidth="1"/>
    <x:col min="3" max="3" width="47" hidden="0" customWidth="1"/>
    <x:col min="4" max="4" width="90" hidden="0" customWidth="1"/>
    <x:col min="5" max="5" width="48" hidden="0" customWidth="1"/>
    <x:col min="6" max="6" width="65" hidden="0" customWidth="1"/>
  </x:cols>
  <x:sheetData>
    <x:row r="1" ht="22" customHeight="1">
      <x:c r="A1" s="2"/>
      <x:c r="B1" s="2"/>
      <x:c r="C1" s="2"/>
      <x:c r="D1" s="2"/>
      <x:c r="E1" s="2"/>
      <x:c r="F1" s="2"/>
    </x:row>
    <x:row r="2" ht="22" customHeight="1">
      <x:c r="A2" s="3" t="str">
        <x:v>Guide du catalogue</x:v>
      </x:c>
      <x:c r="B2" s="2"/>
      <x:c r="C2" s="2"/>
      <x:c r="D2" s="2"/>
      <x:c r="E2" s="2"/>
      <x:c r="F2" s="2"/>
    </x:row>
    <x:row r="3" ht="22" customHeight="1">
      <x:c r="A3" s="4" t="str">
        <x:v>Mass Effect: Homeworlds</x:v>
      </x:c>
      <x:c r="B3" s="2"/>
      <x:c r="C3" s="2"/>
      <x:c r="D3" s="2"/>
      <x:c r="E3" s="2"/>
      <x:c r="F3" s="2"/>
    </x:row>
    <x:row r="4" ht="22" customHeight="1">
      <x:c r="A4" s="5"/>
      <x:c r="B4" s="5"/>
      <x:c r="C4" s="5"/>
      <x:c r="D4" s="5"/>
      <x:c r="E4" s="5"/>
      <x:c r="F4" s="5"/>
    </x:row>
    <x:row r="5" ht="22" customHeight="1">
      <x:c r="A5" s="2"/>
      <x:c r="B5" s="2"/>
      <x:c r="C5" s="2"/>
      <x:c r="D5" s="2"/>
      <x:c r="E5" s="2"/>
      <x:c r="F5" s="2"/>
    </x:row>
    <x:row r="6" ht="34" customHeight="1">
      <x:c r="A6" s="30" t="str">
        <x:v>Champ</x:v>
      </x:c>
      <x:c r="B6" s="32" t="str">
        <x:v>Définition</x:v>
      </x:c>
      <x:c r="C6" s="2"/>
      <x:c r="D6" s="2"/>
      <x:c r="E6" s="2"/>
      <x:c r="F6" s="2"/>
    </x:row>
    <x:row r="7" ht="30" customHeight="1">
      <x:c r="A7" s="7" t="str">
        <x:v>Œuvre</x:v>
      </x:c>
      <x:c r="B7" s="7" t="str">
        <x:v>Mass Effect: Homeworlds</x:v>
      </x:c>
      <x:c r="C7" s="2"/>
      <x:c r="D7" s="2"/>
      <x:c r="E7" s="2"/>
      <x:c r="F7" s="2"/>
    </x:row>
    <x:row r="8" ht="30" customHeight="1">
      <x:c r="A8" s="7" t="str">
        <x:v>Support</x:v>
      </x:c>
      <x:c r="B8" s="7" t="str">
        <x:v>Comic / bande dessinée</x:v>
      </x:c>
      <x:c r="C8" s="2"/>
      <x:c r="D8" s="2"/>
      <x:c r="E8" s="2"/>
      <x:c r="F8" s="2"/>
    </x:row>
    <x:row r="9" ht="68" customHeight="1">
      <x:c r="A9" s="7" t="str">
        <x:v>Périmètre</x:v>
      </x:c>
      <x:c r="B9" s="7" t="str">
        <x:v>Quatre récits autonomes, repérés par numéro : #1 James Vega, #2 Tali’Zorah, #3 Garrus Vakarian, #4 Liara T’Soni. Flashbacks et cadres présents sont séparés; aucune campagne à quatre héros simultanés n’est affirmée.</x:v>
      </x:c>
      <x:c r="C9" s="2"/>
      <x:c r="D9" s="2"/>
      <x:c r="E9" s="2"/>
      <x:c r="F9" s="2"/>
    </x:row>
    <x:row r="10" ht="68" customHeight="1">
      <x:c r="A10" s="7" t="str">
        <x:v>Projet</x:v>
      </x:c>
      <x:c r="B10" s="7" t="str">
        <x:v>Catalogue de quatre modules partageant un cadre de production, avec des règles propres à la fugue urbaine, à la protection d’une preuve, à une défense de position et à la recherche d’archives.</x:v>
      </x:c>
      <x:c r="C10" s="2"/>
      <x:c r="D10" s="2"/>
      <x:c r="E10" s="2"/>
      <x:c r="F10" s="2"/>
    </x:row>
    <x:row r="11" ht="180" customHeight="1">
      <x:c r="A11" s="7" t="str">
        <x:v>Références et limites</x:v>
      </x:c>
      <x:c r="B11" s="7" t="str">
        <x:v>Les quatre héros sont confirmés par la notice officielle; les détails des numéros sont issus d’extraits wiki indexés et restent À vérifier. Mars n’est ici qu’un raccord documentaire de #4, pas une mission nouvelle. Les missions, options, ATB, coûts, compositions 2D/3D, effets et fichiers proposés sont des extrapolations; aucun chiffre de réglage n’est présenté comme canon. « Établi » qualifie uniquement le fait bref de description, pas sa proposition d’adaptation. Les sources wiki consultées via l’index restent À vérifier. Les 12 pages Fandom fournies ont été tentées en accès direct et ont échoué; les notices officielles et notes d’auteur servent de remplacement lorsque disponibles.</x:v>
      </x:c>
      <x:c r="C11" s="2"/>
      <x:c r="D11" s="2"/>
      <x:c r="E11" s="2"/>
      <x:c r="F11" s="2"/>
    </x:row>
    <x:row r="12" ht="40" customHeight="1">
      <x:c r="A12" s="7" t="str">
        <x:v>Date de référence</x:v>
      </x:c>
      <x:c r="B12" s="44" t="d">
        <x:v>2026-10-22T12:00:00.000Z</x:v>
      </x:c>
      <x:c r="C12" s="2"/>
      <x:c r="D12" s="2"/>
      <x:c r="E12" s="2"/>
      <x:c r="F12" s="2"/>
    </x:row>
    <x:row r="13" ht="40" customHeight="1">
      <x:c r="A13" s="7" t="str">
        <x:v>Statut Défini</x:v>
      </x:c>
      <x:c r="B13" s="7" t="str">
        <x:v>Fiche de conception à réaliser. Aucun asset ou code supplémentaire n’est prouvé par cette valeur.</x:v>
      </x:c>
      <x:c r="C13" s="2"/>
      <x:c r="D13" s="2"/>
      <x:c r="E13" s="2"/>
      <x:c r="F13" s="2"/>
    </x:row>
    <x:row r="14" ht="40" customHeight="1">
      <x:c r="A14" s="7" t="str">
        <x:v>Établi</x:v>
      </x:c>
      <x:c r="B14" s="7" t="str">
        <x:v>Fait de référence documenté. Les colonnes adaptation, règles, visuel et animation décrivent la production envisagée.</x:v>
      </x:c>
      <x:c r="C14" s="2"/>
      <x:c r="D14" s="2"/>
      <x:c r="E14" s="2"/>
      <x:c r="F14" s="2"/>
    </x:row>
    <x:row r="15" ht="40" customHeight="1">
      <x:c r="A15" s="7" t="str">
        <x:v>À vérifier</x:v>
      </x:c>
      <x:c r="B15" s="7" t="str">
        <x:v>Information partielle, indexée ou nécessitant un contrôle dans l’œuvre originale.</x:v>
      </x:c>
      <x:c r="C15" s="2"/>
      <x:c r="D15" s="2"/>
      <x:c r="E15" s="2"/>
      <x:c r="F15" s="2"/>
    </x:row>
    <x:row r="16" ht="40" customHeight="1">
      <x:c r="A16" s="7" t="str">
        <x:v>Extrapolation</x:v>
      </x:c>
      <x:c r="B16" s="7" t="str">
        <x:v>Création ou interprétation pour le fan game. Ne décrit pas un contenu officiel.</x:v>
      </x:c>
      <x:c r="C16" s="2"/>
      <x:c r="D16" s="2"/>
      <x:c r="E16" s="2"/>
      <x:c r="F16" s="2"/>
    </x:row>
    <x:row r="17" ht="40" customHeight="1">
      <x:c r="A17" s="7" t="str">
        <x:v>Coupé attesté</x:v>
      </x:c>
      <x:c r="B17" s="7" t="str">
        <x:v>Contenu retiré appuyé par une source identifiée. Son état exact peut rester à relever.</x:v>
      </x:c>
      <x:c r="C17" s="2"/>
      <x:c r="D17" s="2"/>
      <x:c r="E17" s="2"/>
      <x:c r="F17" s="2"/>
    </x:row>
    <x:row r="18" ht="40" customHeight="1">
      <x:c r="A18" s="7" t="str">
        <x:v>Concept abandonné</x:v>
      </x:c>
      <x:c r="B18" s="7" t="str">
        <x:v>Piste ou prototype documenté, sans scénario final officiel présumé.</x:v>
      </x:c>
      <x:c r="C18" s="2"/>
      <x:c r="D18" s="2"/>
      <x:c r="E18" s="2"/>
      <x:c r="F18" s="2"/>
    </x:row>
    <x:row r="19" ht="40" customHeight="1">
      <x:c r="A19" s="7" t="str">
        <x:v>Allégation écartée</x:v>
      </x:c>
      <x:c r="B19" s="7" t="str">
        <x:v>Hypothèse exclue de la continuité de production. Motif donné dans la fiche.</x:v>
      </x:c>
      <x:c r="C19" s="2"/>
      <x:c r="D19" s="2"/>
      <x:c r="E19" s="2"/>
      <x:c r="F19" s="2"/>
    </x:row>
    <x:row r="20" ht="40" customHeight="1">
      <x:c r="A20" s="7" t="str">
        <x:v>Priorités</x:v>
      </x:c>
      <x:c r="B20" s="7" t="str">
        <x:v>P0 : dépendance structurante. P1 : production du module. P2 : enrichissement ultérieur.</x:v>
      </x:c>
      <x:c r="C20" s="2"/>
      <x:c r="D20" s="2"/>
      <x:c r="E20" s="2"/>
      <x:c r="F20" s="2"/>
    </x:row>
    <x:row r="21" ht="54" customHeight="1">
      <x:c r="A21" s="7" t="str">
        <x:v>Édition</x:v>
      </x:c>
      <x:c r="B21" s="7" t="str">
        <x:v>Les statuts se modifient dans les cellules ambre. Les compteurs se recalculent. Les modifications Excel ne sont pas réimportées automatiquement.</x:v>
      </x:c>
      <x:c r="C21" s="2"/>
      <x:c r="D21" s="2"/>
      <x:c r="E21" s="2"/>
      <x:c r="F21" s="2"/>
    </x:row>
    <x:row r="22" ht="40" customHeight="1">
      <x:c r="A22" s="7" t="str">
        <x:v>Régénération</x:v>
      </x:c>
      <x:c r="B22" s="7" t="str">
        <x:v>Conserver les décisions approuvées dans le catalogue JSON du dépôt avant de régénérer ce classeur.</x:v>
      </x:c>
      <x:c r="C22" s="2"/>
      <x:c r="D22" s="2"/>
      <x:c r="E22" s="2"/>
      <x:c r="F22" s="2"/>
    </x:row>
    <x:row r="23" ht="22" customHeight="1">
      <x:c r="A23" s="2"/>
      <x:c r="B23" s="2"/>
      <x:c r="C23" s="2"/>
      <x:c r="D23" s="2"/>
      <x:c r="E23" s="2"/>
      <x:c r="F23" s="2"/>
    </x:row>
    <x:row r="24" ht="22" customHeight="1">
      <x:c r="A24" s="2"/>
      <x:c r="B24" s="2"/>
      <x:c r="C24" s="2"/>
      <x:c r="D24" s="2"/>
      <x:c r="E24" s="2"/>
      <x:c r="F24" s="2"/>
    </x:row>
    <x:row r="25" ht="22" customHeight="1">
      <x:c r="A25" s="2"/>
      <x:c r="B25" s="2"/>
      <x:c r="C25" s="2"/>
      <x:c r="D25" s="2"/>
      <x:c r="E25" s="2"/>
      <x:c r="F25" s="2"/>
    </x:row>
    <x:row r="26" ht="34" customHeight="1">
      <x:c r="A26" s="30" t="str">
        <x:v>Source</x:v>
      </x:c>
      <x:c r="B26" s="31" t="str">
        <x:v>Titre</x:v>
      </x:c>
      <x:c r="C26" s="31" t="str">
        <x:v>Type</x:v>
      </x:c>
      <x:c r="D26" s="31" t="str">
        <x:v>URL</x:v>
      </x:c>
      <x:c r="E26" s="31" t="str">
        <x:v>Périmètre</x:v>
      </x:c>
      <x:c r="F26" s="32" t="str">
        <x:v>Accès et limites</x:v>
      </x:c>
    </x:row>
    <x:row r="27" ht="42" customHeight="1">
      <x:c r="A27" s="6" t="str">
        <x:v>HOM-S-BOOK</x:v>
      </x:c>
      <x:c r="B27" s="6" t="str">
        <x:v>Dark Horse — Homeworlds</x:v>
      </x:c>
      <x:c r="C27" s="6" t="str">
        <x:v>source officielle — notice Dark Horse via Penguin Random House</x:v>
      </x:c>
      <x:c r="D27" s="6" t="str">
        <x:v>https://www.penguinrandomhouse.com/books/241700/mass-effect-volume-4-homeworlds-by-mac-walters-various-artists/</x:v>
      </x:c>
      <x:c r="E27" s="6" t="str">
        <x:v>Quatre récits centrés sur Vega, Tali, Garrus et Liara.</x:v>
      </x:c>
      <x:c r="F27" s="6" t="str">
        <x:v>Consulté le 22 octobre 2026; les faits sont paraphrasés brièvement.</x:v>
      </x:c>
    </x:row>
    <x:row r="28" ht="54" customHeight="1">
      <x:c r="A28" s="6" t="str">
        <x:v>HOM-S-ISSUE1</x:v>
      </x:c>
      <x:c r="B28" s="6" t="str">
        <x:v>Homeworlds #1</x:v>
      </x:c>
      <x:c r="C28" s="6" t="str">
        <x:v>wiki — extrait indexé, à contrôler</x:v>
      </x:c>
      <x:c r="D28" s="6" t="str">
        <x:v>https://masseffect.fandom.com/wiki/Mass_Effect%3A_Homeworlds_1</x:v>
      </x:c>
      <x:c r="E28" s="6" t="str">
        <x:v>Sujet et repérage du numéro 1.</x:v>
      </x:c>
      <x:c r="F28" s="6" t="str">
        <x:v>Contenu lu dans le résultat de recherche indexé; ouverture directe Fandom restreinte ou en erreur. Comparaison avec le comic autorisé requise.</x:v>
      </x:c>
    </x:row>
    <x:row r="29" ht="54" customHeight="1">
      <x:c r="A29" s="6" t="str">
        <x:v>HOM-S-ISSUE2</x:v>
      </x:c>
      <x:c r="B29" s="6" t="str">
        <x:v>Homeworlds #2</x:v>
      </x:c>
      <x:c r="C29" s="6" t="str">
        <x:v>wiki — extrait indexé, à contrôler</x:v>
      </x:c>
      <x:c r="D29" s="6" t="str">
        <x:v>https://masseffect.fandom.com/wiki/Mass_Effect%3A_Homeworlds_2</x:v>
      </x:c>
      <x:c r="E29" s="6" t="str">
        <x:v>Sujet et repérage du numéro 2.</x:v>
      </x:c>
      <x:c r="F29" s="6" t="str">
        <x:v>Contenu lu dans le résultat de recherche indexé; ouverture directe Fandom restreinte ou en erreur. Comparaison avec le comic autorisé requise.</x:v>
      </x:c>
    </x:row>
    <x:row r="30" ht="54" customHeight="1">
      <x:c r="A30" s="6" t="str">
        <x:v>HOM-S-ISSUE3</x:v>
      </x:c>
      <x:c r="B30" s="6" t="str">
        <x:v>Homeworlds #3</x:v>
      </x:c>
      <x:c r="C30" s="6" t="str">
        <x:v>wiki — extrait indexé, à contrôler</x:v>
      </x:c>
      <x:c r="D30" s="6" t="str">
        <x:v>https://masseffect.fandom.com/wiki/Mass_Effect%3A_Homeworlds_3</x:v>
      </x:c>
      <x:c r="E30" s="6" t="str">
        <x:v>Sujet et repérage du numéro 3.</x:v>
      </x:c>
      <x:c r="F30" s="6" t="str">
        <x:v>Contenu lu dans le résultat de recherche indexé; ouverture directe Fandom restreinte ou en erreur. Comparaison avec le comic autorisé requise.</x:v>
      </x:c>
    </x:row>
    <x:row r="31" ht="54" customHeight="1">
      <x:c r="A31" s="6" t="str">
        <x:v>HOM-S-ISSUE4</x:v>
      </x:c>
      <x:c r="B31" s="6" t="str">
        <x:v>Homeworlds #4</x:v>
      </x:c>
      <x:c r="C31" s="6" t="str">
        <x:v>wiki — extrait indexé, à contrôler</x:v>
      </x:c>
      <x:c r="D31" s="6" t="str">
        <x:v>https://masseffect.fandom.com/wiki/Mass_Effect%3A_Homeworlds_4</x:v>
      </x:c>
      <x:c r="E31" s="6" t="str">
        <x:v>Sujet et repérage du numéro 4.</x:v>
      </x:c>
      <x:c r="F31" s="6" t="str">
        <x:v>Contenu lu dans le résultat de recherche indexé; ouverture directe Fandom restreinte ou en erreur. Comparaison avec le comic autorisé requise.</x:v>
      </x:c>
    </x:row>
    <x:row r="32" ht="54" customHeight="1">
      <x:c r="A32" s="6" t="str">
        <x:v>HOM-S-DH4</x:v>
      </x:c>
      <x:c r="B32" s="6" t="str">
        <x:v>Dark Horse — Homeworlds #4</x:v>
      </x:c>
      <x:c r="C32" s="6" t="str">
        <x:v>source officielle — notice éditeur indexée</x:v>
      </x:c>
      <x:c r="D32" s="6" t="str">
        <x:v>https://www.darkhorse.com/Comics/21-313/Mass-Effect-Homeworlds-4-Mike-Hawthorne-variant-cover</x:v>
      </x:c>
      <x:c r="E32" s="6" t="str">
        <x:v>Liara Courtier de l’ombre et recherche contre les Moissonneurs.</x:v>
      </x:c>
      <x:c r="F32" s="6" t="str">
        <x:v>Notice officielle lue dans l’index; ouverture directe en erreur de décodage. Aucun détail au-delà de la notice utilisé comme preuve primaire.</x:v>
      </x:c>
    </x:row>
    <x:row r="33" ht="22" customHeight="1">
      <x:c r="A33" s="2"/>
      <x:c r="B33" s="2"/>
      <x:c r="C33" s="2"/>
      <x:c r="D33" s="2"/>
      <x:c r="E33" s="2"/>
      <x:c r="F33" s="2"/>
    </x:row>
    <x:row r="34" ht="22" customHeight="1">
      <x:c r="A34" s="2"/>
      <x:c r="B34" s="2"/>
      <x:c r="C34" s="2"/>
      <x:c r="D34" s="2"/>
      <x:c r="E34" s="2"/>
      <x:c r="F34" s="2"/>
    </x:row>
    <x:row r="35" ht="22" customHeight="1">
      <x:c r="A35" s="2"/>
      <x:c r="B35" s="2"/>
      <x:c r="C35" s="2"/>
      <x:c r="D35" s="2"/>
      <x:c r="E35" s="2"/>
      <x:c r="F35" s="2"/>
    </x:row>
    <x:row r="36" ht="34" customHeight="1">
      <x:c r="A36" s="30" t="str">
        <x:v>Domaine</x:v>
      </x:c>
      <x:c r="B36" s="31" t="str">
        <x:v>Couverture actuelle</x:v>
      </x:c>
      <x:c r="C36" s="32" t="str">
        <x:v>Travail restant</x:v>
      </x:c>
      <x:c r="D36" s="2"/>
      <x:c r="E36" s="2"/>
      <x:c r="F36" s="2"/>
    </x:row>
    <x:row r="37" ht="54" customHeight="1">
      <x:c r="A37" s="6" t="str">
        <x:v>characters</x:v>
      </x:c>
      <x:c r="B37" s="6" t="str">
        <x:v>5 fiche(s) : James Vega; Tali’Zorah; Garrus Vakarian; Liara T’Soni</x:v>
      </x:c>
      <x:c r="C37" s="6" t="str">
        <x:v>Vérifier les costumes par époque; ne pas transférer capacités, blessures ou armes d’un avatar adulte à son avatar jeune.</x:v>
      </x:c>
      <x:c r="D37" s="2"/>
      <x:c r="E37" s="2"/>
      <x:c r="F37" s="2"/>
    </x:row>
    <x:row r="38" ht="68" customHeight="1">
      <x:c r="A38" s="6" t="str">
        <x:v>npcs</x:v>
      </x:c>
      <x:c r="B38" s="6" t="str">
        <x:v>6 fiche(s) : Emilio Vega; Josh Sanders; Père de Garrus; Sidonis</x:v>
      </x:c>
      <x:c r="C38" s="6" t="str">
        <x:v>Comparer les détails marqués À vérifier à une édition autorisée; les sources éditoriales n’attestent pas chaque détail graphique.</x:v>
      </x:c>
      <x:c r="D38" s="2"/>
      <x:c r="E38" s="2"/>
      <x:c r="F38" s="2"/>
    </x:row>
    <x:row r="39" ht="68" customHeight="1">
      <x:c r="A39" s="6" t="str">
        <x:v>lore</x:v>
      </x:c>
      <x:c r="B39" s="6" t="str">
        <x:v>13 fiche(s) : Quatre récits de personnages; #1 — James Vega; #2 — Tali’Zorah; #3 — Garrus Vakarian</x:v>
      </x:c>
      <x:c r="C39" s="6" t="str">
        <x:v>Comparer les détails marqués À vérifier à une édition autorisée; les sources éditoriales n’attestent pas chaque détail graphique.</x:v>
      </x:c>
      <x:c r="D39" s="2"/>
      <x:c r="E39" s="2"/>
      <x:c r="F39" s="2"/>
    </x:row>
    <x:row r="40" ht="68" customHeight="1">
      <x:c r="A40" s="6" t="str">
        <x:v>worlds</x:v>
      </x:c>
      <x:c r="B40" s="6" t="str">
        <x:v>6 fiche(s) : Terre — parcours de James; Citadelle — accueil et recherche; Palaven — souvenirs de Garrus; Omega — position d’Archangel</x:v>
      </x:c>
      <x:c r="C40" s="6" t="str">
        <x:v>Comparer la représentation de chaque lieu aux planches; Mars reste une destination de raccord et n’est pas une zone visitable de ce catalogue.</x:v>
      </x:c>
      <x:c r="D40" s="2"/>
      <x:c r="E40" s="2"/>
      <x:c r="F40" s="2"/>
    </x:row>
    <x:row r="41" ht="68" customHeight="1">
      <x:c r="A41" s="6" t="str">
        <x:v>zones</x:v>
      </x:c>
      <x:c r="B41" s="6" t="str">
        <x:v>6 fiche(s) : Terre — parcours de James — espace jouable proposé; Citadelle — accueil et recherche — espace jouable proposé; Palaven — souvenirs de Garrus — espace jouable proposé; Omega — position d’Archangel — espace jouable proposé</x:v>
      </x:c>
      <x:c r="C41" s="6" t="str">
        <x:v>Prototyper les règles proposées et exécuter les critères de recette; aucune fiche n’est déclarée intégrée ou validée.</x:v>
      </x:c>
      <x:c r="D41" s="2"/>
      <x:c r="E41" s="2"/>
      <x:c r="F41" s="2"/>
    </x:row>
    <x:row r="42" ht="68" customHeight="1">
      <x:c r="A42" s="6" t="str">
        <x:v>links</x:v>
      </x:c>
      <x:c r="B42" s="6" t="str">
        <x:v>7 fiche(s) : Terre — parcours de James — accès et sortie; Citadelle — accueil et recherche — accès et sortie; Palaven — souvenirs de Garrus — accès et sortie; Omega — position d’Archangel — accès et sortie</x:v>
      </x:c>
      <x:c r="C42" s="6" t="str">
        <x:v>Prototyper les règles proposées et exécuter les critères de recette; aucune fiche n’est déclarée intégrée ou validée.</x:v>
      </x:c>
      <x:c r="D42" s="2"/>
      <x:c r="E42" s="2"/>
      <x:c r="F42" s="2"/>
    </x:row>
    <x:row r="43" ht="68" customHeight="1">
      <x:c r="A43" s="6" t="str">
        <x:v>scenery</x:v>
      </x:c>
      <x:c r="B43" s="6" t="str">
        <x:v>6 fiche(s) : Terre — parcours de James — décor et repère; Citadelle — accueil et recherche — décor et repère; Palaven — souvenirs de Garrus — décor et repère; Omega — position d’Archangel — décor et repère</x:v>
      </x:c>
      <x:c r="C43" s="6" t="str">
        <x:v>Produire les assets originaux puis vérifier en situation; ce catalogue ne livre ni image, ni son, ni animation.</x:v>
      </x:c>
      <x:c r="D43" s="2"/>
      <x:c r="E43" s="2"/>
      <x:c r="F43" s="2"/>
    </x:row>
    <x:row r="44" ht="54" customHeight="1">
      <x:c r="A44" s="6" t="str">
        <x:v>props</x:v>
      </x:c>
      <x:c r="B44" s="6" t="str">
        <x:v>8 fiche(s) : Borne de contact; Borne familiale; Support de preuve; Liste de contacts limitée</x:v>
      </x:c>
      <x:c r="C44" s="6" t="str">
        <x:v>Prototyper les règles proposées et exécuter les critères de recette; aucune fiche n’est déclarée intégrée ou validée.</x:v>
      </x:c>
      <x:c r="D44" s="2"/>
      <x:c r="E44" s="2"/>
      <x:c r="F44" s="2"/>
    </x:row>
    <x:row r="45" ht="54" customHeight="1">
      <x:c r="A45" s="6" t="str">
        <x:v>enemies</x:v>
      </x:c>
      <x:c r="B45" s="6" t="str">
        <x:v>4 fiche(s) : Drone de poursuite urbaine; Assassins poursuivant Tali; Mercenaires face à Archangel; Phantom de Cerberus</x:v>
      </x:c>
      <x:c r="C45" s="6" t="str">
        <x:v>Prototyper les règles proposées et exécuter les critères de recette; aucune fiche n’est déclarée intégrée ou validée.</x:v>
      </x:c>
      <x:c r="D45" s="2"/>
      <x:c r="E45" s="2"/>
      <x:c r="F45" s="2"/>
    </x:row>
    <x:row r="46" ht="68" customHeight="1">
      <x:c r="A46" s="6" t="str">
        <x:v>main_quests</x:v>
      </x:c>
      <x:c r="B46" s="6" t="str">
        <x:v>8 fiche(s) : #1 — choisir sa voie — objectif jouable; #1 — rechercher les proches — objectif jouable; #2 — protéger la découverte — objectif jouable; #2 — demander de l’aide — objectif jouable</x:v>
      </x:c>
      <x:c r="C46" s="6" t="str">
        <x:v>Prototyper les règles proposées et exécuter les critères de recette; aucune fiche n’est déclarée intégrée ou validée.</x:v>
      </x:c>
      <x:c r="D46" s="2"/>
      <x:c r="E46" s="2"/>
      <x:c r="F46" s="2"/>
    </x:row>
    <x:row r="47" ht="54" customHeight="1">
      <x:c r="A47" s="6" t="str">
        <x:v>side_quests</x:v>
      </x:c>
      <x:c r="B47" s="6" t="str">
        <x:v>8 fiche(s) : Aider au passage d’un immeuble; Consulter les procédures d’accueil; Vérifier l’intégrité de la copie; Repérer un point d’attente sûr</x:v>
      </x:c>
      <x:c r="C47" s="6" t="str">
        <x:v>Prototyper les règles proposées et exécuter les critères de recette; aucune fiche n’est déclarée intégrée ou validée.</x:v>
      </x:c>
      <x:c r="D47" s="2"/>
      <x:c r="E47" s="2"/>
      <x:c r="F47" s="2"/>
    </x:row>
    <x:row r="48" ht="68" customHeight="1">
      <x:c r="A48" s="6" t="str">
        <x:v>choices</x:v>
      </x:c>
      <x:c r="B48" s="6" t="str">
        <x:v>8 fiche(s) : #1 — choisir sa voie — stratégie locale; #1 — rechercher les proches — stratégie locale; #2 — protéger la découverte — stratégie locale; #2 — demander de l’aide — stratégie locale</x:v>
      </x:c>
      <x:c r="C48" s="6" t="str">
        <x:v>Prototyper les règles proposées et exécuter les critères de recette; aucune fiche n’est déclarée intégrée ou validée.</x:v>
      </x:c>
      <x:c r="D48" s="2"/>
      <x:c r="E48" s="2"/>
      <x:c r="F48" s="2"/>
    </x:row>
    <x:row r="49" ht="68" customHeight="1">
      <x:c r="A49" s="6" t="str">
        <x:v>dialogues</x:v>
      </x:c>
      <x:c r="B49" s="6" t="str">
        <x:v>8 fiche(s) : #1 — choisir sa voie — intentions de conversation; #1 — rechercher les proches — intentions de conversation; #2 — protéger la découverte — intentions de conversation; #2 — demander de l’aide — intentions de conversation</x:v>
      </x:c>
      <x:c r="C49" s="6" t="str">
        <x:v>Prototyper les règles proposées et exécuter les critères de recette; aucune fiche n’est déclarée intégrée ou validée.</x:v>
      </x:c>
      <x:c r="D49" s="2"/>
      <x:c r="E49" s="2"/>
      <x:c r="F49" s="2"/>
    </x:row>
    <x:row r="50" ht="68" customHeight="1">
      <x:c r="A50" s="6" t="str">
        <x:v>cinematics</x:v>
      </x:c>
      <x:c r="B50" s="6" t="str">
        <x:v>8 fiche(s) : #1 — choisir sa voie — raccord mis en scène; #1 — rechercher les proches — raccord mis en scène; #2 — protéger la découverte — raccord mis en scène; #2 — demander de l’aide — raccord mis en scène</x:v>
      </x:c>
      <x:c r="C50" s="6" t="str">
        <x:v>Prototyper les règles proposées et exécuter les critères de recette; aucune fiche n’est déclarée intégrée ou validée.</x:v>
      </x:c>
      <x:c r="D50" s="2"/>
      <x:c r="E50" s="2"/>
      <x:c r="F50" s="2"/>
    </x:row>
    <x:row r="51" ht="54" customHeight="1">
      <x:c r="A51" s="6" t="str">
        <x:v>weapons</x:v>
      </x:c>
      <x:c r="B51" s="6" t="str">
        <x:v>1 fiche(s) : Fusil de précision de Garrus — profil proposé</x:v>
      </x:c>
      <x:c r="C51" s="6" t="str">
        <x:v>Prototyper les règles proposées et exécuter les critères de recette; aucune fiche n’est déclarée intégrée ou validée.</x:v>
      </x:c>
      <x:c r="D51" s="2"/>
      <x:c r="E51" s="2"/>
      <x:c r="F51" s="2"/>
    </x:row>
    <x:row r="52" ht="54" customHeight="1">
      <x:c r="A52" s="6" t="str">
        <x:v>equipment</x:v>
      </x:c>
      <x:c r="B52" s="6" t="str">
        <x:v>2 fiche(s) : Objet de preuve de Tali — représentation proposée; Sélecteur d’époque du catalogue</x:v>
      </x:c>
      <x:c r="C52" s="6" t="str">
        <x:v>Prototyper les règles proposées et exécuter les critères de recette; aucune fiche n’est déclarée intégrée ou validée.</x:v>
      </x:c>
      <x:c r="D52" s="2"/>
      <x:c r="E52" s="2"/>
      <x:c r="F52" s="2"/>
    </x:row>
    <x:row r="53" ht="54" customHeight="1">
      <x:c r="A53" s="6" t="str">
        <x:v>powers</x:v>
      </x:c>
      <x:c r="B53" s="6" t="str">
        <x:v>1 fiche(s) : Maintien biotique de Liara — règle proposée</x:v>
      </x:c>
      <x:c r="C53" s="6" t="str">
        <x:v>Prototyper les règles proposées et exécuter les critères de recette; aucune fiche n’est déclarée intégrée ou validée.</x:v>
      </x:c>
      <x:c r="D53" s="2"/>
      <x:c r="E53" s="2"/>
      <x:c r="F53" s="2"/>
    </x:row>
    <x:row r="54" ht="54" customHeight="1">
      <x:c r="A54" s="6" t="str">
        <x:v>ally_moves</x:v>
      </x:c>
      <x:c r="B54" s="6" t="str">
        <x:v>5 fiche(s) : Trouver une issue; Sauvegarde de terrain; Couverture de précision; Maintenir l’espace sûr</x:v>
      </x:c>
      <x:c r="C54" s="6" t="str">
        <x:v>Prototyper les règles proposées et exécuter les critères de recette; aucune fiche n’est déclarée intégrée ou validée.</x:v>
      </x:c>
      <x:c r="D54" s="2"/>
      <x:c r="E54" s="2"/>
      <x:c r="F54" s="2"/>
    </x:row>
    <x:row r="55" ht="54" customHeight="1">
      <x:c r="A55" s="6" t="str">
        <x:v>enemy_moves</x:v>
      </x:c>
      <x:c r="B55" s="6" t="str">
        <x:v>8 fiche(s) : Balayage de toiture; Verrou de poursuite; Coupe-route; Recherche de preuve</x:v>
      </x:c>
      <x:c r="C55" s="6" t="str">
        <x:v>Prototyper les règles proposées et exécuter les critères de recette; aucune fiche n’est déclarée intégrée ou validée.</x:v>
      </x:c>
      <x:c r="D55" s="2"/>
      <x:c r="E55" s="2"/>
      <x:c r="F55" s="2"/>
    </x:row>
    <x:row r="56" ht="54" customHeight="1">
      <x:c r="A56" s="6" t="str">
        <x:v>animations</x:v>
      </x:c>
      <x:c r="B56" s="6" t="str">
        <x:v>11 fiche(s) : James Vega — jeu de poses; Tali’Zorah — jeu de poses; Garrus Vakarian — jeu de poses; Liara T’Soni — jeu de poses</x:v>
      </x:c>
      <x:c r="C56" s="6" t="str">
        <x:v>Produire les assets originaux puis vérifier en situation; ce catalogue ne livre ni image, ni son, ni animation.</x:v>
      </x:c>
      <x:c r="D56" s="2"/>
      <x:c r="E56" s="2"/>
      <x:c r="F56" s="2"/>
    </x:row>
    <x:row r="57" ht="54" customHeight="1">
      <x:c r="A57" s="6" t="str">
        <x:v>sprites</x:v>
      </x:c>
      <x:c r="B57" s="6" t="str">
        <x:v>11 fiche(s) : James Vega — planche de sprites; Tali’Zorah — planche de sprites; Garrus Vakarian — planche de sprites; Liara T’Soni — planche de sprites</x:v>
      </x:c>
      <x:c r="C57" s="6" t="str">
        <x:v>Produire les assets originaux puis vérifier en situation; ce catalogue ne livre ni image, ni son, ni animation.</x:v>
      </x:c>
      <x:c r="D57" s="2"/>
      <x:c r="E57" s="2"/>
      <x:c r="F57" s="2"/>
    </x:row>
    <x:row r="58" ht="68" customHeight="1">
      <x:c r="A58" s="6" t="str">
        <x:v>vfx</x:v>
      </x:c>
      <x:c r="B58" s="6" t="str">
        <x:v>8 fiche(s) : #1 — choisir sa voie — signal visuel; #1 — rechercher les proches — signal visuel; #2 — protéger la découverte — signal visuel; #2 — demander de l’aide — signal visuel</x:v>
      </x:c>
      <x:c r="C58" s="6" t="str">
        <x:v>Produire les assets originaux puis vérifier en situation; ce catalogue ne livre ni image, ni son, ni animation.</x:v>
      </x:c>
      <x:c r="D58" s="2"/>
      <x:c r="E58" s="2"/>
      <x:c r="F58" s="2"/>
    </x:row>
    <x:row r="59" ht="68" customHeight="1">
      <x:c r="A59" s="6" t="str">
        <x:v>audio</x:v>
      </x:c>
      <x:c r="B59" s="6" t="str">
        <x:v>6 fiche(s) : Terre — parcours de James — paysage sonore; Citadelle — accueil et recherche — paysage sonore; Palaven — souvenirs de Garrus — paysage sonore; Omega — position d’Archangel — paysage sonore</x:v>
      </x:c>
      <x:c r="C59" s="6" t="str">
        <x:v>Produire les assets originaux puis vérifier en situation; ce catalogue ne livre ni image, ni son, ni animation.</x:v>
      </x:c>
      <x:c r="D59" s="2"/>
      <x:c r="E59" s="2"/>
      <x:c r="F59" s="2"/>
    </x:row>
    <x:row r="60" ht="54" customHeight="1">
      <x:c r="A60" s="6" t="str">
        <x:v>systems</x:v>
      </x:c>
      <x:c r="B60" s="6" t="str">
        <x:v>4 fiche(s) : Journal à deux niveaux; Groupe propre au chapitre; Rythme ATB proposé; Sauvegarde des modules</x:v>
      </x:c>
      <x:c r="C60" s="6" t="str">
        <x:v>Prototyper les règles proposées et exécuter les critères de recette; aucune fiche n’est déclarée intégrée ou validée.</x:v>
      </x:c>
      <x:c r="D60" s="2"/>
      <x:c r="E60" s="2"/>
      <x:c r="F60" s="2"/>
    </x:row>
    <x:row r="61" ht="68" customHeight="1">
      <x:c r="A61" s="6" t="str">
        <x:v>qa</x:v>
      </x:c>
      <x:c r="B61" s="6" t="str">
        <x:v>11 fiche(s) : #1 — choisir sa voie — contrôle du parcours; #1 — rechercher les proches — contrôle du parcours; #2 — protéger la découverte — contrôle du parcours; #2 — demander de l’aide — contrôle du parcours</x:v>
      </x:c>
      <x:c r="C61" s="6" t="str">
        <x:v>Prototyper les règles proposées et exécuter les critères de recette; aucune fiche n’est déclarée intégrée ou validée.</x:v>
      </x:c>
      <x:c r="D61" s="2"/>
      <x:c r="E61" s="2"/>
      <x:c r="F61" s="2"/>
    </x:row>
    <x:row r="62" ht="68" customHeight="1">
      <x:c r="A62" s="6" t="str">
        <x:v>continuity</x:v>
      </x:c>
      <x:c r="B62" s="6" t="str">
        <x:v>2 fiche(s) : Position dans l’univers; Contenus non attestés</x:v>
      </x:c>
      <x:c r="C62" s="6" t="str">
        <x:v>Comparer les détails marqués À vérifier à une édition autorisée; les sources éditoriales n’attestent pas chaque détail graphique.</x:v>
      </x:c>
      <x:c r="D62" s="2"/>
      <x:c r="E62" s="2"/>
      <x:c r="F62" s="2"/>
    </x:row>
    <x:row r="63" ht="22" customHeight="1">
      <x:c r="A63" s="2"/>
      <x:c r="B63" s="2"/>
      <x:c r="C63" s="2"/>
      <x:c r="D63" s="2"/>
      <x:c r="E63" s="2"/>
      <x:c r="F63" s="2"/>
    </x:row>
    <x:row r="64" ht="22" customHeight="1">
      <x:c r="A64" s="2"/>
      <x:c r="B64" s="2"/>
      <x:c r="C64" s="2"/>
      <x:c r="D64" s="2"/>
      <x:c r="E64" s="2"/>
      <x:c r="F64" s="2"/>
    </x:row>
    <x:row r="65" ht="22" customHeight="1">
      <x:c r="A65" s="2"/>
      <x:c r="B65" s="2"/>
      <x:c r="C65" s="2"/>
      <x:c r="D65" s="2"/>
      <x:c r="E65" s="2"/>
      <x:c r="F65" s="2"/>
    </x:row>
    <x:row r="66" ht="22" customHeight="1">
      <x:c r="A66" s="2"/>
      <x:c r="B66" s="2"/>
      <x:c r="C66" s="2"/>
      <x:c r="D66" s="2"/>
      <x:c r="E66" s="2"/>
      <x:c r="F66" s="2"/>
    </x:row>
    <x:row r="67" ht="22" customHeight="1">
      <x:c r="A67" s="2"/>
      <x:c r="B67" s="2"/>
      <x:c r="C67" s="2"/>
      <x:c r="D67" s="2"/>
      <x:c r="E67" s="2"/>
      <x:c r="F67" s="2"/>
    </x:row>
    <x:row r="68" ht="22" customHeight="1">
      <x:c r="A68" s="2"/>
      <x:c r="B68" s="2"/>
      <x:c r="C68" s="2"/>
      <x:c r="D68" s="2"/>
      <x:c r="E68" s="2"/>
      <x:c r="F68" s="2"/>
    </x:row>
    <x:row r="69" ht="22" customHeight="1">
      <x:c r="A69" s="2"/>
      <x:c r="B69" s="2"/>
      <x:c r="C69" s="2"/>
      <x:c r="D69" s="2"/>
      <x:c r="E69" s="2"/>
      <x:c r="F69" s="2"/>
    </x:row>
    <x:row r="70" ht="22" customHeight="1">
      <x:c r="A70" s="2"/>
      <x:c r="B70" s="2"/>
      <x:c r="C70" s="2"/>
      <x:c r="D70" s="2"/>
      <x:c r="E70" s="2"/>
      <x:c r="F70" s="2"/>
    </x:row>
    <x:row r="71" ht="22" customHeight="1">
      <x:c r="A71" s="2"/>
      <x:c r="B71" s="2"/>
      <x:c r="C71" s="2"/>
      <x:c r="D71" s="2"/>
      <x:c r="E71" s="2"/>
      <x:c r="F71" s="2"/>
    </x:row>
    <x:row r="72" ht="22" customHeight="1">
      <x:c r="A72" s="2"/>
      <x:c r="B72" s="2"/>
      <x:c r="C72" s="2"/>
      <x:c r="D72" s="2"/>
      <x:c r="E72" s="2"/>
      <x:c r="F72" s="2"/>
    </x:row>
    <x:row r="73" ht="22" customHeight="1">
      <x:c r="A73" s="2"/>
      <x:c r="B73" s="2"/>
      <x:c r="C73" s="2"/>
      <x:c r="D73" s="2"/>
      <x:c r="E73" s="2"/>
      <x:c r="F73" s="2"/>
    </x:row>
    <x:row r="74" ht="22" customHeight="1">
      <x:c r="A74" s="2"/>
      <x:c r="B74" s="2"/>
      <x:c r="C74" s="2"/>
      <x:c r="D74" s="2"/>
      <x:c r="E74" s="2"/>
      <x:c r="F74" s="2"/>
    </x:row>
    <x:row r="75" ht="22" customHeight="1">
      <x:c r="A75" s="2"/>
      <x:c r="B75" s="2"/>
      <x:c r="C75" s="2"/>
      <x:c r="D75" s="2"/>
      <x:c r="E75" s="2"/>
      <x:c r="F75" s="2"/>
    </x:row>
    <x:row r="76" ht="22" customHeight="1">
      <x:c r="A76" s="2"/>
      <x:c r="B76" s="2"/>
      <x:c r="C76" s="2"/>
      <x:c r="D76" s="2"/>
      <x:c r="E76" s="2"/>
      <x:c r="F76" s="2"/>
    </x:row>
    <x:row r="77" ht="22" customHeight="1">
      <x:c r="A77" s="2"/>
      <x:c r="B77" s="2"/>
      <x:c r="C77" s="2"/>
      <x:c r="D77" s="2"/>
      <x:c r="E77" s="2"/>
      <x:c r="F77" s="2"/>
    </x:row>
    <x:row r="78" ht="22" customHeight="1">
      <x:c r="A78" s="2"/>
      <x:c r="B78" s="2"/>
      <x:c r="C78" s="2"/>
      <x:c r="D78" s="2"/>
      <x:c r="E78" s="2"/>
      <x:c r="F78" s="2"/>
    </x:row>
    <x:row r="79" ht="22" customHeight="1">
      <x:c r="A79" s="2"/>
      <x:c r="B79" s="2"/>
      <x:c r="C79" s="2"/>
      <x:c r="D79" s="2"/>
      <x:c r="E79" s="2"/>
      <x:c r="F79" s="2"/>
    </x:row>
    <x:row r="80" ht="22" customHeight="1">
      <x:c r="A80" s="2"/>
      <x:c r="B80" s="2"/>
      <x:c r="C80" s="2"/>
      <x:c r="D80" s="2"/>
      <x:c r="E80" s="2"/>
      <x:c r="F80" s="2"/>
    </x:row>
    <x:row r="81" ht="22" customHeight="1">
      <x:c r="A81" s="2"/>
      <x:c r="B81" s="2"/>
      <x:c r="C81" s="2"/>
      <x:c r="D81" s="2"/>
      <x:c r="E81" s="2"/>
      <x:c r="F81" s="2"/>
    </x:row>
    <x:row r="82" ht="22" customHeight="1">
      <x:c r="A82" s="2"/>
      <x:c r="B82" s="2"/>
      <x:c r="C82" s="2"/>
      <x:c r="D82" s="2"/>
      <x:c r="E82" s="2"/>
      <x:c r="F82" s="2"/>
    </x:row>
    <x:row r="83" ht="22" customHeight="1">
      <x:c r="A83" s="2"/>
      <x:c r="B83" s="2"/>
      <x:c r="C83" s="2"/>
      <x:c r="D83" s="2"/>
      <x:c r="E83" s="2"/>
      <x:c r="F83" s="2"/>
    </x:row>
    <x:row r="84" ht="22" customHeight="1">
      <x:c r="A84" s="2"/>
      <x:c r="B84" s="2"/>
      <x:c r="C84" s="2"/>
      <x:c r="D84" s="2"/>
      <x:c r="E84" s="2"/>
      <x:c r="F84" s="2"/>
    </x:row>
    <x:row r="85" ht="22" customHeight="1">
      <x:c r="A85" s="2"/>
      <x:c r="B85" s="2"/>
      <x:c r="C85" s="2"/>
      <x:c r="D85" s="2"/>
      <x:c r="E85" s="2"/>
      <x:c r="F85" s="2"/>
    </x:row>
    <x:row r="86" ht="22" customHeight="1">
      <x:c r="A86" s="2"/>
      <x:c r="B86" s="2"/>
      <x:c r="C86" s="2"/>
      <x:c r="D86" s="2"/>
      <x:c r="E86" s="2"/>
      <x:c r="F86" s="2"/>
    </x:row>
    <x:row r="87" ht="22" customHeight="1">
      <x:c r="A87" s="2"/>
      <x:c r="B87" s="2"/>
      <x:c r="C87" s="2"/>
      <x:c r="D87" s="2"/>
      <x:c r="E87" s="2"/>
      <x:c r="F87" s="2"/>
    </x:row>
    <x:row r="88" ht="22" customHeight="1">
      <x:c r="A88" s="2"/>
      <x:c r="B88" s="2"/>
      <x:c r="C88" s="2"/>
      <x:c r="D88" s="2"/>
      <x:c r="E88" s="2"/>
      <x:c r="F88" s="2"/>
    </x:row>
    <x:row r="89" ht="22" customHeight="1">
      <x:c r="A89" s="2"/>
      <x:c r="B89" s="2"/>
      <x:c r="C89" s="2"/>
      <x:c r="D89" s="2"/>
      <x:c r="E89" s="2"/>
      <x:c r="F89" s="2"/>
    </x:row>
    <x:row r="90" ht="22" customHeight="1">
      <x:c r="A90" s="2"/>
      <x:c r="B90" s="2"/>
      <x:c r="C90" s="2"/>
      <x:c r="D90" s="2"/>
      <x:c r="E90" s="2"/>
      <x:c r="F90" s="2"/>
    </x:row>
    <x:row r="91" ht="22" customHeight="1">
      <x:c r="A91" s="2"/>
      <x:c r="B91" s="2"/>
      <x:c r="C91" s="2"/>
      <x:c r="D91" s="2"/>
      <x:c r="E91" s="2"/>
      <x:c r="F91" s="2"/>
    </x:row>
    <x:row r="92" ht="22" customHeight="1">
      <x:c r="A92" s="2"/>
      <x:c r="B92" s="2"/>
      <x:c r="C92" s="2"/>
      <x:c r="D92" s="2"/>
      <x:c r="E92" s="2"/>
      <x:c r="F92" s="2"/>
    </x:row>
    <x:row r="93" ht="22" customHeight="1">
      <x:c r="A93" s="2"/>
      <x:c r="B93" s="2"/>
      <x:c r="C93" s="2"/>
      <x:c r="D93" s="2"/>
      <x:c r="E93" s="2"/>
      <x:c r="F93" s="2"/>
    </x:row>
    <x:row r="94" ht="22" customHeight="1">
      <x:c r="A94" s="2"/>
      <x:c r="B94" s="2"/>
      <x:c r="C94" s="2"/>
      <x:c r="D94" s="2"/>
      <x:c r="E94" s="2"/>
      <x:c r="F94" s="2"/>
    </x:row>
    <x:row r="95" ht="22" customHeight="1">
      <x:c r="A95" s="2"/>
      <x:c r="B95" s="2"/>
      <x:c r="C95" s="2"/>
      <x:c r="D95" s="2"/>
      <x:c r="E95" s="2"/>
      <x:c r="F95" s="2"/>
    </x:row>
    <x:row r="96" ht="22" customHeight="1">
      <x:c r="A96" s="2"/>
      <x:c r="B96" s="2"/>
      <x:c r="C96" s="2"/>
      <x:c r="D96" s="2"/>
      <x:c r="E96" s="2"/>
      <x:c r="F96" s="2"/>
    </x:row>
    <x:row r="97" ht="22" customHeight="1">
      <x:c r="A97" s="2"/>
      <x:c r="B97" s="2"/>
      <x:c r="C97" s="2"/>
      <x:c r="D97" s="2"/>
      <x:c r="E97" s="2"/>
      <x:c r="F97" s="2"/>
    </x:row>
    <x:row r="98" ht="22" customHeight="1">
      <x:c r="A98" s="2"/>
      <x:c r="B98" s="2"/>
      <x:c r="C98" s="2"/>
      <x:c r="D98" s="2"/>
      <x:c r="E98" s="2"/>
      <x:c r="F98" s="2"/>
    </x:row>
    <x:row r="99" ht="22" customHeight="1">
      <x:c r="A99" s="2"/>
      <x:c r="B99" s="2"/>
      <x:c r="C99" s="2"/>
      <x:c r="D99" s="2"/>
      <x:c r="E99" s="2"/>
      <x:c r="F99" s="2"/>
    </x:row>
    <x:row r="100" ht="22" customHeight="1">
      <x:c r="A100" s="2"/>
      <x:c r="B100" s="2"/>
      <x:c r="C100" s="2"/>
      <x:c r="D100" s="2"/>
      <x:c r="E100" s="2"/>
      <x:c r="F100" s="2"/>
    </x:row>
    <x:row r="101" ht="22" customHeight="1">
      <x:c r="A101" s="2"/>
      <x:c r="B101" s="2"/>
      <x:c r="C101" s="2"/>
      <x:c r="D101" s="2"/>
      <x:c r="E101" s="2"/>
      <x:c r="F101" s="2"/>
    </x:row>
    <x:row r="102" ht="22" customHeight="1">
      <x:c r="A102" s="2"/>
      <x:c r="B102" s="2"/>
      <x:c r="C102" s="2"/>
      <x:c r="D102" s="2"/>
      <x:c r="E102" s="2"/>
      <x:c r="F102" s="2"/>
    </x:row>
    <x:row r="103" ht="22" customHeight="1">
      <x:c r="A103" s="2"/>
      <x:c r="B103" s="2"/>
      <x:c r="C103" s="2"/>
      <x:c r="D103" s="2"/>
      <x:c r="E103" s="2"/>
      <x:c r="F103" s="2"/>
    </x:row>
    <x:row r="104" ht="22" customHeight="1">
      <x:c r="A104" s="2"/>
      <x:c r="B104" s="2"/>
      <x:c r="C104" s="2"/>
      <x:c r="D104" s="2"/>
      <x:c r="E104" s="2"/>
      <x:c r="F104" s="2"/>
    </x:row>
    <x:row r="105" ht="22" customHeight="1">
      <x:c r="A105" s="2"/>
      <x:c r="B105" s="2"/>
      <x:c r="C105" s="2"/>
      <x:c r="D105" s="2"/>
      <x:c r="E105" s="2"/>
      <x:c r="F105" s="2"/>
    </x:row>
    <x:row r="106" ht="22" customHeight="1">
      <x:c r="A106" s="2"/>
      <x:c r="B106" s="2"/>
      <x:c r="C106" s="2"/>
      <x:c r="D106" s="2"/>
      <x:c r="E106" s="2"/>
      <x:c r="F106" s="2"/>
    </x:row>
    <x:row r="107" ht="22" customHeight="1">
      <x:c r="A107" s="2"/>
      <x:c r="B107" s="2"/>
      <x:c r="C107" s="2"/>
      <x:c r="D107" s="2"/>
      <x:c r="E107" s="2"/>
      <x:c r="F107" s="2"/>
    </x:row>
    <x:row r="108" ht="22" customHeight="1">
      <x:c r="A108" s="2"/>
      <x:c r="B108" s="2"/>
      <x:c r="C108" s="2"/>
      <x:c r="D108" s="2"/>
      <x:c r="E108" s="2"/>
      <x:c r="F108" s="2"/>
    </x:row>
    <x:row r="109" ht="22" customHeight="1">
      <x:c r="A109" s="2"/>
      <x:c r="B109" s="2"/>
      <x:c r="C109" s="2"/>
      <x:c r="D109" s="2"/>
      <x:c r="E109" s="2"/>
      <x:c r="F109" s="2"/>
    </x:row>
    <x:row r="110" ht="22" customHeight="1">
      <x:c r="A110" s="2"/>
      <x:c r="B110" s="2"/>
      <x:c r="C110" s="2"/>
      <x:c r="D110" s="2"/>
      <x:c r="E110" s="2"/>
      <x:c r="F110" s="2"/>
    </x:row>
    <x:row r="111" ht="22" customHeight="1">
      <x:c r="A111" s="2"/>
      <x:c r="B111" s="2"/>
      <x:c r="C111" s="2"/>
      <x:c r="D111" s="2"/>
      <x:c r="E111" s="2"/>
      <x:c r="F111" s="2"/>
    </x:row>
    <x:row r="112" ht="22" customHeight="1">
      <x:c r="A112" s="2"/>
      <x:c r="B112" s="2"/>
      <x:c r="C112" s="2"/>
      <x:c r="D112" s="2"/>
      <x:c r="E112" s="2"/>
      <x:c r="F112" s="2"/>
    </x:row>
    <x:row r="113" ht="22" customHeight="1">
      <x:c r="A113" s="2"/>
      <x:c r="B113" s="2"/>
      <x:c r="C113" s="2"/>
      <x:c r="D113" s="2"/>
      <x:c r="E113" s="2"/>
      <x:c r="F113" s="2"/>
    </x:row>
    <x:row r="114" ht="22" customHeight="1">
      <x:c r="A114" s="2"/>
      <x:c r="B114" s="2"/>
      <x:c r="C114" s="2"/>
      <x:c r="D114" s="2"/>
      <x:c r="E114" s="2"/>
      <x:c r="F114" s="2"/>
    </x:row>
    <x:row r="115" ht="22" customHeight="1">
      <x:c r="A115" s="2"/>
      <x:c r="B115" s="2"/>
      <x:c r="C115" s="2"/>
      <x:c r="D115" s="2"/>
      <x:c r="E115" s="2"/>
      <x:c r="F115" s="2"/>
    </x:row>
    <x:row r="116" ht="22" customHeight="1">
      <x:c r="A116" s="2"/>
      <x:c r="B116" s="2"/>
      <x:c r="C116" s="2"/>
      <x:c r="D116" s="2"/>
      <x:c r="E116" s="2"/>
      <x:c r="F116" s="2"/>
    </x:row>
    <x:row r="117" ht="22" customHeight="1">
      <x:c r="A117" s="2"/>
      <x:c r="B117" s="2"/>
      <x:c r="C117" s="2"/>
      <x:c r="D117" s="2"/>
      <x:c r="E117" s="2"/>
      <x:c r="F117" s="2"/>
    </x:row>
    <x:row r="118" ht="22" customHeight="1">
      <x:c r="A118" s="2"/>
      <x:c r="B118" s="2"/>
      <x:c r="C118" s="2"/>
      <x:c r="D118" s="2"/>
      <x:c r="E118" s="2"/>
      <x:c r="F118" s="2"/>
    </x:row>
    <x:row r="119" ht="22" customHeight="1">
      <x:c r="A119" s="2"/>
      <x:c r="B119" s="2"/>
      <x:c r="C119" s="2"/>
      <x:c r="D119" s="2"/>
      <x:c r="E119" s="2"/>
      <x:c r="F119" s="2"/>
    </x:row>
    <x:row r="120" ht="22" customHeight="1">
      <x:c r="A120" s="2"/>
      <x:c r="B120" s="2"/>
      <x:c r="C120" s="2"/>
      <x:c r="D120" s="2"/>
      <x:c r="E120" s="2"/>
      <x:c r="F120" s="2"/>
    </x:row>
    <x:row r="121" ht="22" customHeight="1">
      <x:c r="A121" s="2"/>
      <x:c r="B121" s="2"/>
      <x:c r="C121" s="2"/>
      <x:c r="D121" s="2"/>
      <x:c r="E121" s="2"/>
      <x:c r="F121" s="2"/>
    </x:row>
    <x:row r="122" ht="22" customHeight="1">
      <x:c r="A122" s="2"/>
      <x:c r="B122" s="2"/>
      <x:c r="C122" s="2"/>
      <x:c r="D122" s="2"/>
      <x:c r="E122" s="2"/>
      <x:c r="F122" s="2"/>
    </x:row>
    <x:row r="123" ht="22" customHeight="1">
      <x:c r="A123" s="2"/>
      <x:c r="B123" s="2"/>
      <x:c r="C123" s="2"/>
      <x:c r="D123" s="2"/>
      <x:c r="E123" s="2"/>
      <x:c r="F123" s="2"/>
    </x:row>
    <x:row r="124" ht="22" customHeight="1">
      <x:c r="A124" s="2"/>
      <x:c r="B124" s="2"/>
      <x:c r="C124" s="2"/>
      <x:c r="D124" s="2"/>
      <x:c r="E124" s="2"/>
      <x:c r="F124" s="2"/>
    </x:row>
    <x:row r="125" ht="22" customHeight="1">
      <x:c r="A125" s="2"/>
      <x:c r="B125" s="2"/>
      <x:c r="C125" s="2"/>
      <x:c r="D125" s="2"/>
      <x:c r="E125" s="2"/>
      <x:c r="F125" s="2"/>
    </x:row>
    <x:row r="126" ht="22" customHeight="1">
      <x:c r="A126" s="2"/>
      <x:c r="B126" s="2"/>
      <x:c r="C126" s="2"/>
      <x:c r="D126" s="2"/>
      <x:c r="E126" s="2"/>
      <x:c r="F126" s="2"/>
    </x:row>
    <x:row r="127" ht="22" customHeight="1">
      <x:c r="A127" s="2"/>
      <x:c r="B127" s="2"/>
      <x:c r="C127" s="2"/>
      <x:c r="D127" s="2"/>
      <x:c r="E127" s="2"/>
      <x:c r="F127" s="2"/>
    </x:row>
    <x:row r="128" ht="22" customHeight="1">
      <x:c r="A128" s="2"/>
      <x:c r="B128" s="2"/>
      <x:c r="C128" s="2"/>
      <x:c r="D128" s="2"/>
      <x:c r="E128" s="2"/>
      <x:c r="F128" s="2"/>
    </x:row>
    <x:row r="129" ht="22" customHeight="1">
      <x:c r="A129" s="2"/>
      <x:c r="B129" s="2"/>
      <x:c r="C129" s="2"/>
      <x:c r="D129" s="2"/>
      <x:c r="E129" s="2"/>
      <x:c r="F129" s="2"/>
    </x:row>
    <x:row r="130" ht="22" customHeight="1">
      <x:c r="A130" s="2"/>
      <x:c r="B130" s="2"/>
      <x:c r="C130" s="2"/>
      <x:c r="D130" s="2"/>
      <x:c r="E130" s="2"/>
      <x:c r="F130" s="2"/>
    </x:row>
    <x:row r="131" ht="22" customHeight="1">
      <x:c r="A131" s="2"/>
      <x:c r="B131" s="2"/>
      <x:c r="C131" s="2"/>
      <x:c r="D131" s="2"/>
      <x:c r="E131" s="2"/>
      <x:c r="F131" s="2"/>
    </x:row>
    <x:row r="132" ht="22" customHeight="1">
      <x:c r="A132" s="2"/>
      <x:c r="B132" s="2"/>
      <x:c r="C132" s="2"/>
      <x:c r="D132" s="2"/>
      <x:c r="E132" s="2"/>
      <x:c r="F132" s="2"/>
    </x:row>
  </x:sheetData>
  <x:pageMargins left="0.7" right="0.7" top="0.75" bottom="0.75" header="0.3" footer="0.3"/>
</x:worksheet>
</file>