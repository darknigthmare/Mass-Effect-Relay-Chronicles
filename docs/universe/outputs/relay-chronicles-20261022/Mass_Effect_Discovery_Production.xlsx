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c0cb9255ee47d9" /></Relationships>
</file>

<file path=xl/workbook.xml><?xml version="1.0" encoding="utf-8"?>
<x:workbook xmlns:x="http://schemas.openxmlformats.org/spreadsheetml/2006/main">
  <x:sheets>
    <x:sheet xmlns:r="http://schemas.openxmlformats.org/officeDocument/2006/relationships" name="Dashboard" sheetId="1" r:id="R4d96954f106f4215"/>
    <x:sheet xmlns:r="http://schemas.openxmlformats.org/officeDocument/2006/relationships" name="Personnages" sheetId="2" r:id="Rba153eaaf9114c5e"/>
    <x:sheet xmlns:r="http://schemas.openxmlformats.org/officeDocument/2006/relationships" name="PNJ" sheetId="3" r:id="R4cd9d9d31a3145f8"/>
    <x:sheet xmlns:r="http://schemas.openxmlformats.org/officeDocument/2006/relationships" name="Especes_factions" sheetId="4" r:id="R4c9765fe883e4fe3"/>
    <x:sheet xmlns:r="http://schemas.openxmlformats.org/officeDocument/2006/relationships" name="Mondes" sheetId="5" r:id="R8af493cf5b8340a3"/>
    <x:sheet xmlns:r="http://schemas.openxmlformats.org/officeDocument/2006/relationships" name="Zones" sheetId="6" r:id="Rd5d7885b06184a4f"/>
    <x:sheet xmlns:r="http://schemas.openxmlformats.org/officeDocument/2006/relationships" name="Liaisons" sheetId="7" r:id="R2b0665e4f2274bad"/>
    <x:sheet xmlns:r="http://schemas.openxmlformats.org/officeDocument/2006/relationships" name="Decors" sheetId="8" r:id="Rd2118e4ac0994560"/>
    <x:sheet xmlns:r="http://schemas.openxmlformats.org/officeDocument/2006/relationships" name="Props" sheetId="9" r:id="R4b5d9de797214e9b"/>
    <x:sheet xmlns:r="http://schemas.openxmlformats.org/officeDocument/2006/relationships" name="Ennemis_boss" sheetId="10" r:id="Rbdbb0a596ea5452e"/>
    <x:sheet xmlns:r="http://schemas.openxmlformats.org/officeDocument/2006/relationships" name="Missions" sheetId="11" r:id="Rb19ed8969c354ca3"/>
    <x:sheet xmlns:r="http://schemas.openxmlformats.org/officeDocument/2006/relationships" name="Secondaires_DLC" sheetId="12" r:id="Rb7482e2d3e314d2f"/>
    <x:sheet xmlns:r="http://schemas.openxmlformats.org/officeDocument/2006/relationships" name="Choix_relations" sheetId="13" r:id="R94a1f50db488411b"/>
    <x:sheet xmlns:r="http://schemas.openxmlformats.org/officeDocument/2006/relationships" name="Dialogues" sheetId="14" r:id="R0c3caf3c0c3d4cea"/>
    <x:sheet xmlns:r="http://schemas.openxmlformats.org/officeDocument/2006/relationships" name="Cinematiques" sheetId="15" r:id="Rfe381aaa73a443ff"/>
    <x:sheet xmlns:r="http://schemas.openxmlformats.org/officeDocument/2006/relationships" name="Armes" sheetId="16" r:id="Re33e27b4facf4893"/>
    <x:sheet xmlns:r="http://schemas.openxmlformats.org/officeDocument/2006/relationships" name="Armures_equipement" sheetId="17" r:id="R7385e9f07ddc4891"/>
    <x:sheet xmlns:r="http://schemas.openxmlformats.org/officeDocument/2006/relationships" name="Pouvoirs" sheetId="18" r:id="R23cef640e0e04f29"/>
    <x:sheet xmlns:r="http://schemas.openxmlformats.org/officeDocument/2006/relationships" name="Movesets_allies" sheetId="19" r:id="R1f5bc07683864681"/>
    <x:sheet xmlns:r="http://schemas.openxmlformats.org/officeDocument/2006/relationships" name="Movesets_ennemis" sheetId="20" r:id="Rff3920a5da24468e"/>
    <x:sheet xmlns:r="http://schemas.openxmlformats.org/officeDocument/2006/relationships" name="Animations" sheetId="21" r:id="R7d61fa068b7c4d37"/>
    <x:sheet xmlns:r="http://schemas.openxmlformats.org/officeDocument/2006/relationships" name="Sprites" sheetId="22" r:id="R70558b526798494a"/>
    <x:sheet xmlns:r="http://schemas.openxmlformats.org/officeDocument/2006/relationships" name="VFX" sheetId="23" r:id="R973d95f36cfb4bd1"/>
    <x:sheet xmlns:r="http://schemas.openxmlformats.org/officeDocument/2006/relationships" name="Audio" sheetId="24" r:id="Rbb1c7dfc18a6447a"/>
    <x:sheet xmlns:r="http://schemas.openxmlformats.org/officeDocument/2006/relationships" name="UI_systemes" sheetId="25" r:id="Rb6b6094458494ee4"/>
    <x:sheet xmlns:r="http://schemas.openxmlformats.org/officeDocument/2006/relationships" name="QA" sheetId="26" r:id="R877a782825204dbf"/>
    <x:sheet xmlns:r="http://schemas.openxmlformats.org/officeDocument/2006/relationships" name="Continuite" sheetId="27" r:id="Ra53447bf3ca2446d"/>
    <x:sheet xmlns:r="http://schemas.openxmlformats.org/officeDocument/2006/relationships" name="Guide" sheetId="28" r:id="R1c8e0392ed804be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6abc154f906c43b7" /><Relationship Type="http://schemas.openxmlformats.org/officeDocument/2006/relationships/theme" Target="/xl/theme/theme1.xml" Id="Radf5889cae13427d" /><Relationship Type="http://schemas.openxmlformats.org/officeDocument/2006/relationships/sharedStrings" Target="/xl/sharedStrings.xml" Id="R1e7f3b7f2c9348c4" /><Relationship Type="http://schemas.openxmlformats.org/officeDocument/2006/relationships/worksheet" Target="/xl/worksheets/sheet1.xml" Id="R4d96954f106f4215" /><Relationship Type="http://schemas.openxmlformats.org/officeDocument/2006/relationships/worksheet" Target="/xl/worksheets/sheet2.xml" Id="Rba153eaaf9114c5e" /><Relationship Type="http://schemas.openxmlformats.org/officeDocument/2006/relationships/worksheet" Target="/xl/worksheets/sheet3.xml" Id="R4cd9d9d31a3145f8" /><Relationship Type="http://schemas.openxmlformats.org/officeDocument/2006/relationships/worksheet" Target="/xl/worksheets/sheet4.xml" Id="R4c9765fe883e4fe3" /><Relationship Type="http://schemas.openxmlformats.org/officeDocument/2006/relationships/worksheet" Target="/xl/worksheets/sheet5.xml" Id="R8af493cf5b8340a3" /><Relationship Type="http://schemas.openxmlformats.org/officeDocument/2006/relationships/worksheet" Target="/xl/worksheets/sheet6.xml" Id="Rd5d7885b06184a4f" /><Relationship Type="http://schemas.openxmlformats.org/officeDocument/2006/relationships/worksheet" Target="/xl/worksheets/sheet7.xml" Id="R2b0665e4f2274bad" /><Relationship Type="http://schemas.openxmlformats.org/officeDocument/2006/relationships/worksheet" Target="/xl/worksheets/sheet8.xml" Id="Rd2118e4ac0994560" /><Relationship Type="http://schemas.openxmlformats.org/officeDocument/2006/relationships/worksheet" Target="/xl/worksheets/sheet9.xml" Id="R4b5d9de797214e9b" /><Relationship Type="http://schemas.openxmlformats.org/officeDocument/2006/relationships/worksheet" Target="/xl/worksheets/sheet10.xml" Id="Rbdbb0a596ea5452e" /><Relationship Type="http://schemas.openxmlformats.org/officeDocument/2006/relationships/worksheet" Target="/xl/worksheets/sheet11.xml" Id="Rb19ed8969c354ca3" /><Relationship Type="http://schemas.openxmlformats.org/officeDocument/2006/relationships/worksheet" Target="/xl/worksheets/sheet12.xml" Id="Rb7482e2d3e314d2f" /><Relationship Type="http://schemas.openxmlformats.org/officeDocument/2006/relationships/worksheet" Target="/xl/worksheets/sheet13.xml" Id="R94a1f50db488411b" /><Relationship Type="http://schemas.openxmlformats.org/officeDocument/2006/relationships/worksheet" Target="/xl/worksheets/sheet14.xml" Id="R0c3caf3c0c3d4cea" /><Relationship Type="http://schemas.openxmlformats.org/officeDocument/2006/relationships/worksheet" Target="/xl/worksheets/sheet15.xml" Id="Rfe381aaa73a443ff" /><Relationship Type="http://schemas.openxmlformats.org/officeDocument/2006/relationships/worksheet" Target="/xl/worksheets/sheet16.xml" Id="Re33e27b4facf4893" /><Relationship Type="http://schemas.openxmlformats.org/officeDocument/2006/relationships/worksheet" Target="/xl/worksheets/sheet17.xml" Id="R7385e9f07ddc4891" /><Relationship Type="http://schemas.openxmlformats.org/officeDocument/2006/relationships/worksheet" Target="/xl/worksheets/sheet18.xml" Id="R23cef640e0e04f29" /><Relationship Type="http://schemas.openxmlformats.org/officeDocument/2006/relationships/worksheet" Target="/xl/worksheets/sheet19.xml" Id="R1f5bc07683864681" /><Relationship Type="http://schemas.openxmlformats.org/officeDocument/2006/relationships/worksheet" Target="/xl/worksheets/sheet20.xml" Id="Rff3920a5da24468e" /><Relationship Type="http://schemas.openxmlformats.org/officeDocument/2006/relationships/worksheet" Target="/xl/worksheets/sheet21.xml" Id="R7d61fa068b7c4d37" /><Relationship Type="http://schemas.openxmlformats.org/officeDocument/2006/relationships/worksheet" Target="/xl/worksheets/sheet22.xml" Id="R70558b526798494a" /><Relationship Type="http://schemas.openxmlformats.org/officeDocument/2006/relationships/worksheet" Target="/xl/worksheets/sheet23.xml" Id="R973d95f36cfb4bd1" /><Relationship Type="http://schemas.openxmlformats.org/officeDocument/2006/relationships/worksheet" Target="/xl/worksheets/sheet24.xml" Id="Rbb1c7dfc18a6447a" /><Relationship Type="http://schemas.openxmlformats.org/officeDocument/2006/relationships/worksheet" Target="/xl/worksheets/sheet25.xml" Id="Rb6b6094458494ee4" /><Relationship Type="http://schemas.openxmlformats.org/officeDocument/2006/relationships/worksheet" Target="/xl/worksheets/sheet26.xml" Id="R877a782825204dbf" /><Relationship Type="http://schemas.openxmlformats.org/officeDocument/2006/relationships/worksheet" Target="/xl/worksheets/sheet27.xml" Id="Ra53447bf3ca2446d" /><Relationship Type="http://schemas.openxmlformats.org/officeDocument/2006/relationships/worksheet" Target="/xl/worksheets/sheet28.xml" Id="R1c8e0392ed804be7" /></Relationships>
</file>

<file path=xl/tables/table1.xml><?xml version="1.0" encoding="utf-8"?>
<x:table xmlns:x="http://schemas.openxmlformats.org/spreadsheetml/2006/main" id="1" name="DIS_characters" displayName="DIS_character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DIS_npcs" displayName="DIS_npc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DIS_lore" displayName="DIS_lore"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DIS_worlds" displayName="DIS_worlds"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DIS_zones" displayName="DIS_zones"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DIS_links" displayName="DIS_links"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DIS_scenery" displayName="DIS_scenery"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DIS_props" displayName="DIS_prop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DIS_enemies" displayName="DIS_enemi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DIS_main_quests" displayName="DIS_main_quest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DIS_side_quests" displayName="DIS_side_quest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DIS_choices" displayName="DIS_choic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DIS_dialogues" displayName="DIS_dialogu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DIS_cinematics" displayName="DIS_cinematic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DIS_weapons" displayName="DIS_weapon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DIS_equipment" displayName="DIS_equipment"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DIS_powers" displayName="DIS_pow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DIS_ally_moves" displayName="DIS_ally_move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DIS_enemy_moves" displayName="DIS_enemy_mov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DIS_animations" displayName="DIS_animation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DIS_sprites" displayName="DIS_sprite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DIS_vfx" displayName="DIS_vfx"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DIS_audio" displayName="DIS_audio"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DIS_systems" displayName="DIS_system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DIS_qa" displayName="DIS_qa" ref="A6:S17" headerRowCount="1" totalsRowCount="0" totalsRowShown="0">
  <x:autoFilter ref="A6:S1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DIS_continuity" displayName="DIS_continuity"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11964a0b82044f6" /></Relationships>
</file>

<file path=xl/worksheets/_rels/sheet3.xml.rels>&#65279;<?xml version="1.0" encoding="utf-8"?><Relationships xmlns="http://schemas.openxmlformats.org/package/2006/relationships"><Relationship Type="http://schemas.openxmlformats.org/officeDocument/2006/relationships/table" Target="/xl/tables/table2.xml" Id="R79b1c354170a4842" /></Relationships>
</file>

<file path=xl/worksheets/_rels/sheet4.xml.rels>&#65279;<?xml version="1.0" encoding="utf-8"?><Relationships xmlns="http://schemas.openxmlformats.org/package/2006/relationships"><Relationship Type="http://schemas.openxmlformats.org/officeDocument/2006/relationships/table" Target="/xl/tables/table3.xml" Id="R2d9bea521c7840b6" /></Relationships>
</file>

<file path=xl/worksheets/_rels/sheet5.xml.rels>&#65279;<?xml version="1.0" encoding="utf-8"?><Relationships xmlns="http://schemas.openxmlformats.org/package/2006/relationships"><Relationship Type="http://schemas.openxmlformats.org/officeDocument/2006/relationships/table" Target="/xl/tables/table4.xml" Id="Rc367c33b79214c7b" /></Relationships>
</file>

<file path=xl/worksheets/_rels/sheet6.xml.rels>&#65279;<?xml version="1.0" encoding="utf-8"?><Relationships xmlns="http://schemas.openxmlformats.org/package/2006/relationships"><Relationship Type="http://schemas.openxmlformats.org/officeDocument/2006/relationships/table" Target="/xl/tables/table5.xml" Id="Rbe6a542f8a76435f" /></Relationships>
</file>

<file path=xl/worksheets/_rels/sheet7.xml.rels>&#65279;<?xml version="1.0" encoding="utf-8"?><Relationships xmlns="http://schemas.openxmlformats.org/package/2006/relationships"><Relationship Type="http://schemas.openxmlformats.org/officeDocument/2006/relationships/table" Target="/xl/tables/table6.xml" Id="R601b81c52239499e" /></Relationships>
</file>

<file path=xl/worksheets/_rels/sheet8.xml.rels>&#65279;<?xml version="1.0" encoding="utf-8"?><Relationships xmlns="http://schemas.openxmlformats.org/package/2006/relationships"><Relationship Type="http://schemas.openxmlformats.org/officeDocument/2006/relationships/table" Target="/xl/tables/table7.xml" Id="R4f3fbaecfa564bfc" /></Relationships>
</file>

<file path=xl/worksheets/_rels/sheet9.xml.rels>&#65279;<?xml version="1.0" encoding="utf-8"?><Relationships xmlns="http://schemas.openxmlformats.org/package/2006/relationships"><Relationship Type="http://schemas.openxmlformats.org/officeDocument/2006/relationships/table" Target="/xl/tables/table8.xml" Id="R0cf6844b114a4fb3" /></Relationships>
</file>

<file path=xl/worksheets/_rels/sheet10.xml.rels>&#65279;<?xml version="1.0" encoding="utf-8"?><Relationships xmlns="http://schemas.openxmlformats.org/package/2006/relationships"><Relationship Type="http://schemas.openxmlformats.org/officeDocument/2006/relationships/table" Target="/xl/tables/table9.xml" Id="R66e094f7fde949d0" /></Relationships>
</file>

<file path=xl/worksheets/_rels/sheet11.xml.rels>&#65279;<?xml version="1.0" encoding="utf-8"?><Relationships xmlns="http://schemas.openxmlformats.org/package/2006/relationships"><Relationship Type="http://schemas.openxmlformats.org/officeDocument/2006/relationships/table" Target="/xl/tables/table10.xml" Id="Reb751253747a49d5" /></Relationships>
</file>

<file path=xl/worksheets/_rels/sheet12.xml.rels>&#65279;<?xml version="1.0" encoding="utf-8"?><Relationships xmlns="http://schemas.openxmlformats.org/package/2006/relationships"><Relationship Type="http://schemas.openxmlformats.org/officeDocument/2006/relationships/table" Target="/xl/tables/table11.xml" Id="R1079cc071ccd47fc" /></Relationships>
</file>

<file path=xl/worksheets/_rels/sheet13.xml.rels>&#65279;<?xml version="1.0" encoding="utf-8"?><Relationships xmlns="http://schemas.openxmlformats.org/package/2006/relationships"><Relationship Type="http://schemas.openxmlformats.org/officeDocument/2006/relationships/table" Target="/xl/tables/table12.xml" Id="R59795c8d56474989" /></Relationships>
</file>

<file path=xl/worksheets/_rels/sheet14.xml.rels>&#65279;<?xml version="1.0" encoding="utf-8"?><Relationships xmlns="http://schemas.openxmlformats.org/package/2006/relationships"><Relationship Type="http://schemas.openxmlformats.org/officeDocument/2006/relationships/table" Target="/xl/tables/table13.xml" Id="R17509602a83f45d7" /></Relationships>
</file>

<file path=xl/worksheets/_rels/sheet15.xml.rels>&#65279;<?xml version="1.0" encoding="utf-8"?><Relationships xmlns="http://schemas.openxmlformats.org/package/2006/relationships"><Relationship Type="http://schemas.openxmlformats.org/officeDocument/2006/relationships/table" Target="/xl/tables/table14.xml" Id="R5d9aa3676f0c4617" /></Relationships>
</file>

<file path=xl/worksheets/_rels/sheet16.xml.rels>&#65279;<?xml version="1.0" encoding="utf-8"?><Relationships xmlns="http://schemas.openxmlformats.org/package/2006/relationships"><Relationship Type="http://schemas.openxmlformats.org/officeDocument/2006/relationships/table" Target="/xl/tables/table15.xml" Id="Reae04e3add3645dd" /></Relationships>
</file>

<file path=xl/worksheets/_rels/sheet17.xml.rels>&#65279;<?xml version="1.0" encoding="utf-8"?><Relationships xmlns="http://schemas.openxmlformats.org/package/2006/relationships"><Relationship Type="http://schemas.openxmlformats.org/officeDocument/2006/relationships/table" Target="/xl/tables/table16.xml" Id="R8252edfc6c474c70" /></Relationships>
</file>

<file path=xl/worksheets/_rels/sheet18.xml.rels>&#65279;<?xml version="1.0" encoding="utf-8"?><Relationships xmlns="http://schemas.openxmlformats.org/package/2006/relationships"><Relationship Type="http://schemas.openxmlformats.org/officeDocument/2006/relationships/table" Target="/xl/tables/table17.xml" Id="R31afe2646f3b4e34" /></Relationships>
</file>

<file path=xl/worksheets/_rels/sheet19.xml.rels>&#65279;<?xml version="1.0" encoding="utf-8"?><Relationships xmlns="http://schemas.openxmlformats.org/package/2006/relationships"><Relationship Type="http://schemas.openxmlformats.org/officeDocument/2006/relationships/table" Target="/xl/tables/table18.xml" Id="R62eb95c6d2624f22" /></Relationships>
</file>

<file path=xl/worksheets/_rels/sheet20.xml.rels>&#65279;<?xml version="1.0" encoding="utf-8"?><Relationships xmlns="http://schemas.openxmlformats.org/package/2006/relationships"><Relationship Type="http://schemas.openxmlformats.org/officeDocument/2006/relationships/table" Target="/xl/tables/table19.xml" Id="Rd02179379d274101" /></Relationships>
</file>

<file path=xl/worksheets/_rels/sheet21.xml.rels>&#65279;<?xml version="1.0" encoding="utf-8"?><Relationships xmlns="http://schemas.openxmlformats.org/package/2006/relationships"><Relationship Type="http://schemas.openxmlformats.org/officeDocument/2006/relationships/table" Target="/xl/tables/table20.xml" Id="R27843e4e7882415a" /></Relationships>
</file>

<file path=xl/worksheets/_rels/sheet22.xml.rels>&#65279;<?xml version="1.0" encoding="utf-8"?><Relationships xmlns="http://schemas.openxmlformats.org/package/2006/relationships"><Relationship Type="http://schemas.openxmlformats.org/officeDocument/2006/relationships/table" Target="/xl/tables/table21.xml" Id="R3d8301c7f1824c0a" /></Relationships>
</file>

<file path=xl/worksheets/_rels/sheet23.xml.rels>&#65279;<?xml version="1.0" encoding="utf-8"?><Relationships xmlns="http://schemas.openxmlformats.org/package/2006/relationships"><Relationship Type="http://schemas.openxmlformats.org/officeDocument/2006/relationships/table" Target="/xl/tables/table22.xml" Id="R2ff6b306a1944144" /></Relationships>
</file>

<file path=xl/worksheets/_rels/sheet24.xml.rels>&#65279;<?xml version="1.0" encoding="utf-8"?><Relationships xmlns="http://schemas.openxmlformats.org/package/2006/relationships"><Relationship Type="http://schemas.openxmlformats.org/officeDocument/2006/relationships/table" Target="/xl/tables/table23.xml" Id="R58d2471d6b6a4a48" /></Relationships>
</file>

<file path=xl/worksheets/_rels/sheet25.xml.rels>&#65279;<?xml version="1.0" encoding="utf-8"?><Relationships xmlns="http://schemas.openxmlformats.org/package/2006/relationships"><Relationship Type="http://schemas.openxmlformats.org/officeDocument/2006/relationships/table" Target="/xl/tables/table24.xml" Id="Re00869207b4c4b3f" /></Relationships>
</file>

<file path=xl/worksheets/_rels/sheet26.xml.rels>&#65279;<?xml version="1.0" encoding="utf-8"?><Relationships xmlns="http://schemas.openxmlformats.org/package/2006/relationships"><Relationship Type="http://schemas.openxmlformats.org/officeDocument/2006/relationships/table" Target="/xl/tables/table25.xml" Id="Rcc96f8fb649b4c6f" /></Relationships>
</file>

<file path=xl/worksheets/_rels/sheet27.xml.rels>&#65279;<?xml version="1.0" encoding="utf-8"?><Relationships xmlns="http://schemas.openxmlformats.org/package/2006/relationships"><Relationship Type="http://schemas.openxmlformats.org/officeDocument/2006/relationships/table" Target="/xl/tables/table26.xml" Id="R4880bc2484f64e62"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Discovery</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1" t="n">
        <x:f>SUM(B10:B35)</x:f>
        <x:v>160</x:v>
      </x:c>
      <x:c r="C5" s="2"/>
      <x:c r="D5" s="2" t="str">
        <x:v>Intégrés</x:v>
      </x:c>
      <x:c r="E5" s="31" t="n">
        <x:f>SUM(E10:F35)</x:f>
        <x:v>0</x:v>
      </x:c>
      <x:c r="F5" s="2"/>
      <x:c r="G5" s="2" t="str">
        <x:v>À vérifier</x:v>
      </x:c>
      <x:c r="H5" s="31" t="n">
        <x:f>SUM(H10:H35)</x:f>
        <x:v>28</x:v>
      </x:c>
      <x:c r="I5" s="2"/>
      <x:c r="J5" s="2" t="str">
        <x:v>Extrapolations</x:v>
      </x:c>
      <x:c r="K5" s="31" t="n">
        <x:f>SUM(I10:I35)</x:f>
        <x:v>129</x:v>
      </x:c>
      <x:c r="L5" s="2"/>
      <x:c r="M5" s="2"/>
    </x:row>
    <x:row r="6" ht="22" customHeight="1">
      <x:c r="A6" s="2"/>
      <x:c r="B6" s="2"/>
      <x:c r="C6" s="2"/>
      <x:c r="D6" s="2"/>
      <x:c r="E6" s="2"/>
      <x:c r="F6" s="2"/>
      <x:c r="G6" s="2"/>
      <x:c r="H6" s="2"/>
      <x:c r="I6" s="2"/>
      <x:c r="J6" s="2"/>
      <x:c r="K6" s="2"/>
      <x:c r="L6" s="2"/>
      <x:c r="M6" s="2"/>
    </x:row>
    <x:row r="7" ht="22" customHeight="1">
      <x:c r="A7" s="32"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8" t="str">
        <x:v>Domaine</x:v>
      </x:c>
      <x:c r="B9" s="29" t="str">
        <x:v>Total</x:v>
      </x:c>
      <x:c r="C9" s="29" t="str">
        <x:v>Défini</x:v>
      </x:c>
      <x:c r="D9" s="29" t="str">
        <x:v>Prototype</x:v>
      </x:c>
      <x:c r="E9" s="29" t="str">
        <x:v>Intégré</x:v>
      </x:c>
      <x:c r="F9" s="29" t="str">
        <x:v>Validé</x:v>
      </x:c>
      <x:c r="G9" s="29" t="str">
        <x:v>Établi</x:v>
      </x:c>
      <x:c r="H9" s="29" t="str">
        <x:v>À vérifier</x:v>
      </x:c>
      <x:c r="I9" s="29" t="str">
        <x:v>Extrapolation</x:v>
      </x:c>
      <x:c r="J9" s="29" t="str">
        <x:v>Coupé attesté</x:v>
      </x:c>
      <x:c r="K9" s="29" t="str">
        <x:v>Concept abandonné</x:v>
      </x:c>
      <x:c r="L9" s="29" t="str">
        <x:v>Allégation écartée</x:v>
      </x:c>
      <x:c r="M9" s="30" t="str">
        <x:v>Priorité P0</x:v>
      </x:c>
    </x:row>
    <x:row r="10" ht="22" customHeight="1">
      <x:c r="A10" s="33" t="str">
        <x:v>Personnages</x:v>
      </x:c>
      <x:c r="B10" s="37" t="n">
        <x:f>COUNTA('Personnages'!$A$7:$A$10)</x:f>
        <x:v>4</x:v>
      </x:c>
      <x:c r="C10" s="37" t="n">
        <x:f>COUNTIFS('Personnages'!$C$7:$C$10,"Défini")</x:f>
        <x:v>4</x:v>
      </x:c>
      <x:c r="D10" s="37" t="n">
        <x:f>COUNTIFS('Personnages'!$C$7:$C$10,"Prototype")</x:f>
        <x:v>0</x:v>
      </x:c>
      <x:c r="E10" s="37" t="n">
        <x:f>COUNTIFS('Personnages'!$C$7:$C$10,"Intégré")</x:f>
        <x:v>0</x:v>
      </x:c>
      <x:c r="F10" s="37" t="n">
        <x:f>COUNTIFS('Personnages'!$C$7:$C$10,"Validé")</x:f>
        <x:v>0</x:v>
      </x:c>
      <x:c r="G10" s="37" t="n">
        <x:f>COUNTIFS('Personnages'!$D$7:$D$10,"Établi")</x:f>
        <x:v>1</x:v>
      </x:c>
      <x:c r="H10" s="37" t="n">
        <x:f>COUNTIFS('Personnages'!$D$7:$D$10,"À vérifier")</x:f>
        <x:v>3</x:v>
      </x:c>
      <x:c r="I10" s="37" t="n">
        <x:f>COUNTIFS('Personnages'!$D$7:$D$10,"Extrapolation")</x:f>
        <x:v>0</x:v>
      </x:c>
      <x:c r="J10" s="37" t="n">
        <x:f>COUNTIFS('Personnages'!$D$7:$D$10,"Coupé attesté")</x:f>
        <x:v>0</x:v>
      </x:c>
      <x:c r="K10" s="37" t="n">
        <x:f>COUNTIFS('Personnages'!$D$7:$D$10,"Concept abandonné")</x:f>
        <x:v>0</x:v>
      </x:c>
      <x:c r="L10" s="37" t="n">
        <x:f>COUNTIFS('Personnages'!$D$7:$D$10,"Allégation écartée")</x:f>
        <x:v>0</x:v>
      </x:c>
      <x:c r="M10" s="37" t="n">
        <x:f>COUNTIFS('Personnages'!$E$7:$E$10,"P0")</x:f>
        <x:v>0</x:v>
      </x:c>
    </x:row>
    <x:row r="11" ht="22" customHeight="1">
      <x:c r="A11" s="2" t="str">
        <x:v>PNJ</x:v>
      </x:c>
      <x:c r="B11" s="38" t="n">
        <x:f>COUNTA('PNJ'!$A$7:$A$12)</x:f>
        <x:v>6</x:v>
      </x:c>
      <x:c r="C11" s="38" t="n">
        <x:f>COUNTIFS('PNJ'!$C$7:$C$12,"Défini")</x:f>
        <x:v>6</x:v>
      </x:c>
      <x:c r="D11" s="38" t="n">
        <x:f>COUNTIFS('PNJ'!$C$7:$C$12,"Prototype")</x:f>
        <x:v>0</x:v>
      </x:c>
      <x:c r="E11" s="38" t="n">
        <x:f>COUNTIFS('PNJ'!$C$7:$C$12,"Intégré")</x:f>
        <x:v>0</x:v>
      </x:c>
      <x:c r="F11" s="38" t="n">
        <x:f>COUNTIFS('PNJ'!$C$7:$C$12,"Validé")</x:f>
        <x:v>0</x:v>
      </x:c>
      <x:c r="G11" s="38" t="n">
        <x:f>COUNTIFS('PNJ'!$D$7:$D$12,"Établi")</x:f>
        <x:v>0</x:v>
      </x:c>
      <x:c r="H11" s="38" t="n">
        <x:f>COUNTIFS('PNJ'!$D$7:$D$12,"À vérifier")</x:f>
        <x:v>6</x:v>
      </x:c>
      <x:c r="I11" s="38" t="n">
        <x:f>COUNTIFS('PNJ'!$D$7:$D$12,"Extrapolation")</x:f>
        <x:v>0</x:v>
      </x:c>
      <x:c r="J11" s="38" t="n">
        <x:f>COUNTIFS('PNJ'!$D$7:$D$12,"Coupé attesté")</x:f>
        <x:v>0</x:v>
      </x:c>
      <x:c r="K11" s="38" t="n">
        <x:f>COUNTIFS('PNJ'!$D$7:$D$12,"Concept abandonné")</x:f>
        <x:v>0</x:v>
      </x:c>
      <x:c r="L11" s="38" t="n">
        <x:f>COUNTIFS('PNJ'!$D$7:$D$12,"Allégation écartée")</x:f>
        <x:v>0</x:v>
      </x:c>
      <x:c r="M11" s="38" t="n">
        <x:f>COUNTIFS('PNJ'!$E$7:$E$12,"P0")</x:f>
        <x:v>0</x:v>
      </x:c>
    </x:row>
    <x:row r="12" ht="22" customHeight="1">
      <x:c r="A12" s="33" t="str">
        <x:v>Espèces et factions</x:v>
      </x:c>
      <x:c r="B12" s="37" t="n">
        <x:f>COUNTA('Especes_factions'!$A$7:$A$18)</x:f>
        <x:v>12</x:v>
      </x:c>
      <x:c r="C12" s="37" t="n">
        <x:f>COUNTIFS('Especes_factions'!$C$7:$C$18,"Défini")</x:f>
        <x:v>10</x:v>
      </x:c>
      <x:c r="D12" s="37" t="n">
        <x:f>COUNTIFS('Especes_factions'!$C$7:$C$18,"Prototype")</x:f>
        <x:v>2</x:v>
      </x:c>
      <x:c r="E12" s="37" t="n">
        <x:f>COUNTIFS('Especes_factions'!$C$7:$C$18,"Intégré")</x:f>
        <x:v>0</x:v>
      </x:c>
      <x:c r="F12" s="37" t="n">
        <x:f>COUNTIFS('Especes_factions'!$C$7:$C$18,"Validé")</x:f>
        <x:v>0</x:v>
      </x:c>
      <x:c r="G12" s="37" t="n">
        <x:f>COUNTIFS('Especes_factions'!$D$7:$D$18,"Établi")</x:f>
        <x:v>2</x:v>
      </x:c>
      <x:c r="H12" s="37" t="n">
        <x:f>COUNTIFS('Especes_factions'!$D$7:$D$18,"À vérifier")</x:f>
        <x:v>10</x:v>
      </x:c>
      <x:c r="I12" s="37" t="n">
        <x:f>COUNTIFS('Especes_factions'!$D$7:$D$18,"Extrapolation")</x:f>
        <x:v>0</x:v>
      </x:c>
      <x:c r="J12" s="37" t="n">
        <x:f>COUNTIFS('Especes_factions'!$D$7:$D$18,"Coupé attesté")</x:f>
        <x:v>0</x:v>
      </x:c>
      <x:c r="K12" s="37" t="n">
        <x:f>COUNTIFS('Especes_factions'!$D$7:$D$18,"Concept abandonné")</x:f>
        <x:v>0</x:v>
      </x:c>
      <x:c r="L12" s="37" t="n">
        <x:f>COUNTIFS('Especes_factions'!$D$7:$D$18,"Allégation écartée")</x:f>
        <x:v>0</x:v>
      </x:c>
      <x:c r="M12" s="37" t="n">
        <x:f>COUNTIFS('Especes_factions'!$E$7:$E$18,"P0")</x:f>
        <x:v>4</x:v>
      </x:c>
    </x:row>
    <x:row r="13" ht="22" customHeight="1">
      <x:c r="A13" s="2" t="str">
        <x:v>Mondes</x:v>
      </x:c>
      <x:c r="B13" s="38" t="n">
        <x:f>COUNTA('Mondes'!$A$7:$A$11)</x:f>
        <x:v>5</x:v>
      </x:c>
      <x:c r="C13" s="38" t="n">
        <x:f>COUNTIFS('Mondes'!$C$7:$C$11,"Défini")</x:f>
        <x:v>5</x:v>
      </x:c>
      <x:c r="D13" s="38" t="n">
        <x:f>COUNTIFS('Mondes'!$C$7:$C$11,"Prototype")</x:f>
        <x:v>0</x:v>
      </x:c>
      <x:c r="E13" s="38" t="n">
        <x:f>COUNTIFS('Mondes'!$C$7:$C$11,"Intégré")</x:f>
        <x:v>0</x:v>
      </x:c>
      <x:c r="F13" s="38" t="n">
        <x:f>COUNTIFS('Mondes'!$C$7:$C$11,"Validé")</x:f>
        <x:v>0</x:v>
      </x:c>
      <x:c r="G13" s="38" t="n">
        <x:f>COUNTIFS('Mondes'!$D$7:$D$11,"Établi")</x:f>
        <x:v>0</x:v>
      </x:c>
      <x:c r="H13" s="38" t="n">
        <x:f>COUNTIFS('Mondes'!$D$7:$D$11,"À vérifier")</x:f>
        <x:v>5</x:v>
      </x:c>
      <x:c r="I13" s="38" t="n">
        <x:f>COUNTIFS('Mondes'!$D$7:$D$11,"Extrapolation")</x:f>
        <x:v>0</x:v>
      </x:c>
      <x:c r="J13" s="38" t="n">
        <x:f>COUNTIFS('Mondes'!$D$7:$D$11,"Coupé attesté")</x:f>
        <x:v>0</x:v>
      </x:c>
      <x:c r="K13" s="38" t="n">
        <x:f>COUNTIFS('Mondes'!$D$7:$D$11,"Concept abandonné")</x:f>
        <x:v>0</x:v>
      </x:c>
      <x:c r="L13" s="38" t="n">
        <x:f>COUNTIFS('Mondes'!$D$7:$D$11,"Allégation écartée")</x:f>
        <x:v>0</x:v>
      </x:c>
      <x:c r="M13" s="38" t="n">
        <x:f>COUNTIFS('Mondes'!$E$7:$E$11,"P0")</x:f>
        <x:v>0</x:v>
      </x:c>
    </x:row>
    <x:row r="14" ht="22" customHeight="1">
      <x:c r="A14" s="33" t="str">
        <x:v>Zones</x:v>
      </x:c>
      <x:c r="B14" s="37" t="n">
        <x:f>COUNTA('Zones'!$A$7:$A$11)</x:f>
        <x:v>5</x:v>
      </x:c>
      <x:c r="C14" s="37" t="n">
        <x:f>COUNTIFS('Zones'!$C$7:$C$11,"Défini")</x:f>
        <x:v>5</x:v>
      </x:c>
      <x:c r="D14" s="37" t="n">
        <x:f>COUNTIFS('Zones'!$C$7:$C$11,"Prototype")</x:f>
        <x:v>0</x:v>
      </x:c>
      <x:c r="E14" s="37" t="n">
        <x:f>COUNTIFS('Zones'!$C$7:$C$11,"Intégré")</x:f>
        <x:v>0</x:v>
      </x:c>
      <x:c r="F14" s="37" t="n">
        <x:f>COUNTIFS('Zones'!$C$7:$C$11,"Validé")</x:f>
        <x:v>0</x:v>
      </x:c>
      <x:c r="G14" s="37" t="n">
        <x:f>COUNTIFS('Zones'!$D$7:$D$11,"Établi")</x:f>
        <x:v>0</x:v>
      </x:c>
      <x:c r="H14" s="37" t="n">
        <x:f>COUNTIFS('Zones'!$D$7:$D$11,"À vérifier")</x:f>
        <x:v>0</x:v>
      </x:c>
      <x:c r="I14" s="37" t="n">
        <x:f>COUNTIFS('Zones'!$D$7:$D$11,"Extrapolation")</x:f>
        <x:v>5</x:v>
      </x:c>
      <x:c r="J14" s="37" t="n">
        <x:f>COUNTIFS('Zones'!$D$7:$D$11,"Coupé attesté")</x:f>
        <x:v>0</x:v>
      </x:c>
      <x:c r="K14" s="37" t="n">
        <x:f>COUNTIFS('Zones'!$D$7:$D$11,"Concept abandonné")</x:f>
        <x:v>0</x:v>
      </x:c>
      <x:c r="L14" s="37" t="n">
        <x:f>COUNTIFS('Zones'!$D$7:$D$11,"Allégation écartée")</x:f>
        <x:v>0</x:v>
      </x:c>
      <x:c r="M14" s="37" t="n">
        <x:f>COUNTIFS('Zones'!$E$7:$E$11,"P0")</x:f>
        <x:v>0</x:v>
      </x:c>
    </x:row>
    <x:row r="15" ht="22" customHeight="1">
      <x:c r="A15" s="2" t="str">
        <x:v>Liaisons</x:v>
      </x:c>
      <x:c r="B15" s="38" t="n">
        <x:f>COUNTA('Liaisons'!$A$7:$A$11)</x:f>
        <x:v>5</x:v>
      </x:c>
      <x:c r="C15" s="38" t="n">
        <x:f>COUNTIFS('Liaisons'!$C$7:$C$11,"Défini")</x:f>
        <x:v>5</x:v>
      </x:c>
      <x:c r="D15" s="38" t="n">
        <x:f>COUNTIFS('Liaisons'!$C$7:$C$11,"Prototype")</x:f>
        <x:v>0</x:v>
      </x:c>
      <x:c r="E15" s="38" t="n">
        <x:f>COUNTIFS('Liaisons'!$C$7:$C$11,"Intégré")</x:f>
        <x:v>0</x:v>
      </x:c>
      <x:c r="F15" s="38" t="n">
        <x:f>COUNTIFS('Liaisons'!$C$7:$C$11,"Validé")</x:f>
        <x:v>0</x:v>
      </x:c>
      <x:c r="G15" s="38" t="n">
        <x:f>COUNTIFS('Liaisons'!$D$7:$D$11,"Établi")</x:f>
        <x:v>0</x:v>
      </x:c>
      <x:c r="H15" s="38" t="n">
        <x:f>COUNTIFS('Liaisons'!$D$7:$D$11,"À vérifier")</x:f>
        <x:v>0</x:v>
      </x:c>
      <x:c r="I15" s="38" t="n">
        <x:f>COUNTIFS('Liaisons'!$D$7:$D$11,"Extrapolation")</x:f>
        <x:v>5</x:v>
      </x:c>
      <x:c r="J15" s="38" t="n">
        <x:f>COUNTIFS('Liaisons'!$D$7:$D$11,"Coupé attesté")</x:f>
        <x:v>0</x:v>
      </x:c>
      <x:c r="K15" s="38" t="n">
        <x:f>COUNTIFS('Liaisons'!$D$7:$D$11,"Concept abandonné")</x:f>
        <x:v>0</x:v>
      </x:c>
      <x:c r="L15" s="38" t="n">
        <x:f>COUNTIFS('Liaisons'!$D$7:$D$11,"Allégation écartée")</x:f>
        <x:v>0</x:v>
      </x:c>
      <x:c r="M15" s="38" t="n">
        <x:f>COUNTIFS('Liaisons'!$E$7:$E$11,"P0")</x:f>
        <x:v>0</x:v>
      </x:c>
    </x:row>
    <x:row r="16" ht="22" customHeight="1">
      <x:c r="A16" s="33" t="str">
        <x:v>Décors</x:v>
      </x:c>
      <x:c r="B16" s="37" t="n">
        <x:f>COUNTA('Decors'!$A$7:$A$11)</x:f>
        <x:v>5</x:v>
      </x:c>
      <x:c r="C16" s="37" t="n">
        <x:f>COUNTIFS('Decors'!$C$7:$C$11,"Défini")</x:f>
        <x:v>5</x:v>
      </x:c>
      <x:c r="D16" s="37" t="n">
        <x:f>COUNTIFS('Decors'!$C$7:$C$11,"Prototype")</x:f>
        <x:v>0</x:v>
      </x:c>
      <x:c r="E16" s="37" t="n">
        <x:f>COUNTIFS('Decors'!$C$7:$C$11,"Intégré")</x:f>
        <x:v>0</x:v>
      </x:c>
      <x:c r="F16" s="37" t="n">
        <x:f>COUNTIFS('Decors'!$C$7:$C$11,"Validé")</x:f>
        <x:v>0</x:v>
      </x:c>
      <x:c r="G16" s="37" t="n">
        <x:f>COUNTIFS('Decors'!$D$7:$D$11,"Établi")</x:f>
        <x:v>0</x:v>
      </x:c>
      <x:c r="H16" s="37" t="n">
        <x:f>COUNTIFS('Decors'!$D$7:$D$11,"À vérifier")</x:f>
        <x:v>0</x:v>
      </x:c>
      <x:c r="I16" s="37" t="n">
        <x:f>COUNTIFS('Decors'!$D$7:$D$11,"Extrapolation")</x:f>
        <x:v>5</x:v>
      </x:c>
      <x:c r="J16" s="37" t="n">
        <x:f>COUNTIFS('Decors'!$D$7:$D$11,"Coupé attesté")</x:f>
        <x:v>0</x:v>
      </x:c>
      <x:c r="K16" s="37" t="n">
        <x:f>COUNTIFS('Decors'!$D$7:$D$11,"Concept abandonné")</x:f>
        <x:v>0</x:v>
      </x:c>
      <x:c r="L16" s="37" t="n">
        <x:f>COUNTIFS('Decors'!$D$7:$D$11,"Allégation écartée")</x:f>
        <x:v>0</x:v>
      </x:c>
      <x:c r="M16" s="37" t="n">
        <x:f>COUNTIFS('Decors'!$E$7:$E$11,"P0")</x:f>
        <x:v>0</x:v>
      </x:c>
    </x:row>
    <x:row r="17" ht="22" customHeight="1">
      <x:c r="A17" s="2" t="str">
        <x:v>Props</x:v>
      </x:c>
      <x:c r="B17" s="38" t="n">
        <x:f>COUNTA('Props'!$A$7:$A$14)</x:f>
        <x:v>8</x:v>
      </x:c>
      <x:c r="C17" s="38" t="n">
        <x:f>COUNTIFS('Props'!$C$7:$C$14,"Défini")</x:f>
        <x:v>8</x:v>
      </x:c>
      <x:c r="D17" s="38" t="n">
        <x:f>COUNTIFS('Props'!$C$7:$C$14,"Prototype")</x:f>
        <x:v>0</x:v>
      </x:c>
      <x:c r="E17" s="38" t="n">
        <x:f>COUNTIFS('Props'!$C$7:$C$14,"Intégré")</x:f>
        <x:v>0</x:v>
      </x:c>
      <x:c r="F17" s="38" t="n">
        <x:f>COUNTIFS('Props'!$C$7:$C$14,"Validé")</x:f>
        <x:v>0</x:v>
      </x:c>
      <x:c r="G17" s="38" t="n">
        <x:f>COUNTIFS('Props'!$D$7:$D$14,"Établi")</x:f>
        <x:v>0</x:v>
      </x:c>
      <x:c r="H17" s="38" t="n">
        <x:f>COUNTIFS('Props'!$D$7:$D$14,"À vérifier")</x:f>
        <x:v>0</x:v>
      </x:c>
      <x:c r="I17" s="38" t="n">
        <x:f>COUNTIFS('Props'!$D$7:$D$14,"Extrapolation")</x:f>
        <x:v>8</x:v>
      </x:c>
      <x:c r="J17" s="38" t="n">
        <x:f>COUNTIFS('Props'!$D$7:$D$14,"Coupé attesté")</x:f>
        <x:v>0</x:v>
      </x:c>
      <x:c r="K17" s="38" t="n">
        <x:f>COUNTIFS('Props'!$D$7:$D$14,"Concept abandonné")</x:f>
        <x:v>0</x:v>
      </x:c>
      <x:c r="L17" s="38" t="n">
        <x:f>COUNTIFS('Props'!$D$7:$D$14,"Allégation écartée")</x:f>
        <x:v>0</x:v>
      </x:c>
      <x:c r="M17" s="38" t="n">
        <x:f>COUNTIFS('Props'!$E$7:$E$14,"P0")</x:f>
        <x:v>0</x:v>
      </x:c>
    </x:row>
    <x:row r="18" ht="22" customHeight="1">
      <x:c r="A18" s="33" t="str">
        <x:v>Ennemis et boss</x:v>
      </x:c>
      <x:c r="B18" s="37" t="n">
        <x:f>COUNTA('Ennemis_boss'!$A$7:$A$10)</x:f>
        <x:v>4</x:v>
      </x:c>
      <x:c r="C18" s="37" t="n">
        <x:f>COUNTIFS('Ennemis_boss'!$C$7:$C$10,"Défini")</x:f>
        <x:v>4</x:v>
      </x:c>
      <x:c r="D18" s="37" t="n">
        <x:f>COUNTIFS('Ennemis_boss'!$C$7:$C$10,"Prototype")</x:f>
        <x:v>0</x:v>
      </x:c>
      <x:c r="E18" s="37" t="n">
        <x:f>COUNTIFS('Ennemis_boss'!$C$7:$C$10,"Intégré")</x:f>
        <x:v>0</x:v>
      </x:c>
      <x:c r="F18" s="37" t="n">
        <x:f>COUNTIFS('Ennemis_boss'!$C$7:$C$10,"Validé")</x:f>
        <x:v>0</x:v>
      </x:c>
      <x:c r="G18" s="37" t="n">
        <x:f>COUNTIFS('Ennemis_boss'!$D$7:$D$10,"Établi")</x:f>
        <x:v>0</x:v>
      </x:c>
      <x:c r="H18" s="37" t="n">
        <x:f>COUNTIFS('Ennemis_boss'!$D$7:$D$10,"À vérifier")</x:f>
        <x:v>4</x:v>
      </x:c>
      <x:c r="I18" s="37" t="n">
        <x:f>COUNTIFS('Ennemis_boss'!$D$7:$D$10,"Extrapolation")</x:f>
        <x:v>0</x:v>
      </x:c>
      <x:c r="J18" s="37" t="n">
        <x:f>COUNTIFS('Ennemis_boss'!$D$7:$D$10,"Coupé attesté")</x:f>
        <x:v>0</x:v>
      </x:c>
      <x:c r="K18" s="37" t="n">
        <x:f>COUNTIFS('Ennemis_boss'!$D$7:$D$10,"Concept abandonné")</x:f>
        <x:v>0</x:v>
      </x:c>
      <x:c r="L18" s="37" t="n">
        <x:f>COUNTIFS('Ennemis_boss'!$D$7:$D$10,"Allégation écartée")</x:f>
        <x:v>0</x:v>
      </x:c>
      <x:c r="M18" s="37" t="n">
        <x:f>COUNTIFS('Ennemis_boss'!$E$7:$E$10,"P0")</x:f>
        <x:v>0</x:v>
      </x:c>
    </x:row>
    <x:row r="19" ht="22" customHeight="1">
      <x:c r="A19" s="2" t="str">
        <x:v>Missions</x:v>
      </x:c>
      <x:c r="B19" s="38" t="n">
        <x:f>COUNTA('Missions'!$A$7:$A$14)</x:f>
        <x:v>8</x:v>
      </x:c>
      <x:c r="C19" s="38" t="n">
        <x:f>COUNTIFS('Missions'!$C$7:$C$14,"Défini")</x:f>
        <x:v>8</x:v>
      </x:c>
      <x:c r="D19" s="38" t="n">
        <x:f>COUNTIFS('Missions'!$C$7:$C$14,"Prototype")</x:f>
        <x:v>0</x:v>
      </x:c>
      <x:c r="E19" s="38" t="n">
        <x:f>COUNTIFS('Missions'!$C$7:$C$14,"Intégré")</x:f>
        <x:v>0</x:v>
      </x:c>
      <x:c r="F19" s="38" t="n">
        <x:f>COUNTIFS('Missions'!$C$7:$C$14,"Validé")</x:f>
        <x:v>0</x:v>
      </x:c>
      <x:c r="G19" s="38" t="n">
        <x:f>COUNTIFS('Missions'!$D$7:$D$14,"Établi")</x:f>
        <x:v>0</x:v>
      </x:c>
      <x:c r="H19" s="38" t="n">
        <x:f>COUNTIFS('Missions'!$D$7:$D$14,"À vérifier")</x:f>
        <x:v>0</x:v>
      </x:c>
      <x:c r="I19" s="38" t="n">
        <x:f>COUNTIFS('Missions'!$D$7:$D$14,"Extrapolation")</x:f>
        <x:v>8</x:v>
      </x:c>
      <x:c r="J19" s="38" t="n">
        <x:f>COUNTIFS('Missions'!$D$7:$D$14,"Coupé attesté")</x:f>
        <x:v>0</x:v>
      </x:c>
      <x:c r="K19" s="38" t="n">
        <x:f>COUNTIFS('Missions'!$D$7:$D$14,"Concept abandonné")</x:f>
        <x:v>0</x:v>
      </x:c>
      <x:c r="L19" s="38" t="n">
        <x:f>COUNTIFS('Missions'!$D$7:$D$14,"Allégation écartée")</x:f>
        <x:v>0</x:v>
      </x:c>
      <x:c r="M19" s="38" t="n">
        <x:f>COUNTIFS('Missions'!$E$7:$E$14,"P0")</x:f>
        <x:v>8</x:v>
      </x:c>
    </x:row>
    <x:row r="20" ht="22" customHeight="1">
      <x:c r="A20" s="33" t="str">
        <x:v>Secondaires et DLC</x:v>
      </x:c>
      <x:c r="B20" s="37" t="n">
        <x:f>COUNTA('Secondaires_DLC'!$A$7:$A$14)</x:f>
        <x:v>8</x:v>
      </x:c>
      <x:c r="C20" s="37" t="n">
        <x:f>COUNTIFS('Secondaires_DLC'!$C$7:$C$14,"Défini")</x:f>
        <x:v>8</x:v>
      </x:c>
      <x:c r="D20" s="37" t="n">
        <x:f>COUNTIFS('Secondaires_DLC'!$C$7:$C$14,"Prototype")</x:f>
        <x:v>0</x:v>
      </x:c>
      <x:c r="E20" s="37" t="n">
        <x:f>COUNTIFS('Secondaires_DLC'!$C$7:$C$14,"Intégré")</x:f>
        <x:v>0</x:v>
      </x:c>
      <x:c r="F20" s="37" t="n">
        <x:f>COUNTIFS('Secondaires_DLC'!$C$7:$C$14,"Validé")</x:f>
        <x:v>0</x:v>
      </x:c>
      <x:c r="G20" s="37" t="n">
        <x:f>COUNTIFS('Secondaires_DLC'!$D$7:$D$14,"Établi")</x:f>
        <x:v>0</x:v>
      </x:c>
      <x:c r="H20" s="37" t="n">
        <x:f>COUNTIFS('Secondaires_DLC'!$D$7:$D$14,"À vérifier")</x:f>
        <x:v>0</x:v>
      </x:c>
      <x:c r="I20" s="37" t="n">
        <x:f>COUNTIFS('Secondaires_DLC'!$D$7:$D$14,"Extrapolation")</x:f>
        <x:v>8</x:v>
      </x:c>
      <x:c r="J20" s="37" t="n">
        <x:f>COUNTIFS('Secondaires_DLC'!$D$7:$D$14,"Coupé attesté")</x:f>
        <x:v>0</x:v>
      </x:c>
      <x:c r="K20" s="37" t="n">
        <x:f>COUNTIFS('Secondaires_DLC'!$D$7:$D$14,"Concept abandonné")</x:f>
        <x:v>0</x:v>
      </x:c>
      <x:c r="L20" s="37" t="n">
        <x:f>COUNTIFS('Secondaires_DLC'!$D$7:$D$14,"Allégation écartée")</x:f>
        <x:v>0</x:v>
      </x:c>
      <x:c r="M20" s="37" t="n">
        <x:f>COUNTIFS('Secondaires_DLC'!$E$7:$E$14,"P0")</x:f>
        <x:v>0</x:v>
      </x:c>
    </x:row>
    <x:row r="21" ht="22" customHeight="1">
      <x:c r="A21" s="2" t="str">
        <x:v>Choix et relations</x:v>
      </x:c>
      <x:c r="B21" s="38" t="n">
        <x:f>COUNTA('Choix_relations'!$A$7:$A$14)</x:f>
        <x:v>8</x:v>
      </x:c>
      <x:c r="C21" s="38" t="n">
        <x:f>COUNTIFS('Choix_relations'!$C$7:$C$14,"Défini")</x:f>
        <x:v>8</x:v>
      </x:c>
      <x:c r="D21" s="38" t="n">
        <x:f>COUNTIFS('Choix_relations'!$C$7:$C$14,"Prototype")</x:f>
        <x:v>0</x:v>
      </x:c>
      <x:c r="E21" s="38" t="n">
        <x:f>COUNTIFS('Choix_relations'!$C$7:$C$14,"Intégré")</x:f>
        <x:v>0</x:v>
      </x:c>
      <x:c r="F21" s="38" t="n">
        <x:f>COUNTIFS('Choix_relations'!$C$7:$C$14,"Validé")</x:f>
        <x:v>0</x:v>
      </x:c>
      <x:c r="G21" s="38" t="n">
        <x:f>COUNTIFS('Choix_relations'!$D$7:$D$14,"Établi")</x:f>
        <x:v>0</x:v>
      </x:c>
      <x:c r="H21" s="38" t="n">
        <x:f>COUNTIFS('Choix_relations'!$D$7:$D$14,"À vérifier")</x:f>
        <x:v>0</x:v>
      </x:c>
      <x:c r="I21" s="38" t="n">
        <x:f>COUNTIFS('Choix_relations'!$D$7:$D$14,"Extrapolation")</x:f>
        <x:v>8</x:v>
      </x:c>
      <x:c r="J21" s="38" t="n">
        <x:f>COUNTIFS('Choix_relations'!$D$7:$D$14,"Coupé attesté")</x:f>
        <x:v>0</x:v>
      </x:c>
      <x:c r="K21" s="38" t="n">
        <x:f>COUNTIFS('Choix_relations'!$D$7:$D$14,"Concept abandonné")</x:f>
        <x:v>0</x:v>
      </x:c>
      <x:c r="L21" s="38" t="n">
        <x:f>COUNTIFS('Choix_relations'!$D$7:$D$14,"Allégation écartée")</x:f>
        <x:v>0</x:v>
      </x:c>
      <x:c r="M21" s="38" t="n">
        <x:f>COUNTIFS('Choix_relations'!$E$7:$E$14,"P0")</x:f>
        <x:v>0</x:v>
      </x:c>
    </x:row>
    <x:row r="22" ht="22" customHeight="1">
      <x:c r="A22" s="33" t="str">
        <x:v>Dialogues</x:v>
      </x:c>
      <x:c r="B22" s="37" t="n">
        <x:f>COUNTA('Dialogues'!$A$7:$A$14)</x:f>
        <x:v>8</x:v>
      </x:c>
      <x:c r="C22" s="37" t="n">
        <x:f>COUNTIFS('Dialogues'!$C$7:$C$14,"Défini")</x:f>
        <x:v>8</x:v>
      </x:c>
      <x:c r="D22" s="37" t="n">
        <x:f>COUNTIFS('Dialogues'!$C$7:$C$14,"Prototype")</x:f>
        <x:v>0</x:v>
      </x:c>
      <x:c r="E22" s="37" t="n">
        <x:f>COUNTIFS('Dialogues'!$C$7:$C$14,"Intégré")</x:f>
        <x:v>0</x:v>
      </x:c>
      <x:c r="F22" s="37" t="n">
        <x:f>COUNTIFS('Dialogues'!$C$7:$C$14,"Validé")</x:f>
        <x:v>0</x:v>
      </x:c>
      <x:c r="G22" s="37" t="n">
        <x:f>COUNTIFS('Dialogues'!$D$7:$D$14,"Établi")</x:f>
        <x:v>0</x:v>
      </x:c>
      <x:c r="H22" s="37" t="n">
        <x:f>COUNTIFS('Dialogues'!$D$7:$D$14,"À vérifier")</x:f>
        <x:v>0</x:v>
      </x:c>
      <x:c r="I22" s="37" t="n">
        <x:f>COUNTIFS('Dialogues'!$D$7:$D$14,"Extrapolation")</x:f>
        <x:v>8</x:v>
      </x:c>
      <x:c r="J22" s="37" t="n">
        <x:f>COUNTIFS('Dialogues'!$D$7:$D$14,"Coupé attesté")</x:f>
        <x:v>0</x:v>
      </x:c>
      <x:c r="K22" s="37" t="n">
        <x:f>COUNTIFS('Dialogues'!$D$7:$D$14,"Concept abandonné")</x:f>
        <x:v>0</x:v>
      </x:c>
      <x:c r="L22" s="37" t="n">
        <x:f>COUNTIFS('Dialogues'!$D$7:$D$14,"Allégation écartée")</x:f>
        <x:v>0</x:v>
      </x:c>
      <x:c r="M22" s="37" t="n">
        <x:f>COUNTIFS('Dialogues'!$E$7:$E$14,"P0")</x:f>
        <x:v>0</x:v>
      </x:c>
    </x:row>
    <x:row r="23" ht="22" customHeight="1">
      <x:c r="A23" s="2" t="str">
        <x:v>Cinématiques</x:v>
      </x:c>
      <x:c r="B23" s="38" t="n">
        <x:f>COUNTA('Cinematiques'!$A$7:$A$14)</x:f>
        <x:v>8</x:v>
      </x:c>
      <x:c r="C23" s="38" t="n">
        <x:f>COUNTIFS('Cinematiques'!$C$7:$C$14,"Défini")</x:f>
        <x:v>8</x:v>
      </x:c>
      <x:c r="D23" s="38" t="n">
        <x:f>COUNTIFS('Cinematiques'!$C$7:$C$14,"Prototype")</x:f>
        <x:v>0</x:v>
      </x:c>
      <x:c r="E23" s="38" t="n">
        <x:f>COUNTIFS('Cinematiques'!$C$7:$C$14,"Intégré")</x:f>
        <x:v>0</x:v>
      </x:c>
      <x:c r="F23" s="38" t="n">
        <x:f>COUNTIFS('Cinematiques'!$C$7:$C$14,"Validé")</x:f>
        <x:v>0</x:v>
      </x:c>
      <x:c r="G23" s="38" t="n">
        <x:f>COUNTIFS('Cinematiques'!$D$7:$D$14,"Établi")</x:f>
        <x:v>0</x:v>
      </x:c>
      <x:c r="H23" s="38" t="n">
        <x:f>COUNTIFS('Cinematiques'!$D$7:$D$14,"À vérifier")</x:f>
        <x:v>0</x:v>
      </x:c>
      <x:c r="I23" s="38" t="n">
        <x:f>COUNTIFS('Cinematiques'!$D$7:$D$14,"Extrapolation")</x:f>
        <x:v>8</x:v>
      </x:c>
      <x:c r="J23" s="38" t="n">
        <x:f>COUNTIFS('Cinematiques'!$D$7:$D$14,"Coupé attesté")</x:f>
        <x:v>0</x:v>
      </x:c>
      <x:c r="K23" s="38" t="n">
        <x:f>COUNTIFS('Cinematiques'!$D$7:$D$14,"Concept abandonné")</x:f>
        <x:v>0</x:v>
      </x:c>
      <x:c r="L23" s="38" t="n">
        <x:f>COUNTIFS('Cinematiques'!$D$7:$D$14,"Allégation écartée")</x:f>
        <x:v>0</x:v>
      </x:c>
      <x:c r="M23" s="38" t="n">
        <x:f>COUNTIFS('Cinematiques'!$E$7:$E$14,"P0")</x:f>
        <x:v>0</x:v>
      </x:c>
    </x:row>
    <x:row r="24" ht="22" customHeight="1">
      <x:c r="A24" s="33" t="str">
        <x:v>Armes</x:v>
      </x:c>
      <x:c r="B24" s="37" t="n">
        <x:f>COUNTA('Armes'!$A$7:$A$8)</x:f>
        <x:v>2</x:v>
      </x:c>
      <x:c r="C24" s="37" t="n">
        <x:f>COUNTIFS('Armes'!$C$7:$C$8,"Défini")</x:f>
        <x:v>2</x:v>
      </x:c>
      <x:c r="D24" s="37" t="n">
        <x:f>COUNTIFS('Armes'!$C$7:$C$8,"Prototype")</x:f>
        <x:v>0</x:v>
      </x:c>
      <x:c r="E24" s="37" t="n">
        <x:f>COUNTIFS('Armes'!$C$7:$C$8,"Intégré")</x:f>
        <x:v>0</x:v>
      </x:c>
      <x:c r="F24" s="37" t="n">
        <x:f>COUNTIFS('Armes'!$C$7:$C$8,"Validé")</x:f>
        <x:v>0</x:v>
      </x:c>
      <x:c r="G24" s="37" t="n">
        <x:f>COUNTIFS('Armes'!$D$7:$D$8,"Établi")</x:f>
        <x:v>0</x:v>
      </x:c>
      <x:c r="H24" s="37" t="n">
        <x:f>COUNTIFS('Armes'!$D$7:$D$8,"À vérifier")</x:f>
        <x:v>0</x:v>
      </x:c>
      <x:c r="I24" s="37" t="n">
        <x:f>COUNTIFS('Armes'!$D$7:$D$8,"Extrapolation")</x:f>
        <x:v>2</x:v>
      </x:c>
      <x:c r="J24" s="37" t="n">
        <x:f>COUNTIFS('Armes'!$D$7:$D$8,"Coupé attesté")</x:f>
        <x:v>0</x:v>
      </x:c>
      <x:c r="K24" s="37" t="n">
        <x:f>COUNTIFS('Armes'!$D$7:$D$8,"Concept abandonné")</x:f>
        <x:v>0</x:v>
      </x:c>
      <x:c r="L24" s="37" t="n">
        <x:f>COUNTIFS('Armes'!$D$7:$D$8,"Allégation écartée")</x:f>
        <x:v>0</x:v>
      </x:c>
      <x:c r="M24" s="37" t="n">
        <x:f>COUNTIFS('Armes'!$E$7:$E$8,"P0")</x:f>
        <x:v>0</x:v>
      </x:c>
    </x:row>
    <x:row r="25" ht="22" customHeight="1">
      <x:c r="A25" s="2" t="str">
        <x:v>Armures et équipement</x:v>
      </x:c>
      <x:c r="B25" s="38" t="n">
        <x:f>COUNTA('Armures_equipement'!$A$7:$A$8)</x:f>
        <x:v>2</x:v>
      </x:c>
      <x:c r="C25" s="38" t="n">
        <x:f>COUNTIFS('Armures_equipement'!$C$7:$C$8,"Défini")</x:f>
        <x:v>2</x:v>
      </x:c>
      <x:c r="D25" s="38" t="n">
        <x:f>COUNTIFS('Armures_equipement'!$C$7:$C$8,"Prototype")</x:f>
        <x:v>0</x:v>
      </x:c>
      <x:c r="E25" s="38" t="n">
        <x:f>COUNTIFS('Armures_equipement'!$C$7:$C$8,"Intégré")</x:f>
        <x:v>0</x:v>
      </x:c>
      <x:c r="F25" s="38" t="n">
        <x:f>COUNTIFS('Armures_equipement'!$C$7:$C$8,"Validé")</x:f>
        <x:v>0</x:v>
      </x:c>
      <x:c r="G25" s="38" t="n">
        <x:f>COUNTIFS('Armures_equipement'!$D$7:$D$8,"Établi")</x:f>
        <x:v>0</x:v>
      </x:c>
      <x:c r="H25" s="38" t="n">
        <x:f>COUNTIFS('Armures_equipement'!$D$7:$D$8,"À vérifier")</x:f>
        <x:v>0</x:v>
      </x:c>
      <x:c r="I25" s="38" t="n">
        <x:f>COUNTIFS('Armures_equipement'!$D$7:$D$8,"Extrapolation")</x:f>
        <x:v>2</x:v>
      </x:c>
      <x:c r="J25" s="38" t="n">
        <x:f>COUNTIFS('Armures_equipement'!$D$7:$D$8,"Coupé attesté")</x:f>
        <x:v>0</x:v>
      </x:c>
      <x:c r="K25" s="38" t="n">
        <x:f>COUNTIFS('Armures_equipement'!$D$7:$D$8,"Concept abandonné")</x:f>
        <x:v>0</x:v>
      </x:c>
      <x:c r="L25" s="38" t="n">
        <x:f>COUNTIFS('Armures_equipement'!$D$7:$D$8,"Allégation écartée")</x:f>
        <x:v>0</x:v>
      </x:c>
      <x:c r="M25" s="38" t="n">
        <x:f>COUNTIFS('Armures_equipement'!$E$7:$E$8,"P0")</x:f>
        <x:v>0</x:v>
      </x:c>
    </x:row>
    <x:row r="26" ht="22" customHeight="1">
      <x:c r="A26" s="33" t="str">
        <x:v>Pouvoirs</x:v>
      </x:c>
      <x:c r="B26" s="37" t="n">
        <x:f>COUNTA('Pouvoirs'!$A$7:$A$7)</x:f>
        <x:v>1</x:v>
      </x:c>
      <x:c r="C26" s="37" t="n">
        <x:f>COUNTIFS('Pouvoirs'!$C$7:$C$7,"Défini")</x:f>
        <x:v>1</x:v>
      </x:c>
      <x:c r="D26" s="37" t="n">
        <x:f>COUNTIFS('Pouvoirs'!$C$7:$C$7,"Prototype")</x:f>
        <x:v>0</x:v>
      </x:c>
      <x:c r="E26" s="37" t="n">
        <x:f>COUNTIFS('Pouvoirs'!$C$7:$C$7,"Intégré")</x:f>
        <x:v>0</x:v>
      </x:c>
      <x:c r="F26" s="37" t="n">
        <x:f>COUNTIFS('Pouvoirs'!$C$7:$C$7,"Validé")</x:f>
        <x:v>0</x:v>
      </x:c>
      <x:c r="G26" s="37" t="n">
        <x:f>COUNTIFS('Pouvoirs'!$D$7:$D$7,"Établi")</x:f>
        <x:v>0</x:v>
      </x:c>
      <x:c r="H26" s="37" t="n">
        <x:f>COUNTIFS('Pouvoirs'!$D$7:$D$7,"À vérifier")</x:f>
        <x:v>0</x:v>
      </x:c>
      <x:c r="I26" s="37" t="n">
        <x:f>COUNTIFS('Pouvoirs'!$D$7:$D$7,"Extrapolation")</x:f>
        <x:v>1</x:v>
      </x:c>
      <x:c r="J26" s="37" t="n">
        <x:f>COUNTIFS('Pouvoirs'!$D$7:$D$7,"Coupé attesté")</x:f>
        <x:v>0</x:v>
      </x:c>
      <x:c r="K26" s="37" t="n">
        <x:f>COUNTIFS('Pouvoirs'!$D$7:$D$7,"Concept abandonné")</x:f>
        <x:v>0</x:v>
      </x:c>
      <x:c r="L26" s="37" t="n">
        <x:f>COUNTIFS('Pouvoirs'!$D$7:$D$7,"Allégation écartée")</x:f>
        <x:v>0</x:v>
      </x:c>
      <x:c r="M26" s="37" t="n">
        <x:f>COUNTIFS('Pouvoirs'!$E$7:$E$7,"P0")</x:f>
        <x:v>0</x:v>
      </x:c>
    </x:row>
    <x:row r="27" ht="22" customHeight="1">
      <x:c r="A27" s="2" t="str">
        <x:v>Movesets alliés</x:v>
      </x:c>
      <x:c r="B27" s="38" t="n">
        <x:f>COUNTA('Movesets_allies'!$A$7:$A$9)</x:f>
        <x:v>3</x:v>
      </x:c>
      <x:c r="C27" s="38" t="n">
        <x:f>COUNTIFS('Movesets_allies'!$C$7:$C$9,"Défini")</x:f>
        <x:v>3</x:v>
      </x:c>
      <x:c r="D27" s="38" t="n">
        <x:f>COUNTIFS('Movesets_allies'!$C$7:$C$9,"Prototype")</x:f>
        <x:v>0</x:v>
      </x:c>
      <x:c r="E27" s="38" t="n">
        <x:f>COUNTIFS('Movesets_allies'!$C$7:$C$9,"Intégré")</x:f>
        <x:v>0</x:v>
      </x:c>
      <x:c r="F27" s="38" t="n">
        <x:f>COUNTIFS('Movesets_allies'!$C$7:$C$9,"Validé")</x:f>
        <x:v>0</x:v>
      </x:c>
      <x:c r="G27" s="38" t="n">
        <x:f>COUNTIFS('Movesets_allies'!$D$7:$D$9,"Établi")</x:f>
        <x:v>0</x:v>
      </x:c>
      <x:c r="H27" s="38" t="n">
        <x:f>COUNTIFS('Movesets_allies'!$D$7:$D$9,"À vérifier")</x:f>
        <x:v>0</x:v>
      </x:c>
      <x:c r="I27" s="38" t="n">
        <x:f>COUNTIFS('Movesets_allies'!$D$7:$D$9,"Extrapolation")</x:f>
        <x:v>3</x:v>
      </x:c>
      <x:c r="J27" s="38" t="n">
        <x:f>COUNTIFS('Movesets_allies'!$D$7:$D$9,"Coupé attesté")</x:f>
        <x:v>0</x:v>
      </x:c>
      <x:c r="K27" s="38" t="n">
        <x:f>COUNTIFS('Movesets_allies'!$D$7:$D$9,"Concept abandonné")</x:f>
        <x:v>0</x:v>
      </x:c>
      <x:c r="L27" s="38" t="n">
        <x:f>COUNTIFS('Movesets_allies'!$D$7:$D$9,"Allégation écartée")</x:f>
        <x:v>0</x:v>
      </x:c>
      <x:c r="M27" s="38" t="n">
        <x:f>COUNTIFS('Movesets_allies'!$E$7:$E$9,"P0")</x:f>
        <x:v>0</x:v>
      </x:c>
    </x:row>
    <x:row r="28" ht="22" customHeight="1">
      <x:c r="A28" s="33" t="str">
        <x:v>Movesets ennemis</x:v>
      </x:c>
      <x:c r="B28" s="37" t="n">
        <x:f>COUNTA('Movesets_ennemis'!$A$7:$A$14)</x:f>
        <x:v>8</x:v>
      </x:c>
      <x:c r="C28" s="37" t="n">
        <x:f>COUNTIFS('Movesets_ennemis'!$C$7:$C$14,"Défini")</x:f>
        <x:v>8</x:v>
      </x:c>
      <x:c r="D28" s="37" t="n">
        <x:f>COUNTIFS('Movesets_ennemis'!$C$7:$C$14,"Prototype")</x:f>
        <x:v>0</x:v>
      </x:c>
      <x:c r="E28" s="37" t="n">
        <x:f>COUNTIFS('Movesets_ennemis'!$C$7:$C$14,"Intégré")</x:f>
        <x:v>0</x:v>
      </x:c>
      <x:c r="F28" s="37" t="n">
        <x:f>COUNTIFS('Movesets_ennemis'!$C$7:$C$14,"Validé")</x:f>
        <x:v>0</x:v>
      </x:c>
      <x:c r="G28" s="37" t="n">
        <x:f>COUNTIFS('Movesets_ennemis'!$D$7:$D$14,"Établi")</x:f>
        <x:v>0</x:v>
      </x:c>
      <x:c r="H28" s="37" t="n">
        <x:f>COUNTIFS('Movesets_ennemis'!$D$7:$D$14,"À vérifier")</x:f>
        <x:v>0</x:v>
      </x:c>
      <x:c r="I28" s="37" t="n">
        <x:f>COUNTIFS('Movesets_ennemis'!$D$7:$D$14,"Extrapolation")</x:f>
        <x:v>8</x:v>
      </x:c>
      <x:c r="J28" s="37" t="n">
        <x:f>COUNTIFS('Movesets_ennemis'!$D$7:$D$14,"Coupé attesté")</x:f>
        <x:v>0</x:v>
      </x:c>
      <x:c r="K28" s="37" t="n">
        <x:f>COUNTIFS('Movesets_ennemis'!$D$7:$D$14,"Concept abandonné")</x:f>
        <x:v>0</x:v>
      </x:c>
      <x:c r="L28" s="37" t="n">
        <x:f>COUNTIFS('Movesets_ennemis'!$D$7:$D$14,"Allégation écartée")</x:f>
        <x:v>0</x:v>
      </x:c>
      <x:c r="M28" s="37" t="n">
        <x:f>COUNTIFS('Movesets_ennemis'!$E$7:$E$14,"P0")</x:f>
        <x:v>0</x:v>
      </x:c>
    </x:row>
    <x:row r="29" ht="22" customHeight="1">
      <x:c r="A29" s="2" t="str">
        <x:v>Animations</x:v>
      </x:c>
      <x:c r="B29" s="38" t="n">
        <x:f>COUNTA('Animations'!$A$7:$A$16)</x:f>
        <x:v>10</x:v>
      </x:c>
      <x:c r="C29" s="38" t="n">
        <x:f>COUNTIFS('Animations'!$C$7:$C$16,"Défini")</x:f>
        <x:v>10</x:v>
      </x:c>
      <x:c r="D29" s="38" t="n">
        <x:f>COUNTIFS('Animations'!$C$7:$C$16,"Prototype")</x:f>
        <x:v>0</x:v>
      </x:c>
      <x:c r="E29" s="38" t="n">
        <x:f>COUNTIFS('Animations'!$C$7:$C$16,"Intégré")</x:f>
        <x:v>0</x:v>
      </x:c>
      <x:c r="F29" s="38" t="n">
        <x:f>COUNTIFS('Animations'!$C$7:$C$16,"Validé")</x:f>
        <x:v>0</x:v>
      </x:c>
      <x:c r="G29" s="38" t="n">
        <x:f>COUNTIFS('Animations'!$D$7:$D$16,"Établi")</x:f>
        <x:v>0</x:v>
      </x:c>
      <x:c r="H29" s="38" t="n">
        <x:f>COUNTIFS('Animations'!$D$7:$D$16,"À vérifier")</x:f>
        <x:v>0</x:v>
      </x:c>
      <x:c r="I29" s="38" t="n">
        <x:f>COUNTIFS('Animations'!$D$7:$D$16,"Extrapolation")</x:f>
        <x:v>10</x:v>
      </x:c>
      <x:c r="J29" s="38" t="n">
        <x:f>COUNTIFS('Animations'!$D$7:$D$16,"Coupé attesté")</x:f>
        <x:v>0</x:v>
      </x:c>
      <x:c r="K29" s="38" t="n">
        <x:f>COUNTIFS('Animations'!$D$7:$D$16,"Concept abandonné")</x:f>
        <x:v>0</x:v>
      </x:c>
      <x:c r="L29" s="38" t="n">
        <x:f>COUNTIFS('Animations'!$D$7:$D$16,"Allégation écartée")</x:f>
        <x:v>0</x:v>
      </x:c>
      <x:c r="M29" s="38" t="n">
        <x:f>COUNTIFS('Animations'!$E$7:$E$16,"P0")</x:f>
        <x:v>0</x:v>
      </x:c>
    </x:row>
    <x:row r="30" ht="22" customHeight="1">
      <x:c r="A30" s="33" t="str">
        <x:v>Sprites</x:v>
      </x:c>
      <x:c r="B30" s="37" t="n">
        <x:f>COUNTA('Sprites'!$A$7:$A$16)</x:f>
        <x:v>10</x:v>
      </x:c>
      <x:c r="C30" s="37" t="n">
        <x:f>COUNTIFS('Sprites'!$C$7:$C$16,"Défini")</x:f>
        <x:v>10</x:v>
      </x:c>
      <x:c r="D30" s="37" t="n">
        <x:f>COUNTIFS('Sprites'!$C$7:$C$16,"Prototype")</x:f>
        <x:v>0</x:v>
      </x:c>
      <x:c r="E30" s="37" t="n">
        <x:f>COUNTIFS('Sprites'!$C$7:$C$16,"Intégré")</x:f>
        <x:v>0</x:v>
      </x:c>
      <x:c r="F30" s="37" t="n">
        <x:f>COUNTIFS('Sprites'!$C$7:$C$16,"Validé")</x:f>
        <x:v>0</x:v>
      </x:c>
      <x:c r="G30" s="37" t="n">
        <x:f>COUNTIFS('Sprites'!$D$7:$D$16,"Établi")</x:f>
        <x:v>0</x:v>
      </x:c>
      <x:c r="H30" s="37" t="n">
        <x:f>COUNTIFS('Sprites'!$D$7:$D$16,"À vérifier")</x:f>
        <x:v>0</x:v>
      </x:c>
      <x:c r="I30" s="37" t="n">
        <x:f>COUNTIFS('Sprites'!$D$7:$D$16,"Extrapolation")</x:f>
        <x:v>10</x:v>
      </x:c>
      <x:c r="J30" s="37" t="n">
        <x:f>COUNTIFS('Sprites'!$D$7:$D$16,"Coupé attesté")</x:f>
        <x:v>0</x:v>
      </x:c>
      <x:c r="K30" s="37" t="n">
        <x:f>COUNTIFS('Sprites'!$D$7:$D$16,"Concept abandonné")</x:f>
        <x:v>0</x:v>
      </x:c>
      <x:c r="L30" s="37" t="n">
        <x:f>COUNTIFS('Sprites'!$D$7:$D$16,"Allégation écartée")</x:f>
        <x:v>0</x:v>
      </x:c>
      <x:c r="M30" s="37" t="n">
        <x:f>COUNTIFS('Sprites'!$E$7:$E$16,"P0")</x:f>
        <x:v>0</x:v>
      </x:c>
    </x:row>
    <x:row r="31" ht="22" customHeight="1">
      <x:c r="A31" s="2" t="str">
        <x:v>VFX</x:v>
      </x:c>
      <x:c r="B31" s="38" t="n">
        <x:f>COUNTA('VFX'!$A$7:$A$14)</x:f>
        <x:v>8</x:v>
      </x:c>
      <x:c r="C31" s="38" t="n">
        <x:f>COUNTIFS('VFX'!$C$7:$C$14,"Défini")</x:f>
        <x:v>8</x:v>
      </x:c>
      <x:c r="D31" s="38" t="n">
        <x:f>COUNTIFS('VFX'!$C$7:$C$14,"Prototype")</x:f>
        <x:v>0</x:v>
      </x:c>
      <x:c r="E31" s="38" t="n">
        <x:f>COUNTIFS('VFX'!$C$7:$C$14,"Intégré")</x:f>
        <x:v>0</x:v>
      </x:c>
      <x:c r="F31" s="38" t="n">
        <x:f>COUNTIFS('VFX'!$C$7:$C$14,"Validé")</x:f>
        <x:v>0</x:v>
      </x:c>
      <x:c r="G31" s="38" t="n">
        <x:f>COUNTIFS('VFX'!$D$7:$D$14,"Établi")</x:f>
        <x:v>0</x:v>
      </x:c>
      <x:c r="H31" s="38" t="n">
        <x:f>COUNTIFS('VFX'!$D$7:$D$14,"À vérifier")</x:f>
        <x:v>0</x:v>
      </x:c>
      <x:c r="I31" s="38" t="n">
        <x:f>COUNTIFS('VFX'!$D$7:$D$14,"Extrapolation")</x:f>
        <x:v>8</x:v>
      </x:c>
      <x:c r="J31" s="38" t="n">
        <x:f>COUNTIFS('VFX'!$D$7:$D$14,"Coupé attesté")</x:f>
        <x:v>0</x:v>
      </x:c>
      <x:c r="K31" s="38" t="n">
        <x:f>COUNTIFS('VFX'!$D$7:$D$14,"Concept abandonné")</x:f>
        <x:v>0</x:v>
      </x:c>
      <x:c r="L31" s="38" t="n">
        <x:f>COUNTIFS('VFX'!$D$7:$D$14,"Allégation écartée")</x:f>
        <x:v>0</x:v>
      </x:c>
      <x:c r="M31" s="38" t="n">
        <x:f>COUNTIFS('VFX'!$E$7:$E$14,"P0")</x:f>
        <x:v>0</x:v>
      </x:c>
    </x:row>
    <x:row r="32" ht="22" customHeight="1">
      <x:c r="A32" s="33" t="str">
        <x:v>Audio</x:v>
      </x:c>
      <x:c r="B32" s="37" t="n">
        <x:f>COUNTA('Audio'!$A$7:$A$11)</x:f>
        <x:v>5</x:v>
      </x:c>
      <x:c r="C32" s="37" t="n">
        <x:f>COUNTIFS('Audio'!$C$7:$C$11,"Défini")</x:f>
        <x:v>5</x:v>
      </x:c>
      <x:c r="D32" s="37" t="n">
        <x:f>COUNTIFS('Audio'!$C$7:$C$11,"Prototype")</x:f>
        <x:v>0</x:v>
      </x:c>
      <x:c r="E32" s="37" t="n">
        <x:f>COUNTIFS('Audio'!$C$7:$C$11,"Intégré")</x:f>
        <x:v>0</x:v>
      </x:c>
      <x:c r="F32" s="37" t="n">
        <x:f>COUNTIFS('Audio'!$C$7:$C$11,"Validé")</x:f>
        <x:v>0</x:v>
      </x:c>
      <x:c r="G32" s="37" t="n">
        <x:f>COUNTIFS('Audio'!$D$7:$D$11,"Établi")</x:f>
        <x:v>0</x:v>
      </x:c>
      <x:c r="H32" s="37" t="n">
        <x:f>COUNTIFS('Audio'!$D$7:$D$11,"À vérifier")</x:f>
        <x:v>0</x:v>
      </x:c>
      <x:c r="I32" s="37" t="n">
        <x:f>COUNTIFS('Audio'!$D$7:$D$11,"Extrapolation")</x:f>
        <x:v>5</x:v>
      </x:c>
      <x:c r="J32" s="37" t="n">
        <x:f>COUNTIFS('Audio'!$D$7:$D$11,"Coupé attesté")</x:f>
        <x:v>0</x:v>
      </x:c>
      <x:c r="K32" s="37" t="n">
        <x:f>COUNTIFS('Audio'!$D$7:$D$11,"Concept abandonné")</x:f>
        <x:v>0</x:v>
      </x:c>
      <x:c r="L32" s="37" t="n">
        <x:f>COUNTIFS('Audio'!$D$7:$D$11,"Allégation écartée")</x:f>
        <x:v>0</x:v>
      </x:c>
      <x:c r="M32" s="37" t="n">
        <x:f>COUNTIFS('Audio'!$E$7:$E$11,"P0")</x:f>
        <x:v>0</x:v>
      </x:c>
    </x:row>
    <x:row r="33" ht="22" customHeight="1">
      <x:c r="A33" s="2" t="str">
        <x:v>Systèmes et UI</x:v>
      </x:c>
      <x:c r="B33" s="38" t="n">
        <x:f>COUNTA('UI_systemes'!$A$7:$A$10)</x:f>
        <x:v>4</x:v>
      </x:c>
      <x:c r="C33" s="38" t="n">
        <x:f>COUNTIFS('UI_systemes'!$C$7:$C$10,"Défini")</x:f>
        <x:v>4</x:v>
      </x:c>
      <x:c r="D33" s="38" t="n">
        <x:f>COUNTIFS('UI_systemes'!$C$7:$C$10,"Prototype")</x:f>
        <x:v>0</x:v>
      </x:c>
      <x:c r="E33" s="38" t="n">
        <x:f>COUNTIFS('UI_systemes'!$C$7:$C$10,"Intégré")</x:f>
        <x:v>0</x:v>
      </x:c>
      <x:c r="F33" s="38" t="n">
        <x:f>COUNTIFS('UI_systemes'!$C$7:$C$10,"Validé")</x:f>
        <x:v>0</x:v>
      </x:c>
      <x:c r="G33" s="38" t="n">
        <x:f>COUNTIFS('UI_systemes'!$D$7:$D$10,"Établi")</x:f>
        <x:v>0</x:v>
      </x:c>
      <x:c r="H33" s="38" t="n">
        <x:f>COUNTIFS('UI_systemes'!$D$7:$D$10,"À vérifier")</x:f>
        <x:v>0</x:v>
      </x:c>
      <x:c r="I33" s="38" t="n">
        <x:f>COUNTIFS('UI_systemes'!$D$7:$D$10,"Extrapolation")</x:f>
        <x:v>4</x:v>
      </x:c>
      <x:c r="J33" s="38" t="n">
        <x:f>COUNTIFS('UI_systemes'!$D$7:$D$10,"Coupé attesté")</x:f>
        <x:v>0</x:v>
      </x:c>
      <x:c r="K33" s="38" t="n">
        <x:f>COUNTIFS('UI_systemes'!$D$7:$D$10,"Concept abandonné")</x:f>
        <x:v>0</x:v>
      </x:c>
      <x:c r="L33" s="38" t="n">
        <x:f>COUNTIFS('UI_systemes'!$D$7:$D$10,"Allégation écartée")</x:f>
        <x:v>0</x:v>
      </x:c>
      <x:c r="M33" s="38" t="n">
        <x:f>COUNTIFS('UI_systemes'!$E$7:$E$10,"P0")</x:f>
        <x:v>0</x:v>
      </x:c>
    </x:row>
    <x:row r="34" ht="22" customHeight="1">
      <x:c r="A34" s="33" t="str">
        <x:v>QA</x:v>
      </x:c>
      <x:c r="B34" s="37" t="n">
        <x:f>COUNTA('QA'!$A$7:$A$17)</x:f>
        <x:v>11</x:v>
      </x:c>
      <x:c r="C34" s="37" t="n">
        <x:f>COUNTIFS('QA'!$C$7:$C$17,"Défini")</x:f>
        <x:v>11</x:v>
      </x:c>
      <x:c r="D34" s="37" t="n">
        <x:f>COUNTIFS('QA'!$C$7:$C$17,"Prototype")</x:f>
        <x:v>0</x:v>
      </x:c>
      <x:c r="E34" s="37" t="n">
        <x:f>COUNTIFS('QA'!$C$7:$C$17,"Intégré")</x:f>
        <x:v>0</x:v>
      </x:c>
      <x:c r="F34" s="37" t="n">
        <x:f>COUNTIFS('QA'!$C$7:$C$17,"Validé")</x:f>
        <x:v>0</x:v>
      </x:c>
      <x:c r="G34" s="37" t="n">
        <x:f>COUNTIFS('QA'!$D$7:$D$17,"Établi")</x:f>
        <x:v>0</x:v>
      </x:c>
      <x:c r="H34" s="37" t="n">
        <x:f>COUNTIFS('QA'!$D$7:$D$17,"À vérifier")</x:f>
        <x:v>0</x:v>
      </x:c>
      <x:c r="I34" s="37" t="n">
        <x:f>COUNTIFS('QA'!$D$7:$D$17,"Extrapolation")</x:f>
        <x:v>11</x:v>
      </x:c>
      <x:c r="J34" s="37" t="n">
        <x:f>COUNTIFS('QA'!$D$7:$D$17,"Coupé attesté")</x:f>
        <x:v>0</x:v>
      </x:c>
      <x:c r="K34" s="37" t="n">
        <x:f>COUNTIFS('QA'!$D$7:$D$17,"Concept abandonné")</x:f>
        <x:v>0</x:v>
      </x:c>
      <x:c r="L34" s="37" t="n">
        <x:f>COUNTIFS('QA'!$D$7:$D$17,"Allégation écartée")</x:f>
        <x:v>0</x:v>
      </x:c>
      <x:c r="M34" s="37" t="n">
        <x:f>COUNTIFS('QA'!$E$7:$E$17,"P0")</x:f>
        <x:v>11</x:v>
      </x:c>
    </x:row>
    <x:row r="35" ht="22" customHeight="1">
      <x:c r="A35" s="2" t="str">
        <x:v>Continuité</x:v>
      </x:c>
      <x:c r="B35" s="38" t="n">
        <x:f>COUNTA('Continuite'!$A$7:$A$8)</x:f>
        <x:v>2</x:v>
      </x:c>
      <x:c r="C35" s="38" t="n">
        <x:f>COUNTIFS('Continuite'!$C$7:$C$8,"Défini")</x:f>
        <x:v>2</x:v>
      </x:c>
      <x:c r="D35" s="38" t="n">
        <x:f>COUNTIFS('Continuite'!$C$7:$C$8,"Prototype")</x:f>
        <x:v>0</x:v>
      </x:c>
      <x:c r="E35" s="38" t="n">
        <x:f>COUNTIFS('Continuite'!$C$7:$C$8,"Intégré")</x:f>
        <x:v>0</x:v>
      </x:c>
      <x:c r="F35" s="38" t="n">
        <x:f>COUNTIFS('Continuite'!$C$7:$C$8,"Validé")</x:f>
        <x:v>0</x:v>
      </x:c>
      <x:c r="G35" s="38" t="n">
        <x:f>COUNTIFS('Continuite'!$D$7:$D$8,"Établi")</x:f>
        <x:v>0</x:v>
      </x:c>
      <x:c r="H35" s="38" t="n">
        <x:f>COUNTIFS('Continuite'!$D$7:$D$8,"À vérifier")</x:f>
        <x:v>0</x:v>
      </x:c>
      <x:c r="I35" s="38" t="n">
        <x:f>COUNTIFS('Continuite'!$D$7:$D$8,"Extrapolation")</x:f>
        <x:v>2</x:v>
      </x:c>
      <x:c r="J35" s="38" t="n">
        <x:f>COUNTIFS('Continuite'!$D$7:$D$8,"Coupé attesté")</x:f>
        <x:v>0</x:v>
      </x:c>
      <x:c r="K35" s="38" t="n">
        <x:f>COUNTIFS('Continuite'!$D$7:$D$8,"Concept abandonné")</x:f>
        <x:v>0</x:v>
      </x:c>
      <x:c r="L35" s="38" t="n">
        <x:f>COUNTIFS('Continuite'!$D$7:$D$8,"Allégation écartée")</x:f>
        <x:v>0</x:v>
      </x:c>
      <x:c r="M35" s="38" t="n">
        <x:f>COUNTIFS('Continuite'!$E$7:$E$8,"P0")</x:f>
        <x:v>0</x:v>
      </x:c>
    </x:row>
    <x:row r="36" ht="22" customHeight="1">
      <x:c r="A36" s="2"/>
      <x:c r="B36" s="38"/>
      <x:c r="C36" s="38"/>
      <x:c r="D36" s="38"/>
      <x:c r="E36" s="38"/>
      <x:c r="F36" s="38"/>
      <x:c r="G36" s="38"/>
      <x:c r="H36" s="38"/>
      <x:c r="I36" s="38"/>
      <x:c r="J36" s="38"/>
      <x:c r="K36" s="38"/>
      <x:c r="L36" s="38"/>
      <x:c r="M36" s="38"/>
    </x:row>
    <x:row r="37" ht="28" customHeight="1">
      <x:c r="A37" s="21" t="str">
        <x:v>TOTAL</x:v>
      </x:c>
      <x:c r="B37" s="39" t="n">
        <x:f>SUM(B10:B35)</x:f>
        <x:v>160</x:v>
      </x:c>
      <x:c r="C37" s="39" t="n">
        <x:f>SUM(C10:C35)</x:f>
        <x:v>158</x:v>
      </x:c>
      <x:c r="D37" s="39" t="n">
        <x:f>SUM(D10:D35)</x:f>
        <x:v>2</x:v>
      </x:c>
      <x:c r="E37" s="39" t="n">
        <x:f>SUM(E10:E35)</x:f>
        <x:v>0</x:v>
      </x:c>
      <x:c r="F37" s="39" t="n">
        <x:f>SUM(F10:F35)</x:f>
        <x:v>0</x:v>
      </x:c>
      <x:c r="G37" s="39" t="n">
        <x:f>SUM(G10:G35)</x:f>
        <x:v>3</x:v>
      </x:c>
      <x:c r="H37" s="39" t="n">
        <x:f>SUM(H10:H35)</x:f>
        <x:v>28</x:v>
      </x:c>
      <x:c r="I37" s="39" t="n">
        <x:f>SUM(I10:I35)</x:f>
        <x:v>129</x:v>
      </x:c>
      <x:c r="J37" s="39" t="n">
        <x:f>SUM(J10:J35)</x:f>
        <x:v>0</x:v>
      </x:c>
      <x:c r="K37" s="39" t="n">
        <x:f>SUM(K10:K35)</x:f>
        <x:v>0</x:v>
      </x:c>
      <x:c r="L37" s="39" t="n">
        <x:f>SUM(L10:L35)</x:f>
        <x:v>0</x:v>
      </x:c>
      <x:c r="M37" s="39" t="n">
        <x:f>SUM(M10:M35)</x:f>
        <x:v>23</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91"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Discovery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DIS-ACT-TIRAN</x:v>
      </x:c>
      <x:c r="B7" s="9" t="str">
        <x:v>Tiran Kandros</x:v>
      </x:c>
      <x:c r="C7" s="15" t="str">
        <x:v>Défini</x:v>
      </x:c>
      <x:c r="D7" s="16" t="str">
        <x:v>Établi</x:v>
      </x:c>
      <x:c r="E7" s="16" t="str">
        <x:v>P1</x:v>
      </x:c>
      <x:c r="F7" s="9" t="str">
        <x:v>Tiran Kandros est le protagoniste de Discovery.</x:v>
      </x:c>
      <x:c r="G7" s="9" t="str">
        <x:v>Enquêteur sous couverture; préparer des accès et protéger les partenaires.</x:v>
      </x:c>
      <x:c r="H7" s="9" t="str">
        <x:v>Rôle narratif; aucune statistique officielle déduite.</x:v>
      </x:c>
      <x:c r="I7" s="9" t="str">
        <x:v>Direction proposée : Turien militaire puis tenue de couverture, capuche à Omega seulement au bon segment; armures à vérifier. Vérifier le costume sur l'édition autorisée avant peinture finale.</x:v>
      </x:c>
      <x:c r="J7" s="9" t="str">
        <x:v>Observation, réponse prudente, contact radio et garde.</x:v>
      </x:c>
      <x:c r="K7" s="9" t="str">
        <x:v>Interprétation originale; sous-titres attribués au locuteur et aucune reprise des voix du jeu.</x:v>
      </x:c>
      <x:c r="L7" s="9" t="str">
        <x:v>Livrable proposé : spécification DIS/characters/act-tiran; brancher au registre de contenu de l'œuvre seulement après production.</x:v>
      </x:c>
      <x:c r="M7" s="9" t="str">
        <x:v>Le passage de Tiran de l’infiltration vers l’adhésion reste un raccord narratif. Les choix locaux ne modifient pas la mort des personnages, l’issue de Zeta ou l’existence d’une autre version du voyage.</x:v>
      </x:c>
      <x:c r="N7" s="9" t="str">
        <x:v>Tiran Kandros possède une fiche de référence séparant rôle attesté, silhouette à contrôler et commandes proposées.</x:v>
      </x:c>
      <x:c r="O7" s="9" t="str"/>
      <x:c r="P7" s="9" t="str">
        <x:v>Mass Effect: Discovery, série concernée</x:v>
      </x:c>
      <x:c r="Q7" s="9" t="str">
        <x:v>DIS-S-COMPLETE</x:v>
      </x:c>
      <x:c r="R7" s="9" t="str">
        <x:v>https://digital.darkhorse.com/books/7bcdbde713b746338287bb0d74350bac/mass-effect-the-complete-comics</x:v>
      </x:c>
      <x:c r="S7" s="9" t="str">
        <x:v>Le rôle dans la source ne prouve ni recrutement jouable ni disponibilité permanente.</x:v>
      </x:c>
    </x:row>
    <x:row r="8" ht="68" customHeight="1">
      <x:c r="A8" s="19" t="str">
        <x:v>DIS-ACT-SHANKS</x:v>
      </x:c>
      <x:c r="B8" s="7" t="str">
        <x:v>Luna Shanks</x:v>
      </x:c>
      <x:c r="C8" s="15" t="str">
        <x:v>Défini</x:v>
      </x:c>
      <x:c r="D8" s="17" t="str">
        <x:v>À vérifier</x:v>
      </x:c>
      <x:c r="E8" s="17" t="str">
        <x:v>P1</x:v>
      </x:c>
      <x:c r="F8" s="7" t="str">
        <x:v>Luna Shanks accompagne Tiran dans la recherche de Shio.</x:v>
      </x:c>
      <x:c r="G8" s="7" t="str">
        <x:v>Partenaire biotique et interlocutrice dont la confiance évolue.</x:v>
      </x:c>
      <x:c r="H8" s="7" t="str">
        <x:v>Rôle narratif; aucune statistique officielle déduite.</x:v>
      </x:c>
      <x:c r="I8" s="7" t="str">
        <x:v>Direction proposée : Humaine en tenue de sécurité, silhouette solide, arme à vérifier dans chaque numéro. Vérifier le costume sur l'édition autorisée avant peinture finale.</x:v>
      </x:c>
      <x:c r="J8" s="7" t="str">
        <x:v>Interrogation directe, maintien biotique et réaction de défiance.</x:v>
      </x:c>
      <x:c r="K8" s="7" t="str">
        <x:v>Interprétation originale; sous-titres attribués au locuteur et aucune reprise des voix du jeu.</x:v>
      </x:c>
      <x:c r="L8" s="7" t="str">
        <x:v>Livrable proposé : spécification DIS/characters/act-shanks; brancher au registre de contenu de l'œuvre seulement après production.</x:v>
      </x:c>
      <x:c r="M8" s="7" t="str">
        <x:v>Le passage de Tiran de l’infiltration vers l’adhésion reste un raccord narratif. Les choix locaux ne modifient pas la mort des personnages, l’issue de Zeta ou l’existence d’une autre version du voyage.</x:v>
      </x:c>
      <x:c r="N8" s="7" t="str">
        <x:v>Luna Shanks possède une fiche de référence séparant rôle attesté, silhouette à contrôler et commandes proposées.</x:v>
      </x:c>
      <x:c r="O8" s="7" t="str"/>
      <x:c r="P8" s="7" t="str">
        <x:v>Mass Effect: Discovery, série concernée</x:v>
      </x:c>
      <x:c r="Q8" s="7" t="str">
        <x:v>DIS-S-OPENING</x:v>
      </x:c>
      <x:c r="R8" s="7" t="str">
        <x:v>https://masseffect.fandom.com/wiki/Storyline_IV</x:v>
      </x:c>
      <x:c r="S8" s="7" t="str">
        <x:v>Le rôle dans la source ne prouve ni recrutement jouable ni disponibilité permanente.</x:v>
      </x:c>
    </x:row>
    <x:row r="9" ht="68" customHeight="1">
      <x:c r="A9" s="18" t="str">
        <x:v>DIS-ACT-SHIO</x:v>
      </x:c>
      <x:c r="B9" s="9" t="str">
        <x:v>Shio’Leth vas Novarra</x:v>
      </x:c>
      <x:c r="C9" s="15" t="str">
        <x:v>Défini</x:v>
      </x:c>
      <x:c r="D9" s="16" t="str">
        <x:v>À vérifier</x:v>
      </x:c>
      <x:c r="E9" s="16" t="str">
        <x:v>P1</x:v>
      </x:c>
      <x:c r="F9" s="9" t="str">
        <x:v>Shio est le scientifique quarien recherché.</x:v>
      </x:c>
      <x:c r="G9" s="9" t="str">
        <x:v>Personnage d’objectif avec initiative propre; accès aux données, sans statut de simple colis.</x:v>
      </x:c>
      <x:c r="H9" s="9" t="str">
        <x:v>Rôle narratif; aucune statistique officielle déduite.</x:v>
      </x:c>
      <x:c r="I9" s="9" t="str">
        <x:v>Direction proposée : Combinaison quarienne, posture inquiète et outil de données à contrôler. Vérifier le costume sur l'édition autorisée avant peinture finale.</x:v>
      </x:c>
      <x:c r="J9" s="9" t="str">
        <x:v>Inspection, hésitation et manipulation concentrée.</x:v>
      </x:c>
      <x:c r="K9" s="9" t="str">
        <x:v>Interprétation originale; sous-titres attribués au locuteur et aucune reprise des voix du jeu.</x:v>
      </x:c>
      <x:c r="L9" s="9" t="str">
        <x:v>Livrable proposé : spécification DIS/characters/act-shio; brancher au registre de contenu de l'œuvre seulement après production.</x:v>
      </x:c>
      <x:c r="M9" s="9" t="str">
        <x:v>Le passage de Tiran de l’infiltration vers l’adhésion reste un raccord narratif. Les choix locaux ne modifient pas la mort des personnages, l’issue de Zeta ou l’existence d’une autre version du voyage.</x:v>
      </x:c>
      <x:c r="N9" s="9" t="str">
        <x:v>Shio’Leth vas Novarra possède une fiche de référence séparant rôle attesté, silhouette à contrôler et commandes proposées.</x:v>
      </x:c>
      <x:c r="O9" s="9" t="str"/>
      <x:c r="P9" s="9" t="str">
        <x:v>Mass Effect: Discovery, série concernée</x:v>
      </x:c>
      <x:c r="Q9" s="9" t="str">
        <x:v>DIS-S-OPENING</x:v>
      </x:c>
      <x:c r="R9" s="9" t="str">
        <x:v>https://masseffect.fandom.com/wiki/Storyline_IV</x:v>
      </x:c>
      <x:c r="S9" s="9" t="str">
        <x:v>Le rôle dans la source ne prouve ni recrutement jouable ni disponibilité permanente.</x:v>
      </x:c>
    </x:row>
    <x:row r="10" ht="68" customHeight="1">
      <x:c r="A10" s="19" t="str">
        <x:v>DIS-ACT-ZETA</x:v>
      </x:c>
      <x:c r="B10" s="7" t="str">
        <x:v>Agent Zeta</x:v>
      </x:c>
      <x:c r="C10" s="15" t="str">
        <x:v>Défini</x:v>
      </x:c>
      <x:c r="D10" s="17" t="str">
        <x:v>À vérifier</x:v>
      </x:c>
      <x:c r="E10" s="17" t="str">
        <x:v>P1</x:v>
      </x:c>
      <x:c r="F10" s="7" t="str">
        <x:v>Zeta est décrit comme un mercenaire salarian redoutable.</x:v>
      </x:c>
      <x:c r="G10" s="7" t="str">
        <x:v>Antagoniste poursuivant le même scientifique, avec motivations révélées par étapes.</x:v>
      </x:c>
      <x:c r="H10" s="7" t="str">
        <x:v>Rôle narratif; aucune statistique officielle déduite.</x:v>
      </x:c>
      <x:c r="I10" s="7" t="str">
        <x:v>Direction proposée : Salarian marqué par les augmentations à comparer; effets de surcharge localisés. Vérifier le costume sur l'édition autorisée avant peinture finale.</x:v>
      </x:c>
      <x:c r="J10" s="7" t="str">
        <x:v>Concentration tendue, attaque explosive et déséquilibre après effort.</x:v>
      </x:c>
      <x:c r="K10" s="7" t="str">
        <x:v>Interprétation originale; sous-titres attribués au locuteur et aucune reprise des voix du jeu.</x:v>
      </x:c>
      <x:c r="L10" s="7" t="str">
        <x:v>Livrable proposé : spécification DIS/characters/act-zeta; brancher au registre de contenu de l'œuvre seulement après production.</x:v>
      </x:c>
      <x:c r="M10" s="7" t="str">
        <x:v>Le passage de Tiran de l’infiltration vers l’adhésion reste un raccord narratif. Les choix locaux ne modifient pas la mort des personnages, l’issue de Zeta ou l’existence d’une autre version du voyage.</x:v>
      </x:c>
      <x:c r="N10" s="7" t="str">
        <x:v>Agent Zeta possède une fiche de référence séparant rôle attesté, silhouette à contrôler et commandes proposées.</x:v>
      </x:c>
      <x:c r="O10" s="7" t="str"/>
      <x:c r="P10" s="7" t="str">
        <x:v>Mass Effect: Discovery, série concernée</x:v>
      </x:c>
      <x:c r="Q10" s="7" t="str">
        <x:v>DIS-S-ISSUE2</x:v>
      </x:c>
      <x:c r="R10" s="7" t="str">
        <x:v>https://masseffect.fandom.com/wiki/Mass_Effect%3A_Discovery_2</x:v>
      </x:c>
      <x:c r="S10" s="7" t="str">
        <x:v>Le rôle dans la source ne prouve ni recrutement jouable ni disponibilité permanente.</x:v>
      </x:c>
    </x:row>
  </x:sheetData>
  <x:conditionalFormatting sqref="D7:D10">
    <x:cfRule type="cellIs" dxfId="0" priority="1" operator="equal">
      <x:formula>"À vérifier"</x:formula>
    </x:cfRule>
    <x:cfRule type="cellIs" dxfId="1" priority="2" operator="equal">
      <x:formula>"Extrapolation"</x:formula>
    </x:cfRule>
  </x:conditionalFormatting>
  <x:conditionalFormatting sqref="C7:C10">
    <x:cfRule type="cellIs" dxfId="2" priority="3" operator="equal">
      <x:formula>"Validé"</x:formula>
    </x:cfRule>
  </x:conditionalFormatting>
  <x:conditionalFormatting sqref="E7:E10">
    <x:cfRule type="cellIs" dxfId="3"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311964a0b82044f6"/>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Discovery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DIS-ACT-GARSON</x:v>
      </x:c>
      <x:c r="B7" s="9" t="str">
        <x:v>Jien Garson</x:v>
      </x:c>
      <x:c r="C7" s="15" t="str">
        <x:v>Défini</x:v>
      </x:c>
      <x:c r="D7" s="16" t="str">
        <x:v>À vérifier</x:v>
      </x:c>
      <x:c r="E7" s="16" t="str">
        <x:v>P1</x:v>
      </x:c>
      <x:c r="F7" s="9" t="str">
        <x:v>Garson confie une recherche au candidat sous couverture.</x:v>
      </x:c>
      <x:c r="G7" s="9" t="str">
        <x:v>Interlocutrice de l’Initiative et perspective du projet.</x:v>
      </x:c>
      <x:c r="H7" s="9" t="str">
        <x:v>Rôle narratif; aucune statistique officielle déduite.</x:v>
      </x:c>
      <x:c r="I7" s="9" t="str">
        <x:v>Direction proposée : Tenue de direction claire, bureau de recrutement et posture attentive. Vérifier le costume sur l'édition autorisée avant peinture finale.</x:v>
      </x:c>
      <x:c r="J7" s="9" t="str">
        <x:v>Écoute, question ciblée et décision.</x:v>
      </x:c>
      <x:c r="K7" s="9" t="str">
        <x:v>Interprétation originale; sous-titres attribués au locuteur et aucune reprise des voix du jeu.</x:v>
      </x:c>
      <x:c r="L7" s="9" t="str">
        <x:v>Livrable proposé : spécification DIS/npcs/act-garson; brancher au registre de contenu de l'œuvre seulement après production.</x:v>
      </x:c>
      <x:c r="M7" s="9" t="str">
        <x:v>Le passage de Tiran de l’infiltration vers l’adhésion reste un raccord narratif. Les choix locaux ne modifient pas la mort des personnages, l’issue de Zeta ou l’existence d’une autre version du voyage.</x:v>
      </x:c>
      <x:c r="N7" s="9" t="str">
        <x:v>Jien Garson possède une fiche de référence séparant rôle attesté, silhouette à contrôler et commandes proposées.</x:v>
      </x:c>
      <x:c r="O7" s="9" t="str"/>
      <x:c r="P7" s="9" t="str">
        <x:v>Mass Effect: Discovery, série concernée</x:v>
      </x:c>
      <x:c r="Q7" s="9" t="str">
        <x:v>DIS-S-OPENING</x:v>
      </x:c>
      <x:c r="R7" s="9" t="str">
        <x:v>https://masseffect.fandom.com/wiki/Storyline_IV</x:v>
      </x:c>
      <x:c r="S7" s="9" t="str">
        <x:v>Le rôle dans la source ne prouve ni recrutement jouable ni disponibilité permanente.</x:v>
      </x:c>
    </x:row>
    <x:row r="8" ht="68" customHeight="1">
      <x:c r="A8" s="19" t="str">
        <x:v>DIS-ACT-RAVIS</x:v>
      </x:c>
      <x:c r="B8" s="7" t="str">
        <x:v>Amirale Ravis</x:v>
      </x:c>
      <x:c r="C8" s="15" t="str">
        <x:v>Défini</x:v>
      </x:c>
      <x:c r="D8" s="17" t="str">
        <x:v>À vérifier</x:v>
      </x:c>
      <x:c r="E8" s="17" t="str">
        <x:v>P1</x:v>
      </x:c>
      <x:c r="F8" s="7" t="str">
        <x:v>Ravis est la mère de Tiran et intervient dans ses rapports.</x:v>
      </x:c>
      <x:c r="G8" s="7" t="str">
        <x:v>Lien familial et militaire, canaux séparés de la couverture.</x:v>
      </x:c>
      <x:c r="H8" s="7" t="str">
        <x:v>Rôle narratif; aucune statistique officielle déduite.</x:v>
      </x:c>
      <x:c r="I8" s="7" t="str">
        <x:v>Direction proposée : Turienne en tenue d’amirale à contrôler; portrait holographique pour les rapports. Vérifier le costume sur l'édition autorisée avant peinture finale.</x:v>
      </x:c>
      <x:c r="J8" s="7" t="str">
        <x:v>Observation, avertissement et adieu mesuré.</x:v>
      </x:c>
      <x:c r="K8" s="7" t="str">
        <x:v>Interprétation originale; sous-titres attribués au locuteur et aucune reprise des voix du jeu.</x:v>
      </x:c>
      <x:c r="L8" s="7" t="str">
        <x:v>Livrable proposé : spécification DIS/npcs/act-ravis; brancher au registre de contenu de l'œuvre seulement après production.</x:v>
      </x:c>
      <x:c r="M8" s="7" t="str">
        <x:v>Le passage de Tiran de l’infiltration vers l’adhésion reste un raccord narratif. Les choix locaux ne modifient pas la mort des personnages, l’issue de Zeta ou l’existence d’une autre version du voyage.</x:v>
      </x:c>
      <x:c r="N8" s="7" t="str">
        <x:v>Amirale Ravis possède une fiche de référence séparant rôle attesté, silhouette à contrôler et commandes proposées.</x:v>
      </x:c>
      <x:c r="O8" s="7" t="str"/>
      <x:c r="P8" s="7" t="str">
        <x:v>Mass Effect: Discovery, série concernée</x:v>
      </x:c>
      <x:c r="Q8" s="7" t="str">
        <x:v>DIS-S-OPENING</x:v>
      </x:c>
      <x:c r="R8" s="7" t="str">
        <x:v>https://masseffect.fandom.com/wiki/Storyline_IV</x:v>
      </x:c>
      <x:c r="S8" s="7" t="str">
        <x:v>Le rôle dans la source ne prouve ni recrutement jouable ni disponibilité permanente.</x:v>
      </x:c>
    </x:row>
    <x:row r="9" ht="68" customHeight="1">
      <x:c r="A9" s="18" t="str">
        <x:v>DIS-ACT-NYREEN</x:v>
      </x:c>
      <x:c r="B9" s="9" t="str">
        <x:v>Nyreen Kandros</x:v>
      </x:c>
      <x:c r="C9" s="15" t="str">
        <x:v>Défini</x:v>
      </x:c>
      <x:c r="D9" s="16" t="str">
        <x:v>À vérifier</x:v>
      </x:c>
      <x:c r="E9" s="16" t="str">
        <x:v>P1</x:v>
      </x:c>
      <x:c r="F9" s="9" t="str">
        <x:v>Nyreen reconnaît Tiran sur Omega.</x:v>
      </x:c>
      <x:c r="G9" s="9" t="str">
        <x:v>Interlocutrice familiale et soutien local; sa présence expose l’alias.</x:v>
      </x:c>
      <x:c r="H9" s="9" t="str">
        <x:v>Rôle narratif; aucune statistique officielle déduite.</x:v>
      </x:c>
      <x:c r="I9" s="9" t="str">
        <x:v>Direction proposée : Turienne au costume d’Omega à contrôler, silhouette distincte de Tiran. Vérifier le costume sur l'édition autorisée avant peinture finale.</x:v>
      </x:c>
      <x:c r="J9" s="9" t="str">
        <x:v>Reconnaissance, geste d’arrêt et entretien calme.</x:v>
      </x:c>
      <x:c r="K9" s="9" t="str">
        <x:v>Interprétation originale; sous-titres attribués au locuteur et aucune reprise des voix du jeu.</x:v>
      </x:c>
      <x:c r="L9" s="9" t="str">
        <x:v>Livrable proposé : spécification DIS/npcs/act-nyreen; brancher au registre de contenu de l'œuvre seulement après production.</x:v>
      </x:c>
      <x:c r="M9" s="9" t="str">
        <x:v>Le passage de Tiran de l’infiltration vers l’adhésion reste un raccord narratif. Les choix locaux ne modifient pas la mort des personnages, l’issue de Zeta ou l’existence d’une autre version du voyage.</x:v>
      </x:c>
      <x:c r="N9" s="9" t="str">
        <x:v>Nyreen Kandros possède une fiche de référence séparant rôle attesté, silhouette à contrôler et commandes proposées.</x:v>
      </x:c>
      <x:c r="O9" s="9" t="str"/>
      <x:c r="P9" s="9" t="str">
        <x:v>Discovery #3</x:v>
      </x:c>
      <x:c r="Q9" s="9" t="str">
        <x:v>DIS-S-ISSUE3</x:v>
      </x:c>
      <x:c r="R9" s="9" t="str">
        <x:v>https://masseffect.fandom.com/wiki/Mass_Effect%3A_Discovery_3</x:v>
      </x:c>
      <x:c r="S9" s="9" t="str">
        <x:v>Le rôle dans la source ne prouve ni recrutement jouable ni disponibilité permanente.</x:v>
      </x:c>
    </x:row>
    <x:row r="10" ht="68" customHeight="1">
      <x:c r="A10" s="19" t="str">
        <x:v>DIS-ACT-JAKIN</x:v>
      </x:c>
      <x:c r="B10" s="7" t="str">
        <x:v>Capitaine Jakin</x:v>
      </x:c>
      <x:c r="C10" s="15" t="str">
        <x:v>Défini</x:v>
      </x:c>
      <x:c r="D10" s="17" t="str">
        <x:v>À vérifier</x:v>
      </x:c>
      <x:c r="E10" s="17" t="str">
        <x:v>P1</x:v>
      </x:c>
      <x:c r="F10" s="7" t="str">
        <x:v>Jakin dirige le Novarra dans le récit du deuxième numéro.</x:v>
      </x:c>
      <x:c r="G10" s="7" t="str">
        <x:v>Interlocuteur sur le passé de Shio; informations attribuées à son point de vue.</x:v>
      </x:c>
      <x:c r="H10" s="7" t="str">
        <x:v>Rôle narratif; aucune statistique officielle déduite.</x:v>
      </x:c>
      <x:c r="I10" s="7" t="str">
        <x:v>Direction proposée : Quarien en tenue de commandement de terrain à vérifier. Vérifier le costume sur l'édition autorisée avant peinture finale.</x:v>
      </x:c>
      <x:c r="J10" s="7" t="str">
        <x:v>Accueil fermé, écoute et ordre à son groupe.</x:v>
      </x:c>
      <x:c r="K10" s="7" t="str">
        <x:v>Interprétation originale; sous-titres attribués au locuteur et aucune reprise des voix du jeu.</x:v>
      </x:c>
      <x:c r="L10" s="7" t="str">
        <x:v>Livrable proposé : spécification DIS/npcs/act-jakin; brancher au registre de contenu de l'œuvre seulement après production.</x:v>
      </x:c>
      <x:c r="M10" s="7" t="str">
        <x:v>Le passage de Tiran de l’infiltration vers l’adhésion reste un raccord narratif. Les choix locaux ne modifient pas la mort des personnages, l’issue de Zeta ou l’existence d’une autre version du voyage.</x:v>
      </x:c>
      <x:c r="N10" s="7" t="str">
        <x:v>Capitaine Jakin possède une fiche de référence séparant rôle attesté, silhouette à contrôler et commandes proposées.</x:v>
      </x:c>
      <x:c r="O10" s="7" t="str"/>
      <x:c r="P10" s="7" t="str">
        <x:v>Discovery #2</x:v>
      </x:c>
      <x:c r="Q10" s="7" t="str">
        <x:v>DIS-S-ISSUE2</x:v>
      </x:c>
      <x:c r="R10" s="7" t="str">
        <x:v>https://masseffect.fandom.com/wiki/Mass_Effect%3A_Discovery_2</x:v>
      </x:c>
      <x:c r="S10" s="7" t="str">
        <x:v>Le rôle dans la source ne prouve ni recrutement jouable ni disponibilité permanente.</x:v>
      </x:c>
    </x:row>
    <x:row r="11" ht="68" customHeight="1">
      <x:c r="A11" s="18" t="str">
        <x:v>DIS-ACT-VIEGLE</x:v>
      </x:c>
      <x:c r="B11" s="9" t="str">
        <x:v>Viegle</x:v>
      </x:c>
      <x:c r="C11" s="15" t="str">
        <x:v>Défini</x:v>
      </x:c>
      <x:c r="D11" s="16" t="str">
        <x:v>À vérifier</x:v>
      </x:c>
      <x:c r="E11" s="16" t="str">
        <x:v>P1</x:v>
      </x:c>
      <x:c r="F11" s="9" t="str">
        <x:v>Viegle est lié à Shio et apparaît sur le site du Novarra.</x:v>
      </x:c>
      <x:c r="G11" s="9" t="str">
        <x:v>Témoin avec une relation personnelle, pas simple indicateur de quête.</x:v>
      </x:c>
      <x:c r="H11" s="9" t="str">
        <x:v>Rôle narratif; aucune statistique officielle déduite.</x:v>
      </x:c>
      <x:c r="I11" s="9" t="str">
        <x:v>Direction proposée : Quarien de terrain, posture discrète et détails à vérifier. Vérifier le costume sur l'édition autorisée avant peinture finale.</x:v>
      </x:c>
      <x:c r="J11" s="9" t="str">
        <x:v>Hésitation, signal de fuite et échange d’objet.</x:v>
      </x:c>
      <x:c r="K11" s="9" t="str">
        <x:v>Interprétation originale; sous-titres attribués au locuteur et aucune reprise des voix du jeu.</x:v>
      </x:c>
      <x:c r="L11" s="9" t="str">
        <x:v>Livrable proposé : spécification DIS/npcs/act-viegle; brancher au registre de contenu de l'œuvre seulement après production.</x:v>
      </x:c>
      <x:c r="M11" s="9" t="str">
        <x:v>Le passage de Tiran de l’infiltration vers l’adhésion reste un raccord narratif. Les choix locaux ne modifient pas la mort des personnages, l’issue de Zeta ou l’existence d’une autre version du voyage.</x:v>
      </x:c>
      <x:c r="N11" s="9" t="str">
        <x:v>Viegle possède une fiche de référence séparant rôle attesté, silhouette à contrôler et commandes proposées.</x:v>
      </x:c>
      <x:c r="O11" s="9" t="str"/>
      <x:c r="P11" s="9" t="str">
        <x:v>Discovery #2</x:v>
      </x:c>
      <x:c r="Q11" s="9" t="str">
        <x:v>DIS-S-ISSUE2</x:v>
      </x:c>
      <x:c r="R11" s="9" t="str">
        <x:v>https://masseffect.fandom.com/wiki/Mass_Effect%3A_Discovery_2</x:v>
      </x:c>
      <x:c r="S11" s="9" t="str">
        <x:v>Le rôle dans la source ne prouve ni recrutement jouable ni disponibilité permanente.</x:v>
      </x:c>
    </x:row>
    <x:row r="12" ht="68" customHeight="1">
      <x:c r="A12" s="19" t="str">
        <x:v>DIS-ACT-ARIA</x:v>
      </x:c>
      <x:c r="B12" s="7" t="str">
        <x:v>Aria T’Loak</x:v>
      </x:c>
      <x:c r="C12" s="15" t="str">
        <x:v>Défini</x:v>
      </x:c>
      <x:c r="D12" s="17" t="str">
        <x:v>À vérifier</x:v>
      </x:c>
      <x:c r="E12" s="17" t="str">
        <x:v>P1</x:v>
      </x:c>
      <x:c r="F12" s="7" t="str">
        <x:v>Tiran rencontre Aria pendant le passage sur Omega.</x:v>
      </x:c>
      <x:c r="G12" s="7" t="str">
        <x:v>Autorité locale; négociation bornée au numéro.</x:v>
      </x:c>
      <x:c r="H12" s="7" t="str">
        <x:v>Rôle narratif; aucune statistique officielle déduite.</x:v>
      </x:c>
      <x:c r="I12" s="7" t="str">
        <x:v>Direction proposée : Asari en position dominante dans un décor réduit d’Afterlife. Vérifier le costume sur l'édition autorisée avant peinture finale.</x:v>
      </x:c>
      <x:c r="J12" s="7" t="str">
        <x:v>Immobilité, geste de contrôle et clôture d’entretien.</x:v>
      </x:c>
      <x:c r="K12" s="7" t="str">
        <x:v>Interprétation originale; sous-titres attribués au locuteur et aucune reprise des voix du jeu.</x:v>
      </x:c>
      <x:c r="L12" s="7" t="str">
        <x:v>Livrable proposé : spécification DIS/npcs/act-aria; brancher au registre de contenu de l'œuvre seulement après production.</x:v>
      </x:c>
      <x:c r="M12" s="7" t="str">
        <x:v>Le passage de Tiran de l’infiltration vers l’adhésion reste un raccord narratif. Les choix locaux ne modifient pas la mort des personnages, l’issue de Zeta ou l’existence d’une autre version du voyage.</x:v>
      </x:c>
      <x:c r="N12" s="7" t="str">
        <x:v>Aria T’Loak possède une fiche de référence séparant rôle attesté, silhouette à contrôler et commandes proposées.</x:v>
      </x:c>
      <x:c r="O12" s="7" t="str"/>
      <x:c r="P12" s="7" t="str">
        <x:v>Discovery #3</x:v>
      </x:c>
      <x:c r="Q12" s="7" t="str">
        <x:v>DIS-S-ISSUE3</x:v>
      </x:c>
      <x:c r="R12" s="7" t="str">
        <x:v>https://masseffect.fandom.com/wiki/Mass_Effect%3A_Discovery_3</x:v>
      </x:c>
      <x:c r="S12" s="7" t="str">
        <x:v>Le rôle dans la source ne prouve ni recrutement jouable ni disponibilité permanente.</x:v>
      </x:c>
    </x:row>
  </x:sheetData>
  <x:conditionalFormatting sqref="D7:D12">
    <x:cfRule type="cellIs" dxfId="4" priority="1" operator="equal">
      <x:formula>"À vérifier"</x:formula>
    </x:cfRule>
    <x:cfRule type="cellIs" dxfId="5" priority="2" operator="equal">
      <x:formula>"Extrapolation"</x:formula>
    </x:cfRule>
  </x:conditionalFormatting>
  <x:conditionalFormatting sqref="C7:C12">
    <x:cfRule type="cellIs" dxfId="6" priority="3" operator="equal">
      <x:formula>"Validé"</x:formula>
    </x:cfRule>
  </x:conditionalFormatting>
  <x:conditionalFormatting sqref="E7:E12">
    <x:cfRule type="cellIs" dxfId="7"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79b1c354170a4842"/>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58"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Discovery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DIS-REF-SCOPE</x:v>
      </x:c>
      <x:c r="B7" s="9" t="str">
        <x:v>Infiltration de l’Initiative</x:v>
      </x:c>
      <x:c r="C7" s="15" t="str">
        <x:v>Prototype</x:v>
      </x:c>
      <x:c r="D7" s="16" t="str">
        <x:v>Établi</x:v>
      </x:c>
      <x:c r="E7" s="16" t="str">
        <x:v>P0</x:v>
      </x:c>
      <x:c r="F7" s="9" t="str">
        <x:v>L’éditeur présente un jeune Turien infiltrant l’Initiative d’Andromède pour retrouver un scientifique.</x:v>
      </x:c>
      <x:c r="G7" s="9" t="str">
        <x:v>Conserver cet ancrage dans les données éditoriales; les variantes de jeu restent dans un espace séparé.</x:v>
      </x:c>
      <x:c r="H7" s="9" t="str"/>
      <x:c r="I7" s="9" t="str"/>
      <x:c r="J7" s="9" t="str"/>
      <x:c r="K7" s="9" t="str"/>
      <x:c r="L7" s="9" t="str">
        <x:v>Référence documentaire DIS-REF-SCOPE consultable dans les lectures dis-infiltration de src/chronicle-story.js, avec sources et progression séparée. Aucune scène, carte, animation ni incarnation de personnage produite par cette fiche.</x:v>
      </x:c>
      <x:c r="M7" s="9" t="str">
        <x:v>Vérifier toute précision non contenue dans cette notice avant de la déclarer canon.</x:v>
      </x:c>
      <x:c r="N7" s="9" t="str">
        <x:v>Le dossier cite la source BOOK et distingue cette information de toute règle de gameplay.</x:v>
      </x:c>
      <x:c r="O7" s="9" t="str"/>
      <x:c r="P7" s="9" t="str">
        <x:v>Mass Effect: Discovery, série concernée</x:v>
      </x:c>
      <x:c r="Q7" s="9" t="str">
        <x:v>DIS-S-BOOK</x:v>
      </x:c>
      <x:c r="R7" s="9" t="str">
        <x:v>https://www.penguinrandomhouse.com/books/539581/mass-effect-discovery-by-based-off-game-by-bioware-written-by-jeremy-barlow-illustrated-by-gabriel-guzman-and-michael-atiyeh/</x:v>
      </x:c>
      <x:c r="S7" s="9" t="str">
        <x:v>Fait résumé brièvement; aucun dialogue ni découpage intégral du comic reproduit. Prototype limité à une paraphrase documentaire sourcée et aux références visitées ; pas de reproduction intégrale du récit. Une lecture n’accorde ni recrutement, équipement, victoire ni récompense de campagne.</x:v>
      </x:c>
    </x:row>
    <x:row r="8" ht="82" customHeight="1">
      <x:c r="A8" s="19" t="str">
        <x:v>DIS-REF-TIRAN</x:v>
      </x:c>
      <x:c r="B8" s="7" t="str">
        <x:v>Tiran Kandros</x:v>
      </x:c>
      <x:c r="C8" s="15" t="str">
        <x:v>Prototype</x:v>
      </x:c>
      <x:c r="D8" s="17" t="str">
        <x:v>Établi</x:v>
      </x:c>
      <x:c r="E8" s="17" t="str">
        <x:v>P0</x:v>
      </x:c>
      <x:c r="F8" s="7" t="str">
        <x:v>Dark Horse identifie Tiran Kandros comme le protagoniste de Discovery.</x:v>
      </x:c>
      <x:c r="G8" s="7" t="str">
        <x:v>Conserver cet ancrage dans les données éditoriales; les variantes de jeu restent dans un espace séparé.</x:v>
      </x:c>
      <x:c r="H8" s="7" t="str"/>
      <x:c r="I8" s="7" t="str"/>
      <x:c r="J8" s="7" t="str"/>
      <x:c r="K8" s="7" t="str"/>
      <x:c r="L8" s="7" t="str">
        <x:v>Référence documentaire DIS-REF-TIRAN consultable dans les lectures dis-infiltration de src/chronicle-story.js, avec sources et progression séparée. Aucune scène, carte, animation ni incarnation de personnage produite par cette fiche.</x:v>
      </x:c>
      <x:c r="M8" s="7" t="str">
        <x:v>Vérifier toute précision non contenue dans cette notice avant de la déclarer canon.</x:v>
      </x:c>
      <x:c r="N8" s="7" t="str">
        <x:v>Le dossier cite la source COMPLETE et distingue cette information de toute règle de gameplay.</x:v>
      </x:c>
      <x:c r="O8" s="7" t="str"/>
      <x:c r="P8" s="7" t="str">
        <x:v>Mass Effect: Discovery, série concernée</x:v>
      </x:c>
      <x:c r="Q8" s="7" t="str">
        <x:v>DIS-S-COMPLETE</x:v>
      </x:c>
      <x:c r="R8" s="7" t="str">
        <x:v>https://digital.darkhorse.com/books/7bcdbde713b746338287bb0d74350bac/mass-effect-the-complete-comics</x:v>
      </x:c>
      <x:c r="S8" s="7" t="str">
        <x:v>Fait résumé brièvement; aucun dialogue ni découpage intégral du comic reproduit. Prototype limité à une paraphrase documentaire sourcée et aux références visitées ; pas de reproduction intégrale du récit. Une lecture n’accorde ni recrutement, équipement, victoire ni récompense de campagne.</x:v>
      </x:c>
    </x:row>
    <x:row r="9" ht="54" customHeight="1">
      <x:c r="A9" s="18" t="str">
        <x:v>DIS-REF-ZETA</x:v>
      </x:c>
      <x:c r="B9" s="9" t="str">
        <x:v>Agent Zeta au numéro 2</x:v>
      </x:c>
      <x:c r="C9" s="15" t="str">
        <x:v>Défini</x:v>
      </x:c>
      <x:c r="D9" s="16" t="str">
        <x:v>À vérifier</x:v>
      </x:c>
      <x:c r="E9" s="16" t="str">
        <x:v>P0</x:v>
      </x:c>
      <x:c r="F9" s="9" t="str">
        <x:v>Le synopsis indexé du numéro 2 introduit le mercenaire salarian Agent Zeta.</x:v>
      </x:c>
      <x:c r="G9" s="9" t="str">
        <x:v>Conserver cet ancrage dans les données éditoriales; les variantes de jeu restent dans un espace séparé.</x:v>
      </x:c>
      <x:c r="H9" s="9" t="str"/>
      <x:c r="I9" s="9" t="str"/>
      <x:c r="J9" s="9" t="str"/>
      <x:c r="K9" s="9" t="str"/>
      <x:c r="L9" s="9" t="str">
        <x:v>Livrable proposé : spécification DIS/lore/ref-zeta; brancher au registre de contenu de l'œuvre seulement après production.</x:v>
      </x:c>
      <x:c r="M9" s="9" t="str">
        <x:v>Vérifier toute précision non contenue dans cette notice avant de la déclarer canon.</x:v>
      </x:c>
      <x:c r="N9" s="9" t="str">
        <x:v>Le dossier cite la source ISSUE2 et distingue cette information de toute règle de gameplay.</x:v>
      </x:c>
      <x:c r="O9" s="9" t="str"/>
      <x:c r="P9" s="9" t="str">
        <x:v>Discovery #2</x:v>
      </x:c>
      <x:c r="Q9" s="9" t="str">
        <x:v>DIS-S-ISSUE2</x:v>
      </x:c>
      <x:c r="R9" s="9" t="str">
        <x:v>https://masseffect.fandom.com/wiki/Mass_Effect%3A_Discovery_2</x:v>
      </x:c>
      <x:c r="S9" s="9" t="str">
        <x:v>Fait résumé brièvement; aucun dialogue ni découpage intégral du comic reproduit.</x:v>
      </x:c>
    </x:row>
    <x:row r="10" ht="54" customHeight="1">
      <x:c r="A10" s="19" t="str">
        <x:v>DIS-REF-FOUR</x:v>
      </x:c>
      <x:c r="B10" s="7" t="str">
        <x:v>Conclusion du quatrième numéro</x:v>
      </x:c>
      <x:c r="C10" s="15" t="str">
        <x:v>Défini</x:v>
      </x:c>
      <x:c r="D10" s="17" t="str">
        <x:v>À vérifier</x:v>
      </x:c>
      <x:c r="E10" s="17" t="str">
        <x:v>P0</x:v>
      </x:c>
      <x:c r="F10" s="7" t="str">
        <x:v>Le quatrième numéro relie la confrontation avec Zeta à une décision de Tiran sur l’Initiative.</x:v>
      </x:c>
      <x:c r="G10" s="7" t="str">
        <x:v>Conserver cet ancrage dans les données éditoriales; les variantes de jeu restent dans un espace séparé.</x:v>
      </x:c>
      <x:c r="H10" s="7" t="str"/>
      <x:c r="I10" s="7" t="str"/>
      <x:c r="J10" s="7" t="str"/>
      <x:c r="K10" s="7" t="str"/>
      <x:c r="L10" s="7" t="str">
        <x:v>Livrable proposé : spécification DIS/lore/ref-four; brancher au registre de contenu de l'œuvre seulement après production.</x:v>
      </x:c>
      <x:c r="M10" s="7" t="str">
        <x:v>Vérifier toute précision non contenue dans cette notice avant de la déclarer canon.</x:v>
      </x:c>
      <x:c r="N10" s="7" t="str">
        <x:v>Le dossier cite la source ISSUE4 et distingue cette information de toute règle de gameplay.</x:v>
      </x:c>
      <x:c r="O10" s="7" t="str"/>
      <x:c r="P10" s="7" t="str">
        <x:v>Discovery #4</x:v>
      </x:c>
      <x:c r="Q10" s="7" t="str">
        <x:v>DIS-S-ISSUE4</x:v>
      </x:c>
      <x:c r="R10" s="7" t="str">
        <x:v>https://masseffect.fandom.com/wiki/Mass_Effect%3A_Discovery_4</x:v>
      </x:c>
      <x:c r="S10" s="7" t="str">
        <x:v>Fait résumé brièvement; aucun dialogue ni découpage intégral du comic reproduit.</x:v>
      </x:c>
    </x:row>
    <x:row r="11" ht="68" customHeight="1">
      <x:c r="A11" s="18" t="str">
        <x:v>DIS-SC-01-COVER-REF</x:v>
      </x:c>
      <x:c r="B11" s="9" t="str">
        <x:v>#1 — entrer sous couverture</x:v>
      </x:c>
      <x:c r="C11" s="15" t="str">
        <x:v>Défini</x:v>
      </x:c>
      <x:c r="D11" s="16" t="str">
        <x:v>À vérifier</x:v>
      </x:c>
      <x:c r="E11" s="16" t="str">
        <x:v>P1</x:v>
      </x:c>
      <x:c r="F11" s="9" t="str">
        <x:v>Tiran prend une identité de couverture pour approcher Garson. </x:v>
      </x:c>
      <x:c r="G11" s="9" t="str">
        <x:v>Ancrage du module; les intitulés de quêtes et options ci-dessous sont des créations de production.</x:v>
      </x:c>
      <x:c r="H11" s="9" t="str"/>
      <x:c r="I11" s="9" t="str"/>
      <x:c r="J11" s="9" t="str"/>
      <x:c r="K11" s="9" t="str"/>
      <x:c r="L11" s="9" t="str">
        <x:v>Livrable proposé : spécification DIS/lore/sc-01-cover-ref; brancher au registre de contenu de l'œuvre seulement après production.</x:v>
      </x:c>
      <x:c r="M11" s="9" t="str">
        <x:v>Le passage de Tiran de l’infiltration vers l’adhésion reste un raccord narratif. Les choix locaux ne modifient pas la mort des personnages, l’issue de Zeta ou l’existence d’une autre version du voyage.</x:v>
      </x:c>
      <x:c r="N11" s="9" t="str">
        <x:v>L’ancrage reste bref et son numéro/segment est identifiable dans les sources; les détails non confirmés portent À vérifier.</x:v>
      </x:c>
      <x:c r="O11" s="9" t="str"/>
      <x:c r="P11" s="9" t="str">
        <x:v>Discovery #1</x:v>
      </x:c>
      <x:c r="Q11" s="9" t="str">
        <x:v>DIS-S-OPENING</x:v>
      </x:c>
      <x:c r="R11" s="9" t="str">
        <x:v>https://masseffect.fandom.com/wiki/Storyline_IV</x:v>
      </x:c>
      <x:c r="S11" s="9" t="str">
        <x:v>Ne remplace pas la lecture du numéro.</x:v>
      </x:c>
    </x:row>
    <x:row r="12" ht="68" customHeight="1">
      <x:c r="A12" s="19" t="str">
        <x:v>DIS-SC-01-SEARCH-REF</x:v>
      </x:c>
      <x:c r="B12" s="7" t="str">
        <x:v>#1 — chercher le scientifique</x:v>
      </x:c>
      <x:c r="C12" s="15" t="str">
        <x:v>Défini</x:v>
      </x:c>
      <x:c r="D12" s="17" t="str">
        <x:v>À vérifier</x:v>
      </x:c>
      <x:c r="E12" s="17" t="str">
        <x:v>P1</x:v>
      </x:c>
      <x:c r="F12" s="7" t="str">
        <x:v>Garson charge le duo de retrouver Shio. </x:v>
      </x:c>
      <x:c r="G12" s="7" t="str">
        <x:v>Ancrage du module; les intitulés de quêtes et options ci-dessous sont des créations de production.</x:v>
      </x:c>
      <x:c r="H12" s="7" t="str"/>
      <x:c r="I12" s="7" t="str"/>
      <x:c r="J12" s="7" t="str"/>
      <x:c r="K12" s="7" t="str"/>
      <x:c r="L12" s="7" t="str">
        <x:v>Livrable proposé : spécification DIS/lore/sc-01-search-ref; brancher au registre de contenu de l'œuvre seulement après production.</x:v>
      </x:c>
      <x:c r="M12" s="7" t="str">
        <x:v>Le passage de Tiran de l’infiltration vers l’adhésion reste un raccord narratif. Les choix locaux ne modifient pas la mort des personnages, l’issue de Zeta ou l’existence d’une autre version du voyage.</x:v>
      </x:c>
      <x:c r="N12" s="7" t="str">
        <x:v>L’ancrage reste bref et son numéro/segment est identifiable dans les sources; les détails non confirmés portent À vérifier.</x:v>
      </x:c>
      <x:c r="O12" s="7" t="str"/>
      <x:c r="P12" s="7" t="str">
        <x:v>Discovery #1</x:v>
      </x:c>
      <x:c r="Q12" s="7" t="str">
        <x:v>DIS-S-OPENING</x:v>
      </x:c>
      <x:c r="R12" s="7" t="str">
        <x:v>https://masseffect.fandom.com/wiki/Storyline_IV</x:v>
      </x:c>
      <x:c r="S12" s="7" t="str">
        <x:v>Ne remplace pas la lecture du numéro.</x:v>
      </x:c>
    </x:row>
    <x:row r="13" ht="68" customHeight="1">
      <x:c r="A13" s="18" t="str">
        <x:v>DIS-SC-02-NOVARRA-REF</x:v>
      </x:c>
      <x:c r="B13" s="9" t="str">
        <x:v>#2 — interroger le Novarra</x:v>
      </x:c>
      <x:c r="C13" s="15" t="str">
        <x:v>Défini</x:v>
      </x:c>
      <x:c r="D13" s="16" t="str">
        <x:v>À vérifier</x:v>
      </x:c>
      <x:c r="E13" s="16" t="str">
        <x:v>P1</x:v>
      </x:c>
      <x:c r="F13" s="9" t="str">
        <x:v>Jakin et Viegle interviennent dans la recherche sur le site du Novarra. </x:v>
      </x:c>
      <x:c r="G13" s="9" t="str">
        <x:v>Ancrage du module; les intitulés de quêtes et options ci-dessous sont des créations de production.</x:v>
      </x:c>
      <x:c r="H13" s="9" t="str"/>
      <x:c r="I13" s="9" t="str"/>
      <x:c r="J13" s="9" t="str"/>
      <x:c r="K13" s="9" t="str"/>
      <x:c r="L13" s="9" t="str">
        <x:v>Livrable proposé : spécification DIS/lore/sc-02-novarra-ref; brancher au registre de contenu de l'œuvre seulement après production.</x:v>
      </x:c>
      <x:c r="M13" s="9" t="str">
        <x:v>Le passage de Tiran de l’infiltration vers l’adhésion reste un raccord narratif. Les choix locaux ne modifient pas la mort des personnages, l’issue de Zeta ou l’existence d’une autre version du voyage.</x:v>
      </x:c>
      <x:c r="N13" s="9" t="str">
        <x:v>L’ancrage reste bref et son numéro/segment est identifiable dans les sources; les détails non confirmés portent À vérifier.</x:v>
      </x:c>
      <x:c r="O13" s="9" t="str"/>
      <x:c r="P13" s="9" t="str">
        <x:v>Discovery #2</x:v>
      </x:c>
      <x:c r="Q13" s="9" t="str">
        <x:v>DIS-S-ISSUE2</x:v>
      </x:c>
      <x:c r="R13" s="9" t="str">
        <x:v>https://masseffect.fandom.com/wiki/Mass_Effect%3A_Discovery_2</x:v>
      </x:c>
      <x:c r="S13" s="9" t="str">
        <x:v>Ne remplace pas la lecture du numéro.</x:v>
      </x:c>
    </x:row>
    <x:row r="14" ht="68" customHeight="1">
      <x:c r="A14" s="19" t="str">
        <x:v>DIS-SC-02-ESCAPE-REF</x:v>
      </x:c>
      <x:c r="B14" s="7" t="str">
        <x:v>#2 — sortie sous pression biotique</x:v>
      </x:c>
      <x:c r="C14" s="15" t="str">
        <x:v>Défini</x:v>
      </x:c>
      <x:c r="D14" s="17" t="str">
        <x:v>À vérifier</x:v>
      </x:c>
      <x:c r="E14" s="17" t="str">
        <x:v>P1</x:v>
      </x:c>
      <x:c r="F14" s="7" t="str">
        <x:v>L’arrivée de Zeta provoque une crise au site minier. </x:v>
      </x:c>
      <x:c r="G14" s="7" t="str">
        <x:v>Ancrage du module; les intitulés de quêtes et options ci-dessous sont des créations de production.</x:v>
      </x:c>
      <x:c r="H14" s="7" t="str"/>
      <x:c r="I14" s="7" t="str"/>
      <x:c r="J14" s="7" t="str"/>
      <x:c r="K14" s="7" t="str"/>
      <x:c r="L14" s="7" t="str">
        <x:v>Livrable proposé : spécification DIS/lore/sc-02-escape-ref; brancher au registre de contenu de l'œuvre seulement après production.</x:v>
      </x:c>
      <x:c r="M14" s="7" t="str">
        <x:v>Le passage de Tiran de l’infiltration vers l’adhésion reste un raccord narratif. Les choix locaux ne modifient pas la mort des personnages, l’issue de Zeta ou l’existence d’une autre version du voyage.</x:v>
      </x:c>
      <x:c r="N14" s="7" t="str">
        <x:v>L’ancrage reste bref et son numéro/segment est identifiable dans les sources; les détails non confirmés portent À vérifier.</x:v>
      </x:c>
      <x:c r="O14" s="7" t="str"/>
      <x:c r="P14" s="7" t="str">
        <x:v>Discovery #2</x:v>
      </x:c>
      <x:c r="Q14" s="7" t="str">
        <x:v>DIS-S-ISSUE2</x:v>
      </x:c>
      <x:c r="R14" s="7" t="str">
        <x:v>https://masseffect.fandom.com/wiki/Mass_Effect%3A_Discovery_2</x:v>
      </x:c>
      <x:c r="S14" s="7" t="str">
        <x:v>Ne remplace pas la lecture du numéro.</x:v>
      </x:c>
    </x:row>
    <x:row r="15" ht="68" customHeight="1">
      <x:c r="A15" s="18" t="str">
        <x:v>DIS-SC-03-IDENTITY-REF</x:v>
      </x:c>
      <x:c r="B15" s="9" t="str">
        <x:v>#3 — identité reconnue</x:v>
      </x:c>
      <x:c r="C15" s="15" t="str">
        <x:v>Défini</x:v>
      </x:c>
      <x:c r="D15" s="16" t="str">
        <x:v>À vérifier</x:v>
      </x:c>
      <x:c r="E15" s="16" t="str">
        <x:v>P1</x:v>
      </x:c>
      <x:c r="F15" s="9" t="str">
        <x:v>Nyreen reconnaît son cousin Tiran et expose sa couverture devant Shanks. </x:v>
      </x:c>
      <x:c r="G15" s="9" t="str">
        <x:v>Ancrage du module; les intitulés de quêtes et options ci-dessous sont des créations de production.</x:v>
      </x:c>
      <x:c r="H15" s="9" t="str"/>
      <x:c r="I15" s="9" t="str"/>
      <x:c r="J15" s="9" t="str"/>
      <x:c r="K15" s="9" t="str"/>
      <x:c r="L15" s="9" t="str">
        <x:v>Livrable proposé : spécification DIS/lore/sc-03-identity-ref; brancher au registre de contenu de l'œuvre seulement après production.</x:v>
      </x:c>
      <x:c r="M15" s="9" t="str">
        <x:v>Le passage de Tiran de l’infiltration vers l’adhésion reste un raccord narratif. Les choix locaux ne modifient pas la mort des personnages, l’issue de Zeta ou l’existence d’une autre version du voyage.</x:v>
      </x:c>
      <x:c r="N15" s="9" t="str">
        <x:v>L’ancrage reste bref et son numéro/segment est identifiable dans les sources; les détails non confirmés portent À vérifier.</x:v>
      </x:c>
      <x:c r="O15" s="9" t="str"/>
      <x:c r="P15" s="9" t="str">
        <x:v>Discovery #3</x:v>
      </x:c>
      <x:c r="Q15" s="9" t="str">
        <x:v>DIS-S-ISSUE3</x:v>
      </x:c>
      <x:c r="R15" s="9" t="str">
        <x:v>https://masseffect.fandom.com/wiki/Mass_Effect%3A_Discovery_3</x:v>
      </x:c>
      <x:c r="S15" s="9" t="str">
        <x:v>Ne remplace pas la lecture du numéro.</x:v>
      </x:c>
    </x:row>
    <x:row r="16" ht="68" customHeight="1">
      <x:c r="A16" s="19" t="str">
        <x:v>DIS-SC-03-PATH-REF</x:v>
      </x:c>
      <x:c r="B16" s="7" t="str">
        <x:v>#3 — poursuivre malgré la rupture</x:v>
      </x:c>
      <x:c r="C16" s="15" t="str">
        <x:v>Défini</x:v>
      </x:c>
      <x:c r="D16" s="17" t="str">
        <x:v>À vérifier</x:v>
      </x:c>
      <x:c r="E16" s="17" t="str">
        <x:v>P1</x:v>
      </x:c>
      <x:c r="F16" s="7" t="str">
        <x:v>La piste d’Omega rapproche Tiran du scientifique et de Zeta. </x:v>
      </x:c>
      <x:c r="G16" s="7" t="str">
        <x:v>Ancrage du module; les intitulés de quêtes et options ci-dessous sont des créations de production.</x:v>
      </x:c>
      <x:c r="H16" s="7" t="str"/>
      <x:c r="I16" s="7" t="str"/>
      <x:c r="J16" s="7" t="str"/>
      <x:c r="K16" s="7" t="str"/>
      <x:c r="L16" s="7" t="str">
        <x:v>Livrable proposé : spécification DIS/lore/sc-03-path-ref; brancher au registre de contenu de l'œuvre seulement après production.</x:v>
      </x:c>
      <x:c r="M16" s="7" t="str">
        <x:v>Le passage de Tiran de l’infiltration vers l’adhésion reste un raccord narratif. Les choix locaux ne modifient pas la mort des personnages, l’issue de Zeta ou l’existence d’une autre version du voyage.</x:v>
      </x:c>
      <x:c r="N16" s="7" t="str">
        <x:v>L’ancrage reste bref et son numéro/segment est identifiable dans les sources; les détails non confirmés portent À vérifier.</x:v>
      </x:c>
      <x:c r="O16" s="7" t="str"/>
      <x:c r="P16" s="7" t="str">
        <x:v>Discovery #3</x:v>
      </x:c>
      <x:c r="Q16" s="7" t="str">
        <x:v>DIS-S-ISSUE3</x:v>
      </x:c>
      <x:c r="R16" s="7" t="str">
        <x:v>https://masseffect.fandom.com/wiki/Mass_Effect%3A_Discovery_3</x:v>
      </x:c>
      <x:c r="S16" s="7" t="str">
        <x:v>Ne remplace pas la lecture du numéro.</x:v>
      </x:c>
    </x:row>
    <x:row r="17" ht="68" customHeight="1">
      <x:c r="A17" s="18" t="str">
        <x:v>DIS-SC-04-ARRAY-REF</x:v>
      </x:c>
      <x:c r="B17" s="9" t="str">
        <x:v>#4 — données du réseau Kholas</x:v>
      </x:c>
      <x:c r="C17" s="15" t="str">
        <x:v>Défini</x:v>
      </x:c>
      <x:c r="D17" s="16" t="str">
        <x:v>À vérifier</x:v>
      </x:c>
      <x:c r="E17" s="16" t="str">
        <x:v>P1</x:v>
      </x:c>
      <x:c r="F17" s="9" t="str">
        <x:v>Shio doit corriger ses données au réseau Kholas. </x:v>
      </x:c>
      <x:c r="G17" s="9" t="str">
        <x:v>Ancrage du module; les intitulés de quêtes et options ci-dessous sont des créations de production.</x:v>
      </x:c>
      <x:c r="H17" s="9" t="str"/>
      <x:c r="I17" s="9" t="str"/>
      <x:c r="J17" s="9" t="str"/>
      <x:c r="K17" s="9" t="str"/>
      <x:c r="L17" s="9" t="str">
        <x:v>Livrable proposé : spécification DIS/lore/sc-04-array-ref; brancher au registre de contenu de l'œuvre seulement après production.</x:v>
      </x:c>
      <x:c r="M17" s="9" t="str">
        <x:v>Le passage de Tiran de l’infiltration vers l’adhésion reste un raccord narratif. Les choix locaux ne modifient pas la mort des personnages, l’issue de Zeta ou l’existence d’une autre version du voyage.</x:v>
      </x:c>
      <x:c r="N17" s="9" t="str">
        <x:v>L’ancrage reste bref et son numéro/segment est identifiable dans les sources; les détails non confirmés portent À vérifier.</x:v>
      </x:c>
      <x:c r="O17" s="9" t="str"/>
      <x:c r="P17" s="9" t="str">
        <x:v>Discovery #4</x:v>
      </x:c>
      <x:c r="Q17" s="9" t="str">
        <x:v>DIS-S-ISSUE4</x:v>
      </x:c>
      <x:c r="R17" s="9" t="str">
        <x:v>https://masseffect.fandom.com/wiki/Mass_Effect%3A_Discovery_4</x:v>
      </x:c>
      <x:c r="S17" s="9" t="str">
        <x:v>Ne remplace pas la lecture du numéro.</x:v>
      </x:c>
    </x:row>
    <x:row r="18" ht="68" customHeight="1">
      <x:c r="A18" s="19" t="str">
        <x:v>DIS-SC-04-CHOICE-REF</x:v>
      </x:c>
      <x:c r="B18" s="7" t="str">
        <x:v>#4 — choisir l’Initiative</x:v>
      </x:c>
      <x:c r="C18" s="15" t="str">
        <x:v>Défini</x:v>
      </x:c>
      <x:c r="D18" s="17" t="str">
        <x:v>À vérifier</x:v>
      </x:c>
      <x:c r="E18" s="17" t="str">
        <x:v>P1</x:v>
      </x:c>
      <x:c r="F18" s="7" t="str">
        <x:v>La conclusion rapporte que Tiran rejoint pleinement l’Initiative après sa mission. </x:v>
      </x:c>
      <x:c r="G18" s="7" t="str">
        <x:v>Ancrage du module; les intitulés de quêtes et options ci-dessous sont des créations de production.</x:v>
      </x:c>
      <x:c r="H18" s="7" t="str"/>
      <x:c r="I18" s="7" t="str"/>
      <x:c r="J18" s="7" t="str"/>
      <x:c r="K18" s="7" t="str"/>
      <x:c r="L18" s="7" t="str">
        <x:v>Livrable proposé : spécification DIS/lore/sc-04-choice-ref; brancher au registre de contenu de l'œuvre seulement après production.</x:v>
      </x:c>
      <x:c r="M18" s="7" t="str">
        <x:v>Le passage de Tiran de l’infiltration vers l’adhésion reste un raccord narratif. Les choix locaux ne modifient pas la mort des personnages, l’issue de Zeta ou l’existence d’une autre version du voyage.</x:v>
      </x:c>
      <x:c r="N18" s="7" t="str">
        <x:v>L’ancrage reste bref et son numéro/segment est identifiable dans les sources; les détails non confirmés portent À vérifier.</x:v>
      </x:c>
      <x:c r="O18" s="7" t="str"/>
      <x:c r="P18" s="7" t="str">
        <x:v>Discovery #4</x:v>
      </x:c>
      <x:c r="Q18" s="7" t="str">
        <x:v>DIS-S-ISSUE4</x:v>
      </x:c>
      <x:c r="R18" s="7" t="str">
        <x:v>https://masseffect.fandom.com/wiki/Mass_Effect%3A_Discovery_4</x:v>
      </x:c>
      <x:c r="S18" s="7" t="str">
        <x:v>Ne remplace pas la lecture du numéro.</x:v>
      </x:c>
    </x:row>
  </x:sheetData>
  <x:conditionalFormatting sqref="D7:D18">
    <x:cfRule type="cellIs" dxfId="8" priority="1" operator="equal">
      <x:formula>"À vérifier"</x:formula>
    </x:cfRule>
    <x:cfRule type="cellIs" dxfId="9" priority="2" operator="equal">
      <x:formula>"Extrapolation"</x:formula>
    </x:cfRule>
  </x:conditionalFormatting>
  <x:conditionalFormatting sqref="C7:C18">
    <x:cfRule type="cellIs" dxfId="10" priority="3" operator="equal">
      <x:formula>"Validé"</x:formula>
    </x:cfRule>
  </x:conditionalFormatting>
  <x:conditionalFormatting sqref="E7:E18">
    <x:cfRule type="cellIs" dxfId="11"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2d9bea521c7840b6"/>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90"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Discovery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DIS-WRL-EARTH</x:v>
      </x:c>
      <x:c r="B7" s="9" t="str">
        <x:v>Terre — siège de l’Initiative</x:v>
      </x:c>
      <x:c r="C7" s="15" t="str">
        <x:v>Défini</x:v>
      </x:c>
      <x:c r="D7" s="16" t="str">
        <x:v>À vérifier</x:v>
      </x:c>
      <x:c r="E7" s="16" t="str">
        <x:v>P1</x:v>
      </x:c>
      <x:c r="F7" s="9" t="str">
        <x:v>Le récit d’ouverture mène Tiran au siège de l’Initiative sur Terre.</x:v>
      </x:c>
      <x:c r="G7" s="9" t="str">
        <x:v>Entrée sociale sous couverture.</x:v>
      </x:c>
      <x:c r="H7" s="9" t="str"/>
      <x:c r="I7" s="9" t="str">
        <x:v>Verre clair, métal propre et accents bleus proposés.</x:v>
      </x:c>
      <x:c r="J7" s="9" t="str"/>
      <x:c r="K7" s="9" t="str"/>
      <x:c r="L7" s="9" t="str">
        <x:v>Livrable proposé : spécification DIS/worlds/wrl-earth; brancher au registre de contenu de l'œuvre seulement après production.</x:v>
      </x:c>
      <x:c r="M7" s="9" t="str">
        <x:v>Le passage de Tiran de l’infiltration vers l’adhésion reste un raccord narratif. Les choix locaux ne modifient pas la mort des personnages, l’issue de Zeta ou l’existence d’une autre version du voyage.</x:v>
      </x:c>
      <x:c r="N7" s="9" t="str">
        <x:v>Le nom Terre — siège de l’Initiative et sa fonction sont sourcés; les dimensions, chemins et interactions restent explicitement proposés.</x:v>
      </x:c>
      <x:c r="O7" s="9" t="str"/>
      <x:c r="P7" s="9" t="str">
        <x:v>Discovery #1</x:v>
      </x:c>
      <x:c r="Q7" s="9" t="str">
        <x:v>DIS-S-OPENING</x:v>
      </x:c>
      <x:c r="R7" s="9" t="str">
        <x:v>https://masseffect.fandom.com/wiki/Storyline_IV</x:v>
      </x:c>
      <x:c r="S7" s="9" t="str">
        <x:v>La géométrie jouable ci-dessous est originale et ne prétend pas reconstituer une carte officielle.</x:v>
      </x:c>
    </x:row>
    <x:row r="8" ht="68" customHeight="1">
      <x:c r="A8" s="19" t="str">
        <x:v>DIS-WRL-CITADEL</x:v>
      </x:c>
      <x:c r="B8" s="7" t="str">
        <x:v>Citadelle — recherche de Shio</x:v>
      </x:c>
      <x:c r="C8" s="15" t="str">
        <x:v>Défini</x:v>
      </x:c>
      <x:c r="D8" s="17" t="str">
        <x:v>À vérifier</x:v>
      </x:c>
      <x:c r="E8" s="17" t="str">
        <x:v>P1</x:v>
      </x:c>
      <x:c r="F8" s="7" t="str">
        <x:v>Le duo commence sa recherche sur la Citadelle.</x:v>
      </x:c>
      <x:c r="G8" s="7" t="str">
        <x:v>Enquête dans des espaces habités, sans assimiler précarité et hostilité.</x:v>
      </x:c>
      <x:c r="H8" s="7" t="str"/>
      <x:c r="I8" s="7" t="str">
        <x:v>Lumière diffuse, habitation usée et couleurs neutres pour les témoins.</x:v>
      </x:c>
      <x:c r="J8" s="7" t="str"/>
      <x:c r="K8" s="7" t="str"/>
      <x:c r="L8" s="7" t="str">
        <x:v>Livrable proposé : spécification DIS/worlds/wrl-citadel; brancher au registre de contenu de l'œuvre seulement après production.</x:v>
      </x:c>
      <x:c r="M8" s="7" t="str">
        <x:v>Le passage de Tiran de l’infiltration vers l’adhésion reste un raccord narratif. Les choix locaux ne modifient pas la mort des personnages, l’issue de Zeta ou l’existence d’une autre version du voyage.</x:v>
      </x:c>
      <x:c r="N8" s="7" t="str">
        <x:v>Le nom Citadelle — recherche de Shio et sa fonction sont sourcés; les dimensions, chemins et interactions restent explicitement proposés.</x:v>
      </x:c>
      <x:c r="O8" s="7" t="str"/>
      <x:c r="P8" s="7" t="str">
        <x:v>Discovery #1</x:v>
      </x:c>
      <x:c r="Q8" s="7" t="str">
        <x:v>DIS-S-OPENING</x:v>
      </x:c>
      <x:c r="R8" s="7" t="str">
        <x:v>https://masseffect.fandom.com/wiki/Storyline_IV</x:v>
      </x:c>
      <x:c r="S8" s="7" t="str">
        <x:v>La géométrie jouable ci-dessous est originale et ne prétend pas reconstituer une carte officielle.</x:v>
      </x:c>
    </x:row>
    <x:row r="9" ht="68" customHeight="1">
      <x:c r="A9" s="18" t="str">
        <x:v>DIS-WRL-NOVARRA</x:v>
      </x:c>
      <x:c r="B9" s="9" t="str">
        <x:v>Site minier du Novarra — planète non nommée</x:v>
      </x:c>
      <x:c r="C9" s="15" t="str">
        <x:v>Défini</x:v>
      </x:c>
      <x:c r="D9" s="16" t="str">
        <x:v>À vérifier</x:v>
      </x:c>
      <x:c r="E9" s="16" t="str">
        <x:v>P1</x:v>
      </x:c>
      <x:c r="F9" s="9" t="str">
        <x:v>Le numéro 2 situe une recherche sur le site minier du Novarra.</x:v>
      </x:c>
      <x:c r="G9" s="9" t="str">
        <x:v>Terrain ouvert, témoins et menace biotique.</x:v>
      </x:c>
      <x:c r="H9" s="9" t="str"/>
      <x:c r="I9" s="9" t="str">
        <x:v>Roche pâle, poussière légère et matériel minier quarien à contrôler.</x:v>
      </x:c>
      <x:c r="J9" s="9" t="str"/>
      <x:c r="K9" s="9" t="str"/>
      <x:c r="L9" s="9" t="str">
        <x:v>Livrable proposé : spécification DIS/worlds/wrl-novarra; brancher au registre de contenu de l'œuvre seulement après production.</x:v>
      </x:c>
      <x:c r="M9" s="9" t="str">
        <x:v>Le passage de Tiran de l’infiltration vers l’adhésion reste un raccord narratif. Les choix locaux ne modifient pas la mort des personnages, l’issue de Zeta ou l’existence d’une autre version du voyage.</x:v>
      </x:c>
      <x:c r="N9" s="9" t="str">
        <x:v>Le nom Site minier du Novarra — planète non nommée et sa fonction sont sourcés; les dimensions, chemins et interactions restent explicitement proposés.</x:v>
      </x:c>
      <x:c r="O9" s="9" t="str"/>
      <x:c r="P9" s="9" t="str">
        <x:v>Discovery #2</x:v>
      </x:c>
      <x:c r="Q9" s="9" t="str">
        <x:v>DIS-S-ISSUE2</x:v>
      </x:c>
      <x:c r="R9" s="9" t="str">
        <x:v>https://masseffect.fandom.com/wiki/Mass_Effect%3A_Discovery_2</x:v>
      </x:c>
      <x:c r="S9" s="9" t="str">
        <x:v>La géométrie jouable ci-dessous est originale et ne prétend pas reconstituer une carte officielle.</x:v>
      </x:c>
    </x:row>
    <x:row r="10" ht="68" customHeight="1">
      <x:c r="A10" s="19" t="str">
        <x:v>DIS-WRL-OMEGA</x:v>
      </x:c>
      <x:c r="B10" s="7" t="str">
        <x:v>Omega — alias exposé</x:v>
      </x:c>
      <x:c r="C10" s="15" t="str">
        <x:v>Défini</x:v>
      </x:c>
      <x:c r="D10" s="17" t="str">
        <x:v>À vérifier</x:v>
      </x:c>
      <x:c r="E10" s="17" t="str">
        <x:v>P1</x:v>
      </x:c>
      <x:c r="F10" s="7" t="str">
        <x:v>Le troisième numéro suit une piste vers Omega.</x:v>
      </x:c>
      <x:c r="G10" s="7" t="str">
        <x:v>Confrontation sociale et recherche localisée.</x:v>
      </x:c>
      <x:c r="H10" s="7" t="str"/>
      <x:c r="I10" s="7" t="str">
        <x:v>Orange industriel, silhouettes de marché et zones calmes pour le dialogue.</x:v>
      </x:c>
      <x:c r="J10" s="7" t="str"/>
      <x:c r="K10" s="7" t="str"/>
      <x:c r="L10" s="7" t="str">
        <x:v>Livrable proposé : spécification DIS/worlds/wrl-omega; brancher au registre de contenu de l'œuvre seulement après production.</x:v>
      </x:c>
      <x:c r="M10" s="7" t="str">
        <x:v>Le passage de Tiran de l’infiltration vers l’adhésion reste un raccord narratif. Les choix locaux ne modifient pas la mort des personnages, l’issue de Zeta ou l’existence d’une autre version du voyage.</x:v>
      </x:c>
      <x:c r="N10" s="7" t="str">
        <x:v>Le nom Omega — alias exposé et sa fonction sont sourcés; les dimensions, chemins et interactions restent explicitement proposés.</x:v>
      </x:c>
      <x:c r="O10" s="7" t="str"/>
      <x:c r="P10" s="7" t="str">
        <x:v>Discovery #3</x:v>
      </x:c>
      <x:c r="Q10" s="7" t="str">
        <x:v>DIS-S-ISSUE3</x:v>
      </x:c>
      <x:c r="R10" s="7" t="str">
        <x:v>https://masseffect.fandom.com/wiki/Mass_Effect%3A_Discovery_3</x:v>
      </x:c>
      <x:c r="S10" s="7" t="str">
        <x:v>La géométrie jouable ci-dessous est originale et ne prétend pas reconstituer une carte officielle.</x:v>
      </x:c>
    </x:row>
    <x:row r="11" ht="68" customHeight="1">
      <x:c r="A11" s="18" t="str">
        <x:v>DIS-WRL-KHOLAS</x:v>
      </x:c>
      <x:c r="B11" s="9" t="str">
        <x:v>Réseau Kholas</x:v>
      </x:c>
      <x:c r="C11" s="15" t="str">
        <x:v>Défini</x:v>
      </x:c>
      <x:c r="D11" s="16" t="str">
        <x:v>À vérifier</x:v>
      </x:c>
      <x:c r="E11" s="16" t="str">
        <x:v>P1</x:v>
      </x:c>
      <x:c r="F11" s="9" t="str">
        <x:v>Le quatrième numéro mène Tiran et Shio au réseau Kholas.</x:v>
      </x:c>
      <x:c r="G11" s="9" t="str">
        <x:v>Objectif de données et confrontation finale sur une installation geth.</x:v>
      </x:c>
      <x:c r="H11" s="9" t="str"/>
      <x:c r="I11" s="9" t="str">
        <x:v>Métal sombre, lumières geth contenues et vaste fond spatial.</x:v>
      </x:c>
      <x:c r="J11" s="9" t="str"/>
      <x:c r="K11" s="9" t="str"/>
      <x:c r="L11" s="9" t="str">
        <x:v>Livrable proposé : spécification DIS/worlds/wrl-kholas; brancher au registre de contenu de l'œuvre seulement après production.</x:v>
      </x:c>
      <x:c r="M11" s="9" t="str">
        <x:v>Le passage de Tiran de l’infiltration vers l’adhésion reste un raccord narratif. Les choix locaux ne modifient pas la mort des personnages, l’issue de Zeta ou l’existence d’une autre version du voyage.</x:v>
      </x:c>
      <x:c r="N11" s="9" t="str">
        <x:v>Le nom Réseau Kholas et sa fonction sont sourcés; les dimensions, chemins et interactions restent explicitement proposés.</x:v>
      </x:c>
      <x:c r="O11" s="9" t="str"/>
      <x:c r="P11" s="9" t="str">
        <x:v>Discovery #4</x:v>
      </x:c>
      <x:c r="Q11" s="9" t="str">
        <x:v>DIS-S-ISSUE4</x:v>
      </x:c>
      <x:c r="R11" s="9" t="str">
        <x:v>https://masseffect.fandom.com/wiki/Mass_Effect%3A_Discovery_4</x:v>
      </x:c>
      <x:c r="S11" s="9" t="str">
        <x:v>La géométrie jouable ci-dessous est originale et ne prétend pas reconstituer une carte officielle.</x:v>
      </x:c>
    </x:row>
  </x:sheetData>
  <x:conditionalFormatting sqref="D7:D11">
    <x:cfRule type="cellIs" dxfId="12" priority="1" operator="equal">
      <x:formula>"À vérifier"</x:formula>
    </x:cfRule>
    <x:cfRule type="cellIs" dxfId="13" priority="2" operator="equal">
      <x:formula>"Extrapolation"</x:formula>
    </x:cfRule>
  </x:conditionalFormatting>
  <x:conditionalFormatting sqref="C7:C11">
    <x:cfRule type="cellIs" dxfId="14" priority="3" operator="equal">
      <x:formula>"Validé"</x:formula>
    </x:cfRule>
  </x:conditionalFormatting>
  <x:conditionalFormatting sqref="E7:E11">
    <x:cfRule type="cellIs" dxfId="15"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c367c33b79214c7b"/>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Discovery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DIS-ZONE-EARTH</x:v>
      </x:c>
      <x:c r="B7" s="9" t="str">
        <x:v>Terre — siège de l’Initiative — espace jouable proposé</x:v>
      </x:c>
      <x:c r="C7" s="15" t="str">
        <x:v>Défini</x:v>
      </x:c>
      <x:c r="D7" s="16" t="str">
        <x:v>Extrapolation</x:v>
      </x:c>
      <x:c r="E7" s="16" t="str">
        <x:v>P1</x:v>
      </x:c>
      <x:c r="F7" s="9" t="str">
        <x:v>Accueil, salle d’attente et bureau d’entretien reliés par un parcours court.</x:v>
      </x:c>
      <x:c r="G7" s="9" t="str">
        <x:v>Entrée sociale sous couverture.</x:v>
      </x:c>
      <x:c r="H7" s="9" t="str">
        <x:v>La couverture est un contexte de dialogue, pas une jauge automatique de mensonge.</x:v>
      </x:c>
      <x:c r="I7" s="9" t="str">
        <x:v>Verre clair, métal propre et accents bleus proposés.</x:v>
      </x:c>
      <x:c r="J7" s="9" t="str">
        <x:v>Garder les trajectoires de sprites sur le sol navigable; traversées de premier plan traitées par masques.</x:v>
      </x:c>
      <x:c r="K7" s="9" t="str"/>
      <x:c r="L7" s="9" t="str">
        <x:v>Scène 3D prévue dis/zones/earth; volumes de navigation, ancrages d'actions et caméras fixes séparés.</x:v>
      </x:c>
      <x:c r="M7" s="9" t="str">
        <x:v>Le passage de Tiran de l’infiltration vers l’adhésion reste un raccord narratif. Les choix locaux ne modifient pas la mort des personnages, l’issue de Zeta ou l’existence d’une autre version du voyage.</x:v>
      </x:c>
      <x:c r="N7" s="9" t="str">
        <x:v>Le blocage de Terre — siège de l’Initiative permet un parcours aller-retour sans caméra aveugle; chaque danger annoncé possède une sortie lisible.</x:v>
      </x:c>
      <x:c r="O7" s="9" t="str">
        <x:v>DIS-WRL-EARTH</x:v>
      </x:c>
      <x:c r="P7" s="9" t="str">
        <x:v>Plan original, dimensions à prototyper.</x:v>
      </x:c>
      <x:c r="Q7" s="9" t="str"/>
      <x:c r="R7" s="9" t="str"/>
      <x:c r="S7" s="9" t="str"/>
    </x:row>
    <x:row r="8" ht="68" customHeight="1">
      <x:c r="A8" s="19" t="str">
        <x:v>DIS-ZONE-CITADEL</x:v>
      </x:c>
      <x:c r="B8" s="7" t="str">
        <x:v>Citadelle — recherche de Shio — espace jouable proposé</x:v>
      </x:c>
      <x:c r="C8" s="15" t="str">
        <x:v>Défini</x:v>
      </x:c>
      <x:c r="D8" s="17" t="str">
        <x:v>Extrapolation</x:v>
      </x:c>
      <x:c r="E8" s="17" t="str">
        <x:v>P1</x:v>
      </x:c>
      <x:c r="F8" s="7" t="str">
        <x:v>Point d’information, couloir résidentiel et espace de découverte reliés par ellipses.</x:v>
      </x:c>
      <x:c r="G8" s="7" t="str">
        <x:v>Enquête dans des espaces habités, sans assimiler précarité et hostilité.</x:v>
      </x:c>
      <x:c r="H8" s="7" t="str">
        <x:v>Les habitants n’ont pas de statut ennemi par défaut; questions plutôt que pillage.</x:v>
      </x:c>
      <x:c r="I8" s="7" t="str">
        <x:v>Lumière diffuse, habitation usée et couleurs neutres pour les témoins.</x:v>
      </x:c>
      <x:c r="J8" s="7" t="str">
        <x:v>Garder les trajectoires de sprites sur le sol navigable; traversées de premier plan traitées par masques.</x:v>
      </x:c>
      <x:c r="K8" s="7" t="str"/>
      <x:c r="L8" s="7" t="str">
        <x:v>Scène 3D prévue dis/zones/citadel; volumes de navigation, ancrages d'actions et caméras fixes séparés.</x:v>
      </x:c>
      <x:c r="M8" s="7" t="str">
        <x:v>Le passage de Tiran de l’infiltration vers l’adhésion reste un raccord narratif. Les choix locaux ne modifient pas la mort des personnages, l’issue de Zeta ou l’existence d’une autre version du voyage.</x:v>
      </x:c>
      <x:c r="N8" s="7" t="str">
        <x:v>Le blocage de Citadelle — recherche de Shio permet un parcours aller-retour sans caméra aveugle; chaque danger annoncé possède une sortie lisible.</x:v>
      </x:c>
      <x:c r="O8" s="7" t="str">
        <x:v>DIS-WRL-CITADEL</x:v>
      </x:c>
      <x:c r="P8" s="7" t="str">
        <x:v>Plan original, dimensions à prototyper.</x:v>
      </x:c>
      <x:c r="Q8" s="7" t="str"/>
      <x:c r="R8" s="7" t="str"/>
      <x:c r="S8" s="7" t="str"/>
    </x:row>
    <x:row r="9" ht="68" customHeight="1">
      <x:c r="A9" s="18" t="str">
        <x:v>DIS-ZONE-NOVARRA</x:v>
      </x:c>
      <x:c r="B9" s="9" t="str">
        <x:v>Site minier du Novarra — planète non nommée — espace jouable proposé</x:v>
      </x:c>
      <x:c r="C9" s="15" t="str">
        <x:v>Défini</x:v>
      </x:c>
      <x:c r="D9" s="16" t="str">
        <x:v>Extrapolation</x:v>
      </x:c>
      <x:c r="E9" s="16" t="str">
        <x:v>P1</x:v>
      </x:c>
      <x:c r="F9" s="9" t="str">
        <x:v>Bureau de site, excavatrice, bord de plateau et navette; plan original.</x:v>
      </x:c>
      <x:c r="G9" s="9" t="str">
        <x:v>Terrain ouvert, témoins et menace biotique.</x:v>
      </x:c>
      <x:c r="H9" s="9" t="str">
        <x:v>Les bords dangereux sont annoncés et protégés d’une erreur de clic.</x:v>
      </x:c>
      <x:c r="I9" s="9" t="str">
        <x:v>Roche pâle, poussière légère et matériel minier quarien à contrôler.</x:v>
      </x:c>
      <x:c r="J9" s="9" t="str">
        <x:v>Garder les trajectoires de sprites sur le sol navigable; traversées de premier plan traitées par masques.</x:v>
      </x:c>
      <x:c r="K9" s="9" t="str"/>
      <x:c r="L9" s="9" t="str">
        <x:v>Scène 3D prévue dis/zones/novarra; volumes de navigation, ancrages d'actions et caméras fixes séparés.</x:v>
      </x:c>
      <x:c r="M9" s="9" t="str">
        <x:v>Le passage de Tiran de l’infiltration vers l’adhésion reste un raccord narratif. Les choix locaux ne modifient pas la mort des personnages, l’issue de Zeta ou l’existence d’une autre version du voyage.</x:v>
      </x:c>
      <x:c r="N9" s="9" t="str">
        <x:v>Le blocage de Site minier du Novarra — planète non nommée permet un parcours aller-retour sans caméra aveugle; chaque danger annoncé possède une sortie lisible.</x:v>
      </x:c>
      <x:c r="O9" s="9" t="str">
        <x:v>DIS-WRL-NOVARRA</x:v>
      </x:c>
      <x:c r="P9" s="9" t="str">
        <x:v>Plan original, dimensions à prototyper.</x:v>
      </x:c>
      <x:c r="Q9" s="9" t="str"/>
      <x:c r="R9" s="9" t="str"/>
      <x:c r="S9" s="9" t="str"/>
    </x:row>
    <x:row r="10" ht="68" customHeight="1">
      <x:c r="A10" s="19" t="str">
        <x:v>DIS-ZONE-OMEGA</x:v>
      </x:c>
      <x:c r="B10" s="7" t="str">
        <x:v>Omega — alias exposé — espace jouable proposé</x:v>
      </x:c>
      <x:c r="C10" s="15" t="str">
        <x:v>Défini</x:v>
      </x:c>
      <x:c r="D10" s="17" t="str">
        <x:v>Extrapolation</x:v>
      </x:c>
      <x:c r="E10" s="17" t="str">
        <x:v>P1</x:v>
      </x:c>
      <x:c r="F10" s="7" t="str">
        <x:v>Quai, passage marchand et espace d’entretien; réutilisation contrôlée du thème Omega.</x:v>
      </x:c>
      <x:c r="G10" s="7" t="str">
        <x:v>Confrontation sociale et recherche localisée.</x:v>
      </x:c>
      <x:c r="H10" s="7" t="str">
        <x:v>L’exposition de l’identité déclenche une phase narrative, pas un changement hostile de toute la station.</x:v>
      </x:c>
      <x:c r="I10" s="7" t="str">
        <x:v>Orange industriel, silhouettes de marché et zones calmes pour le dialogue.</x:v>
      </x:c>
      <x:c r="J10" s="7" t="str">
        <x:v>Garder les trajectoires de sprites sur le sol navigable; traversées de premier plan traitées par masques.</x:v>
      </x:c>
      <x:c r="K10" s="7" t="str"/>
      <x:c r="L10" s="7" t="str">
        <x:v>Scène 3D prévue dis/zones/omega; volumes de navigation, ancrages d'actions et caméras fixes séparés.</x:v>
      </x:c>
      <x:c r="M10" s="7" t="str">
        <x:v>Le passage de Tiran de l’infiltration vers l’adhésion reste un raccord narratif. Les choix locaux ne modifient pas la mort des personnages, l’issue de Zeta ou l’existence d’une autre version du voyage.</x:v>
      </x:c>
      <x:c r="N10" s="7" t="str">
        <x:v>Le blocage de Omega — alias exposé permet un parcours aller-retour sans caméra aveugle; chaque danger annoncé possède une sortie lisible.</x:v>
      </x:c>
      <x:c r="O10" s="7" t="str">
        <x:v>DIS-WRL-OMEGA</x:v>
      </x:c>
      <x:c r="P10" s="7" t="str">
        <x:v>Plan original, dimensions à prototyper.</x:v>
      </x:c>
      <x:c r="Q10" s="7" t="str"/>
      <x:c r="R10" s="7" t="str"/>
      <x:c r="S10" s="7" t="str"/>
    </x:row>
    <x:row r="11" ht="68" customHeight="1">
      <x:c r="A11" s="18" t="str">
        <x:v>DIS-ZONE-KHOLAS</x:v>
      </x:c>
      <x:c r="B11" s="9" t="str">
        <x:v>Réseau Kholas — espace jouable proposé</x:v>
      </x:c>
      <x:c r="C11" s="15" t="str">
        <x:v>Défini</x:v>
      </x:c>
      <x:c r="D11" s="16" t="str">
        <x:v>Extrapolation</x:v>
      </x:c>
      <x:c r="E11" s="16" t="str">
        <x:v>P1</x:v>
      </x:c>
      <x:c r="F11" s="9" t="str">
        <x:v>Accès de coque, passage technique et terminal de données; parcours original réduit.</x:v>
      </x:c>
      <x:c r="G11" s="9" t="str">
        <x:v>Objectif de données et confrontation finale sur une installation geth.</x:v>
      </x:c>
      <x:c r="H11" s="9" t="str">
        <x:v>Navigation extérieure avec repères d’appui et reprise locale; pause de planification possible.</x:v>
      </x:c>
      <x:c r="I11" s="9" t="str">
        <x:v>Métal sombre, lumières geth contenues et vaste fond spatial.</x:v>
      </x:c>
      <x:c r="J11" s="9" t="str">
        <x:v>Garder les trajectoires de sprites sur le sol navigable; traversées de premier plan traitées par masques.</x:v>
      </x:c>
      <x:c r="K11" s="9" t="str"/>
      <x:c r="L11" s="9" t="str">
        <x:v>Scène 3D prévue dis/zones/kholas; volumes de navigation, ancrages d'actions et caméras fixes séparés.</x:v>
      </x:c>
      <x:c r="M11" s="9" t="str">
        <x:v>Le passage de Tiran de l’infiltration vers l’adhésion reste un raccord narratif. Les choix locaux ne modifient pas la mort des personnages, l’issue de Zeta ou l’existence d’une autre version du voyage.</x:v>
      </x:c>
      <x:c r="N11" s="9" t="str">
        <x:v>Le blocage de Réseau Kholas permet un parcours aller-retour sans caméra aveugle; chaque danger annoncé possède une sortie lisible.</x:v>
      </x:c>
      <x:c r="O11" s="9" t="str">
        <x:v>DIS-WRL-KHOLAS</x:v>
      </x:c>
      <x:c r="P11" s="9" t="str">
        <x:v>Plan original, dimensions à prototyper.</x:v>
      </x:c>
      <x:c r="Q11" s="9" t="str"/>
      <x:c r="R11" s="9" t="str"/>
      <x:c r="S11" s="9" t="str"/>
    </x:row>
  </x:sheetData>
  <x:conditionalFormatting sqref="D7:D11">
    <x:cfRule type="cellIs" dxfId="16" priority="1" operator="equal">
      <x:formula>"À vérifier"</x:formula>
    </x:cfRule>
    <x:cfRule type="cellIs" dxfId="17" priority="2" operator="equal">
      <x:formula>"Extrapolation"</x:formula>
    </x:cfRule>
  </x:conditionalFormatting>
  <x:conditionalFormatting sqref="C7:C11">
    <x:cfRule type="cellIs" dxfId="18" priority="3" operator="equal">
      <x:formula>"Validé"</x:formula>
    </x:cfRule>
  </x:conditionalFormatting>
  <x:conditionalFormatting sqref="E7:E11">
    <x:cfRule type="cellIs" dxfId="19"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be6a542f8a76435f"/>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Discovery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DIS-LINK-EARTH</x:v>
      </x:c>
      <x:c r="B7" s="9" t="str">
        <x:v>Terre — siège de l’Initiative — accès et sortie</x:v>
      </x:c>
      <x:c r="C7" s="15" t="str">
        <x:v>Défini</x:v>
      </x:c>
      <x:c r="D7" s="16" t="str">
        <x:v>Extrapolation</x:v>
      </x:c>
      <x:c r="E7" s="16" t="str">
        <x:v>P1</x:v>
      </x:c>
      <x:c r="F7" s="9" t="str">
        <x:v>Briefing externe → entretien → départ en duo; pas de carte de ville entière.</x:v>
      </x:c>
      <x:c r="G7" s="9" t="str">
        <x:v>Conserver les raccords nécessaires au parcours sans inventer une route galactique officielle.</x:v>
      </x:c>
      <x:c r="H7" s="9" t="str">
        <x:v>Prévisualiser la destination; déclenchement sur confirmation hors combat; conserver objectifs et objets de mission au retour.</x:v>
      </x:c>
      <x:c r="I7" s="9" t="str">
        <x:v>Marquage de direction doublé d’un nom de destination; pas de code fondé sur une seule couleur.</x:v>
      </x:c>
      <x:c r="J7" s="9" t="str"/>
      <x:c r="K7" s="9" t="str"/>
      <x:c r="L7" s="9" t="str">
        <x:v>Liaison proposée DIS/EARTH; sauvegarder zone, point d'entrée et version de chapitre.</x:v>
      </x:c>
      <x:c r="M7" s="9" t="str">
        <x:v>Le passage de Tiran de l’infiltration vers l’adhésion reste un raccord narratif. Les choix locaux ne modifient pas la mort des personnages, l’issue de Zeta ou l’existence d’une autre version du voyage.</x:v>
      </x:c>
      <x:c r="N7" s="9" t="str">
        <x:v>Entrer, ressortir et recharger au seuil restitue le même état du chapitre; aucun accès ne court-circuite sa conclusion fixée.</x:v>
      </x:c>
      <x:c r="O7" s="9" t="str">
        <x:v>DIS-ZONE-EARTH</x:v>
      </x:c>
      <x:c r="P7" s="9" t="str">
        <x:v>Raccord de gameplay original; ordre narratif selon les ancrages sourcés.</x:v>
      </x:c>
      <x:c r="Q7" s="9" t="str"/>
      <x:c r="R7" s="9" t="str"/>
      <x:c r="S7" s="9" t="str"/>
    </x:row>
    <x:row r="8" ht="68" customHeight="1">
      <x:c r="A8" s="19" t="str">
        <x:v>DIS-LINK-CITADEL</x:v>
      </x:c>
      <x:c r="B8" s="7" t="str">
        <x:v>Citadelle — recherche de Shio — accès et sortie</x:v>
      </x:c>
      <x:c r="C8" s="15" t="str">
        <x:v>Défini</x:v>
      </x:c>
      <x:c r="D8" s="17" t="str">
        <x:v>Extrapolation</x:v>
      </x:c>
      <x:c r="E8" s="17" t="str">
        <x:v>P1</x:v>
      </x:c>
      <x:c r="F8" s="7" t="str">
        <x:v>Une piste mène hors station; pas de visite des niveaux futurs d’Andromeda.</x:v>
      </x:c>
      <x:c r="G8" s="7" t="str">
        <x:v>Conserver les raccords nécessaires au parcours sans inventer une route galactique officielle.</x:v>
      </x:c>
      <x:c r="H8" s="7" t="str">
        <x:v>Prévisualiser la destination; déclenchement sur confirmation hors combat; conserver objectifs et objets de mission au retour.</x:v>
      </x:c>
      <x:c r="I8" s="7" t="str">
        <x:v>Marquage de direction doublé d’un nom de destination; pas de code fondé sur une seule couleur.</x:v>
      </x:c>
      <x:c r="J8" s="7" t="str"/>
      <x:c r="K8" s="7" t="str"/>
      <x:c r="L8" s="7" t="str">
        <x:v>Liaison proposée DIS/CITADEL; sauvegarder zone, point d'entrée et version de chapitre.</x:v>
      </x:c>
      <x:c r="M8" s="7" t="str">
        <x:v>Le passage de Tiran de l’infiltration vers l’adhésion reste un raccord narratif. Les choix locaux ne modifient pas la mort des personnages, l’issue de Zeta ou l’existence d’une autre version du voyage.</x:v>
      </x:c>
      <x:c r="N8" s="7" t="str">
        <x:v>Entrer, ressortir et recharger au seuil restitue le même état du chapitre; aucun accès ne court-circuite sa conclusion fixée.</x:v>
      </x:c>
      <x:c r="O8" s="7" t="str">
        <x:v>DIS-ZONE-CITADEL</x:v>
      </x:c>
      <x:c r="P8" s="7" t="str">
        <x:v>Raccord de gameplay original; ordre narratif selon les ancrages sourcés.</x:v>
      </x:c>
      <x:c r="Q8" s="7" t="str"/>
      <x:c r="R8" s="7" t="str"/>
      <x:c r="S8" s="7" t="str"/>
    </x:row>
    <x:row r="9" ht="68" customHeight="1">
      <x:c r="A9" s="18" t="str">
        <x:v>DIS-LINK-NOVARRA</x:v>
      </x:c>
      <x:c r="B9" s="9" t="str">
        <x:v>Site minier du Novarra — planète non nommée — accès et sortie</x:v>
      </x:c>
      <x:c r="C9" s="15" t="str">
        <x:v>Défini</x:v>
      </x:c>
      <x:c r="D9" s="16" t="str">
        <x:v>Extrapolation</x:v>
      </x:c>
      <x:c r="E9" s="16" t="str">
        <x:v>P1</x:v>
      </x:c>
      <x:c r="F9" s="9" t="str">
        <x:v>Atterrissage → entretien → sortie sous menace; aucun nom de planète inventé.</x:v>
      </x:c>
      <x:c r="G9" s="9" t="str">
        <x:v>Conserver les raccords nécessaires au parcours sans inventer une route galactique officielle.</x:v>
      </x:c>
      <x:c r="H9" s="9" t="str">
        <x:v>Prévisualiser la destination; déclenchement sur confirmation hors combat; conserver objectifs et objets de mission au retour.</x:v>
      </x:c>
      <x:c r="I9" s="9" t="str">
        <x:v>Marquage de direction doublé d’un nom de destination; pas de code fondé sur une seule couleur.</x:v>
      </x:c>
      <x:c r="J9" s="9" t="str"/>
      <x:c r="K9" s="9" t="str"/>
      <x:c r="L9" s="9" t="str">
        <x:v>Liaison proposée DIS/NOVARRA; sauvegarder zone, point d'entrée et version de chapitre.</x:v>
      </x:c>
      <x:c r="M9" s="9" t="str">
        <x:v>Le passage de Tiran de l’infiltration vers l’adhésion reste un raccord narratif. Les choix locaux ne modifient pas la mort des personnages, l’issue de Zeta ou l’existence d’une autre version du voyage.</x:v>
      </x:c>
      <x:c r="N9" s="9" t="str">
        <x:v>Entrer, ressortir et recharger au seuil restitue le même état du chapitre; aucun accès ne court-circuite sa conclusion fixée.</x:v>
      </x:c>
      <x:c r="O9" s="9" t="str">
        <x:v>DIS-ZONE-NOVARRA</x:v>
      </x:c>
      <x:c r="P9" s="9" t="str">
        <x:v>Raccord de gameplay original; ordre narratif selon les ancrages sourcés.</x:v>
      </x:c>
      <x:c r="Q9" s="9" t="str"/>
      <x:c r="R9" s="9" t="str"/>
      <x:c r="S9" s="9" t="str"/>
    </x:row>
    <x:row r="10" ht="68" customHeight="1">
      <x:c r="A10" s="19" t="str">
        <x:v>DIS-LINK-OMEGA</x:v>
      </x:c>
      <x:c r="B10" s="7" t="str">
        <x:v>Omega — alias exposé — accès et sortie</x:v>
      </x:c>
      <x:c r="C10" s="15" t="str">
        <x:v>Défini</x:v>
      </x:c>
      <x:c r="D10" s="17" t="str">
        <x:v>Extrapolation</x:v>
      </x:c>
      <x:c r="E10" s="17" t="str">
        <x:v>P1</x:v>
      </x:c>
      <x:c r="F10" s="7" t="str">
        <x:v>Quai → rencontre familiale → autorité locale → piste; aucune reconquête d’Omega.</x:v>
      </x:c>
      <x:c r="G10" s="7" t="str">
        <x:v>Conserver les raccords nécessaires au parcours sans inventer une route galactique officielle.</x:v>
      </x:c>
      <x:c r="H10" s="7" t="str">
        <x:v>Prévisualiser la destination; déclenchement sur confirmation hors combat; conserver objectifs et objets de mission au retour.</x:v>
      </x:c>
      <x:c r="I10" s="7" t="str">
        <x:v>Marquage de direction doublé d’un nom de destination; pas de code fondé sur une seule couleur.</x:v>
      </x:c>
      <x:c r="J10" s="7" t="str"/>
      <x:c r="K10" s="7" t="str"/>
      <x:c r="L10" s="7" t="str">
        <x:v>Liaison proposée DIS/OMEGA; sauvegarder zone, point d'entrée et version de chapitre.</x:v>
      </x:c>
      <x:c r="M10" s="7" t="str">
        <x:v>Le passage de Tiran de l’infiltration vers l’adhésion reste un raccord narratif. Les choix locaux ne modifient pas la mort des personnages, l’issue de Zeta ou l’existence d’une autre version du voyage.</x:v>
      </x:c>
      <x:c r="N10" s="7" t="str">
        <x:v>Entrer, ressortir et recharger au seuil restitue le même état du chapitre; aucun accès ne court-circuite sa conclusion fixée.</x:v>
      </x:c>
      <x:c r="O10" s="7" t="str">
        <x:v>DIS-ZONE-OMEGA</x:v>
      </x:c>
      <x:c r="P10" s="7" t="str">
        <x:v>Raccord de gameplay original; ordre narratif selon les ancrages sourcés.</x:v>
      </x:c>
      <x:c r="Q10" s="7" t="str"/>
      <x:c r="R10" s="7" t="str"/>
      <x:c r="S10" s="7" t="str"/>
    </x:row>
    <x:row r="11" ht="68" customHeight="1">
      <x:c r="A11" s="18" t="str">
        <x:v>DIS-LINK-KHOLAS</x:v>
      </x:c>
      <x:c r="B11" s="9" t="str">
        <x:v>Réseau Kholas — accès et sortie</x:v>
      </x:c>
      <x:c r="C11" s="15" t="str">
        <x:v>Défini</x:v>
      </x:c>
      <x:c r="D11" s="16" t="str">
        <x:v>Extrapolation</x:v>
      </x:c>
      <x:c r="E11" s="16" t="str">
        <x:v>P1</x:v>
      </x:c>
      <x:c r="F11" s="9" t="str">
        <x:v>Arrivée → interface → extraction; aucune carte complète du réseau ni technologie exploitable librement.</x:v>
      </x:c>
      <x:c r="G11" s="9" t="str">
        <x:v>Conserver les raccords nécessaires au parcours sans inventer une route galactique officielle.</x:v>
      </x:c>
      <x:c r="H11" s="9" t="str">
        <x:v>Prévisualiser la destination; déclenchement sur confirmation hors combat; conserver objectifs et objets de mission au retour.</x:v>
      </x:c>
      <x:c r="I11" s="9" t="str">
        <x:v>Marquage de direction doublé d’un nom de destination; pas de code fondé sur une seule couleur.</x:v>
      </x:c>
      <x:c r="J11" s="9" t="str"/>
      <x:c r="K11" s="9" t="str"/>
      <x:c r="L11" s="9" t="str">
        <x:v>Liaison proposée DIS/KHOLAS; sauvegarder zone, point d'entrée et version de chapitre.</x:v>
      </x:c>
      <x:c r="M11" s="9" t="str">
        <x:v>Le passage de Tiran de l’infiltration vers l’adhésion reste un raccord narratif. Les choix locaux ne modifient pas la mort des personnages, l’issue de Zeta ou l’existence d’une autre version du voyage.</x:v>
      </x:c>
      <x:c r="N11" s="9" t="str">
        <x:v>Entrer, ressortir et recharger au seuil restitue le même état du chapitre; aucun accès ne court-circuite sa conclusion fixée.</x:v>
      </x:c>
      <x:c r="O11" s="9" t="str">
        <x:v>DIS-ZONE-KHOLAS</x:v>
      </x:c>
      <x:c r="P11" s="9" t="str">
        <x:v>Raccord de gameplay original; ordre narratif selon les ancrages sourcés.</x:v>
      </x:c>
      <x:c r="Q11" s="9" t="str"/>
      <x:c r="R11" s="9" t="str"/>
      <x:c r="S11" s="9" t="str"/>
    </x:row>
  </x:sheetData>
  <x:conditionalFormatting sqref="D7:D11">
    <x:cfRule type="cellIs" dxfId="20" priority="1" operator="equal">
      <x:formula>"À vérifier"</x:formula>
    </x:cfRule>
    <x:cfRule type="cellIs" dxfId="21" priority="2" operator="equal">
      <x:formula>"Extrapolation"</x:formula>
    </x:cfRule>
  </x:conditionalFormatting>
  <x:conditionalFormatting sqref="C7:C11">
    <x:cfRule type="cellIs" dxfId="22" priority="3" operator="equal">
      <x:formula>"Validé"</x:formula>
    </x:cfRule>
  </x:conditionalFormatting>
  <x:conditionalFormatting sqref="E7:E11">
    <x:cfRule type="cellIs" dxfId="23"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601b81c52239499e"/>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Discovery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DIS-SET-EARTH</x:v>
      </x:c>
      <x:c r="B7" s="9" t="str">
        <x:v>Terre — siège de l’Initiative — décor et repère</x:v>
      </x:c>
      <x:c r="C7" s="15" t="str">
        <x:v>Défini</x:v>
      </x:c>
      <x:c r="D7" s="16" t="str">
        <x:v>Extrapolation</x:v>
      </x:c>
      <x:c r="E7" s="16" t="str">
        <x:v>P1</x:v>
      </x:c>
      <x:c r="F7" s="9" t="str">
        <x:v>Vitrine ou écran d’ambition spatiale comme repère.</x:v>
      </x:c>
      <x:c r="G7" s="9" t="str">
        <x:v>Entrée sociale sous couverture.</x:v>
      </x:c>
      <x:c r="H7" s="9" t="str"/>
      <x:c r="I7" s="9" t="str">
        <x:v>Verre clair, métal propre et accents bleus proposés. Séparer gros volumes, surfaces de parcours et petits accessoires; réserver le contraste maximal aux éléments utilisables.</x:v>
      </x:c>
      <x:c r="J7" s="9" t="str">
        <x:v>Seuls les éléments mobiles nécessaires à la lecture du lieu ont une boucle; les lumières restent stables en mode confort.</x:v>
      </x:c>
      <x:c r="K7" s="9" t="str"/>
      <x:c r="L7" s="9" t="str">
        <x:v>Kit modulaire prévu dis/sets/earth; collisions simples et matériau de repère distinct.</x:v>
      </x:c>
      <x:c r="M7" s="9" t="str">
        <x:v>Le passage de Tiran de l’infiltration vers l’adhésion reste un raccord narratif. Les choix locaux ne modifient pas la mort des personnages, l’issue de Zeta ou l’existence d’une autre version du voyage.</x:v>
      </x:c>
      <x:c r="N7" s="9" t="str">
        <x:v>Le repère décrit reste visible depuis l'entrée et depuis le retour; aucune décoration ne masque un signal d'interaction.</x:v>
      </x:c>
      <x:c r="O7" s="9" t="str">
        <x:v>DIS-ZONE-EARTH</x:v>
      </x:c>
      <x:c r="P7" s="9" t="str">
        <x:v>Direction artistique originale, matériaux à confronter aux planches.</x:v>
      </x:c>
      <x:c r="Q7" s="9" t="str"/>
      <x:c r="R7" s="9" t="str"/>
      <x:c r="S7" s="9" t="str"/>
    </x:row>
    <x:row r="8" ht="68" customHeight="1">
      <x:c r="A8" s="19" t="str">
        <x:v>DIS-SET-CITADEL</x:v>
      </x:c>
      <x:c r="B8" s="7" t="str">
        <x:v>Citadelle — recherche de Shio — décor et repère</x:v>
      </x:c>
      <x:c r="C8" s="15" t="str">
        <x:v>Défini</x:v>
      </x:c>
      <x:c r="D8" s="17" t="str">
        <x:v>Extrapolation</x:v>
      </x:c>
      <x:c r="E8" s="17" t="str">
        <x:v>P1</x:v>
      </x:c>
      <x:c r="F8" s="7" t="str">
        <x:v>Ventilation et signalétique des secteurs bas.</x:v>
      </x:c>
      <x:c r="G8" s="7" t="str">
        <x:v>Enquête dans des espaces habités, sans assimiler précarité et hostilité.</x:v>
      </x:c>
      <x:c r="H8" s="7" t="str"/>
      <x:c r="I8" s="7" t="str">
        <x:v>Lumière diffuse, habitation usée et couleurs neutres pour les témoins. Séparer gros volumes, surfaces de parcours et petits accessoires; réserver le contraste maximal aux éléments utilisables.</x:v>
      </x:c>
      <x:c r="J8" s="7" t="str">
        <x:v>Seuls les éléments mobiles nécessaires à la lecture du lieu ont une boucle; les lumières restent stables en mode confort.</x:v>
      </x:c>
      <x:c r="K8" s="7" t="str"/>
      <x:c r="L8" s="7" t="str">
        <x:v>Kit modulaire prévu dis/sets/citadel; collisions simples et matériau de repère distinct.</x:v>
      </x:c>
      <x:c r="M8" s="7" t="str">
        <x:v>Le passage de Tiran de l’infiltration vers l’adhésion reste un raccord narratif. Les choix locaux ne modifient pas la mort des personnages, l’issue de Zeta ou l’existence d’une autre version du voyage.</x:v>
      </x:c>
      <x:c r="N8" s="7" t="str">
        <x:v>Le repère décrit reste visible depuis l'entrée et depuis le retour; aucune décoration ne masque un signal d'interaction.</x:v>
      </x:c>
      <x:c r="O8" s="7" t="str">
        <x:v>DIS-ZONE-CITADEL</x:v>
      </x:c>
      <x:c r="P8" s="7" t="str">
        <x:v>Direction artistique originale, matériaux à confronter aux planches.</x:v>
      </x:c>
      <x:c r="Q8" s="7" t="str"/>
      <x:c r="R8" s="7" t="str"/>
      <x:c r="S8" s="7" t="str"/>
    </x:row>
    <x:row r="9" ht="68" customHeight="1">
      <x:c r="A9" s="18" t="str">
        <x:v>DIS-SET-NOVARRA</x:v>
      </x:c>
      <x:c r="B9" s="9" t="str">
        <x:v>Site minier du Novarra — planète non nommée — décor et repère</x:v>
      </x:c>
      <x:c r="C9" s="15" t="str">
        <x:v>Défini</x:v>
      </x:c>
      <x:c r="D9" s="16" t="str">
        <x:v>Extrapolation</x:v>
      </x:c>
      <x:c r="E9" s="16" t="str">
        <x:v>P1</x:v>
      </x:c>
      <x:c r="F9" s="9" t="str">
        <x:v>Grand bras d’excavatrice servant de repère de distance.</x:v>
      </x:c>
      <x:c r="G9" s="9" t="str">
        <x:v>Terrain ouvert, témoins et menace biotique.</x:v>
      </x:c>
      <x:c r="H9" s="9" t="str"/>
      <x:c r="I9" s="9" t="str">
        <x:v>Roche pâle, poussière légère et matériel minier quarien à contrôler. Séparer gros volumes, surfaces de parcours et petits accessoires; réserver le contraste maximal aux éléments utilisables.</x:v>
      </x:c>
      <x:c r="J9" s="9" t="str">
        <x:v>Seuls les éléments mobiles nécessaires à la lecture du lieu ont une boucle; les lumières restent stables en mode confort.</x:v>
      </x:c>
      <x:c r="K9" s="9" t="str"/>
      <x:c r="L9" s="9" t="str">
        <x:v>Kit modulaire prévu dis/sets/novarra; collisions simples et matériau de repère distinct.</x:v>
      </x:c>
      <x:c r="M9" s="9" t="str">
        <x:v>Le passage de Tiran de l’infiltration vers l’adhésion reste un raccord narratif. Les choix locaux ne modifient pas la mort des personnages, l’issue de Zeta ou l’existence d’une autre version du voyage.</x:v>
      </x:c>
      <x:c r="N9" s="9" t="str">
        <x:v>Le repère décrit reste visible depuis l'entrée et depuis le retour; aucune décoration ne masque un signal d'interaction.</x:v>
      </x:c>
      <x:c r="O9" s="9" t="str">
        <x:v>DIS-ZONE-NOVARRA</x:v>
      </x:c>
      <x:c r="P9" s="9" t="str">
        <x:v>Direction artistique originale, matériaux à confronter aux planches.</x:v>
      </x:c>
      <x:c r="Q9" s="9" t="str"/>
      <x:c r="R9" s="9" t="str"/>
      <x:c r="S9" s="9" t="str"/>
    </x:row>
    <x:row r="10" ht="68" customHeight="1">
      <x:c r="A10" s="19" t="str">
        <x:v>DIS-SET-OMEGA</x:v>
      </x:c>
      <x:c r="B10" s="7" t="str">
        <x:v>Omega — alias exposé — décor et repère</x:v>
      </x:c>
      <x:c r="C10" s="15" t="str">
        <x:v>Défini</x:v>
      </x:c>
      <x:c r="D10" s="17" t="str">
        <x:v>Extrapolation</x:v>
      </x:c>
      <x:c r="E10" s="17" t="str">
        <x:v>P1</x:v>
      </x:c>
      <x:c r="F10" s="7" t="str">
        <x:v>Point d’orientation vertical et entrée d’Afterlife.</x:v>
      </x:c>
      <x:c r="G10" s="7" t="str">
        <x:v>Confrontation sociale et recherche localisée.</x:v>
      </x:c>
      <x:c r="H10" s="7" t="str"/>
      <x:c r="I10" s="7" t="str">
        <x:v>Orange industriel, silhouettes de marché et zones calmes pour le dialogue. Séparer gros volumes, surfaces de parcours et petits accessoires; réserver le contraste maximal aux éléments utilisables.</x:v>
      </x:c>
      <x:c r="J10" s="7" t="str">
        <x:v>Seuls les éléments mobiles nécessaires à la lecture du lieu ont une boucle; les lumières restent stables en mode confort.</x:v>
      </x:c>
      <x:c r="K10" s="7" t="str"/>
      <x:c r="L10" s="7" t="str">
        <x:v>Kit modulaire prévu dis/sets/omega; collisions simples et matériau de repère distinct.</x:v>
      </x:c>
      <x:c r="M10" s="7" t="str">
        <x:v>Le passage de Tiran de l’infiltration vers l’adhésion reste un raccord narratif. Les choix locaux ne modifient pas la mort des personnages, l’issue de Zeta ou l’existence d’une autre version du voyage.</x:v>
      </x:c>
      <x:c r="N10" s="7" t="str">
        <x:v>Le repère décrit reste visible depuis l'entrée et depuis le retour; aucune décoration ne masque un signal d'interaction.</x:v>
      </x:c>
      <x:c r="O10" s="7" t="str">
        <x:v>DIS-ZONE-OMEGA</x:v>
      </x:c>
      <x:c r="P10" s="7" t="str">
        <x:v>Direction artistique originale, matériaux à confronter aux planches.</x:v>
      </x:c>
      <x:c r="Q10" s="7" t="str"/>
      <x:c r="R10" s="7" t="str"/>
      <x:c r="S10" s="7" t="str"/>
    </x:row>
    <x:row r="11" ht="68" customHeight="1">
      <x:c r="A11" s="18" t="str">
        <x:v>DIS-SET-KHOLAS</x:v>
      </x:c>
      <x:c r="B11" s="9" t="str">
        <x:v>Réseau Kholas — décor et repère</x:v>
      </x:c>
      <x:c r="C11" s="15" t="str">
        <x:v>Défini</x:v>
      </x:c>
      <x:c r="D11" s="16" t="str">
        <x:v>Extrapolation</x:v>
      </x:c>
      <x:c r="E11" s="16" t="str">
        <x:v>P1</x:v>
      </x:c>
      <x:c r="F11" s="9" t="str">
        <x:v>Antenne ou axe de réseau au-dessus du terminal.</x:v>
      </x:c>
      <x:c r="G11" s="9" t="str">
        <x:v>Objectif de données et confrontation finale sur une installation geth.</x:v>
      </x:c>
      <x:c r="H11" s="9" t="str"/>
      <x:c r="I11" s="9" t="str">
        <x:v>Métal sombre, lumières geth contenues et vaste fond spatial. Séparer gros volumes, surfaces de parcours et petits accessoires; réserver le contraste maximal aux éléments utilisables.</x:v>
      </x:c>
      <x:c r="J11" s="9" t="str">
        <x:v>Seuls les éléments mobiles nécessaires à la lecture du lieu ont une boucle; les lumières restent stables en mode confort.</x:v>
      </x:c>
      <x:c r="K11" s="9" t="str"/>
      <x:c r="L11" s="9" t="str">
        <x:v>Kit modulaire prévu dis/sets/kholas; collisions simples et matériau de repère distinct.</x:v>
      </x:c>
      <x:c r="M11" s="9" t="str">
        <x:v>Le passage de Tiran de l’infiltration vers l’adhésion reste un raccord narratif. Les choix locaux ne modifient pas la mort des personnages, l’issue de Zeta ou l’existence d’une autre version du voyage.</x:v>
      </x:c>
      <x:c r="N11" s="9" t="str">
        <x:v>Le repère décrit reste visible depuis l'entrée et depuis le retour; aucune décoration ne masque un signal d'interaction.</x:v>
      </x:c>
      <x:c r="O11" s="9" t="str">
        <x:v>DIS-ZONE-KHOLAS</x:v>
      </x:c>
      <x:c r="P11" s="9" t="str">
        <x:v>Direction artistique originale, matériaux à confronter aux planches.</x:v>
      </x:c>
      <x:c r="Q11" s="9" t="str"/>
      <x:c r="R11" s="9" t="str"/>
      <x:c r="S11" s="9" t="str"/>
    </x:row>
  </x:sheetData>
  <x:conditionalFormatting sqref="D7:D11">
    <x:cfRule type="cellIs" dxfId="24" priority="1" operator="equal">
      <x:formula>"À vérifier"</x:formula>
    </x:cfRule>
    <x:cfRule type="cellIs" dxfId="25" priority="2" operator="equal">
      <x:formula>"Extrapolation"</x:formula>
    </x:cfRule>
  </x:conditionalFormatting>
  <x:conditionalFormatting sqref="C7:C11">
    <x:cfRule type="cellIs" dxfId="26" priority="3" operator="equal">
      <x:formula>"Validé"</x:formula>
    </x:cfRule>
  </x:conditionalFormatting>
  <x:conditionalFormatting sqref="E7:E11">
    <x:cfRule type="cellIs" dxfId="27"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4f3fbaecfa564bfc"/>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Discovery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DIS-SC-01-COVER-PROP</x:v>
      </x:c>
      <x:c r="B7" s="9" t="str">
        <x:v>Fiche d’alias</x:v>
      </x:c>
      <x:c r="C7" s="15" t="str">
        <x:v>Défini</x:v>
      </x:c>
      <x:c r="D7" s="16" t="str">
        <x:v>Extrapolation</x:v>
      </x:c>
      <x:c r="E7" s="16" t="str">
        <x:v>P1</x:v>
      </x:c>
      <x:c r="F7" s="9" t="str">
        <x:v>Outil de production pour Sanjin Vinnick, graphie à contrôler.</x:v>
      </x:c>
      <x:c r="G7" s="9" t="str">
        <x:v>Éviter d’afficher le vrai nom aux interlocuteurs avant révélation.</x:v>
      </x:c>
      <x:c r="H7" s="9" t="str">
        <x:v>Identité interne Tiran, nom affiché selon le contexte; aucune duplication du personnage.</x:v>
      </x:c>
      <x:c r="I7" s="9" t="str">
        <x:v>Carte avec champ nom affiché et portrait constant.</x:v>
      </x:c>
      <x:c r="J7" s="9" t="str">
        <x:v>État repos, sélection, utilisation et remise en place; l’objet conserve son pivot entre ces états.</x:v>
      </x:c>
      <x:c r="K7" s="9" t="str">
        <x:v>Bruit de manipulation original et confirmation visible.</x:v>
      </x:c>
      <x:c r="L7" s="9" t="str">
        <x:v>Objet proposé DIS/01-COVER/prop; composant inspectable distinct du déclencheur narratif.</x:v>
      </x:c>
      <x:c r="M7" s="9" t="str">
        <x:v>Le passage de Tiran de l’infiltration vers l’adhésion reste un raccord narratif. Les choix locaux ne modifient pas la mort des personnages, l’issue de Zeta ou l’existence d’une autre version du voyage.</x:v>
      </x:c>
      <x:c r="N7" s="9" t="str">
        <x:v>L’objet possède un état visible avant et après interaction; il ne peut pas être perdu ni dupliqué par rechargement.</x:v>
      </x:c>
      <x:c r="O7" s="9" t="str">
        <x:v>DIS-SC-01-COVER-MAIN</x:v>
      </x:c>
      <x:c r="P7" s="9" t="str">
        <x:v>Accessoire ou interaction de production proposé; ne vaut pas relevé exhaustif de la planche.</x:v>
      </x:c>
      <x:c r="Q7" s="9" t="str"/>
      <x:c r="R7" s="9" t="str"/>
      <x:c r="S7" s="9" t="str"/>
    </x:row>
    <x:row r="8" ht="68" customHeight="1">
      <x:c r="A8" s="19" t="str">
        <x:v>DIS-SC-01-SEARCH-PROP</x:v>
      </x:c>
      <x:c r="B8" s="7" t="str">
        <x:v>Message incomplet</x:v>
      </x:c>
      <x:c r="C8" s="15" t="str">
        <x:v>Défini</x:v>
      </x:c>
      <x:c r="D8" s="17" t="str">
        <x:v>Extrapolation</x:v>
      </x:c>
      <x:c r="E8" s="17" t="str">
        <x:v>P1</x:v>
      </x:c>
      <x:c r="F8" s="7" t="str">
        <x:v>Objet de production à comparer au support source.</x:v>
      </x:c>
      <x:c r="G8" s="7" t="str">
        <x:v>Montrer une intention personnelle sans transcrire son contenu.</x:v>
      </x:c>
      <x:c r="H8" s="7" t="str">
        <x:v>Le journal résume fonction et destinataire seulement si confirmé.</x:v>
      </x:c>
      <x:c r="I8" s="7" t="str">
        <x:v>Petit datapad avec statut fragment.</x:v>
      </x:c>
      <x:c r="J8" s="7" t="str">
        <x:v>État repos, sélection, utilisation et remise en place; l’objet conserve son pivot entre ces états.</x:v>
      </x:c>
      <x:c r="K8" s="7" t="str">
        <x:v>Bruit de manipulation original et confirmation visible.</x:v>
      </x:c>
      <x:c r="L8" s="7" t="str">
        <x:v>Objet proposé DIS/01-SEARCH/prop; composant inspectable distinct du déclencheur narratif.</x:v>
      </x:c>
      <x:c r="M8" s="7" t="str">
        <x:v>Le passage de Tiran de l’infiltration vers l’adhésion reste un raccord narratif. Les choix locaux ne modifient pas la mort des personnages, l’issue de Zeta ou l’existence d’une autre version du voyage.</x:v>
      </x:c>
      <x:c r="N8" s="7" t="str">
        <x:v>L’objet possède un état visible avant et après interaction; il ne peut pas être perdu ni dupliqué par rechargement.</x:v>
      </x:c>
      <x:c r="O8" s="7" t="str">
        <x:v>DIS-SC-01-SEARCH-MAIN</x:v>
      </x:c>
      <x:c r="P8" s="7" t="str">
        <x:v>Accessoire ou interaction de production proposé; ne vaut pas relevé exhaustif de la planche.</x:v>
      </x:c>
      <x:c r="Q8" s="7" t="str"/>
      <x:c r="R8" s="7" t="str"/>
      <x:c r="S8" s="7" t="str"/>
    </x:row>
    <x:row r="9" ht="68" customHeight="1">
      <x:c r="A9" s="18" t="str">
        <x:v>DIS-SC-02-NOVARRA-PROP</x:v>
      </x:c>
      <x:c r="B9" s="9" t="str">
        <x:v>Datapad à accès limité</x:v>
      </x:c>
      <x:c r="C9" s="15" t="str">
        <x:v>Défini</x:v>
      </x:c>
      <x:c r="D9" s="16" t="str">
        <x:v>Extrapolation</x:v>
      </x:c>
      <x:c r="E9" s="16" t="str">
        <x:v>P1</x:v>
      </x:c>
      <x:c r="F9" s="9" t="str">
        <x:v>Interface d’enquête originale.</x:v>
      </x:c>
      <x:c r="G9" s="9" t="str">
        <x:v>Montrer que les données d’un personnage ne sont pas automatiquement libres d’accès.</x:v>
      </x:c>
      <x:c r="H9" s="9" t="str">
        <x:v>Le refus reste documenté; un autre chemin d’information existe.</x:v>
      </x:c>
      <x:c r="I9" s="9" t="str">
        <x:v>Verrou nommé et source de l’autorisation.</x:v>
      </x:c>
      <x:c r="J9" s="9" t="str">
        <x:v>État repos, sélection, utilisation et remise en place; l’objet conserve son pivot entre ces états.</x:v>
      </x:c>
      <x:c r="K9" s="9" t="str">
        <x:v>Bruit de manipulation original et confirmation visible.</x:v>
      </x:c>
      <x:c r="L9" s="9" t="str">
        <x:v>Objet proposé DIS/02-NOVARRA/prop; composant inspectable distinct du déclencheur narratif.</x:v>
      </x:c>
      <x:c r="M9" s="9" t="str">
        <x:v>Le passage de Tiran de l’infiltration vers l’adhésion reste un raccord narratif. Les choix locaux ne modifient pas la mort des personnages, l’issue de Zeta ou l’existence d’une autre version du voyage.</x:v>
      </x:c>
      <x:c r="N9" s="9" t="str">
        <x:v>L’objet possède un état visible avant et après interaction; il ne peut pas être perdu ni dupliqué par rechargement.</x:v>
      </x:c>
      <x:c r="O9" s="9" t="str">
        <x:v>DIS-SC-02-NOVARRA-MAIN</x:v>
      </x:c>
      <x:c r="P9" s="9" t="str">
        <x:v>Accessoire ou interaction de production proposé; ne vaut pas relevé exhaustif de la planche.</x:v>
      </x:c>
      <x:c r="Q9" s="9" t="str"/>
      <x:c r="R9" s="9" t="str"/>
      <x:c r="S9" s="9" t="str"/>
    </x:row>
    <x:row r="10" ht="68" customHeight="1">
      <x:c r="A10" s="19" t="str">
        <x:v>DIS-SC-02-ESCAPE-PROP</x:v>
      </x:c>
      <x:c r="B10" s="7" t="str">
        <x:v>Point d’appui de secours</x:v>
      </x:c>
      <x:c r="C10" s="15" t="str">
        <x:v>Défini</x:v>
      </x:c>
      <x:c r="D10" s="17" t="str">
        <x:v>Extrapolation</x:v>
      </x:c>
      <x:c r="E10" s="17" t="str">
        <x:v>P1</x:v>
      </x:c>
      <x:c r="F10" s="7" t="str">
        <x:v>Ancrage de production proposé.</x:v>
      </x:c>
      <x:c r="G10" s="7" t="str">
        <x:v>Rendre le sauvetage local lisible.</x:v>
      </x:c>
      <x:c r="H10" s="7" t="str">
        <x:v>Interaction sur un point marqué, sans séquence de bouton rapide obligatoire.</x:v>
      </x:c>
      <x:c r="I10" s="7" t="str">
        <x:v>Barre métallique à contraste clair.</x:v>
      </x:c>
      <x:c r="J10" s="7" t="str">
        <x:v>État repos, sélection, utilisation et remise en place; l’objet conserve son pivot entre ces états.</x:v>
      </x:c>
      <x:c r="K10" s="7" t="str">
        <x:v>Bruit de manipulation original et confirmation visible.</x:v>
      </x:c>
      <x:c r="L10" s="7" t="str">
        <x:v>Objet proposé DIS/02-ESCAPE/prop; composant inspectable distinct du déclencheur narratif.</x:v>
      </x:c>
      <x:c r="M10" s="7" t="str">
        <x:v>Le passage de Tiran de l’infiltration vers l’adhésion reste un raccord narratif. Les choix locaux ne modifient pas la mort des personnages, l’issue de Zeta ou l’existence d’une autre version du voyage.</x:v>
      </x:c>
      <x:c r="N10" s="7" t="str">
        <x:v>L’objet possède un état visible avant et après interaction; il ne peut pas être perdu ni dupliqué par rechargement.</x:v>
      </x:c>
      <x:c r="O10" s="7" t="str">
        <x:v>DIS-SC-02-ESCAPE-MAIN</x:v>
      </x:c>
      <x:c r="P10" s="7" t="str">
        <x:v>Accessoire ou interaction de production proposé; ne vaut pas relevé exhaustif de la planche.</x:v>
      </x:c>
      <x:c r="Q10" s="7" t="str"/>
      <x:c r="R10" s="7" t="str"/>
      <x:c r="S10" s="7" t="str"/>
    </x:row>
    <x:row r="11" ht="68" customHeight="1">
      <x:c r="A11" s="18" t="str">
        <x:v>DIS-SC-03-IDENTITY-PROP</x:v>
      </x:c>
      <x:c r="B11" s="9" t="str">
        <x:v>État d’identité du duo</x:v>
      </x:c>
      <x:c r="C11" s="15" t="str">
        <x:v>Défini</x:v>
      </x:c>
      <x:c r="D11" s="16" t="str">
        <x:v>Extrapolation</x:v>
      </x:c>
      <x:c r="E11" s="16" t="str">
        <x:v>P1</x:v>
      </x:c>
      <x:c r="F11" s="9" t="str">
        <x:v>Objet de journal original.</x:v>
      </x:c>
      <x:c r="G11" s="9" t="str">
        <x:v>Conserver qui sait quoi.</x:v>
      </x:c>
      <x:c r="H11" s="9" t="str">
        <x:v>Alias remplacé dans les dialogues de Shanks seulement après cet ancrage.</x:v>
      </x:c>
      <x:c r="I11" s="9" t="str">
        <x:v>Nom réel et ancien alias reliés par texte.</x:v>
      </x:c>
      <x:c r="J11" s="9" t="str">
        <x:v>État repos, sélection, utilisation et remise en place; l’objet conserve son pivot entre ces états.</x:v>
      </x:c>
      <x:c r="K11" s="9" t="str">
        <x:v>Bruit de manipulation original et confirmation visible.</x:v>
      </x:c>
      <x:c r="L11" s="9" t="str">
        <x:v>Objet proposé DIS/03-IDENTITY/prop; composant inspectable distinct du déclencheur narratif.</x:v>
      </x:c>
      <x:c r="M11" s="9" t="str">
        <x:v>Le passage de Tiran de l’infiltration vers l’adhésion reste un raccord narratif. Les choix locaux ne modifient pas la mort des personnages, l’issue de Zeta ou l’existence d’une autre version du voyage.</x:v>
      </x:c>
      <x:c r="N11" s="9" t="str">
        <x:v>L’objet possède un état visible avant et après interaction; il ne peut pas être perdu ni dupliqué par rechargement.</x:v>
      </x:c>
      <x:c r="O11" s="9" t="str">
        <x:v>DIS-SC-03-IDENTITY-MAIN</x:v>
      </x:c>
      <x:c r="P11" s="9" t="str">
        <x:v>Accessoire ou interaction de production proposé; ne vaut pas relevé exhaustif de la planche.</x:v>
      </x:c>
      <x:c r="Q11" s="9" t="str"/>
      <x:c r="R11" s="9" t="str"/>
      <x:c r="S11" s="9" t="str"/>
    </x:row>
    <x:row r="12" ht="68" customHeight="1">
      <x:c r="A12" s="19" t="str">
        <x:v>DIS-SC-03-PATH-PROP</x:v>
      </x:c>
      <x:c r="B12" s="7" t="str">
        <x:v>Carte de pistes partagées</x:v>
      </x:c>
      <x:c r="C12" s="15" t="str">
        <x:v>Défini</x:v>
      </x:c>
      <x:c r="D12" s="17" t="str">
        <x:v>Extrapolation</x:v>
      </x:c>
      <x:c r="E12" s="17" t="str">
        <x:v>P1</x:v>
      </x:c>
      <x:c r="F12" s="7" t="str">
        <x:v>Interface originale de coopération.</x:v>
      </x:c>
      <x:c r="G12" s="7" t="str">
        <x:v>Montrer l’information réellement partagée avec Shanks.</x:v>
      </x:c>
      <x:c r="H12" s="7" t="str">
        <x:v>Une note privée reste identifiée jusqu’à sa divulgation.</x:v>
      </x:c>
      <x:c r="I12" s="7" t="str">
        <x:v>Colonnes privé/partagé et dates de segment.</x:v>
      </x:c>
      <x:c r="J12" s="7" t="str">
        <x:v>État repos, sélection, utilisation et remise en place; l’objet conserve son pivot entre ces états.</x:v>
      </x:c>
      <x:c r="K12" s="7" t="str">
        <x:v>Bruit de manipulation original et confirmation visible.</x:v>
      </x:c>
      <x:c r="L12" s="7" t="str">
        <x:v>Objet proposé DIS/03-PATH/prop; composant inspectable distinct du déclencheur narratif.</x:v>
      </x:c>
      <x:c r="M12" s="7" t="str">
        <x:v>Le passage de Tiran de l’infiltration vers l’adhésion reste un raccord narratif. Les choix locaux ne modifient pas la mort des personnages, l’issue de Zeta ou l’existence d’une autre version du voyage.</x:v>
      </x:c>
      <x:c r="N12" s="7" t="str">
        <x:v>L’objet possède un état visible avant et après interaction; il ne peut pas être perdu ni dupliqué par rechargement.</x:v>
      </x:c>
      <x:c r="O12" s="7" t="str">
        <x:v>DIS-SC-03-PATH-MAIN</x:v>
      </x:c>
      <x:c r="P12" s="7" t="str">
        <x:v>Accessoire ou interaction de production proposé; ne vaut pas relevé exhaustif de la planche.</x:v>
      </x:c>
      <x:c r="Q12" s="7" t="str"/>
      <x:c r="R12" s="7" t="str"/>
      <x:c r="S12" s="7" t="str"/>
    </x:row>
    <x:row r="13" ht="68" customHeight="1">
      <x:c r="A13" s="18" t="str">
        <x:v>DIS-SC-04-ARRAY-PROP</x:v>
      </x:c>
      <x:c r="B13" s="9" t="str">
        <x:v>Terminal de correction — abstraction</x:v>
      </x:c>
      <x:c r="C13" s="15" t="str">
        <x:v>Défini</x:v>
      </x:c>
      <x:c r="D13" s="16" t="str">
        <x:v>Extrapolation</x:v>
      </x:c>
      <x:c r="E13" s="16" t="str">
        <x:v>P1</x:v>
      </x:c>
      <x:c r="F13" s="9" t="str">
        <x:v>Interface de production non scientifique.</x:v>
      </x:c>
      <x:c r="G13" s="9" t="str">
        <x:v>Donner un travail actif à Shio.</x:v>
      </x:c>
      <x:c r="H13" s="9" t="str">
        <x:v>Trois états proposés : données reçues, incohérence relevée, correction validée; aucun faux chiffre de coordonnées.</x:v>
      </x:c>
      <x:c r="I13" s="9" t="str">
        <x:v>Blocs et liens symboliques.</x:v>
      </x:c>
      <x:c r="J13" s="9" t="str">
        <x:v>État repos, sélection, utilisation et remise en place; l’objet conserve son pivot entre ces états.</x:v>
      </x:c>
      <x:c r="K13" s="9" t="str">
        <x:v>Bruit de manipulation original et confirmation visible.</x:v>
      </x:c>
      <x:c r="L13" s="9" t="str">
        <x:v>Objet proposé DIS/04-ARRAY/prop; composant inspectable distinct du déclencheur narratif.</x:v>
      </x:c>
      <x:c r="M13" s="9" t="str">
        <x:v>Le passage de Tiran de l’infiltration vers l’adhésion reste un raccord narratif. Les choix locaux ne modifient pas la mort des personnages, l’issue de Zeta ou l’existence d’une autre version du voyage.</x:v>
      </x:c>
      <x:c r="N13" s="9" t="str">
        <x:v>L’objet possède un état visible avant et après interaction; il ne peut pas être perdu ni dupliqué par rechargement.</x:v>
      </x:c>
      <x:c r="O13" s="9" t="str">
        <x:v>DIS-SC-04-ARRAY-MAIN</x:v>
      </x:c>
      <x:c r="P13" s="9" t="str">
        <x:v>Accessoire ou interaction de production proposé; ne vaut pas relevé exhaustif de la planche.</x:v>
      </x:c>
      <x:c r="Q13" s="9" t="str"/>
      <x:c r="R13" s="9" t="str"/>
      <x:c r="S13" s="9" t="str"/>
    </x:row>
    <x:row r="14" ht="68" customHeight="1">
      <x:c r="A14" s="19" t="str">
        <x:v>DIS-SC-04-CHOICE-PROP</x:v>
      </x:c>
      <x:c r="B14" s="7" t="str">
        <x:v>Dossier d’engagement</x:v>
      </x:c>
      <x:c r="C14" s="15" t="str">
        <x:v>Défini</x:v>
      </x:c>
      <x:c r="D14" s="17" t="str">
        <x:v>Extrapolation</x:v>
      </x:c>
      <x:c r="E14" s="17" t="str">
        <x:v>P1</x:v>
      </x:c>
      <x:c r="F14" s="7" t="str">
        <x:v>Interface de conclusion proposée.</x:v>
      </x:c>
      <x:c r="G14" s="7" t="str">
        <x:v>Clore l’infiltration et afficher le nouveau rôle.</x:v>
      </x:c>
      <x:c r="H14" s="7" t="str">
        <x:v>L’ancien alias reste archivé; le dossier de mission ne devient pas une liste de recrues de Ryder.</x:v>
      </x:c>
      <x:c r="I14" s="7" t="str">
        <x:v>Nom réel, statut engagé et rappel de provenance.</x:v>
      </x:c>
      <x:c r="J14" s="7" t="str">
        <x:v>État repos, sélection, utilisation et remise en place; l’objet conserve son pivot entre ces états.</x:v>
      </x:c>
      <x:c r="K14" s="7" t="str">
        <x:v>Bruit de manipulation original et confirmation visible.</x:v>
      </x:c>
      <x:c r="L14" s="7" t="str">
        <x:v>Objet proposé DIS/04-CHOICE/prop; composant inspectable distinct du déclencheur narratif.</x:v>
      </x:c>
      <x:c r="M14" s="7" t="str">
        <x:v>Le passage de Tiran de l’infiltration vers l’adhésion reste un raccord narratif. Les choix locaux ne modifient pas la mort des personnages, l’issue de Zeta ou l’existence d’une autre version du voyage.</x:v>
      </x:c>
      <x:c r="N14" s="7" t="str">
        <x:v>L’objet possède un état visible avant et après interaction; il ne peut pas être perdu ni dupliqué par rechargement.</x:v>
      </x:c>
      <x:c r="O14" s="7" t="str">
        <x:v>DIS-SC-04-CHOICE-MAIN</x:v>
      </x:c>
      <x:c r="P14" s="7" t="str">
        <x:v>Accessoire ou interaction de production proposé; ne vaut pas relevé exhaustif de la planche.</x:v>
      </x:c>
      <x:c r="Q14" s="7" t="str"/>
      <x:c r="R14" s="7" t="str"/>
      <x:c r="S14" s="7" t="str"/>
    </x:row>
  </x:sheetData>
  <x:conditionalFormatting sqref="D7:D14">
    <x:cfRule type="cellIs" dxfId="28" priority="1" operator="equal">
      <x:formula>"À vérifier"</x:formula>
    </x:cfRule>
    <x:cfRule type="cellIs" dxfId="29" priority="2" operator="equal">
      <x:formula>"Extrapolation"</x:formula>
    </x:cfRule>
  </x:conditionalFormatting>
  <x:conditionalFormatting sqref="C7:C14">
    <x:cfRule type="cellIs" dxfId="30" priority="3" operator="equal">
      <x:formula>"Validé"</x:formula>
    </x:cfRule>
  </x:conditionalFormatting>
  <x:conditionalFormatting sqref="E7:E14">
    <x:cfRule type="cellIs" dxfId="31"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0cf6844b114a4fb3"/>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9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Discovery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DIS-EN-ZETA</x:v>
      </x:c>
      <x:c r="B7" s="9" t="str">
        <x:v>Agent Zeta — confrontation proposée</x:v>
      </x:c>
      <x:c r="C7" s="15" t="str">
        <x:v>Défini</x:v>
      </x:c>
      <x:c r="D7" s="16" t="str">
        <x:v>À vérifier</x:v>
      </x:c>
      <x:c r="E7" s="16" t="str">
        <x:v>P1</x:v>
      </x:c>
      <x:c r="F7" s="9" t="str">
        <x:v>Zeta menace la recherche dès le deuxième numéro.</x:v>
      </x:c>
      <x:c r="G7" s="9" t="str">
        <x:v>Antagoniste à surcharge; même acteur que la fiche de personnage, pas copie indépendante.</x:v>
      </x:c>
      <x:c r="H7" s="9" t="str">
        <x:v>Profil proposé : Préparation puissante puis récupération visible; coopérations finales uniquement au raccord prévu.</x:v>
      </x:c>
      <x:c r="I7" s="9" t="str">
        <x:v>Silhouette proposée : Salarian tendu et lumière d’augmentation localisée, détails à contrôler.</x:v>
      </x:c>
      <x:c r="J7" s="9" t="str">
        <x:v>Charge du haut du corps, projection et instabilité.</x:v>
      </x:c>
      <x:c r="K7" s="9" t="str">
        <x:v>Basse biotique originale et alerte de surcharge.</x:v>
      </x:c>
      <x:c r="L7" s="9" t="str">
        <x:v>Livrable proposé : spécification DIS/enemies/en-zeta; brancher au registre de contenu de l'œuvre seulement après production.</x:v>
      </x:c>
      <x:c r="M7" s="9" t="str">
        <x:v>Le passage de Tiran de l’infiltration vers l’adhésion reste un raccord narratif. Les choix locaux ne modifient pas la mort des personnages, l’issue de Zeta ou l’existence d’une autre version du voyage.</x:v>
      </x:c>
      <x:c r="N7" s="9" t="str">
        <x:v>Agent Zeta — confrontation proposée a une silhouette distincte, un comportement télégraphié et une contre-mesure documentée; aucune valeur n'est annoncée comme statistique officielle.</x:v>
      </x:c>
      <x:c r="O7" s="9" t="str"/>
      <x:c r="P7" s="9" t="str">
        <x:v>Mass Effect: Discovery, série concernée</x:v>
      </x:c>
      <x:c r="Q7" s="9" t="str">
        <x:v>DIS-S-ISSUE2</x:v>
      </x:c>
      <x:c r="R7" s="9" t="str">
        <x:v>https://masseffect.fandom.com/wiki/Mass_Effect%3A_Discovery_2</x:v>
      </x:c>
      <x:c r="S7" s="9" t="str">
        <x:v>L’adversaire ou groupe est attesté selon la source; le combat ATB et ses réglages sont entièrement proposés.</x:v>
      </x:c>
    </x:row>
    <x:row r="8" ht="68" customHeight="1">
      <x:c r="A8" s="19" t="str">
        <x:v>DIS-EN-GETH</x:v>
      </x:c>
      <x:c r="B8" s="7" t="str">
        <x:v>Plateformes geth du réseau</x:v>
      </x:c>
      <x:c r="C8" s="15" t="str">
        <x:v>Défini</x:v>
      </x:c>
      <x:c r="D8" s="17" t="str">
        <x:v>À vérifier</x:v>
      </x:c>
      <x:c r="E8" s="17" t="str">
        <x:v>P1</x:v>
      </x:c>
      <x:c r="F8" s="7" t="str">
        <x:v>Le numéro 4 décrit des plateformes geth au réseau Kholas.</x:v>
      </x:c>
      <x:c r="G8" s="7" t="str">
        <x:v>Défense locale d’installation; aucune nouvelle classe canon inventée.</x:v>
      </x:c>
      <x:c r="H8" s="7" t="str">
        <x:v>Profil proposé : Patrouille d’accès et pression sur terminal; renforts seulement depuis entrées visibles.</x:v>
      </x:c>
      <x:c r="I8" s="7" t="str">
        <x:v>Silhouette proposée : Silhouettes mécaniques et capteurs à contrôler sur planches.</x:v>
      </x:c>
      <x:c r="J8" s="7" t="str">
        <x:v>Rotation de capteur et déplacement mécanique.</x:v>
      </x:c>
      <x:c r="K8" s="7" t="str">
        <x:v>Timbres synthétiques originaux.</x:v>
      </x:c>
      <x:c r="L8" s="7" t="str">
        <x:v>Livrable proposé : spécification DIS/enemies/en-geth; brancher au registre de contenu de l'œuvre seulement après production.</x:v>
      </x:c>
      <x:c r="M8" s="7" t="str">
        <x:v>Le passage de Tiran de l’infiltration vers l’adhésion reste un raccord narratif. Les choix locaux ne modifient pas la mort des personnages, l’issue de Zeta ou l’existence d’une autre version du voyage.</x:v>
      </x:c>
      <x:c r="N8" s="7" t="str">
        <x:v>Plateformes geth du réseau a une silhouette distincte, un comportement télégraphié et une contre-mesure documentée; aucune valeur n'est annoncée comme statistique officielle.</x:v>
      </x:c>
      <x:c r="O8" s="7" t="str"/>
      <x:c r="P8" s="7" t="str">
        <x:v>Mass Effect: Discovery, série concernée</x:v>
      </x:c>
      <x:c r="Q8" s="7" t="str">
        <x:v>DIS-S-ISSUE4</x:v>
      </x:c>
      <x:c r="R8" s="7" t="str">
        <x:v>https://masseffect.fandom.com/wiki/Mass_Effect%3A_Discovery_4</x:v>
      </x:c>
      <x:c r="S8" s="7" t="str">
        <x:v>L’adversaire ou groupe est attesté selon la source; le combat ATB et ses réglages sont entièrement proposés.</x:v>
      </x:c>
    </x:row>
    <x:row r="9" ht="68" customHeight="1">
      <x:c r="A9" s="18" t="str">
        <x:v>DIS-EN-LOKI</x:v>
      </x:c>
      <x:c r="B9" s="9" t="str">
        <x:v>Mechs LOKI du contexte Zeta</x:v>
      </x:c>
      <x:c r="C9" s="15" t="str">
        <x:v>Défini</x:v>
      </x:c>
      <x:c r="D9" s="16" t="str">
        <x:v>À vérifier</x:v>
      </x:c>
      <x:c r="E9" s="16" t="str">
        <x:v>P1</x:v>
      </x:c>
      <x:c r="F9" s="9" t="str">
        <x:v>Le récit d’ouverture décrit des LOKI autour de Zeta.</x:v>
      </x:c>
      <x:c r="G9" s="9" t="str">
        <x:v>Menace secondaire limitée, à comparer avant placement précis.</x:v>
      </x:c>
      <x:c r="H9" s="9" t="str">
        <x:v>Profil proposé : Couverture locale; la présence dans un contexte ne justifie pas des mechs à chaque scène.</x:v>
      </x:c>
      <x:c r="I9" s="9" t="str">
        <x:v>Silhouette proposée : Robot humanoïde léger et tête-capteur distincte d’un personnage organique.</x:v>
      </x:c>
      <x:c r="J9" s="9" t="str">
        <x:v>Pas réguliers, pivot et tir annoncé.</x:v>
      </x:c>
      <x:c r="K9" s="9" t="str">
        <x:v>Servomoteurs légers.</x:v>
      </x:c>
      <x:c r="L9" s="9" t="str">
        <x:v>Livrable proposé : spécification DIS/enemies/en-loki; brancher au registre de contenu de l'œuvre seulement après production.</x:v>
      </x:c>
      <x:c r="M9" s="9" t="str">
        <x:v>Le passage de Tiran de l’infiltration vers l’adhésion reste un raccord narratif. Les choix locaux ne modifient pas la mort des personnages, l’issue de Zeta ou l’existence d’une autre version du voyage.</x:v>
      </x:c>
      <x:c r="N9" s="9" t="str">
        <x:v>Mechs LOKI du contexte Zeta a une silhouette distincte, un comportement télégraphié et une contre-mesure documentée; aucune valeur n'est annoncée comme statistique officielle.</x:v>
      </x:c>
      <x:c r="O9" s="9" t="str"/>
      <x:c r="P9" s="9" t="str">
        <x:v>Mass Effect: Discovery, série concernée</x:v>
      </x:c>
      <x:c r="Q9" s="9" t="str">
        <x:v>DIS-S-OPENING</x:v>
      </x:c>
      <x:c r="R9" s="9" t="str">
        <x:v>https://masseffect.fandom.com/wiki/Storyline_IV</x:v>
      </x:c>
      <x:c r="S9" s="9" t="str">
        <x:v>L’adversaire ou groupe est attesté selon la source; le combat ATB et ses réglages sont entièrement proposés.</x:v>
      </x:c>
    </x:row>
    <x:row r="10" ht="68" customHeight="1">
      <x:c r="A10" s="19" t="str">
        <x:v>DIS-EN-EXTORT</x:v>
      </x:c>
      <x:c r="B10" s="7" t="str">
        <x:v>Extorqueurs du quai — scène d’Omega</x:v>
      </x:c>
      <x:c r="C10" s="15" t="str">
        <x:v>Défini</x:v>
      </x:c>
      <x:c r="D10" s="17" t="str">
        <x:v>À vérifier</x:v>
      </x:c>
      <x:c r="E10" s="17" t="str">
        <x:v>P1</x:v>
      </x:c>
      <x:c r="F10" s="7" t="str">
        <x:v>Le wiki rapporte une tentative d’extorsion au quai d’Omega.</x:v>
      </x:c>
      <x:c r="G10" s="7" t="str">
        <x:v>Obstacle social ponctuel, évitable; pas une faction entière.</x:v>
      </x:c>
      <x:c r="H10" s="7" t="str">
        <x:v>Profil proposé : Dialogue ou retrait d’abord; aucun combat obligatoire avant la rencontre de Nyreen.</x:v>
      </x:c>
      <x:c r="I10" s="7" t="str">
        <x:v>Silhouette proposée : Individus armés de gabarits lisibles, costumes à vérifier.</x:v>
      </x:c>
      <x:c r="J10" s="7" t="str">
        <x:v>Blocage de chemin et réaction à une intervention.</x:v>
      </x:c>
      <x:c r="K10" s="7" t="str">
        <x:v>Voix originales et bruit de quai.</x:v>
      </x:c>
      <x:c r="L10" s="7" t="str">
        <x:v>Livrable proposé : spécification DIS/enemies/en-extort; brancher au registre de contenu de l'œuvre seulement après production.</x:v>
      </x:c>
      <x:c r="M10" s="7" t="str">
        <x:v>Le passage de Tiran de l’infiltration vers l’adhésion reste un raccord narratif. Les choix locaux ne modifient pas la mort des personnages, l’issue de Zeta ou l’existence d’une autre version du voyage.</x:v>
      </x:c>
      <x:c r="N10" s="7" t="str">
        <x:v>Extorqueurs du quai — scène d’Omega a une silhouette distincte, un comportement télégraphié et une contre-mesure documentée; aucune valeur n'est annoncée comme statistique officielle.</x:v>
      </x:c>
      <x:c r="O10" s="7" t="str"/>
      <x:c r="P10" s="7" t="str">
        <x:v>Mass Effect: Discovery, série concernée</x:v>
      </x:c>
      <x:c r="Q10" s="7" t="str">
        <x:v>DIS-S-ISSUE3</x:v>
      </x:c>
      <x:c r="R10" s="7" t="str">
        <x:v>https://masseffect.fandom.com/wiki/Mass_Effect%3A_Discovery_3</x:v>
      </x:c>
      <x:c r="S10" s="7" t="str">
        <x:v>L’adversaire ou groupe est attesté selon la source; le combat ATB et ses réglages sont entièrement proposés.</x:v>
      </x:c>
    </x:row>
  </x:sheetData>
  <x:conditionalFormatting sqref="D7:D10">
    <x:cfRule type="cellIs" dxfId="32" priority="1" operator="equal">
      <x:formula>"À vérifier"</x:formula>
    </x:cfRule>
    <x:cfRule type="cellIs" dxfId="33" priority="2" operator="equal">
      <x:formula>"Extrapolation"</x:formula>
    </x:cfRule>
  </x:conditionalFormatting>
  <x:conditionalFormatting sqref="C7:C10">
    <x:cfRule type="cellIs" dxfId="34" priority="3" operator="equal">
      <x:formula>"Validé"</x:formula>
    </x:cfRule>
  </x:conditionalFormatting>
  <x:conditionalFormatting sqref="E7:E10">
    <x:cfRule type="cellIs" dxfId="3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66e094f7fde949d0"/>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Discovery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DIS-SC-01-COVER-MAIN</x:v>
      </x:c>
      <x:c r="B7" s="9" t="str">
        <x:v>#1 — entrer sous couverture — objectif jouable</x:v>
      </x:c>
      <x:c r="C7" s="15" t="str">
        <x:v>Défini</x:v>
      </x:c>
      <x:c r="D7" s="16" t="str">
        <x:v>Extrapolation</x:v>
      </x:c>
      <x:c r="E7" s="16" t="str">
        <x:v>P0</x:v>
      </x:c>
      <x:c r="F7" s="9" t="str">
        <x:v>Préparer un entretien cohérent avec l’alias du récit.</x:v>
      </x:c>
      <x:c r="G7" s="9" t="str">
        <x:v>Briefing → préparation de couverture → entrée → entretien.</x:v>
      </x:c>
      <x:c r="H7" s="9" t="str">
        <x:v>Trois éléments de contexte proposés soutiennent l’identité; la réussite ne dépend pas d’un quiz de mémoire sur un long texte.</x:v>
      </x:c>
      <x:c r="I7" s="9" t="str">
        <x:v>Bureau clair et grand espace d’attente, nom de couverture dans l’interface.</x:v>
      </x:c>
      <x:c r="J7" s="9" t="str">
        <x:v>Entrée prudente, geste d'inspection et retour au contrôle pour « #1 — entrer sous couverture »; poser les sprites avant tout changement de caméra.</x:v>
      </x:c>
      <x:c r="K7" s="9" t="str">
        <x:v>Notification de dossier et ambiance de recrutement.</x:v>
      </x:c>
      <x:c r="L7" s="9" t="str">
        <x:v>Graphe proposé DIS/quests/01-COVER: entrée → objectif actif → résolution → raccord; conditions terminales séparées des points facultatifs.</x:v>
      </x:c>
      <x:c r="M7" s="9" t="str">
        <x:v>Le passage de Tiran de l’infiltration vers l’adhésion reste un raccord narratif. Les choix locaux ne modifient pas la mort des personnages, l’issue de Zeta ou l’existence d’une autre version du voyage.</x:v>
      </x:c>
      <x:c r="N7" s="9" t="str">
        <x:v>L'objectif « #1 — entrer sous couverture » atteint son raccord annoncé après chaque méthode; sauvegarde, rechargement et saut de scène n'en changent ni le groupe ni les informations acquises.</x:v>
      </x:c>
      <x:c r="O7" s="9" t="str">
        <x:v>DIS-SC-01-COVER-REF</x:v>
      </x:c>
      <x:c r="P7" s="9" t="str">
        <x:v>Conception originale rattachée à Discovery #1</x:v>
      </x:c>
      <x:c r="Q7" s="9" t="str"/>
      <x:c r="R7" s="9" t="str"/>
      <x:c r="S7" s="9" t="str"/>
    </x:row>
    <x:row r="8" ht="68" customHeight="1">
      <x:c r="A8" s="19" t="str">
        <x:v>DIS-SC-01-SEARCH-MAIN</x:v>
      </x:c>
      <x:c r="B8" s="7" t="str">
        <x:v>#1 — chercher le scientifique — objectif jouable</x:v>
      </x:c>
      <x:c r="C8" s="15" t="str">
        <x:v>Défini</x:v>
      </x:c>
      <x:c r="D8" s="17" t="str">
        <x:v>Extrapolation</x:v>
      </x:c>
      <x:c r="E8" s="17" t="str">
        <x:v>P0</x:v>
      </x:c>
      <x:c r="F8" s="7" t="str">
        <x:v>Recueillir une piste exploitable sans traiter les témoins comme des ennemis.</x:v>
      </x:c>
      <x:c r="G8" s="7" t="str">
        <x:v>Arrivée Citadelle → questions → vérification du lieu → nouvelle piste.</x:v>
      </x:c>
      <x:c r="H8" s="7" t="str">
        <x:v>Les indices nécessaires ont plusieurs chemins d’accès; intimidation éventuelle reste un choix d’adaptation local, jamais une vérité sur les habitants.</x:v>
      </x:c>
      <x:c r="I8" s="7" t="str">
        <x:v>Habitations serrées avec passage principal toujours visible.</x:v>
      </x:c>
      <x:c r="J8" s="7" t="str">
        <x:v>Entrée prudente, geste d'inspection et retour au contrôle pour « #1 — chercher le scientifique »; poser les sprites avant tout changement de caméra.</x:v>
      </x:c>
      <x:c r="K8" s="7" t="str">
        <x:v>Vie quotidienne, écran d’information et interruption inquiétante.</x:v>
      </x:c>
      <x:c r="L8" s="7" t="str">
        <x:v>Graphe proposé DIS/quests/01-SEARCH: entrée → objectif actif → résolution → raccord; conditions terminales séparées des points facultatifs.</x:v>
      </x:c>
      <x:c r="M8" s="7" t="str">
        <x:v>Le passage de Tiran de l’infiltration vers l’adhésion reste un raccord narratif. Les choix locaux ne modifient pas la mort des personnages, l’issue de Zeta ou l’existence d’une autre version du voyage.</x:v>
      </x:c>
      <x:c r="N8" s="7" t="str">
        <x:v>L'objectif « #1 — chercher le scientifique » atteint son raccord annoncé après chaque méthode; sauvegarde, rechargement et saut de scène n'en changent ni le groupe ni les informations acquises.</x:v>
      </x:c>
      <x:c r="O8" s="7" t="str">
        <x:v>DIS-SC-01-SEARCH-REF</x:v>
      </x:c>
      <x:c r="P8" s="7" t="str">
        <x:v>Conception originale rattachée à Discovery #1</x:v>
      </x:c>
      <x:c r="Q8" s="7" t="str"/>
      <x:c r="R8" s="7" t="str"/>
      <x:c r="S8" s="7" t="str"/>
    </x:row>
    <x:row r="9" ht="68" customHeight="1">
      <x:c r="A9" s="18" t="str">
        <x:v>DIS-SC-02-NOVARRA-MAIN</x:v>
      </x:c>
      <x:c r="B9" s="9" t="str">
        <x:v>#2 — interroger le Novarra — objectif jouable</x:v>
      </x:c>
      <x:c r="C9" s="15" t="str">
        <x:v>Défini</x:v>
      </x:c>
      <x:c r="D9" s="16" t="str">
        <x:v>Extrapolation</x:v>
      </x:c>
      <x:c r="E9" s="16" t="str">
        <x:v>P0</x:v>
      </x:c>
      <x:c r="F9" s="9" t="str">
        <x:v>Comprendre ce que les témoins savent de Shio.</x:v>
      </x:c>
      <x:c r="G9" s="9" t="str">
        <x:v>Arrivée → entretien → désaccord de méthode → interruption.</x:v>
      </x:c>
      <x:c r="H9" s="9" t="str">
        <x:v>Le journal distingue le jugement d’un témoin de faits indépendamment établis; aucune réputation d’espèce générale.</x:v>
      </x:c>
      <x:c r="I9" s="9" t="str">
        <x:v>Structures de terrain simples et combinaisons quariennes lisibles.</x:v>
      </x:c>
      <x:c r="J9" s="9" t="str">
        <x:v>Entrée prudente, geste d'inspection et retour au contrôle pour « #2 — interroger le Novarra »; poser les sprites avant tout changement de caméra.</x:v>
      </x:c>
      <x:c r="K9" s="9" t="str">
        <x:v>Machinerie tenue sous le niveau des voix.</x:v>
      </x:c>
      <x:c r="L9" s="9" t="str">
        <x:v>Graphe proposé DIS/quests/02-NOVARRA: entrée → objectif actif → résolution → raccord; conditions terminales séparées des points facultatifs.</x:v>
      </x:c>
      <x:c r="M9" s="9" t="str">
        <x:v>Le passage de Tiran de l’infiltration vers l’adhésion reste un raccord narratif. Les choix locaux ne modifient pas la mort des personnages, l’issue de Zeta ou l’existence d’une autre version du voyage.</x:v>
      </x:c>
      <x:c r="N9" s="9" t="str">
        <x:v>L'objectif « #2 — interroger le Novarra » atteint son raccord annoncé après chaque méthode; sauvegarde, rechargement et saut de scène n'en changent ni le groupe ni les informations acquises.</x:v>
      </x:c>
      <x:c r="O9" s="9" t="str">
        <x:v>DIS-SC-02-NOVARRA-REF</x:v>
      </x:c>
      <x:c r="P9" s="9" t="str">
        <x:v>Conception originale rattachée à Discovery #2</x:v>
      </x:c>
      <x:c r="Q9" s="9" t="str"/>
      <x:c r="R9" s="9" t="str"/>
      <x:c r="S9" s="9" t="str"/>
    </x:row>
    <x:row r="10" ht="68" customHeight="1">
      <x:c r="A10" s="19" t="str">
        <x:v>DIS-SC-02-ESCAPE-MAIN</x:v>
      </x:c>
      <x:c r="B10" s="7" t="str">
        <x:v>#2 — sortie sous pression biotique — objectif jouable</x:v>
      </x:c>
      <x:c r="C10" s="15" t="str">
        <x:v>Défini</x:v>
      </x:c>
      <x:c r="D10" s="17" t="str">
        <x:v>Extrapolation</x:v>
      </x:c>
      <x:c r="E10" s="17" t="str">
        <x:v>P0</x:v>
      </x:c>
      <x:c r="F10" s="7" t="str">
        <x:v>Rejoindre une issue en protégeant les actions du duo.</x:v>
      </x:c>
      <x:c r="G10" s="7" t="str">
        <x:v>Menace → séparation temporaire → secours → sortie narrative.</x:v>
      </x:c>
      <x:c r="H10" s="7" t="str">
        <x:v>Les jauges sont qualitatives; un objectif local de protection ne promet pas de sauver un personnage dont l’issue source est fixée.</x:v>
      </x:c>
      <x:c r="I10" s="7" t="str">
        <x:v>Excavatrice comme couvert, poussière limitée et sortie lumineuse.</x:v>
      </x:c>
      <x:c r="J10" s="7" t="str">
        <x:v>Entrée prudente, geste d'inspection et retour au contrôle pour « #2 — sortie sous pression biotique »; poser les sprites avant tout changement de caméra.</x:v>
      </x:c>
      <x:c r="K10" s="7" t="str">
        <x:v>Arrêt brutal des machines et charge biotique originale.</x:v>
      </x:c>
      <x:c r="L10" s="7" t="str">
        <x:v>Graphe proposé DIS/quests/02-ESCAPE: entrée → objectif actif → résolution → raccord; conditions terminales séparées des points facultatifs.</x:v>
      </x:c>
      <x:c r="M10" s="7" t="str">
        <x:v>Le passage de Tiran de l’infiltration vers l’adhésion reste un raccord narratif. Les choix locaux ne modifient pas la mort des personnages, l’issue de Zeta ou l’existence d’une autre version du voyage.</x:v>
      </x:c>
      <x:c r="N10" s="7" t="str">
        <x:v>L'objectif « #2 — sortie sous pression biotique » atteint son raccord annoncé après chaque méthode; sauvegarde, rechargement et saut de scène n'en changent ni le groupe ni les informations acquises.</x:v>
      </x:c>
      <x:c r="O10" s="7" t="str">
        <x:v>DIS-SC-02-ESCAPE-REF</x:v>
      </x:c>
      <x:c r="P10" s="7" t="str">
        <x:v>Conception originale rattachée à Discovery #2</x:v>
      </x:c>
      <x:c r="Q10" s="7" t="str"/>
      <x:c r="R10" s="7" t="str"/>
      <x:c r="S10" s="7" t="str"/>
    </x:row>
    <x:row r="11" ht="68" customHeight="1">
      <x:c r="A11" s="18" t="str">
        <x:v>DIS-SC-03-IDENTITY-MAIN</x:v>
      </x:c>
      <x:c r="B11" s="9" t="str">
        <x:v>#3 — identité reconnue — objectif jouable</x:v>
      </x:c>
      <x:c r="C11" s="15" t="str">
        <x:v>Défini</x:v>
      </x:c>
      <x:c r="D11" s="16" t="str">
        <x:v>Extrapolation</x:v>
      </x:c>
      <x:c r="E11" s="16" t="str">
        <x:v>P0</x:v>
      </x:c>
      <x:c r="F11" s="9" t="str">
        <x:v>Traverser une crise de confiance avec des informations désormais publiques au duo.</x:v>
      </x:c>
      <x:c r="G11" s="9" t="str">
        <x:v>Rencontre → révélation → explication → médiation locale.</x:v>
      </x:c>
      <x:c r="H11" s="9" t="str">
        <x:v>Changer l’état de connaissance de Shanks avant tout dialogue suivant; pas de retour à une couverture intacte par rechargement.</x:v>
      </x:c>
      <x:c r="I11" s="9" t="str">
        <x:v>Passage d’Omega et capuche de Tiran retirée ou déplacée selon référence.</x:v>
      </x:c>
      <x:c r="J11" s="9" t="str">
        <x:v>Entrée prudente, geste d'inspection et retour au contrôle pour « #3 — identité reconnue »; poser les sprites avant tout changement de caméra.</x:v>
      </x:c>
      <x:c r="K11" s="9" t="str">
        <x:v>Ambiance qui se baisse à la reconnaissance, sans effet de choc criard.</x:v>
      </x:c>
      <x:c r="L11" s="9" t="str">
        <x:v>Graphe proposé DIS/quests/03-IDENTITY: entrée → objectif actif → résolution → raccord; conditions terminales séparées des points facultatifs.</x:v>
      </x:c>
      <x:c r="M11" s="9" t="str">
        <x:v>Le passage de Tiran de l’infiltration vers l’adhésion reste un raccord narratif. Les choix locaux ne modifient pas la mort des personnages, l’issue de Zeta ou l’existence d’une autre version du voyage.</x:v>
      </x:c>
      <x:c r="N11" s="9" t="str">
        <x:v>L'objectif « #3 — identité reconnue » atteint son raccord annoncé après chaque méthode; sauvegarde, rechargement et saut de scène n'en changent ni le groupe ni les informations acquises.</x:v>
      </x:c>
      <x:c r="O11" s="9" t="str">
        <x:v>DIS-SC-03-IDENTITY-REF</x:v>
      </x:c>
      <x:c r="P11" s="9" t="str">
        <x:v>Conception originale rattachée à Discovery #3</x:v>
      </x:c>
      <x:c r="Q11" s="9" t="str"/>
      <x:c r="R11" s="9" t="str"/>
      <x:c r="S11" s="9" t="str"/>
    </x:row>
    <x:row r="12" ht="68" customHeight="1">
      <x:c r="A12" s="19" t="str">
        <x:v>DIS-SC-03-PATH-MAIN</x:v>
      </x:c>
      <x:c r="B12" s="7" t="str">
        <x:v>#3 — poursuivre malgré la rupture — objectif jouable</x:v>
      </x:c>
      <x:c r="C12" s="15" t="str">
        <x:v>Défini</x:v>
      </x:c>
      <x:c r="D12" s="17" t="str">
        <x:v>Extrapolation</x:v>
      </x:c>
      <x:c r="E12" s="17" t="str">
        <x:v>P0</x:v>
      </x:c>
      <x:c r="F12" s="7" t="str">
        <x:v>Continuer la recherche avec un duo dont les positions ont changé.</x:v>
      </x:c>
      <x:c r="G12" s="7" t="str">
        <x:v>Entretien local → clarification → route d’enquête → départ vers le final.</x:v>
      </x:c>
      <x:c r="H12" s="7" t="str">
        <x:v>La coopération dépend des actions du segment; aucune jauge de romance ou fidélité permanente inventée.</x:v>
      </x:c>
      <x:c r="I12" s="7" t="str">
        <x:v>Arrière-plan violet réduit, couloir industriel de retour.</x:v>
      </x:c>
      <x:c r="J12" s="7" t="str">
        <x:v>Entrée prudente, geste d'inspection et retour au contrôle pour « #3 — poursuivre malgré la rupture »; poser les sprites avant tout changement de caméra.</x:v>
      </x:c>
      <x:c r="K12" s="7" t="str">
        <x:v>Musique de club filtrée puis conversation plus claire.</x:v>
      </x:c>
      <x:c r="L12" s="7" t="str">
        <x:v>Graphe proposé DIS/quests/03-PATH: entrée → objectif actif → résolution → raccord; conditions terminales séparées des points facultatifs.</x:v>
      </x:c>
      <x:c r="M12" s="7" t="str">
        <x:v>Le passage de Tiran de l’infiltration vers l’adhésion reste un raccord narratif. Les choix locaux ne modifient pas la mort des personnages, l’issue de Zeta ou l’existence d’une autre version du voyage.</x:v>
      </x:c>
      <x:c r="N12" s="7" t="str">
        <x:v>L'objectif « #3 — poursuivre malgré la rupture » atteint son raccord annoncé après chaque méthode; sauvegarde, rechargement et saut de scène n'en changent ni le groupe ni les informations acquises.</x:v>
      </x:c>
      <x:c r="O12" s="7" t="str">
        <x:v>DIS-SC-03-PATH-REF</x:v>
      </x:c>
      <x:c r="P12" s="7" t="str">
        <x:v>Conception originale rattachée à Discovery #3</x:v>
      </x:c>
      <x:c r="Q12" s="7" t="str"/>
      <x:c r="R12" s="7" t="str"/>
      <x:c r="S12" s="7" t="str"/>
    </x:row>
    <x:row r="13" ht="68" customHeight="1">
      <x:c r="A13" s="18" t="str">
        <x:v>DIS-SC-04-ARRAY-MAIN</x:v>
      </x:c>
      <x:c r="B13" s="9" t="str">
        <x:v>#4 — données du réseau Kholas — objectif jouable</x:v>
      </x:c>
      <x:c r="C13" s="15" t="str">
        <x:v>Défini</x:v>
      </x:c>
      <x:c r="D13" s="16" t="str">
        <x:v>Extrapolation</x:v>
      </x:c>
      <x:c r="E13" s="16" t="str">
        <x:v>P0</x:v>
      </x:c>
      <x:c r="F13" s="9" t="str">
        <x:v>Protéger l’accès au terminal pendant une correction abstraite.</x:v>
      </x:c>
      <x:c r="G13" s="9" t="str">
        <x:v>Arrivée → compréhension de l’erreur → protection → validation → extraction.</x:v>
      </x:c>
      <x:c r="H13" s="9" t="str">
        <x:v>Le mini-objectif compare des ensembles qualitatifs; aucune équation réelle, distance précise ou preuve scientifique fabriquée.</x:v>
      </x:c>
      <x:c r="I13" s="9" t="str">
        <x:v>Surface geth sombre, points d’appui clairs et vaste fond spatial.</x:v>
      </x:c>
      <x:c r="J13" s="9" t="str">
        <x:v>Entrée prudente, geste d'inspection et retour au contrôle pour « #4 — données du réseau Kholas »; poser les sprites avant tout changement de caméra.</x:v>
      </x:c>
      <x:c r="K13" s="9" t="str">
        <x:v>Signaux électroniques progressifs et radio filtrée.</x:v>
      </x:c>
      <x:c r="L13" s="9" t="str">
        <x:v>Graphe proposé DIS/quests/04-ARRAY: entrée → objectif actif → résolution → raccord; conditions terminales séparées des points facultatifs.</x:v>
      </x:c>
      <x:c r="M13" s="9" t="str">
        <x:v>Le passage de Tiran de l’infiltration vers l’adhésion reste un raccord narratif. Les choix locaux ne modifient pas la mort des personnages, l’issue de Zeta ou l’existence d’une autre version du voyage.</x:v>
      </x:c>
      <x:c r="N13" s="9" t="str">
        <x:v>L'objectif « #4 — données du réseau Kholas » atteint son raccord annoncé après chaque méthode; sauvegarde, rechargement et saut de scène n'en changent ni le groupe ni les informations acquises.</x:v>
      </x:c>
      <x:c r="O13" s="9" t="str">
        <x:v>DIS-SC-04-ARRAY-REF</x:v>
      </x:c>
      <x:c r="P13" s="9" t="str">
        <x:v>Conception originale rattachée à Discovery #4</x:v>
      </x:c>
      <x:c r="Q13" s="9" t="str"/>
      <x:c r="R13" s="9" t="str"/>
      <x:c r="S13" s="9" t="str"/>
    </x:row>
    <x:row r="14" ht="68" customHeight="1">
      <x:c r="A14" s="19" t="str">
        <x:v>DIS-SC-04-CHOICE-MAIN</x:v>
      </x:c>
      <x:c r="B14" s="7" t="str">
        <x:v>#4 — choisir l’Initiative — objectif jouable</x:v>
      </x:c>
      <x:c r="C14" s="15" t="str">
        <x:v>Défini</x:v>
      </x:c>
      <x:c r="D14" s="17" t="str">
        <x:v>Extrapolation</x:v>
      </x:c>
      <x:c r="E14" s="17" t="str">
        <x:v>P0</x:v>
      </x:c>
      <x:c r="F14" s="7" t="str">
        <x:v>Présenter la décision finale et ses conséquences sans choix canon alternatif.</x:v>
      </x:c>
      <x:c r="G14" s="7" t="str">
        <x:v>Retour → bilan militaire → conversation familiale → engagement.</x:v>
      </x:c>
      <x:c r="H14" s="7" t="str">
        <x:v>Les options portent sur les raisons formulées, pas sur l’existence d’une branche où Tiran annulerait Andromeda.</x:v>
      </x:c>
      <x:c r="I14" s="7" t="str">
        <x:v>Tenues de retour, badge Initiative proposé et fond terrestre calme.</x:v>
      </x:c>
      <x:c r="J14" s="7" t="str">
        <x:v>Entrée prudente, geste d'inspection et retour au contrôle pour « #4 — choisir l’Initiative »; poser les sprites avant tout changement de caméra.</x:v>
      </x:c>
      <x:c r="K14" s="7" t="str">
        <x:v>Motif original qui reprend celui du doute sous une forme plus ouverte.</x:v>
      </x:c>
      <x:c r="L14" s="7" t="str">
        <x:v>Graphe proposé DIS/quests/04-CHOICE: entrée → objectif actif → résolution → raccord; conditions terminales séparées des points facultatifs.</x:v>
      </x:c>
      <x:c r="M14" s="7" t="str">
        <x:v>Le passage de Tiran de l’infiltration vers l’adhésion reste un raccord narratif. Les choix locaux ne modifient pas la mort des personnages, l’issue de Zeta ou l’existence d’une autre version du voyage.</x:v>
      </x:c>
      <x:c r="N14" s="7" t="str">
        <x:v>L'objectif « #4 — choisir l’Initiative » atteint son raccord annoncé après chaque méthode; sauvegarde, rechargement et saut de scène n'en changent ni le groupe ni les informations acquises.</x:v>
      </x:c>
      <x:c r="O14" s="7" t="str">
        <x:v>DIS-SC-04-CHOICE-REF</x:v>
      </x:c>
      <x:c r="P14" s="7" t="str">
        <x:v>Conception originale rattachée à Discovery #4</x:v>
      </x:c>
      <x:c r="Q14" s="7" t="str"/>
      <x:c r="R14" s="7" t="str"/>
      <x:c r="S14" s="7" t="str"/>
    </x:row>
  </x:sheetData>
  <x:conditionalFormatting sqref="D7:D14">
    <x:cfRule type="cellIs" dxfId="36" priority="1" operator="equal">
      <x:formula>"À vérifier"</x:formula>
    </x:cfRule>
    <x:cfRule type="cellIs" dxfId="37" priority="2" operator="equal">
      <x:formula>"Extrapolation"</x:formula>
    </x:cfRule>
  </x:conditionalFormatting>
  <x:conditionalFormatting sqref="C7:C14">
    <x:cfRule type="cellIs" dxfId="38" priority="3" operator="equal">
      <x:formula>"Validé"</x:formula>
    </x:cfRule>
  </x:conditionalFormatting>
  <x:conditionalFormatting sqref="E7:E14">
    <x:cfRule type="cellIs" dxfId="39"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eb751253747a49d5"/>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Discovery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DIS-SC-01-COVER-SIDE</x:v>
      </x:c>
      <x:c r="B7" s="9" t="str">
        <x:v>Examiner la présentation de l’Initiative</x:v>
      </x:c>
      <x:c r="C7" s="15" t="str">
        <x:v>Défini</x:v>
      </x:c>
      <x:c r="D7" s="16" t="str">
        <x:v>Extrapolation</x:v>
      </x:c>
      <x:c r="E7" s="16" t="str">
        <x:v>P2</x:v>
      </x:c>
      <x:c r="F7" s="9" t="str">
        <x:v>Consultation facultative originale.</x:v>
      </x:c>
      <x:c r="G7" s="9" t="str">
        <x:v>Faire sentir la taille du projet.</x:v>
      </x:c>
      <x:c r="H7" s="9" t="str">
        <x:v>Ne révèle pas l’identité du Bienfaiteur.</x:v>
      </x:c>
      <x:c r="I7" s="9" t="str">
        <x:v>Bureau clair et grand espace d’attente, nom de couverture dans l’interface.</x:v>
      </x:c>
      <x:c r="J7" s="9" t="str">
        <x:v>Inspection, interaction courte, confirmation; permettre de renoncer sans bloquer le chemin principal.</x:v>
      </x:c>
      <x:c r="K7" s="9" t="str">
        <x:v>Confirmation discrète; aucune réplique source réemployée.</x:v>
      </x:c>
      <x:c r="L7" s="9" t="str">
        <x:v>Objectif facultatif DIS/01-COVER/optional; récompense locale de contexte, pas de modification de la fin.</x:v>
      </x:c>
      <x:c r="M7" s="9" t="str">
        <x:v>Le passage de Tiran de l’infiltration vers l’adhésion reste un raccord narratif. Les choix locaux ne modifient pas la mort des personnages, l’issue de Zeta ou l’existence d’une autre version du voyage.</x:v>
      </x:c>
      <x:c r="N7" s="9" t="str">
        <x:v>Terminer, ignorer ou abandonner cette tâche laisse le récit principal accessible et conserve correctement l’état en sauvegarde.</x:v>
      </x:c>
      <x:c r="O7" s="9" t="str">
        <x:v>DIS-SC-01-COVER-MAIN</x:v>
      </x:c>
      <x:c r="P7" s="9" t="str">
        <x:v>Ajout original; cette tâche n’est pas attestée dans le comic.</x:v>
      </x:c>
      <x:c r="Q7" s="9" t="str"/>
      <x:c r="R7" s="9" t="str"/>
      <x:c r="S7" s="9" t="str"/>
    </x:row>
    <x:row r="8" ht="68" customHeight="1">
      <x:c r="A8" s="19" t="str">
        <x:v>DIS-SC-01-SEARCH-SIDE</x:v>
      </x:c>
      <x:c r="B8" s="7" t="str">
        <x:v>Vérifier une chronologie de départ</x:v>
      </x:c>
      <x:c r="C8" s="15" t="str">
        <x:v>Défini</x:v>
      </x:c>
      <x:c r="D8" s="17" t="str">
        <x:v>Extrapolation</x:v>
      </x:c>
      <x:c r="E8" s="17" t="str">
        <x:v>P2</x:v>
      </x:c>
      <x:c r="F8" s="7" t="str">
        <x:v>Tâche d’enquête originale.</x:v>
      </x:c>
      <x:c r="G8" s="7" t="str">
        <x:v>Préparer le trajet suivant.</x:v>
      </x:c>
      <x:c r="H8" s="7" t="str">
        <x:v>Ne fournit pas une réponse complète à toutes les motivations.</x:v>
      </x:c>
      <x:c r="I8" s="7" t="str">
        <x:v>Habitations serrées avec passage principal toujours visible.</x:v>
      </x:c>
      <x:c r="J8" s="7" t="str">
        <x:v>Inspection, interaction courte, confirmation; permettre de renoncer sans bloquer le chemin principal.</x:v>
      </x:c>
      <x:c r="K8" s="7" t="str">
        <x:v>Confirmation discrète; aucune réplique source réemployée.</x:v>
      </x:c>
      <x:c r="L8" s="7" t="str">
        <x:v>Objectif facultatif DIS/01-SEARCH/optional; récompense locale de contexte, pas de modification de la fin.</x:v>
      </x:c>
      <x:c r="M8" s="7" t="str">
        <x:v>Le passage de Tiran de l’infiltration vers l’adhésion reste un raccord narratif. Les choix locaux ne modifient pas la mort des personnages, l’issue de Zeta ou l’existence d’une autre version du voyage.</x:v>
      </x:c>
      <x:c r="N8" s="7" t="str">
        <x:v>Terminer, ignorer ou abandonner cette tâche laisse le récit principal accessible et conserve correctement l’état en sauvegarde.</x:v>
      </x:c>
      <x:c r="O8" s="7" t="str">
        <x:v>DIS-SC-01-SEARCH-MAIN</x:v>
      </x:c>
      <x:c r="P8" s="7" t="str">
        <x:v>Ajout original; cette tâche n’est pas attestée dans le comic.</x:v>
      </x:c>
      <x:c r="Q8" s="7" t="str"/>
      <x:c r="R8" s="7" t="str"/>
      <x:c r="S8" s="7" t="str"/>
    </x:row>
    <x:row r="9" ht="68" customHeight="1">
      <x:c r="A9" s="18" t="str">
        <x:v>DIS-SC-02-NOVARRA-SIDE</x:v>
      </x:c>
      <x:c r="B9" s="9" t="str">
        <x:v>Relier les témoignages</x:v>
      </x:c>
      <x:c r="C9" s="15" t="str">
        <x:v>Défini</x:v>
      </x:c>
      <x:c r="D9" s="16" t="str">
        <x:v>Extrapolation</x:v>
      </x:c>
      <x:c r="E9" s="16" t="str">
        <x:v>P2</x:v>
      </x:c>
      <x:c r="F9" s="9" t="str">
        <x:v>Tableau original de concordance.</x:v>
      </x:c>
      <x:c r="G9" s="9" t="str">
        <x:v>Aider la compréhension sans trancher les intentions.</x:v>
      </x:c>
      <x:c r="H9" s="9" t="str">
        <x:v>Les contradictions demeurent signalées comme telles.</x:v>
      </x:c>
      <x:c r="I9" s="9" t="str">
        <x:v>Structures de terrain simples et combinaisons quariennes lisibles.</x:v>
      </x:c>
      <x:c r="J9" s="9" t="str">
        <x:v>Inspection, interaction courte, confirmation; permettre de renoncer sans bloquer le chemin principal.</x:v>
      </x:c>
      <x:c r="K9" s="9" t="str">
        <x:v>Confirmation discrète; aucune réplique source réemployée.</x:v>
      </x:c>
      <x:c r="L9" s="9" t="str">
        <x:v>Objectif facultatif DIS/02-NOVARRA/optional; récompense locale de contexte, pas de modification de la fin.</x:v>
      </x:c>
      <x:c r="M9" s="9" t="str">
        <x:v>Le passage de Tiran de l’infiltration vers l’adhésion reste un raccord narratif. Les choix locaux ne modifient pas la mort des personnages, l’issue de Zeta ou l’existence d’une autre version du voyage.</x:v>
      </x:c>
      <x:c r="N9" s="9" t="str">
        <x:v>Terminer, ignorer ou abandonner cette tâche laisse le récit principal accessible et conserve correctement l’état en sauvegarde.</x:v>
      </x:c>
      <x:c r="O9" s="9" t="str">
        <x:v>DIS-SC-02-NOVARRA-MAIN</x:v>
      </x:c>
      <x:c r="P9" s="9" t="str">
        <x:v>Ajout original; cette tâche n’est pas attestée dans le comic.</x:v>
      </x:c>
      <x:c r="Q9" s="9" t="str"/>
      <x:c r="R9" s="9" t="str"/>
      <x:c r="S9" s="9" t="str"/>
    </x:row>
    <x:row r="10" ht="68" customHeight="1">
      <x:c r="A10" s="19" t="str">
        <x:v>DIS-SC-02-ESCAPE-SIDE</x:v>
      </x:c>
      <x:c r="B10" s="7" t="str">
        <x:v>Préparer l’embarquement</x:v>
      </x:c>
      <x:c r="C10" s="15" t="str">
        <x:v>Défini</x:v>
      </x:c>
      <x:c r="D10" s="17" t="str">
        <x:v>Extrapolation</x:v>
      </x:c>
      <x:c r="E10" s="17" t="str">
        <x:v>P2</x:v>
      </x:c>
      <x:c r="F10" s="7" t="str">
        <x:v>Interaction facultative originale.</x:v>
      </x:c>
      <x:c r="G10" s="7" t="str">
        <x:v>Réduire une action de sortie.</x:v>
      </x:c>
      <x:c r="H10" s="7" t="str">
        <x:v>Ne modifie ni le bilan publié ni les relations de Shio.</x:v>
      </x:c>
      <x:c r="I10" s="7" t="str">
        <x:v>Excavatrice comme couvert, poussière limitée et sortie lumineuse.</x:v>
      </x:c>
      <x:c r="J10" s="7" t="str">
        <x:v>Inspection, interaction courte, confirmation; permettre de renoncer sans bloquer le chemin principal.</x:v>
      </x:c>
      <x:c r="K10" s="7" t="str">
        <x:v>Confirmation discrète; aucune réplique source réemployée.</x:v>
      </x:c>
      <x:c r="L10" s="7" t="str">
        <x:v>Objectif facultatif DIS/02-ESCAPE/optional; récompense locale de contexte, pas de modification de la fin.</x:v>
      </x:c>
      <x:c r="M10" s="7" t="str">
        <x:v>Le passage de Tiran de l’infiltration vers l’adhésion reste un raccord narratif. Les choix locaux ne modifient pas la mort des personnages, l’issue de Zeta ou l’existence d’une autre version du voyage.</x:v>
      </x:c>
      <x:c r="N10" s="7" t="str">
        <x:v>Terminer, ignorer ou abandonner cette tâche laisse le récit principal accessible et conserve correctement l’état en sauvegarde.</x:v>
      </x:c>
      <x:c r="O10" s="7" t="str">
        <x:v>DIS-SC-02-ESCAPE-MAIN</x:v>
      </x:c>
      <x:c r="P10" s="7" t="str">
        <x:v>Ajout original; cette tâche n’est pas attestée dans le comic.</x:v>
      </x:c>
      <x:c r="Q10" s="7" t="str"/>
      <x:c r="R10" s="7" t="str"/>
      <x:c r="S10" s="7" t="str"/>
    </x:row>
    <x:row r="11" ht="68" customHeight="1">
      <x:c r="A11" s="18" t="str">
        <x:v>DIS-SC-03-IDENTITY-SIDE</x:v>
      </x:c>
      <x:c r="B11" s="9" t="str">
        <x:v>Relire les incohérences précédentes</x:v>
      </x:c>
      <x:c r="C11" s="15" t="str">
        <x:v>Défini</x:v>
      </x:c>
      <x:c r="D11" s="16" t="str">
        <x:v>Extrapolation</x:v>
      </x:c>
      <x:c r="E11" s="16" t="str">
        <x:v>P2</x:v>
      </x:c>
      <x:c r="F11" s="9" t="str">
        <x:v>Rappel facultatif des propres indices du prototype.</x:v>
      </x:c>
      <x:c r="G11" s="9" t="str">
        <x:v>Donner du sens à la révélation.</x:v>
      </x:c>
      <x:c r="H11" s="9" t="str">
        <x:v>Ne transforme pas Shanks en alliée omnisciente depuis le départ.</x:v>
      </x:c>
      <x:c r="I11" s="9" t="str">
        <x:v>Passage d’Omega et capuche de Tiran retirée ou déplacée selon référence.</x:v>
      </x:c>
      <x:c r="J11" s="9" t="str">
        <x:v>Inspection, interaction courte, confirmation; permettre de renoncer sans bloquer le chemin principal.</x:v>
      </x:c>
      <x:c r="K11" s="9" t="str">
        <x:v>Confirmation discrète; aucune réplique source réemployée.</x:v>
      </x:c>
      <x:c r="L11" s="9" t="str">
        <x:v>Objectif facultatif DIS/03-IDENTITY/optional; récompense locale de contexte, pas de modification de la fin.</x:v>
      </x:c>
      <x:c r="M11" s="9" t="str">
        <x:v>Le passage de Tiran de l’infiltration vers l’adhésion reste un raccord narratif. Les choix locaux ne modifient pas la mort des personnages, l’issue de Zeta ou l’existence d’une autre version du voyage.</x:v>
      </x:c>
      <x:c r="N11" s="9" t="str">
        <x:v>Terminer, ignorer ou abandonner cette tâche laisse le récit principal accessible et conserve correctement l’état en sauvegarde.</x:v>
      </x:c>
      <x:c r="O11" s="9" t="str">
        <x:v>DIS-SC-03-IDENTITY-MAIN</x:v>
      </x:c>
      <x:c r="P11" s="9" t="str">
        <x:v>Ajout original; cette tâche n’est pas attestée dans le comic.</x:v>
      </x:c>
      <x:c r="Q11" s="9" t="str"/>
      <x:c r="R11" s="9" t="str"/>
      <x:c r="S11" s="9" t="str"/>
    </x:row>
    <x:row r="12" ht="68" customHeight="1">
      <x:c r="A12" s="19" t="str">
        <x:v>DIS-SC-03-PATH-SIDE</x:v>
      </x:c>
      <x:c r="B12" s="7" t="str">
        <x:v>Vérifier la route de départ</x:v>
      </x:c>
      <x:c r="C12" s="15" t="str">
        <x:v>Défini</x:v>
      </x:c>
      <x:c r="D12" s="17" t="str">
        <x:v>Extrapolation</x:v>
      </x:c>
      <x:c r="E12" s="17" t="str">
        <x:v>P2</x:v>
      </x:c>
      <x:c r="F12" s="7" t="str">
        <x:v>Repérage facultatif original.</x:v>
      </x:c>
      <x:c r="G12" s="7" t="str">
        <x:v>Préparer la transition spatiale.</x:v>
      </x:c>
      <x:c r="H12" s="7" t="str">
        <x:v>N’ouvre aucune mission de la future rébellion d’Omega.</x:v>
      </x:c>
      <x:c r="I12" s="7" t="str">
        <x:v>Arrière-plan violet réduit, couloir industriel de retour.</x:v>
      </x:c>
      <x:c r="J12" s="7" t="str">
        <x:v>Inspection, interaction courte, confirmation; permettre de renoncer sans bloquer le chemin principal.</x:v>
      </x:c>
      <x:c r="K12" s="7" t="str">
        <x:v>Confirmation discrète; aucune réplique source réemployée.</x:v>
      </x:c>
      <x:c r="L12" s="7" t="str">
        <x:v>Objectif facultatif DIS/03-PATH/optional; récompense locale de contexte, pas de modification de la fin.</x:v>
      </x:c>
      <x:c r="M12" s="7" t="str">
        <x:v>Le passage de Tiran de l’infiltration vers l’adhésion reste un raccord narratif. Les choix locaux ne modifient pas la mort des personnages, l’issue de Zeta ou l’existence d’une autre version du voyage.</x:v>
      </x:c>
      <x:c r="N12" s="7" t="str">
        <x:v>Terminer, ignorer ou abandonner cette tâche laisse le récit principal accessible et conserve correctement l’état en sauvegarde.</x:v>
      </x:c>
      <x:c r="O12" s="7" t="str">
        <x:v>DIS-SC-03-PATH-MAIN</x:v>
      </x:c>
      <x:c r="P12" s="7" t="str">
        <x:v>Ajout original; cette tâche n’est pas attestée dans le comic.</x:v>
      </x:c>
      <x:c r="Q12" s="7" t="str"/>
      <x:c r="R12" s="7" t="str"/>
      <x:c r="S12" s="7" t="str"/>
    </x:row>
    <x:row r="13" ht="68" customHeight="1">
      <x:c r="A13" s="18" t="str">
        <x:v>DIS-SC-04-ARRAY-SIDE</x:v>
      </x:c>
      <x:c r="B13" s="9" t="str">
        <x:v>Sécuriser le retour à la navette</x:v>
      </x:c>
      <x:c r="C13" s="15" t="str">
        <x:v>Défini</x:v>
      </x:c>
      <x:c r="D13" s="16" t="str">
        <x:v>Extrapolation</x:v>
      </x:c>
      <x:c r="E13" s="16" t="str">
        <x:v>P2</x:v>
      </x:c>
      <x:c r="F13" s="9" t="str">
        <x:v>Préparation facultative originale.</x:v>
      </x:c>
      <x:c r="G13" s="9" t="str">
        <x:v>Récompenser l’anticipation du groupe.</x:v>
      </x:c>
      <x:c r="H13" s="9" t="str">
        <x:v>Ne change pas l’issue source de Zeta.</x:v>
      </x:c>
      <x:c r="I13" s="9" t="str">
        <x:v>Surface geth sombre, points d’appui clairs et vaste fond spatial.</x:v>
      </x:c>
      <x:c r="J13" s="9" t="str">
        <x:v>Inspection, interaction courte, confirmation; permettre de renoncer sans bloquer le chemin principal.</x:v>
      </x:c>
      <x:c r="K13" s="9" t="str">
        <x:v>Confirmation discrète; aucune réplique source réemployée.</x:v>
      </x:c>
      <x:c r="L13" s="9" t="str">
        <x:v>Objectif facultatif DIS/04-ARRAY/optional; récompense locale de contexte, pas de modification de la fin.</x:v>
      </x:c>
      <x:c r="M13" s="9" t="str">
        <x:v>Le passage de Tiran de l’infiltration vers l’adhésion reste un raccord narratif. Les choix locaux ne modifient pas la mort des personnages, l’issue de Zeta ou l’existence d’une autre version du voyage.</x:v>
      </x:c>
      <x:c r="N13" s="9" t="str">
        <x:v>Terminer, ignorer ou abandonner cette tâche laisse le récit principal accessible et conserve correctement l’état en sauvegarde.</x:v>
      </x:c>
      <x:c r="O13" s="9" t="str">
        <x:v>DIS-SC-04-ARRAY-MAIN</x:v>
      </x:c>
      <x:c r="P13" s="9" t="str">
        <x:v>Ajout original; cette tâche n’est pas attestée dans le comic.</x:v>
      </x:c>
      <x:c r="Q13" s="9" t="str"/>
      <x:c r="R13" s="9" t="str"/>
      <x:c r="S13" s="9" t="str"/>
    </x:row>
    <x:row r="14" ht="68" customHeight="1">
      <x:c r="A14" s="19" t="str">
        <x:v>DIS-SC-04-CHOICE-SIDE</x:v>
      </x:c>
      <x:c r="B14" s="7" t="str">
        <x:v>Relire les questions ouvertes</x:v>
      </x:c>
      <x:c r="C14" s="15" t="str">
        <x:v>Défini</x:v>
      </x:c>
      <x:c r="D14" s="17" t="str">
        <x:v>Extrapolation</x:v>
      </x:c>
      <x:c r="E14" s="17" t="str">
        <x:v>P2</x:v>
      </x:c>
      <x:c r="F14" s="7" t="str">
        <x:v>Journal facultatif d’incertitudes.</x:v>
      </x:c>
      <x:c r="G14" s="7" t="str">
        <x:v>Conserver les mystères non résolus.</x:v>
      </x:c>
      <x:c r="H14" s="7" t="str">
        <x:v>L’identité du Bienfaiteur et les autres révélations non établies restent explicitement inconnues.</x:v>
      </x:c>
      <x:c r="I14" s="7" t="str">
        <x:v>Tenues de retour, badge Initiative proposé et fond terrestre calme.</x:v>
      </x:c>
      <x:c r="J14" s="7" t="str">
        <x:v>Inspection, interaction courte, confirmation; permettre de renoncer sans bloquer le chemin principal.</x:v>
      </x:c>
      <x:c r="K14" s="7" t="str">
        <x:v>Confirmation discrète; aucune réplique source réemployée.</x:v>
      </x:c>
      <x:c r="L14" s="7" t="str">
        <x:v>Objectif facultatif DIS/04-CHOICE/optional; récompense locale de contexte, pas de modification de la fin.</x:v>
      </x:c>
      <x:c r="M14" s="7" t="str">
        <x:v>Le passage de Tiran de l’infiltration vers l’adhésion reste un raccord narratif. Les choix locaux ne modifient pas la mort des personnages, l’issue de Zeta ou l’existence d’une autre version du voyage.</x:v>
      </x:c>
      <x:c r="N14" s="7" t="str">
        <x:v>Terminer, ignorer ou abandonner cette tâche laisse le récit principal accessible et conserve correctement l’état en sauvegarde.</x:v>
      </x:c>
      <x:c r="O14" s="7" t="str">
        <x:v>DIS-SC-04-CHOICE-MAIN</x:v>
      </x:c>
      <x:c r="P14" s="7" t="str">
        <x:v>Ajout original; cette tâche n’est pas attestée dans le comic.</x:v>
      </x:c>
      <x:c r="Q14" s="7" t="str"/>
      <x:c r="R14" s="7" t="str"/>
      <x:c r="S14" s="7" t="str"/>
    </x:row>
  </x:sheetData>
  <x:conditionalFormatting sqref="D7:D14">
    <x:cfRule type="cellIs" dxfId="40" priority="1" operator="equal">
      <x:formula>"À vérifier"</x:formula>
    </x:cfRule>
    <x:cfRule type="cellIs" dxfId="41" priority="2" operator="equal">
      <x:formula>"Extrapolation"</x:formula>
    </x:cfRule>
  </x:conditionalFormatting>
  <x:conditionalFormatting sqref="C7:C14">
    <x:cfRule type="cellIs" dxfId="42" priority="3" operator="equal">
      <x:formula>"Validé"</x:formula>
    </x:cfRule>
  </x:conditionalFormatting>
  <x:conditionalFormatting sqref="E7:E14">
    <x:cfRule type="cellIs" dxfId="43"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1079cc071ccd47fc"/>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Discovery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DIS-SC-01-COVER-CHOICE</x:v>
      </x:c>
      <x:c r="B7" s="9" t="str">
        <x:v>#1 — entrer sous couverture — stratégie locale</x:v>
      </x:c>
      <x:c r="C7" s="15" t="str">
        <x:v>Défini</x:v>
      </x:c>
      <x:c r="D7" s="16" t="str">
        <x:v>Extrapolation</x:v>
      </x:c>
      <x:c r="E7" s="16" t="str">
        <x:v>P1</x:v>
      </x:c>
      <x:c r="F7" s="9" t="str">
        <x:v>Mettre en avant l’expérience ou le désir de nouveau départ.</x:v>
      </x:c>
      <x:c r="G7" s="9" t="str">
        <x:v>Choix de méthode dans une adaptation; aucun embranchement alternatif n’est déclaré officiel.</x:v>
      </x:c>
      <x:c r="H7" s="9" t="str">
        <x:v>Deux formulations de la couverture; même mission confiée par Garson.</x:v>
      </x:c>
      <x:c r="I7" s="9" t="str">
        <x:v>Deux options nommées avec leur conséquence immédiate; coût affiché avant engagement.</x:v>
      </x:c>
      <x:c r="J7" s="9" t="str">
        <x:v>Geler les poses de dialogue pendant le choix; ne pas consommer une action en quittant le menu.</x:v>
      </x:c>
      <x:c r="K7" s="9" t="str">
        <x:v>Retour de sélection sobre; confirmation distincte d’une simple navigation.</x:v>
      </x:c>
      <x:c r="L7" s="9" t="str">
        <x:v>Décision locale DIS/01-COVER; stocker la méthode choisie et les conséquences temporaires, puis rejoindre le point de raccord.</x:v>
      </x:c>
      <x:c r="M7" s="9" t="str">
        <x:v>Le passage de Tiran de l’infiltration vers l’adhésion reste un raccord narratif. Les choix locaux ne modifient pas la mort des personnages, l’issue de Zeta ou l’existence d’une autre version du voyage.</x:v>
      </x:c>
      <x:c r="N7" s="9" t="str">
        <x:v>Les deux méthodes peuvent être comprises avant sélection; chacune rejoint le même ancrage canon sans supprimer un personnage nécessaire.</x:v>
      </x:c>
      <x:c r="O7" s="9" t="str">
        <x:v>DIS-SC-01-COVER-MAIN</x:v>
      </x:c>
      <x:c r="P7" s="9" t="str">
        <x:v>Bifurcation de gameplay originale, pas un choix présent dans l’œuvre.</x:v>
      </x:c>
      <x:c r="Q7" s="9" t="str"/>
      <x:c r="R7" s="9" t="str"/>
      <x:c r="S7" s="9" t="str"/>
    </x:row>
    <x:row r="8" ht="68" customHeight="1">
      <x:c r="A8" s="19" t="str">
        <x:v>DIS-SC-01-SEARCH-CHOICE</x:v>
      </x:c>
      <x:c r="B8" s="7" t="str">
        <x:v>#1 — chercher le scientifique — stratégie locale</x:v>
      </x:c>
      <x:c r="C8" s="15" t="str">
        <x:v>Défini</x:v>
      </x:c>
      <x:c r="D8" s="17" t="str">
        <x:v>Extrapolation</x:v>
      </x:c>
      <x:c r="E8" s="17" t="str">
        <x:v>P1</x:v>
      </x:c>
      <x:c r="F8" s="7" t="str">
        <x:v>Questionner avec prudence ou comparer les informations matérielles.</x:v>
      </x:c>
      <x:c r="G8" s="7" t="str">
        <x:v>Choix de méthode dans une adaptation; aucun embranchement alternatif n’est déclaré officiel.</x:v>
      </x:c>
      <x:c r="H8" s="7" t="str">
        <x:v>La conversation donne du contexte, l’inspection donne une route; toutes deux permettent de continuer.</x:v>
      </x:c>
      <x:c r="I8" s="7" t="str">
        <x:v>Deux options nommées avec leur conséquence immédiate; coût affiché avant engagement.</x:v>
      </x:c>
      <x:c r="J8" s="7" t="str">
        <x:v>Geler les poses de dialogue pendant le choix; ne pas consommer une action en quittant le menu.</x:v>
      </x:c>
      <x:c r="K8" s="7" t="str">
        <x:v>Retour de sélection sobre; confirmation distincte d’une simple navigation.</x:v>
      </x:c>
      <x:c r="L8" s="7" t="str">
        <x:v>Décision locale DIS/01-SEARCH; stocker la méthode choisie et les conséquences temporaires, puis rejoindre le point de raccord.</x:v>
      </x:c>
      <x:c r="M8" s="7" t="str">
        <x:v>Le passage de Tiran de l’infiltration vers l’adhésion reste un raccord narratif. Les choix locaux ne modifient pas la mort des personnages, l’issue de Zeta ou l’existence d’une autre version du voyage.</x:v>
      </x:c>
      <x:c r="N8" s="7" t="str">
        <x:v>Les deux méthodes peuvent être comprises avant sélection; chacune rejoint le même ancrage canon sans supprimer un personnage nécessaire.</x:v>
      </x:c>
      <x:c r="O8" s="7" t="str">
        <x:v>DIS-SC-01-SEARCH-MAIN</x:v>
      </x:c>
      <x:c r="P8" s="7" t="str">
        <x:v>Bifurcation de gameplay originale, pas un choix présent dans l’œuvre.</x:v>
      </x:c>
      <x:c r="Q8" s="7" t="str"/>
      <x:c r="R8" s="7" t="str"/>
      <x:c r="S8" s="7" t="str"/>
    </x:row>
    <x:row r="9" ht="68" customHeight="1">
      <x:c r="A9" s="18" t="str">
        <x:v>DIS-SC-02-NOVARRA-CHOICE</x:v>
      </x:c>
      <x:c r="B9" s="9" t="str">
        <x:v>#2 — interroger le Novarra — stratégie locale</x:v>
      </x:c>
      <x:c r="C9" s="15" t="str">
        <x:v>Défini</x:v>
      </x:c>
      <x:c r="D9" s="16" t="str">
        <x:v>Extrapolation</x:v>
      </x:c>
      <x:c r="E9" s="16" t="str">
        <x:v>P1</x:v>
      </x:c>
      <x:c r="F9" s="9" t="str">
        <x:v>Respecter une réserve sur les données ou demander un autre indice.</x:v>
      </x:c>
      <x:c r="G9" s="9" t="str">
        <x:v>Choix de méthode dans une adaptation; aucun embranchement alternatif n’est déclaré officiel.</x:v>
      </x:c>
      <x:c r="H9" s="9" t="str">
        <x:v>L’une facilite le dialogue, l’autre ouvre une inspection autorisée; pas de vol obligatoire du matériel personnel.</x:v>
      </x:c>
      <x:c r="I9" s="9" t="str">
        <x:v>Deux options nommées avec leur conséquence immédiate; coût affiché avant engagement.</x:v>
      </x:c>
      <x:c r="J9" s="9" t="str">
        <x:v>Geler les poses de dialogue pendant le choix; ne pas consommer une action en quittant le menu.</x:v>
      </x:c>
      <x:c r="K9" s="9" t="str">
        <x:v>Retour de sélection sobre; confirmation distincte d’une simple navigation.</x:v>
      </x:c>
      <x:c r="L9" s="9" t="str">
        <x:v>Décision locale DIS/02-NOVARRA; stocker la méthode choisie et les conséquences temporaires, puis rejoindre le point de raccord.</x:v>
      </x:c>
      <x:c r="M9" s="9" t="str">
        <x:v>Le passage de Tiran de l’infiltration vers l’adhésion reste un raccord narratif. Les choix locaux ne modifient pas la mort des personnages, l’issue de Zeta ou l’existence d’une autre version du voyage.</x:v>
      </x:c>
      <x:c r="N9" s="9" t="str">
        <x:v>Les deux méthodes peuvent être comprises avant sélection; chacune rejoint le même ancrage canon sans supprimer un personnage nécessaire.</x:v>
      </x:c>
      <x:c r="O9" s="9" t="str">
        <x:v>DIS-SC-02-NOVARRA-MAIN</x:v>
      </x:c>
      <x:c r="P9" s="9" t="str">
        <x:v>Bifurcation de gameplay originale, pas un choix présent dans l’œuvre.</x:v>
      </x:c>
      <x:c r="Q9" s="9" t="str"/>
      <x:c r="R9" s="9" t="str"/>
      <x:c r="S9" s="9" t="str"/>
    </x:row>
    <x:row r="10" ht="68" customHeight="1">
      <x:c r="A10" s="19" t="str">
        <x:v>DIS-SC-02-ESCAPE-CHOICE</x:v>
      </x:c>
      <x:c r="B10" s="7" t="str">
        <x:v>#2 — sortie sous pression biotique — stratégie locale</x:v>
      </x:c>
      <x:c r="C10" s="15" t="str">
        <x:v>Défini</x:v>
      </x:c>
      <x:c r="D10" s="17" t="str">
        <x:v>Extrapolation</x:v>
      </x:c>
      <x:c r="E10" s="17" t="str">
        <x:v>P1</x:v>
      </x:c>
      <x:c r="F10" s="7" t="str">
        <x:v>Dégager l’accès navette ou soutenir d’abord le partenaire exposé.</x:v>
      </x:c>
      <x:c r="G10" s="7" t="str">
        <x:v>Choix de méthode dans une adaptation; aucun embranchement alternatif n’est déclaré officiel.</x:v>
      </x:c>
      <x:c r="H10" s="7" t="str">
        <x:v>Change l’ordre de manœuvre; mêmes informations et raccord.</x:v>
      </x:c>
      <x:c r="I10" s="7" t="str">
        <x:v>Deux options nommées avec leur conséquence immédiate; coût affiché avant engagement.</x:v>
      </x:c>
      <x:c r="J10" s="7" t="str">
        <x:v>Geler les poses de dialogue pendant le choix; ne pas consommer une action en quittant le menu.</x:v>
      </x:c>
      <x:c r="K10" s="7" t="str">
        <x:v>Retour de sélection sobre; confirmation distincte d’une simple navigation.</x:v>
      </x:c>
      <x:c r="L10" s="7" t="str">
        <x:v>Décision locale DIS/02-ESCAPE; stocker la méthode choisie et les conséquences temporaires, puis rejoindre le point de raccord.</x:v>
      </x:c>
      <x:c r="M10" s="7" t="str">
        <x:v>Le passage de Tiran de l’infiltration vers l’adhésion reste un raccord narratif. Les choix locaux ne modifient pas la mort des personnages, l’issue de Zeta ou l’existence d’une autre version du voyage.</x:v>
      </x:c>
      <x:c r="N10" s="7" t="str">
        <x:v>Les deux méthodes peuvent être comprises avant sélection; chacune rejoint le même ancrage canon sans supprimer un personnage nécessaire.</x:v>
      </x:c>
      <x:c r="O10" s="7" t="str">
        <x:v>DIS-SC-02-ESCAPE-MAIN</x:v>
      </x:c>
      <x:c r="P10" s="7" t="str">
        <x:v>Bifurcation de gameplay originale, pas un choix présent dans l’œuvre.</x:v>
      </x:c>
      <x:c r="Q10" s="7" t="str"/>
      <x:c r="R10" s="7" t="str"/>
      <x:c r="S10" s="7" t="str"/>
    </x:row>
    <x:row r="11" ht="68" customHeight="1">
      <x:c r="A11" s="18" t="str">
        <x:v>DIS-SC-03-IDENTITY-CHOICE</x:v>
      </x:c>
      <x:c r="B11" s="9" t="str">
        <x:v>#3 — identité reconnue — stratégie locale</x:v>
      </x:c>
      <x:c r="C11" s="15" t="str">
        <x:v>Défini</x:v>
      </x:c>
      <x:c r="D11" s="16" t="str">
        <x:v>Extrapolation</x:v>
      </x:c>
      <x:c r="E11" s="16" t="str">
        <x:v>P1</x:v>
      </x:c>
      <x:c r="F11" s="9" t="str">
        <x:v>Expliquer la mission ou reconnaître d’abord la dissimulation.</x:v>
      </x:c>
      <x:c r="G11" s="9" t="str">
        <x:v>Choix de méthode dans une adaptation; aucun embranchement alternatif n’est déclaré officiel.</x:v>
      </x:c>
      <x:c r="H11" s="9" t="str">
        <x:v>Le ton et la réaction locale varient; l’identité réelle reste révélée.</x:v>
      </x:c>
      <x:c r="I11" s="9" t="str">
        <x:v>Deux options nommées avec leur conséquence immédiate; coût affiché avant engagement.</x:v>
      </x:c>
      <x:c r="J11" s="9" t="str">
        <x:v>Geler les poses de dialogue pendant le choix; ne pas consommer une action en quittant le menu.</x:v>
      </x:c>
      <x:c r="K11" s="9" t="str">
        <x:v>Retour de sélection sobre; confirmation distincte d’une simple navigation.</x:v>
      </x:c>
      <x:c r="L11" s="9" t="str">
        <x:v>Décision locale DIS/03-IDENTITY; stocker la méthode choisie et les conséquences temporaires, puis rejoindre le point de raccord.</x:v>
      </x:c>
      <x:c r="M11" s="9" t="str">
        <x:v>Le passage de Tiran de l’infiltration vers l’adhésion reste un raccord narratif. Les choix locaux ne modifient pas la mort des personnages, l’issue de Zeta ou l’existence d’une autre version du voyage.</x:v>
      </x:c>
      <x:c r="N11" s="9" t="str">
        <x:v>Les deux méthodes peuvent être comprises avant sélection; chacune rejoint le même ancrage canon sans supprimer un personnage nécessaire.</x:v>
      </x:c>
      <x:c r="O11" s="9" t="str">
        <x:v>DIS-SC-03-IDENTITY-MAIN</x:v>
      </x:c>
      <x:c r="P11" s="9" t="str">
        <x:v>Bifurcation de gameplay originale, pas un choix présent dans l’œuvre.</x:v>
      </x:c>
      <x:c r="Q11" s="9" t="str"/>
      <x:c r="R11" s="9" t="str"/>
      <x:c r="S11" s="9" t="str"/>
    </x:row>
    <x:row r="12" ht="68" customHeight="1">
      <x:c r="A12" s="19" t="str">
        <x:v>DIS-SC-03-PATH-CHOICE</x:v>
      </x:c>
      <x:c r="B12" s="7" t="str">
        <x:v>#3 — poursuivre malgré la rupture — stratégie locale</x:v>
      </x:c>
      <x:c r="C12" s="15" t="str">
        <x:v>Défini</x:v>
      </x:c>
      <x:c r="D12" s="17" t="str">
        <x:v>Extrapolation</x:v>
      </x:c>
      <x:c r="E12" s="17" t="str">
        <x:v>P1</x:v>
      </x:c>
      <x:c r="F12" s="7" t="str">
        <x:v>Partager les informations militaires disponibles ou commencer par la mission commune.</x:v>
      </x:c>
      <x:c r="G12" s="7" t="str">
        <x:v>Choix de méthode dans une adaptation; aucun embranchement alternatif n’est déclaré officiel.</x:v>
      </x:c>
      <x:c r="H12" s="7" t="str">
        <x:v>Ordre de confiance et commentaire changent; même destination narrative.</x:v>
      </x:c>
      <x:c r="I12" s="7" t="str">
        <x:v>Deux options nommées avec leur conséquence immédiate; coût affiché avant engagement.</x:v>
      </x:c>
      <x:c r="J12" s="7" t="str">
        <x:v>Geler les poses de dialogue pendant le choix; ne pas consommer une action en quittant le menu.</x:v>
      </x:c>
      <x:c r="K12" s="7" t="str">
        <x:v>Retour de sélection sobre; confirmation distincte d’une simple navigation.</x:v>
      </x:c>
      <x:c r="L12" s="7" t="str">
        <x:v>Décision locale DIS/03-PATH; stocker la méthode choisie et les conséquences temporaires, puis rejoindre le point de raccord.</x:v>
      </x:c>
      <x:c r="M12" s="7" t="str">
        <x:v>Le passage de Tiran de l’infiltration vers l’adhésion reste un raccord narratif. Les choix locaux ne modifient pas la mort des personnages, l’issue de Zeta ou l’existence d’une autre version du voyage.</x:v>
      </x:c>
      <x:c r="N12" s="7" t="str">
        <x:v>Les deux méthodes peuvent être comprises avant sélection; chacune rejoint le même ancrage canon sans supprimer un personnage nécessaire.</x:v>
      </x:c>
      <x:c r="O12" s="7" t="str">
        <x:v>DIS-SC-03-PATH-MAIN</x:v>
      </x:c>
      <x:c r="P12" s="7" t="str">
        <x:v>Bifurcation de gameplay originale, pas un choix présent dans l’œuvre.</x:v>
      </x:c>
      <x:c r="Q12" s="7" t="str"/>
      <x:c r="R12" s="7" t="str"/>
      <x:c r="S12" s="7" t="str"/>
    </x:row>
    <x:row r="13" ht="68" customHeight="1">
      <x:c r="A13" s="18" t="str">
        <x:v>DIS-SC-04-ARRAY-CHOICE</x:v>
      </x:c>
      <x:c r="B13" s="9" t="str">
        <x:v>#4 — données du réseau Kholas — stratégie locale</x:v>
      </x:c>
      <x:c r="C13" s="15" t="str">
        <x:v>Défini</x:v>
      </x:c>
      <x:c r="D13" s="16" t="str">
        <x:v>Extrapolation</x:v>
      </x:c>
      <x:c r="E13" s="16" t="str">
        <x:v>P1</x:v>
      </x:c>
      <x:c r="F13" s="9" t="str">
        <x:v>Sécuriser les approches ou faciliter d’abord l’accès du scientifique.</x:v>
      </x:c>
      <x:c r="G13" s="9" t="str">
        <x:v>Choix de méthode dans une adaptation; aucun embranchement alternatif n’est déclaré officiel.</x:v>
      </x:c>
      <x:c r="H13" s="9" t="str">
        <x:v>La première réduit les interruptions, la seconde raccourcit la durée proposée de l’interaction.</x:v>
      </x:c>
      <x:c r="I13" s="9" t="str">
        <x:v>Deux options nommées avec leur conséquence immédiate; coût affiché avant engagement.</x:v>
      </x:c>
      <x:c r="J13" s="9" t="str">
        <x:v>Geler les poses de dialogue pendant le choix; ne pas consommer une action en quittant le menu.</x:v>
      </x:c>
      <x:c r="K13" s="9" t="str">
        <x:v>Retour de sélection sobre; confirmation distincte d’une simple navigation.</x:v>
      </x:c>
      <x:c r="L13" s="9" t="str">
        <x:v>Décision locale DIS/04-ARRAY; stocker la méthode choisie et les conséquences temporaires, puis rejoindre le point de raccord.</x:v>
      </x:c>
      <x:c r="M13" s="9" t="str">
        <x:v>Le passage de Tiran de l’infiltration vers l’adhésion reste un raccord narratif. Les choix locaux ne modifient pas la mort des personnages, l’issue de Zeta ou l’existence d’une autre version du voyage.</x:v>
      </x:c>
      <x:c r="N13" s="9" t="str">
        <x:v>Les deux méthodes peuvent être comprises avant sélection; chacune rejoint le même ancrage canon sans supprimer un personnage nécessaire.</x:v>
      </x:c>
      <x:c r="O13" s="9" t="str">
        <x:v>DIS-SC-04-ARRAY-MAIN</x:v>
      </x:c>
      <x:c r="P13" s="9" t="str">
        <x:v>Bifurcation de gameplay originale, pas un choix présent dans l’œuvre.</x:v>
      </x:c>
      <x:c r="Q13" s="9" t="str"/>
      <x:c r="R13" s="9" t="str"/>
      <x:c r="S13" s="9" t="str"/>
    </x:row>
    <x:row r="14" ht="68" customHeight="1">
      <x:c r="A14" s="19" t="str">
        <x:v>DIS-SC-04-CHOICE-CHOICE</x:v>
      </x:c>
      <x:c r="B14" s="7" t="str">
        <x:v>#4 — choisir l’Initiative — stratégie locale</x:v>
      </x:c>
      <x:c r="C14" s="15" t="str">
        <x:v>Défini</x:v>
      </x:c>
      <x:c r="D14" s="17" t="str">
        <x:v>Extrapolation</x:v>
      </x:c>
      <x:c r="E14" s="17" t="str">
        <x:v>P1</x:v>
      </x:c>
      <x:c r="F14" s="7" t="str">
        <x:v>Mettre en avant l’exploration ou la responsabilité envers le projet.</x:v>
      </x:c>
      <x:c r="G14" s="7" t="str">
        <x:v>Choix de méthode dans une adaptation; aucun embranchement alternatif n’est déclaré officiel.</x:v>
      </x:c>
      <x:c r="H14" s="7" t="str">
        <x:v>Deux tons convergent vers l’engagement publié; aucune révélation définitive sur les financeurs.</x:v>
      </x:c>
      <x:c r="I14" s="7" t="str">
        <x:v>Deux options nommées avec leur conséquence immédiate; coût affiché avant engagement.</x:v>
      </x:c>
      <x:c r="J14" s="7" t="str">
        <x:v>Geler les poses de dialogue pendant le choix; ne pas consommer une action en quittant le menu.</x:v>
      </x:c>
      <x:c r="K14" s="7" t="str">
        <x:v>Retour de sélection sobre; confirmation distincte d’une simple navigation.</x:v>
      </x:c>
      <x:c r="L14" s="7" t="str">
        <x:v>Décision locale DIS/04-CHOICE; stocker la méthode choisie et les conséquences temporaires, puis rejoindre le point de raccord.</x:v>
      </x:c>
      <x:c r="M14" s="7" t="str">
        <x:v>Le passage de Tiran de l’infiltration vers l’adhésion reste un raccord narratif. Les choix locaux ne modifient pas la mort des personnages, l’issue de Zeta ou l’existence d’une autre version du voyage.</x:v>
      </x:c>
      <x:c r="N14" s="7" t="str">
        <x:v>Les deux méthodes peuvent être comprises avant sélection; chacune rejoint le même ancrage canon sans supprimer un personnage nécessaire.</x:v>
      </x:c>
      <x:c r="O14" s="7" t="str">
        <x:v>DIS-SC-04-CHOICE-MAIN</x:v>
      </x:c>
      <x:c r="P14" s="7" t="str">
        <x:v>Bifurcation de gameplay originale, pas un choix présent dans l’œuvre.</x:v>
      </x:c>
      <x:c r="Q14" s="7" t="str"/>
      <x:c r="R14" s="7" t="str"/>
      <x:c r="S14" s="7" t="str"/>
    </x:row>
  </x:sheetData>
  <x:conditionalFormatting sqref="D7:D14">
    <x:cfRule type="cellIs" dxfId="44" priority="1" operator="equal">
      <x:formula>"À vérifier"</x:formula>
    </x:cfRule>
    <x:cfRule type="cellIs" dxfId="45" priority="2" operator="equal">
      <x:formula>"Extrapolation"</x:formula>
    </x:cfRule>
  </x:conditionalFormatting>
  <x:conditionalFormatting sqref="C7:C14">
    <x:cfRule type="cellIs" dxfId="46" priority="3" operator="equal">
      <x:formula>"Validé"</x:formula>
    </x:cfRule>
  </x:conditionalFormatting>
  <x:conditionalFormatting sqref="E7:E14">
    <x:cfRule type="cellIs" dxfId="47"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59795c8d56474989"/>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Discovery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DIS-SC-01-COVER-DIA</x:v>
      </x:c>
      <x:c r="B7" s="9" t="str">
        <x:v>#1 — entrer sous couverture — intentions de conversation</x:v>
      </x:c>
      <x:c r="C7" s="15" t="str">
        <x:v>Défini</x:v>
      </x:c>
      <x:c r="D7" s="16" t="str">
        <x:v>Extrapolation</x:v>
      </x:c>
      <x:c r="E7" s="16" t="str">
        <x:v>P1</x:v>
      </x:c>
      <x:c r="F7" s="9" t="str">
        <x:v>Garson évalue une motivation; Tiran dissimule sa fonction sans devenir un menteur omniscient.</x:v>
      </x:c>
      <x:c r="G7" s="9" t="str">
        <x:v>Préserver le thème « méfiance et ambition »; échanges nouveaux, sans recopier les bulles.</x:v>
      </x:c>
      <x:c r="H7" s="9" t="str">
        <x:v>Proposer questions de contexte, reformulation et fin de conversation; les informations nécessaires restent accessibles après une réponse sceptique.</x:v>
      </x:c>
      <x:c r="I7" s="9" t="str">
        <x:v>Portraits sobres avec locuteur et destinataire; encart distinct si l’information est un soupçon.</x:v>
      </x:c>
      <x:c r="J7" s="9" t="str">
        <x:v>Entrée prudente, geste d'inspection et retour au contrôle pour « #1 — entrer sous couverture »; poser les sprites avant tout changement de caméra.</x:v>
      </x:c>
      <x:c r="K7" s="9" t="str">
        <x:v>Dialogue original à écrire; texte intégral accessible, avance manuelle et rappel des locuteurs.</x:v>
      </x:c>
      <x:c r="L7" s="9" t="str">
        <x:v>Arbre proposé DIS/01-COVER/dialogue; séparer ce qui est su, ce qui est affirmé et ce qui reste caché au joueur.</x:v>
      </x:c>
      <x:c r="M7" s="9" t="str">
        <x:v>Le passage de Tiran de l’infiltration vers l’adhésion reste un raccord narratif. Les choix locaux ne modifient pas la mort des personnages, l’issue de Zeta ou l’existence d’une autre version du voyage.</x:v>
      </x:c>
      <x:c r="N7" s="9" t="str">
        <x:v>Le lecteur peut identifier le locuteur, son but et le niveau de certitude; aucune phrase du comic n’est reproduite comme dialogue final.</x:v>
      </x:c>
      <x:c r="O7" s="9" t="str">
        <x:v>DIS-SC-01-COVER-MAIN</x:v>
      </x:c>
      <x:c r="P7" s="9" t="str">
        <x:v>Écriture originale à partir des thèmes, sans transcrire les bulles.</x:v>
      </x:c>
      <x:c r="Q7" s="9" t="str"/>
      <x:c r="R7" s="9" t="str"/>
      <x:c r="S7" s="9" t="str"/>
    </x:row>
    <x:row r="8" ht="68" customHeight="1">
      <x:c r="A8" s="19" t="str">
        <x:v>DIS-SC-01-SEARCH-DIA</x:v>
      </x:c>
      <x:c r="B8" s="7" t="str">
        <x:v>#1 — chercher le scientifique — intentions de conversation</x:v>
      </x:c>
      <x:c r="C8" s="15" t="str">
        <x:v>Défini</x:v>
      </x:c>
      <x:c r="D8" s="17" t="str">
        <x:v>Extrapolation</x:v>
      </x:c>
      <x:c r="E8" s="17" t="str">
        <x:v>P1</x:v>
      </x:c>
      <x:c r="F8" s="7" t="str">
        <x:v>Luna et Tiran confrontent leurs méthodes; le scientifique a des raisons encore inconnues.</x:v>
      </x:c>
      <x:c r="G8" s="7" t="str">
        <x:v>Préserver le thème « personne et information »; échanges nouveaux, sans recopier les bulles.</x:v>
      </x:c>
      <x:c r="H8" s="7" t="str">
        <x:v>Proposer questions de contexte, reformulation et fin de conversation; les informations nécessaires restent accessibles après une réponse sceptique.</x:v>
      </x:c>
      <x:c r="I8" s="7" t="str">
        <x:v>Portraits sobres avec locuteur et destinataire; encart distinct si l’information est un soupçon.</x:v>
      </x:c>
      <x:c r="J8" s="7" t="str">
        <x:v>Entrée prudente, geste d'inspection et retour au contrôle pour « #1 — chercher le scientifique »; poser les sprites avant tout changement de caméra.</x:v>
      </x:c>
      <x:c r="K8" s="7" t="str">
        <x:v>Dialogue original à écrire; texte intégral accessible, avance manuelle et rappel des locuteurs.</x:v>
      </x:c>
      <x:c r="L8" s="7" t="str">
        <x:v>Arbre proposé DIS/01-SEARCH/dialogue; séparer ce qui est su, ce qui est affirmé et ce qui reste caché au joueur.</x:v>
      </x:c>
      <x:c r="M8" s="7" t="str">
        <x:v>Le passage de Tiran de l’infiltration vers l’adhésion reste un raccord narratif. Les choix locaux ne modifient pas la mort des personnages, l’issue de Zeta ou l’existence d’une autre version du voyage.</x:v>
      </x:c>
      <x:c r="N8" s="7" t="str">
        <x:v>Le lecteur peut identifier le locuteur, son but et le niveau de certitude; aucune phrase du comic n’est reproduite comme dialogue final.</x:v>
      </x:c>
      <x:c r="O8" s="7" t="str">
        <x:v>DIS-SC-01-SEARCH-MAIN</x:v>
      </x:c>
      <x:c r="P8" s="7" t="str">
        <x:v>Écriture originale à partir des thèmes, sans transcrire les bulles.</x:v>
      </x:c>
      <x:c r="Q8" s="7" t="str"/>
      <x:c r="R8" s="7" t="str"/>
      <x:c r="S8" s="7" t="str"/>
    </x:row>
    <x:row r="9" ht="68" customHeight="1">
      <x:c r="A9" s="18" t="str">
        <x:v>DIS-SC-02-NOVARRA-DIA</x:v>
      </x:c>
      <x:c r="B9" s="9" t="str">
        <x:v>#2 — interroger le Novarra — intentions de conversation</x:v>
      </x:c>
      <x:c r="C9" s="15" t="str">
        <x:v>Défini</x:v>
      </x:c>
      <x:c r="D9" s="16" t="str">
        <x:v>Extrapolation</x:v>
      </x:c>
      <x:c r="E9" s="16" t="str">
        <x:v>P1</x:v>
      </x:c>
      <x:c r="F9" s="9" t="str">
        <x:v>Jakin décrit son point de vue; Viegle protège une relation encore partiellement inconnue.</x:v>
      </x:c>
      <x:c r="G9" s="9" t="str">
        <x:v>Préserver le thème « exil et point de vue »; échanges nouveaux, sans recopier les bulles.</x:v>
      </x:c>
      <x:c r="H9" s="9" t="str">
        <x:v>Proposer questions de contexte, reformulation et fin de conversation; les informations nécessaires restent accessibles après une réponse sceptique.</x:v>
      </x:c>
      <x:c r="I9" s="9" t="str">
        <x:v>Portraits sobres avec locuteur et destinataire; encart distinct si l’information est un soupçon.</x:v>
      </x:c>
      <x:c r="J9" s="9" t="str">
        <x:v>Entrée prudente, geste d'inspection et retour au contrôle pour « #2 — interroger le Novarra »; poser les sprites avant tout changement de caméra.</x:v>
      </x:c>
      <x:c r="K9" s="9" t="str">
        <x:v>Dialogue original à écrire; texte intégral accessible, avance manuelle et rappel des locuteurs.</x:v>
      </x:c>
      <x:c r="L9" s="9" t="str">
        <x:v>Arbre proposé DIS/02-NOVARRA/dialogue; séparer ce qui est su, ce qui est affirmé et ce qui reste caché au joueur.</x:v>
      </x:c>
      <x:c r="M9" s="9" t="str">
        <x:v>Le passage de Tiran de l’infiltration vers l’adhésion reste un raccord narratif. Les choix locaux ne modifient pas la mort des personnages, l’issue de Zeta ou l’existence d’une autre version du voyage.</x:v>
      </x:c>
      <x:c r="N9" s="9" t="str">
        <x:v>Le lecteur peut identifier le locuteur, son but et le niveau de certitude; aucune phrase du comic n’est reproduite comme dialogue final.</x:v>
      </x:c>
      <x:c r="O9" s="9" t="str">
        <x:v>DIS-SC-02-NOVARRA-MAIN</x:v>
      </x:c>
      <x:c r="P9" s="9" t="str">
        <x:v>Écriture originale à partir des thèmes, sans transcrire les bulles.</x:v>
      </x:c>
      <x:c r="Q9" s="9" t="str"/>
      <x:c r="R9" s="9" t="str"/>
      <x:c r="S9" s="9" t="str"/>
    </x:row>
    <x:row r="10" ht="68" customHeight="1">
      <x:c r="A10" s="19" t="str">
        <x:v>DIS-SC-02-ESCAPE-DIA</x:v>
      </x:c>
      <x:c r="B10" s="7" t="str">
        <x:v>#2 — sortie sous pression biotique — intentions de conversation</x:v>
      </x:c>
      <x:c r="C10" s="15" t="str">
        <x:v>Défini</x:v>
      </x:c>
      <x:c r="D10" s="17" t="str">
        <x:v>Extrapolation</x:v>
      </x:c>
      <x:c r="E10" s="17" t="str">
        <x:v>P1</x:v>
      </x:c>
      <x:c r="F10" s="7" t="str">
        <x:v>Instructions courtes, relation de confiance en action plutôt qu’explication longue.</x:v>
      </x:c>
      <x:c r="G10" s="7" t="str">
        <x:v>Préserver le thème « priorité au partenaire »; échanges nouveaux, sans recopier les bulles.</x:v>
      </x:c>
      <x:c r="H10" s="7" t="str">
        <x:v>Proposer questions de contexte, reformulation et fin de conversation; les informations nécessaires restent accessibles après une réponse sceptique.</x:v>
      </x:c>
      <x:c r="I10" s="7" t="str">
        <x:v>Portraits sobres avec locuteur et destinataire; encart distinct si l’information est un soupçon.</x:v>
      </x:c>
      <x:c r="J10" s="7" t="str">
        <x:v>Entrée prudente, geste d'inspection et retour au contrôle pour « #2 — sortie sous pression biotique »; poser les sprites avant tout changement de caméra.</x:v>
      </x:c>
      <x:c r="K10" s="7" t="str">
        <x:v>Dialogue original à écrire; texte intégral accessible, avance manuelle et rappel des locuteurs.</x:v>
      </x:c>
      <x:c r="L10" s="7" t="str">
        <x:v>Arbre proposé DIS/02-ESCAPE/dialogue; séparer ce qui est su, ce qui est affirmé et ce qui reste caché au joueur.</x:v>
      </x:c>
      <x:c r="M10" s="7" t="str">
        <x:v>Le passage de Tiran de l’infiltration vers l’adhésion reste un raccord narratif. Les choix locaux ne modifient pas la mort des personnages, l’issue de Zeta ou l’existence d’une autre version du voyage.</x:v>
      </x:c>
      <x:c r="N10" s="7" t="str">
        <x:v>Le lecteur peut identifier le locuteur, son but et le niveau de certitude; aucune phrase du comic n’est reproduite comme dialogue final.</x:v>
      </x:c>
      <x:c r="O10" s="7" t="str">
        <x:v>DIS-SC-02-ESCAPE-MAIN</x:v>
      </x:c>
      <x:c r="P10" s="7" t="str">
        <x:v>Écriture originale à partir des thèmes, sans transcrire les bulles.</x:v>
      </x:c>
      <x:c r="Q10" s="7" t="str"/>
      <x:c r="R10" s="7" t="str"/>
      <x:c r="S10" s="7" t="str"/>
    </x:row>
    <x:row r="11" ht="68" customHeight="1">
      <x:c r="A11" s="18" t="str">
        <x:v>DIS-SC-03-IDENTITY-DIA</x:v>
      </x:c>
      <x:c r="B11" s="9" t="str">
        <x:v>#3 — identité reconnue — intentions de conversation</x:v>
      </x:c>
      <x:c r="C11" s="15" t="str">
        <x:v>Défini</x:v>
      </x:c>
      <x:c r="D11" s="16" t="str">
        <x:v>Extrapolation</x:v>
      </x:c>
      <x:c r="E11" s="16" t="str">
        <x:v>P1</x:v>
      </x:c>
      <x:c r="F11" s="9" t="str">
        <x:v>Nyreen ne devient pas un simple indice; elle exprime son propre rapport à la famille et au projet.</x:v>
      </x:c>
      <x:c r="G11" s="9" t="str">
        <x:v>Préserver le thème « confiance rompue »; échanges nouveaux, sans recopier les bulles.</x:v>
      </x:c>
      <x:c r="H11" s="9" t="str">
        <x:v>Proposer questions de contexte, reformulation et fin de conversation; les informations nécessaires restent accessibles après une réponse sceptique.</x:v>
      </x:c>
      <x:c r="I11" s="9" t="str">
        <x:v>Portraits sobres avec locuteur et destinataire; encart distinct si l’information est un soupçon.</x:v>
      </x:c>
      <x:c r="J11" s="9" t="str">
        <x:v>Entrée prudente, geste d'inspection et retour au contrôle pour « #3 — identité reconnue »; poser les sprites avant tout changement de caméra.</x:v>
      </x:c>
      <x:c r="K11" s="9" t="str">
        <x:v>Dialogue original à écrire; texte intégral accessible, avance manuelle et rappel des locuteurs.</x:v>
      </x:c>
      <x:c r="L11" s="9" t="str">
        <x:v>Arbre proposé DIS/03-IDENTITY/dialogue; séparer ce qui est su, ce qui est affirmé et ce qui reste caché au joueur.</x:v>
      </x:c>
      <x:c r="M11" s="9" t="str">
        <x:v>Le passage de Tiran de l’infiltration vers l’adhésion reste un raccord narratif. Les choix locaux ne modifient pas la mort des personnages, l’issue de Zeta ou l’existence d’une autre version du voyage.</x:v>
      </x:c>
      <x:c r="N11" s="9" t="str">
        <x:v>Le lecteur peut identifier le locuteur, son but et le niveau de certitude; aucune phrase du comic n’est reproduite comme dialogue final.</x:v>
      </x:c>
      <x:c r="O11" s="9" t="str">
        <x:v>DIS-SC-03-IDENTITY-MAIN</x:v>
      </x:c>
      <x:c r="P11" s="9" t="str">
        <x:v>Écriture originale à partir des thèmes, sans transcrire les bulles.</x:v>
      </x:c>
      <x:c r="Q11" s="9" t="str"/>
      <x:c r="R11" s="9" t="str"/>
      <x:c r="S11" s="9" t="str"/>
    </x:row>
    <x:row r="12" ht="68" customHeight="1">
      <x:c r="A12" s="19" t="str">
        <x:v>DIS-SC-03-PATH-DIA</x:v>
      </x:c>
      <x:c r="B12" s="7" t="str">
        <x:v>#3 — poursuivre malgré la rupture — intentions de conversation</x:v>
      </x:c>
      <x:c r="C12" s="15" t="str">
        <x:v>Défini</x:v>
      </x:c>
      <x:c r="D12" s="17" t="str">
        <x:v>Extrapolation</x:v>
      </x:c>
      <x:c r="E12" s="17" t="str">
        <x:v>P1</x:v>
      </x:c>
      <x:c r="F12" s="7" t="str">
        <x:v>Aria pose ses limites, Nyreen ouvre une perspective et Shanks demande une explication; texte neuf et bref.</x:v>
      </x:c>
      <x:c r="G12" s="7" t="str">
        <x:v>Préserver le thème « collaboration ou soupçon »; échanges nouveaux, sans recopier les bulles.</x:v>
      </x:c>
      <x:c r="H12" s="7" t="str">
        <x:v>Proposer questions de contexte, reformulation et fin de conversation; les informations nécessaires restent accessibles après une réponse sceptique.</x:v>
      </x:c>
      <x:c r="I12" s="7" t="str">
        <x:v>Portraits sobres avec locuteur et destinataire; encart distinct si l’information est un soupçon.</x:v>
      </x:c>
      <x:c r="J12" s="7" t="str">
        <x:v>Entrée prudente, geste d'inspection et retour au contrôle pour « #3 — poursuivre malgré la rupture »; poser les sprites avant tout changement de caméra.</x:v>
      </x:c>
      <x:c r="K12" s="7" t="str">
        <x:v>Dialogue original à écrire; texte intégral accessible, avance manuelle et rappel des locuteurs.</x:v>
      </x:c>
      <x:c r="L12" s="7" t="str">
        <x:v>Arbre proposé DIS/03-PATH/dialogue; séparer ce qui est su, ce qui est affirmé et ce qui reste caché au joueur.</x:v>
      </x:c>
      <x:c r="M12" s="7" t="str">
        <x:v>Le passage de Tiran de l’infiltration vers l’adhésion reste un raccord narratif. Les choix locaux ne modifient pas la mort des personnages, l’issue de Zeta ou l’existence d’une autre version du voyage.</x:v>
      </x:c>
      <x:c r="N12" s="7" t="str">
        <x:v>Le lecteur peut identifier le locuteur, son but et le niveau de certitude; aucune phrase du comic n’est reproduite comme dialogue final.</x:v>
      </x:c>
      <x:c r="O12" s="7" t="str">
        <x:v>DIS-SC-03-PATH-MAIN</x:v>
      </x:c>
      <x:c r="P12" s="7" t="str">
        <x:v>Écriture originale à partir des thèmes, sans transcrire les bulles.</x:v>
      </x:c>
      <x:c r="Q12" s="7" t="str"/>
      <x:c r="R12" s="7" t="str"/>
      <x:c r="S12" s="7" t="str"/>
    </x:row>
    <x:row r="13" ht="68" customHeight="1">
      <x:c r="A13" s="18" t="str">
        <x:v>DIS-SC-04-ARRAY-DIA</x:v>
      </x:c>
      <x:c r="B13" s="9" t="str">
        <x:v>#4 — données du réseau Kholas — intentions de conversation</x:v>
      </x:c>
      <x:c r="C13" s="15" t="str">
        <x:v>Défini</x:v>
      </x:c>
      <x:c r="D13" s="16" t="str">
        <x:v>Extrapolation</x:v>
      </x:c>
      <x:c r="E13" s="16" t="str">
        <x:v>P1</x:v>
      </x:c>
      <x:c r="F13" s="9" t="str">
        <x:v>Shio explique une erreur et Tiran choisit d’agir; Zeta révèle une motivation selon le moment source.</x:v>
      </x:c>
      <x:c r="G13" s="9" t="str">
        <x:v>Préserver le thème « aveu et réparation »; échanges nouveaux, sans recopier les bulles.</x:v>
      </x:c>
      <x:c r="H13" s="9" t="str">
        <x:v>Proposer questions de contexte, reformulation et fin de conversation; les informations nécessaires restent accessibles après une réponse sceptique.</x:v>
      </x:c>
      <x:c r="I13" s="9" t="str">
        <x:v>Portraits sobres avec locuteur et destinataire; encart distinct si l’information est un soupçon.</x:v>
      </x:c>
      <x:c r="J13" s="9" t="str">
        <x:v>Entrée prudente, geste d'inspection et retour au contrôle pour « #4 — données du réseau Kholas »; poser les sprites avant tout changement de caméra.</x:v>
      </x:c>
      <x:c r="K13" s="9" t="str">
        <x:v>Dialogue original à écrire; texte intégral accessible, avance manuelle et rappel des locuteurs.</x:v>
      </x:c>
      <x:c r="L13" s="9" t="str">
        <x:v>Arbre proposé DIS/04-ARRAY/dialogue; séparer ce qui est su, ce qui est affirmé et ce qui reste caché au joueur.</x:v>
      </x:c>
      <x:c r="M13" s="9" t="str">
        <x:v>Le passage de Tiran de l’infiltration vers l’adhésion reste un raccord narratif. Les choix locaux ne modifient pas la mort des personnages, l’issue de Zeta ou l’existence d’une autre version du voyage.</x:v>
      </x:c>
      <x:c r="N13" s="9" t="str">
        <x:v>Le lecteur peut identifier le locuteur, son but et le niveau de certitude; aucune phrase du comic n’est reproduite comme dialogue final.</x:v>
      </x:c>
      <x:c r="O13" s="9" t="str">
        <x:v>DIS-SC-04-ARRAY-MAIN</x:v>
      </x:c>
      <x:c r="P13" s="9" t="str">
        <x:v>Écriture originale à partir des thèmes, sans transcrire les bulles.</x:v>
      </x:c>
      <x:c r="Q13" s="9" t="str"/>
      <x:c r="R13" s="9" t="str"/>
      <x:c r="S13" s="9" t="str"/>
    </x:row>
    <x:row r="14" ht="68" customHeight="1">
      <x:c r="A14" s="19" t="str">
        <x:v>DIS-SC-04-CHOICE-DIA</x:v>
      </x:c>
      <x:c r="B14" s="7" t="str">
        <x:v>#4 — choisir l’Initiative — intentions de conversation</x:v>
      </x:c>
      <x:c r="C14" s="15" t="str">
        <x:v>Défini</x:v>
      </x:c>
      <x:c r="D14" s="17" t="str">
        <x:v>Extrapolation</x:v>
      </x:c>
      <x:c r="E14" s="17" t="str">
        <x:v>P1</x:v>
      </x:c>
      <x:c r="F14" s="7" t="str">
        <x:v>Ravis et Tiran distinguent attachement familial et parcours individuel; Garson accueille sans tout expliquer.</x:v>
      </x:c>
      <x:c r="G14" s="7" t="str">
        <x:v>Préserver le thème « héritage et décision personnelle »; échanges nouveaux, sans recopier les bulles.</x:v>
      </x:c>
      <x:c r="H14" s="7" t="str">
        <x:v>Proposer questions de contexte, reformulation et fin de conversation; les informations nécessaires restent accessibles après une réponse sceptique.</x:v>
      </x:c>
      <x:c r="I14" s="7" t="str">
        <x:v>Portraits sobres avec locuteur et destinataire; encart distinct si l’information est un soupçon.</x:v>
      </x:c>
      <x:c r="J14" s="7" t="str">
        <x:v>Entrée prudente, geste d'inspection et retour au contrôle pour « #4 — choisir l’Initiative »; poser les sprites avant tout changement de caméra.</x:v>
      </x:c>
      <x:c r="K14" s="7" t="str">
        <x:v>Dialogue original à écrire; texte intégral accessible, avance manuelle et rappel des locuteurs.</x:v>
      </x:c>
      <x:c r="L14" s="7" t="str">
        <x:v>Arbre proposé DIS/04-CHOICE/dialogue; séparer ce qui est su, ce qui est affirmé et ce qui reste caché au joueur.</x:v>
      </x:c>
      <x:c r="M14" s="7" t="str">
        <x:v>Le passage de Tiran de l’infiltration vers l’adhésion reste un raccord narratif. Les choix locaux ne modifient pas la mort des personnages, l’issue de Zeta ou l’existence d’une autre version du voyage.</x:v>
      </x:c>
      <x:c r="N14" s="7" t="str">
        <x:v>Le lecteur peut identifier le locuteur, son but et le niveau de certitude; aucune phrase du comic n’est reproduite comme dialogue final.</x:v>
      </x:c>
      <x:c r="O14" s="7" t="str">
        <x:v>DIS-SC-04-CHOICE-MAIN</x:v>
      </x:c>
      <x:c r="P14" s="7" t="str">
        <x:v>Écriture originale à partir des thèmes, sans transcrire les bulles.</x:v>
      </x:c>
      <x:c r="Q14" s="7" t="str"/>
      <x:c r="R14" s="7" t="str"/>
      <x:c r="S14" s="7" t="str"/>
    </x:row>
  </x:sheetData>
  <x:conditionalFormatting sqref="D7:D14">
    <x:cfRule type="cellIs" dxfId="48" priority="1" operator="equal">
      <x:formula>"À vérifier"</x:formula>
    </x:cfRule>
    <x:cfRule type="cellIs" dxfId="49" priority="2" operator="equal">
      <x:formula>"Extrapolation"</x:formula>
    </x:cfRule>
  </x:conditionalFormatting>
  <x:conditionalFormatting sqref="C7:C14">
    <x:cfRule type="cellIs" dxfId="50" priority="3" operator="equal">
      <x:formula>"Validé"</x:formula>
    </x:cfRule>
  </x:conditionalFormatting>
  <x:conditionalFormatting sqref="E7:E14">
    <x:cfRule type="cellIs" dxfId="51"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17509602a83f45d7"/>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Discovery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DIS-SC-01-COVER-CINE</x:v>
      </x:c>
      <x:c r="B7" s="9" t="str">
        <x:v>#1 — entrer sous couverture — raccord mis en scène</x:v>
      </x:c>
      <x:c r="C7" s="15" t="str">
        <x:v>Défini</x:v>
      </x:c>
      <x:c r="D7" s="16" t="str">
        <x:v>Extrapolation</x:v>
      </x:c>
      <x:c r="E7" s="16" t="str">
        <x:v>P1</x:v>
      </x:c>
      <x:c r="F7" s="9" t="str">
        <x:v>Portrait de rapport militaire puis cadre ouvert du bureau de l’Initiative.</x:v>
      </x:c>
      <x:c r="G7" s="9" t="str">
        <x:v>Briefing → préparation de couverture → entrée → entretien.</x:v>
      </x:c>
      <x:c r="H7" s="9" t="str"/>
      <x:c r="I7" s="9" t="str">
        <x:v>Bureau clair et grand espace d’attente, nom de couverture dans l’interface.</x:v>
      </x:c>
      <x:c r="J7" s="9" t="str">
        <x:v>Entrée prudente, geste d'inspection et retour au contrôle pour « #1 — entrer sous couverture »; poser les sprites avant tout changement de caméra.</x:v>
      </x:c>
      <x:c r="K7" s="9" t="str">
        <x:v>Notification de dossier et ambiance de recrutement.</x:v>
      </x:c>
      <x:c r="L7" s="9" t="str">
        <x:v>Séquence proposée DIS/01-COVER/cinematic; mise à jour des états avant restitution du contrôle; bouton passer et relecture séparés.</x:v>
      </x:c>
      <x:c r="M7" s="9" t="str">
        <x:v>Le passage de Tiran de l’infiltration vers l’adhésion reste un raccord narratif. Les choix locaux ne modifient pas la mort des personnages, l’issue de Zeta ou l’existence d’une autre version du voyage.</x:v>
      </x:c>
      <x:c r="N7" s="9" t="str">
        <x:v>La version passée et la version regardée aboutissent au même placement, inventaire et objectif; les sous-titres ne sont pas coupés.</x:v>
      </x:c>
      <x:c r="O7" s="9" t="str">
        <x:v>DIS-SC-01-COVER-MAIN</x:v>
      </x:c>
      <x:c r="P7" s="9" t="str">
        <x:v>Découpage original pour sprites 2D sur décor 3D.</x:v>
      </x:c>
      <x:c r="Q7" s="9" t="str"/>
      <x:c r="R7" s="9" t="str"/>
      <x:c r="S7" s="9" t="str"/>
    </x:row>
    <x:row r="8" ht="68" customHeight="1">
      <x:c r="A8" s="19" t="str">
        <x:v>DIS-SC-01-SEARCH-CINE</x:v>
      </x:c>
      <x:c r="B8" s="7" t="str">
        <x:v>#1 — chercher le scientifique — raccord mis en scène</x:v>
      </x:c>
      <x:c r="C8" s="15" t="str">
        <x:v>Défini</x:v>
      </x:c>
      <x:c r="D8" s="17" t="str">
        <x:v>Extrapolation</x:v>
      </x:c>
      <x:c r="E8" s="17" t="str">
        <x:v>P1</x:v>
      </x:c>
      <x:c r="F8" s="7" t="str">
        <x:v>Cadres à hauteur de témoins, puis environnement vide indiquant un départ.</x:v>
      </x:c>
      <x:c r="G8" s="7" t="str">
        <x:v>Arrivée Citadelle → questions → vérification du lieu → nouvelle piste.</x:v>
      </x:c>
      <x:c r="H8" s="7" t="str"/>
      <x:c r="I8" s="7" t="str">
        <x:v>Habitations serrées avec passage principal toujours visible.</x:v>
      </x:c>
      <x:c r="J8" s="7" t="str">
        <x:v>Entrée prudente, geste d'inspection et retour au contrôle pour « #1 — chercher le scientifique »; poser les sprites avant tout changement de caméra.</x:v>
      </x:c>
      <x:c r="K8" s="7" t="str">
        <x:v>Vie quotidienne, écran d’information et interruption inquiétante.</x:v>
      </x:c>
      <x:c r="L8" s="7" t="str">
        <x:v>Séquence proposée DIS/01-SEARCH/cinematic; mise à jour des états avant restitution du contrôle; bouton passer et relecture séparés.</x:v>
      </x:c>
      <x:c r="M8" s="7" t="str">
        <x:v>Le passage de Tiran de l’infiltration vers l’adhésion reste un raccord narratif. Les choix locaux ne modifient pas la mort des personnages, l’issue de Zeta ou l’existence d’une autre version du voyage.</x:v>
      </x:c>
      <x:c r="N8" s="7" t="str">
        <x:v>La version passée et la version regardée aboutissent au même placement, inventaire et objectif; les sous-titres ne sont pas coupés.</x:v>
      </x:c>
      <x:c r="O8" s="7" t="str">
        <x:v>DIS-SC-01-SEARCH-MAIN</x:v>
      </x:c>
      <x:c r="P8" s="7" t="str">
        <x:v>Découpage original pour sprites 2D sur décor 3D.</x:v>
      </x:c>
      <x:c r="Q8" s="7" t="str"/>
      <x:c r="R8" s="7" t="str"/>
      <x:c r="S8" s="7" t="str"/>
    </x:row>
    <x:row r="9" ht="68" customHeight="1">
      <x:c r="A9" s="18" t="str">
        <x:v>DIS-SC-02-NOVARRA-CINE</x:v>
      </x:c>
      <x:c r="B9" s="9" t="str">
        <x:v>#2 — interroger le Novarra — raccord mis en scène</x:v>
      </x:c>
      <x:c r="C9" s="15" t="str">
        <x:v>Défini</x:v>
      </x:c>
      <x:c r="D9" s="16" t="str">
        <x:v>Extrapolation</x:v>
      </x:c>
      <x:c r="E9" s="16" t="str">
        <x:v>P1</x:v>
      </x:c>
      <x:c r="F9" s="9" t="str">
        <x:v>Bureau ouvert sur la mine, présence de l’excavatrice en repère.</x:v>
      </x:c>
      <x:c r="G9" s="9" t="str">
        <x:v>Arrivée → entretien → désaccord de méthode → interruption.</x:v>
      </x:c>
      <x:c r="H9" s="9" t="str"/>
      <x:c r="I9" s="9" t="str">
        <x:v>Structures de terrain simples et combinaisons quariennes lisibles.</x:v>
      </x:c>
      <x:c r="J9" s="9" t="str">
        <x:v>Entrée prudente, geste d'inspection et retour au contrôle pour « #2 — interroger le Novarra »; poser les sprites avant tout changement de caméra.</x:v>
      </x:c>
      <x:c r="K9" s="9" t="str">
        <x:v>Machinerie tenue sous le niveau des voix.</x:v>
      </x:c>
      <x:c r="L9" s="9" t="str">
        <x:v>Séquence proposée DIS/02-NOVARRA/cinematic; mise à jour des états avant restitution du contrôle; bouton passer et relecture séparés.</x:v>
      </x:c>
      <x:c r="M9" s="9" t="str">
        <x:v>Le passage de Tiran de l’infiltration vers l’adhésion reste un raccord narratif. Les choix locaux ne modifient pas la mort des personnages, l’issue de Zeta ou l’existence d’une autre version du voyage.</x:v>
      </x:c>
      <x:c r="N9" s="9" t="str">
        <x:v>La version passée et la version regardée aboutissent au même placement, inventaire et objectif; les sous-titres ne sont pas coupés.</x:v>
      </x:c>
      <x:c r="O9" s="9" t="str">
        <x:v>DIS-SC-02-NOVARRA-MAIN</x:v>
      </x:c>
      <x:c r="P9" s="9" t="str">
        <x:v>Découpage original pour sprites 2D sur décor 3D.</x:v>
      </x:c>
      <x:c r="Q9" s="9" t="str"/>
      <x:c r="R9" s="9" t="str"/>
      <x:c r="S9" s="9" t="str"/>
    </x:row>
    <x:row r="10" ht="68" customHeight="1">
      <x:c r="A10" s="19" t="str">
        <x:v>DIS-SC-02-ESCAPE-CINE</x:v>
      </x:c>
      <x:c r="B10" s="7" t="str">
        <x:v>#2 — sortie sous pression biotique — raccord mis en scène</x:v>
      </x:c>
      <x:c r="C10" s="15" t="str">
        <x:v>Défini</x:v>
      </x:c>
      <x:c r="D10" s="17" t="str">
        <x:v>Extrapolation</x:v>
      </x:c>
      <x:c r="E10" s="17" t="str">
        <x:v>P1</x:v>
      </x:c>
      <x:c r="F10" s="7" t="str">
        <x:v>Plateau minier entier dans le cadre, bord dangereux clairement marqué.</x:v>
      </x:c>
      <x:c r="G10" s="7" t="str">
        <x:v>Menace → séparation temporaire → secours → sortie narrative.</x:v>
      </x:c>
      <x:c r="H10" s="7" t="str"/>
      <x:c r="I10" s="7" t="str">
        <x:v>Excavatrice comme couvert, poussière limitée et sortie lumineuse.</x:v>
      </x:c>
      <x:c r="J10" s="7" t="str">
        <x:v>Entrée prudente, geste d'inspection et retour au contrôle pour « #2 — sortie sous pression biotique »; poser les sprites avant tout changement de caméra.</x:v>
      </x:c>
      <x:c r="K10" s="7" t="str">
        <x:v>Arrêt brutal des machines et charge biotique originale.</x:v>
      </x:c>
      <x:c r="L10" s="7" t="str">
        <x:v>Séquence proposée DIS/02-ESCAPE/cinematic; mise à jour des états avant restitution du contrôle; bouton passer et relecture séparés.</x:v>
      </x:c>
      <x:c r="M10" s="7" t="str">
        <x:v>Le passage de Tiran de l’infiltration vers l’adhésion reste un raccord narratif. Les choix locaux ne modifient pas la mort des personnages, l’issue de Zeta ou l’existence d’une autre version du voyage.</x:v>
      </x:c>
      <x:c r="N10" s="7" t="str">
        <x:v>La version passée et la version regardée aboutissent au même placement, inventaire et objectif; les sous-titres ne sont pas coupés.</x:v>
      </x:c>
      <x:c r="O10" s="7" t="str">
        <x:v>DIS-SC-02-ESCAPE-MAIN</x:v>
      </x:c>
      <x:c r="P10" s="7" t="str">
        <x:v>Découpage original pour sprites 2D sur décor 3D.</x:v>
      </x:c>
      <x:c r="Q10" s="7" t="str"/>
      <x:c r="R10" s="7" t="str"/>
      <x:c r="S10" s="7" t="str"/>
    </x:row>
    <x:row r="11" ht="68" customHeight="1">
      <x:c r="A11" s="18" t="str">
        <x:v>DIS-SC-03-IDENTITY-CINE</x:v>
      </x:c>
      <x:c r="B11" s="9" t="str">
        <x:v>#3 — identité reconnue — raccord mis en scène</x:v>
      </x:c>
      <x:c r="C11" s="15" t="str">
        <x:v>Défini</x:v>
      </x:c>
      <x:c r="D11" s="16" t="str">
        <x:v>Extrapolation</x:v>
      </x:c>
      <x:c r="E11" s="16" t="str">
        <x:v>P1</x:v>
      </x:c>
      <x:c r="F11" s="9" t="str">
        <x:v>Trois silhouettes dans un cadre ouvert, puis séparation visuelle du duo.</x:v>
      </x:c>
      <x:c r="G11" s="9" t="str">
        <x:v>Rencontre → révélation → explication → médiation locale.</x:v>
      </x:c>
      <x:c r="H11" s="9" t="str"/>
      <x:c r="I11" s="9" t="str">
        <x:v>Passage d’Omega et capuche de Tiran retirée ou déplacée selon référence.</x:v>
      </x:c>
      <x:c r="J11" s="9" t="str">
        <x:v>Entrée prudente, geste d'inspection et retour au contrôle pour « #3 — identité reconnue »; poser les sprites avant tout changement de caméra.</x:v>
      </x:c>
      <x:c r="K11" s="9" t="str">
        <x:v>Ambiance qui se baisse à la reconnaissance, sans effet de choc criard.</x:v>
      </x:c>
      <x:c r="L11" s="9" t="str">
        <x:v>Séquence proposée DIS/03-IDENTITY/cinematic; mise à jour des états avant restitution du contrôle; bouton passer et relecture séparés.</x:v>
      </x:c>
      <x:c r="M11" s="9" t="str">
        <x:v>Le passage de Tiran de l’infiltration vers l’adhésion reste un raccord narratif. Les choix locaux ne modifient pas la mort des personnages, l’issue de Zeta ou l’existence d’une autre version du voyage.</x:v>
      </x:c>
      <x:c r="N11" s="9" t="str">
        <x:v>La version passée et la version regardée aboutissent au même placement, inventaire et objectif; les sous-titres ne sont pas coupés.</x:v>
      </x:c>
      <x:c r="O11" s="9" t="str">
        <x:v>DIS-SC-03-IDENTITY-MAIN</x:v>
      </x:c>
      <x:c r="P11" s="9" t="str">
        <x:v>Découpage original pour sprites 2D sur décor 3D.</x:v>
      </x:c>
      <x:c r="Q11" s="9" t="str"/>
      <x:c r="R11" s="9" t="str"/>
      <x:c r="S11" s="9" t="str"/>
    </x:row>
    <x:row r="12" ht="68" customHeight="1">
      <x:c r="A12" s="19" t="str">
        <x:v>DIS-SC-03-PATH-CINE</x:v>
      </x:c>
      <x:c r="B12" s="7" t="str">
        <x:v>#3 — poursuivre malgré la rupture — raccord mis en scène</x:v>
      </x:c>
      <x:c r="C12" s="15" t="str">
        <x:v>Défini</x:v>
      </x:c>
      <x:c r="D12" s="17" t="str">
        <x:v>Extrapolation</x:v>
      </x:c>
      <x:c r="E12" s="17" t="str">
        <x:v>P1</x:v>
      </x:c>
      <x:c r="F12" s="7" t="str">
        <x:v>Autorité d’Afterlife puis sortie sur un espace où le duo peut parler à égalité.</x:v>
      </x:c>
      <x:c r="G12" s="7" t="str">
        <x:v>Entretien local → clarification → route d’enquête → départ vers le final.</x:v>
      </x:c>
      <x:c r="H12" s="7" t="str"/>
      <x:c r="I12" s="7" t="str">
        <x:v>Arrière-plan violet réduit, couloir industriel de retour.</x:v>
      </x:c>
      <x:c r="J12" s="7" t="str">
        <x:v>Entrée prudente, geste d'inspection et retour au contrôle pour « #3 — poursuivre malgré la rupture »; poser les sprites avant tout changement de caméra.</x:v>
      </x:c>
      <x:c r="K12" s="7" t="str">
        <x:v>Musique de club filtrée puis conversation plus claire.</x:v>
      </x:c>
      <x:c r="L12" s="7" t="str">
        <x:v>Séquence proposée DIS/03-PATH/cinematic; mise à jour des états avant restitution du contrôle; bouton passer et relecture séparés.</x:v>
      </x:c>
      <x:c r="M12" s="7" t="str">
        <x:v>Le passage de Tiran de l’infiltration vers l’adhésion reste un raccord narratif. Les choix locaux ne modifient pas la mort des personnages, l’issue de Zeta ou l’existence d’une autre version du voyage.</x:v>
      </x:c>
      <x:c r="N12" s="7" t="str">
        <x:v>La version passée et la version regardée aboutissent au même placement, inventaire et objectif; les sous-titres ne sont pas coupés.</x:v>
      </x:c>
      <x:c r="O12" s="7" t="str">
        <x:v>DIS-SC-03-PATH-MAIN</x:v>
      </x:c>
      <x:c r="P12" s="7" t="str">
        <x:v>Découpage original pour sprites 2D sur décor 3D.</x:v>
      </x:c>
      <x:c r="Q12" s="7" t="str"/>
      <x:c r="R12" s="7" t="str"/>
      <x:c r="S12" s="7" t="str"/>
    </x:row>
    <x:row r="13" ht="68" customHeight="1">
      <x:c r="A13" s="18" t="str">
        <x:v>DIS-SC-04-ARRAY-CINE</x:v>
      </x:c>
      <x:c r="B13" s="9" t="str">
        <x:v>#4 — données du réseau Kholas — raccord mis en scène</x:v>
      </x:c>
      <x:c r="C13" s="15" t="str">
        <x:v>Défini</x:v>
      </x:c>
      <x:c r="D13" s="16" t="str">
        <x:v>Extrapolation</x:v>
      </x:c>
      <x:c r="E13" s="16" t="str">
        <x:v>P1</x:v>
      </x:c>
      <x:c r="F13" s="9" t="str">
        <x:v>Terminal, Shio et défenseurs visibles simultanément; ne pas éloigner le joueur par une longue cinématique pendant l’action.</x:v>
      </x:c>
      <x:c r="G13" s="9" t="str">
        <x:v>Arrivée → compréhension de l’erreur → protection → validation → extraction.</x:v>
      </x:c>
      <x:c r="H13" s="9" t="str"/>
      <x:c r="I13" s="9" t="str">
        <x:v>Surface geth sombre, points d’appui clairs et vaste fond spatial.</x:v>
      </x:c>
      <x:c r="J13" s="9" t="str">
        <x:v>Entrée prudente, geste d'inspection et retour au contrôle pour « #4 — données du réseau Kholas »; poser les sprites avant tout changement de caméra.</x:v>
      </x:c>
      <x:c r="K13" s="9" t="str">
        <x:v>Signaux électroniques progressifs et radio filtrée.</x:v>
      </x:c>
      <x:c r="L13" s="9" t="str">
        <x:v>Séquence proposée DIS/04-ARRAY/cinematic; mise à jour des états avant restitution du contrôle; bouton passer et relecture séparés.</x:v>
      </x:c>
      <x:c r="M13" s="9" t="str">
        <x:v>Le passage de Tiran de l’infiltration vers l’adhésion reste un raccord narratif. Les choix locaux ne modifient pas la mort des personnages, l’issue de Zeta ou l’existence d’une autre version du voyage.</x:v>
      </x:c>
      <x:c r="N13" s="9" t="str">
        <x:v>La version passée et la version regardée aboutissent au même placement, inventaire et objectif; les sous-titres ne sont pas coupés.</x:v>
      </x:c>
      <x:c r="O13" s="9" t="str">
        <x:v>DIS-SC-04-ARRAY-MAIN</x:v>
      </x:c>
      <x:c r="P13" s="9" t="str">
        <x:v>Découpage original pour sprites 2D sur décor 3D.</x:v>
      </x:c>
      <x:c r="Q13" s="9" t="str"/>
      <x:c r="R13" s="9" t="str"/>
      <x:c r="S13" s="9" t="str"/>
    </x:row>
    <x:row r="14" ht="68" customHeight="1">
      <x:c r="A14" s="19" t="str">
        <x:v>DIS-SC-04-CHOICE-CINE</x:v>
      </x:c>
      <x:c r="B14" s="7" t="str">
        <x:v>#4 — choisir l’Initiative — raccord mis en scène</x:v>
      </x:c>
      <x:c r="C14" s="15" t="str">
        <x:v>Défini</x:v>
      </x:c>
      <x:c r="D14" s="17" t="str">
        <x:v>Extrapolation</x:v>
      </x:c>
      <x:c r="E14" s="17" t="str">
        <x:v>P1</x:v>
      </x:c>
      <x:c r="F14" s="7" t="str">
        <x:v>Conversation sobre puis ouverture vers un horizon de départ.</x:v>
      </x:c>
      <x:c r="G14" s="7" t="str">
        <x:v>Retour → bilan militaire → conversation familiale → engagement.</x:v>
      </x:c>
      <x:c r="H14" s="7" t="str"/>
      <x:c r="I14" s="7" t="str">
        <x:v>Tenues de retour, badge Initiative proposé et fond terrestre calme.</x:v>
      </x:c>
      <x:c r="J14" s="7" t="str">
        <x:v>Entrée prudente, geste d'inspection et retour au contrôle pour « #4 — choisir l’Initiative »; poser les sprites avant tout changement de caméra.</x:v>
      </x:c>
      <x:c r="K14" s="7" t="str">
        <x:v>Motif original qui reprend celui du doute sous une forme plus ouverte.</x:v>
      </x:c>
      <x:c r="L14" s="7" t="str">
        <x:v>Séquence proposée DIS/04-CHOICE/cinematic; mise à jour des états avant restitution du contrôle; bouton passer et relecture séparés.</x:v>
      </x:c>
      <x:c r="M14" s="7" t="str">
        <x:v>Le passage de Tiran de l’infiltration vers l’adhésion reste un raccord narratif. Les choix locaux ne modifient pas la mort des personnages, l’issue de Zeta ou l’existence d’une autre version du voyage.</x:v>
      </x:c>
      <x:c r="N14" s="7" t="str">
        <x:v>La version passée et la version regardée aboutissent au même placement, inventaire et objectif; les sous-titres ne sont pas coupés.</x:v>
      </x:c>
      <x:c r="O14" s="7" t="str">
        <x:v>DIS-SC-04-CHOICE-MAIN</x:v>
      </x:c>
      <x:c r="P14" s="7" t="str">
        <x:v>Découpage original pour sprites 2D sur décor 3D.</x:v>
      </x:c>
      <x:c r="Q14" s="7" t="str"/>
      <x:c r="R14" s="7" t="str"/>
      <x:c r="S14" s="7" t="str"/>
    </x:row>
  </x:sheetData>
  <x:conditionalFormatting sqref="D7:D14">
    <x:cfRule type="cellIs" dxfId="52" priority="1" operator="equal">
      <x:formula>"À vérifier"</x:formula>
    </x:cfRule>
    <x:cfRule type="cellIs" dxfId="53" priority="2" operator="equal">
      <x:formula>"Extrapolation"</x:formula>
    </x:cfRule>
  </x:conditionalFormatting>
  <x:conditionalFormatting sqref="C7:C14">
    <x:cfRule type="cellIs" dxfId="54" priority="3" operator="equal">
      <x:formula>"Validé"</x:formula>
    </x:cfRule>
  </x:conditionalFormatting>
  <x:conditionalFormatting sqref="E7:E14">
    <x:cfRule type="cellIs" dxfId="55"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5d9aa3676f0c4617"/>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Discovery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DIS-KIT-SHURIKEN</x:v>
      </x:c>
      <x:c r="B7" s="9" t="str">
        <x:v>M-4 Shuriken — référence à contrôler</x:v>
      </x:c>
      <x:c r="C7" s="15" t="str">
        <x:v>Défini</x:v>
      </x:c>
      <x:c r="D7" s="16" t="str">
        <x:v>Extrapolation</x:v>
      </x:c>
      <x:c r="E7" s="16" t="str">
        <x:v>P1</x:v>
      </x:c>
      <x:c r="F7" s="9" t="str">
        <x:v>Le wiki du numéro 3 nomme cette arme pour Shanks; le profil proposé reste non canon.</x:v>
      </x:c>
      <x:c r="G7" s="9" t="str">
        <x:v>Différencier tir court et contrôle biotique.</x:v>
      </x:c>
      <x:c r="H7" s="9" t="str">
        <x:v>Rafale légère avec récupération; aucune valeur de dégâts du jeu importée automatiquement.</x:v>
      </x:c>
      <x:c r="I7" s="9" t="str">
        <x:v>Silhouette compacte à comparer à l’illustration.</x:v>
      </x:c>
      <x:c r="J7" s="9" t="str">
        <x:v>Visée brève et rangement avant biotique.</x:v>
      </x:c>
      <x:c r="K7" s="9" t="str">
        <x:v>Confirmation audiovisuelle originale, doublée d’un libellé.</x:v>
      </x:c>
      <x:c r="L7" s="9" t="str">
        <x:v>Spécification de ressource DIS/kit/SHURIKEN; données séparées du moteur, interface de coût et états d'épuisement prévus.</x:v>
      </x:c>
      <x:c r="M7" s="9" t="str">
        <x:v>Le passage de Tiran de l’infiltration vers l’adhésion reste un raccord narratif. Les choix locaux ne modifient pas la mort des personnages, l’issue de Zeta ou l’existence d’une autre version du voyage.</x:v>
      </x:c>
      <x:c r="N7" s="9" t="str">
        <x:v>Le modèle et sa présence sont vérifiés dans #3 avant création finale.</x:v>
      </x:c>
      <x:c r="O7" s="9" t="str"/>
      <x:c r="P7" s="9" t="str">
        <x:v>Création de gameplay et direction visuelle originales; modèle exact à vérifier si une arme source est évoquée.</x:v>
      </x:c>
      <x:c r="Q7" s="9" t="str">
        <x:v>DIS-S-ISSUE3</x:v>
      </x:c>
      <x:c r="R7" s="9" t="str">
        <x:v>https://masseffect.fandom.com/wiki/Mass_Effect%3A_Discovery_3</x:v>
      </x:c>
      <x:c r="S7" s="9" t="str"/>
    </x:row>
    <x:row r="8" ht="68" customHeight="1">
      <x:c r="A8" s="19" t="str">
        <x:v>DIS-KIT-TIRAN</x:v>
      </x:c>
      <x:c r="B8" s="7" t="str">
        <x:v>Arme de service de Tiran — profil proposé</x:v>
      </x:c>
      <x:c r="C8" s="15" t="str">
        <x:v>Défini</x:v>
      </x:c>
      <x:c r="D8" s="17" t="str">
        <x:v>Extrapolation</x:v>
      </x:c>
      <x:c r="E8" s="17" t="str">
        <x:v>P1</x:v>
      </x:c>
      <x:c r="F8" s="7" t="str">
        <x:v>Choisir le modèle exact après examen des numéros.</x:v>
      </x:c>
      <x:c r="G8" s="7" t="str">
        <x:v>Permettre protection et interruption.</x:v>
      </x:c>
      <x:c r="H8" s="7" t="str">
        <x:v>Tir précis à ligne de vue, coût ATB affiché; pas de suppression globale.</x:v>
      </x:c>
      <x:c r="I8" s="7" t="str">
        <x:v>Arme longue sobre et orientation lisible.</x:v>
      </x:c>
      <x:c r="J8" s="7" t="str">
        <x:v>Épaulé, tir et retour à l’observation.</x:v>
      </x:c>
      <x:c r="K8" s="7" t="str">
        <x:v>Confirmation audiovisuelle originale, doublée d’un libellé.</x:v>
      </x:c>
      <x:c r="L8" s="7" t="str">
        <x:v>Spécification de ressource DIS/kit/TIRAN; données séparées du moteur, interface de coût et états d'épuisement prévus.</x:v>
      </x:c>
      <x:c r="M8" s="7" t="str">
        <x:v>Le passage de Tiran de l’infiltration vers l’adhésion reste un raccord narratif. Les choix locaux ne modifient pas la mort des personnages, l’issue de Zeta ou l’existence d’une autre version du voyage.</x:v>
      </x:c>
      <x:c r="N8" s="7" t="str">
        <x:v>Aucun modèle de Heleus n’apparaît par défaut dans cette préquelle.</x:v>
      </x:c>
      <x:c r="O8" s="7" t="str"/>
      <x:c r="P8" s="7" t="str">
        <x:v>Création de gameplay et direction visuelle originales; modèle exact à vérifier si une arme source est évoquée.</x:v>
      </x:c>
      <x:c r="Q8" s="7" t="str"/>
      <x:c r="R8" s="7" t="str"/>
      <x:c r="S8" s="7" t="str"/>
    </x:row>
  </x:sheetData>
  <x:conditionalFormatting sqref="D7:D8">
    <x:cfRule type="cellIs" dxfId="56" priority="1" operator="equal">
      <x:formula>"À vérifier"</x:formula>
    </x:cfRule>
    <x:cfRule type="cellIs" dxfId="57" priority="2" operator="equal">
      <x:formula>"Extrapolation"</x:formula>
    </x:cfRule>
  </x:conditionalFormatting>
  <x:conditionalFormatting sqref="C7:C8">
    <x:cfRule type="cellIs" dxfId="58" priority="3" operator="equal">
      <x:formula>"Validé"</x:formula>
    </x:cfRule>
  </x:conditionalFormatting>
  <x:conditionalFormatting sqref="E7:E8">
    <x:cfRule type="cellIs" dxfId="59"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eae04e3add3645dd"/>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Discovery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DIS-KIT-ALIAS</x:v>
      </x:c>
      <x:c r="B7" s="9" t="str">
        <x:v>Identité de couverture contextuelle</x:v>
      </x:c>
      <x:c r="C7" s="15" t="str">
        <x:v>Défini</x:v>
      </x:c>
      <x:c r="D7" s="16" t="str">
        <x:v>Extrapolation</x:v>
      </x:c>
      <x:c r="E7" s="16" t="str">
        <x:v>P1</x:v>
      </x:c>
      <x:c r="F7" s="9" t="str">
        <x:v>Système original de noms affichés.</x:v>
      </x:c>
      <x:c r="G7" s="9" t="str">
        <x:v>Préserver la révélation du troisième numéro.</x:v>
      </x:c>
      <x:c r="H7" s="9" t="str">
        <x:v>Un acteur, deux noms; règles de connaissance par interlocuteur.</x:v>
      </x:c>
      <x:c r="I7" s="9" t="str">
        <x:v>Badge de couverture réservé au joueur.</x:v>
      </x:c>
      <x:c r="J7" s="9" t="str">
        <x:v>Changement de portrait de tenue si confirmé.</x:v>
      </x:c>
      <x:c r="K7" s="9" t="str">
        <x:v>Confirmation audiovisuelle originale, doublée d’un libellé.</x:v>
      </x:c>
      <x:c r="L7" s="9" t="str">
        <x:v>Spécification de ressource DIS/kit/ALIAS; données séparées du moteur, interface de coût et états d'épuisement prévus.</x:v>
      </x:c>
      <x:c r="M7" s="9" t="str">
        <x:v>Le passage de Tiran de l’infiltration vers l’adhésion reste un raccord narratif. Les choix locaux ne modifient pas la mort des personnages, l’issue de Zeta ou l’existence d’une autre version du voyage.</x:v>
      </x:c>
      <x:c r="N7" s="9" t="str">
        <x:v>Shanks ne prononce pas le vrai nom avant de le connaître.</x:v>
      </x:c>
      <x:c r="O7" s="9" t="str"/>
      <x:c r="P7" s="9" t="str">
        <x:v>Création de gameplay et direction visuelle originales; modèle exact à vérifier si une arme source est évoquée.</x:v>
      </x:c>
      <x:c r="Q7" s="9" t="str"/>
      <x:c r="R7" s="9" t="str"/>
      <x:c r="S7" s="9" t="str"/>
    </x:row>
    <x:row r="8" ht="68" customHeight="1">
      <x:c r="A8" s="19" t="str">
        <x:v>DIS-KIT-ASTRO</x:v>
      </x:c>
      <x:c r="B8" s="7" t="str">
        <x:v>Validation astrométrique abstraite</x:v>
      </x:c>
      <x:c r="C8" s="15" t="str">
        <x:v>Défini</x:v>
      </x:c>
      <x:c r="D8" s="17" t="str">
        <x:v>Extrapolation</x:v>
      </x:c>
      <x:c r="E8" s="17" t="str">
        <x:v>P1</x:v>
      </x:c>
      <x:c r="F8" s="7" t="str">
        <x:v>Interface originale de données.</x:v>
      </x:c>
      <x:c r="G8" s="7" t="str">
        <x:v>Représenter l’enjeu de correction sans faux calculs scientifiques.</x:v>
      </x:c>
      <x:c r="H8" s="7" t="str">
        <x:v>Comparer trois états qualitatifs; aucune coordonnée inventée comme donnée officielle.</x:v>
      </x:c>
      <x:c r="I8" s="7" t="str">
        <x:v>Blocs, liaisons et libellés simples.</x:v>
      </x:c>
      <x:c r="J8" s="7" t="str">
        <x:v>Mise à jour par segments.</x:v>
      </x:c>
      <x:c r="K8" s="7" t="str">
        <x:v>Confirmation audiovisuelle originale, doublée d’un libellé.</x:v>
      </x:c>
      <x:c r="L8" s="7" t="str">
        <x:v>Spécification de ressource DIS/kit/ASTRO; données séparées du moteur, interface de coût et états d'épuisement prévus.</x:v>
      </x:c>
      <x:c r="M8" s="7" t="str">
        <x:v>Le passage de Tiran de l’infiltration vers l’adhésion reste un raccord narratif. Les choix locaux ne modifient pas la mort des personnages, l’issue de Zeta ou l’existence d’une autre version du voyage.</x:v>
      </x:c>
      <x:c r="N8" s="7" t="str">
        <x:v>Le joueur comprend ce qui reste à faire et aucun nombre fictif n’est présenté comme mesure canon.</x:v>
      </x:c>
      <x:c r="O8" s="7" t="str"/>
      <x:c r="P8" s="7" t="str">
        <x:v>Création de gameplay et direction visuelle originales; modèle exact à vérifier si une arme source est évoquée.</x:v>
      </x:c>
      <x:c r="Q8" s="7" t="str"/>
      <x:c r="R8" s="7" t="str"/>
      <x:c r="S8" s="7" t="str"/>
    </x:row>
  </x:sheetData>
  <x:conditionalFormatting sqref="D7:D8">
    <x:cfRule type="cellIs" dxfId="60" priority="1" operator="equal">
      <x:formula>"À vérifier"</x:formula>
    </x:cfRule>
    <x:cfRule type="cellIs" dxfId="61" priority="2" operator="equal">
      <x:formula>"Extrapolation"</x:formula>
    </x:cfRule>
  </x:conditionalFormatting>
  <x:conditionalFormatting sqref="C7:C8">
    <x:cfRule type="cellIs" dxfId="62" priority="3" operator="equal">
      <x:formula>"Validé"</x:formula>
    </x:cfRule>
  </x:conditionalFormatting>
  <x:conditionalFormatting sqref="E7:E8">
    <x:cfRule type="cellIs" dxfId="6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8252edfc6c474c70"/>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Discovery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DIS-KIT-BIOTIC</x:v>
      </x:c>
      <x:c r="B7" s="9" t="str">
        <x:v>Biotiques Shanks / Zeta — profils distincts</x:v>
      </x:c>
      <x:c r="C7" s="15" t="str">
        <x:v>Défini</x:v>
      </x:c>
      <x:c r="D7" s="16" t="str">
        <x:v>Extrapolation</x:v>
      </x:c>
      <x:c r="E7" s="16" t="str">
        <x:v>P1</x:v>
      </x:c>
      <x:c r="F7" s="9" t="str">
        <x:v>Règles originales de contrôle et de surcharge.</x:v>
      </x:c>
      <x:c r="G7" s="9" t="str">
        <x:v>Éviter une même capacité interchangeable pour tous.</x:v>
      </x:c>
      <x:c r="H7" s="9" t="str">
        <x:v>Shanks dégage une route; Zeta exerce une pression de zone et récupère; coûts proposés séparés.</x:v>
      </x:c>
      <x:c r="I7" s="9" t="str">
        <x:v>Gestes et formes de signal différents.</x:v>
      </x:c>
      <x:c r="J7" s="9" t="str">
        <x:v>Préparations reconnaissables sans son.</x:v>
      </x:c>
      <x:c r="K7" s="9" t="str">
        <x:v>Confirmation audiovisuelle originale, doublée d’un libellé.</x:v>
      </x:c>
      <x:c r="L7" s="9" t="str">
        <x:v>Spécification de ressource DIS/kit/BIOTIC; données séparées du moteur, interface de coût et états d'épuisement prévus.</x:v>
      </x:c>
      <x:c r="M7" s="9" t="str">
        <x:v>Le passage de Tiran de l’infiltration vers l’adhésion reste un raccord narratif. Les choix locaux ne modifient pas la mort des personnages, l’issue de Zeta ou l’existence d’une autre version du voyage.</x:v>
      </x:c>
      <x:c r="N7" s="9" t="str">
        <x:v>Une action peut être identifiée par sa silhouette avant l’impact.</x:v>
      </x:c>
      <x:c r="O7" s="9" t="str"/>
      <x:c r="P7" s="9" t="str">
        <x:v>Création de gameplay et direction visuelle originales; modèle exact à vérifier si une arme source est évoquée.</x:v>
      </x:c>
      <x:c r="Q7" s="9" t="str"/>
      <x:c r="R7" s="9" t="str"/>
      <x:c r="S7" s="9" t="str"/>
    </x:row>
  </x:sheetData>
  <x:conditionalFormatting sqref="D7:D7">
    <x:cfRule type="cellIs" dxfId="64" priority="1" operator="equal">
      <x:formula>"À vérifier"</x:formula>
    </x:cfRule>
    <x:cfRule type="cellIs" dxfId="65" priority="2" operator="equal">
      <x:formula>"Extrapolation"</x:formula>
    </x:cfRule>
  </x:conditionalFormatting>
  <x:conditionalFormatting sqref="C7:C7">
    <x:cfRule type="cellIs" dxfId="66" priority="3" operator="equal">
      <x:formula>"Validé"</x:formula>
    </x:cfRule>
  </x:conditionalFormatting>
  <x:conditionalFormatting sqref="E7:E7">
    <x:cfRule type="cellIs" dxfId="6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31afe2646f3b4e34"/>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Discovery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DIS-ALLY-TIRAN</x:v>
      </x:c>
      <x:c r="B7" s="9" t="str">
        <x:v>Protection d’enquête</x:v>
      </x:c>
      <x:c r="C7" s="15" t="str">
        <x:v>Défini</x:v>
      </x:c>
      <x:c r="D7" s="16" t="str">
        <x:v>Extrapolation</x:v>
      </x:c>
      <x:c r="E7" s="16" t="str">
        <x:v>P1</x:v>
      </x:c>
      <x:c r="F7" s="9" t="str">
        <x:v>Action de groupe originale pour Tiran Kandros.</x:v>
      </x:c>
      <x:c r="G7" s="9" t="str">
        <x:v>Enquêteur sous couverture; préparer des accès et protéger les partenaires.</x:v>
      </x:c>
      <x:c r="H7" s="9" t="str">
        <x:v>Proposition : réserver une action pour couvrir Shio ou Shanks pendant une interaction; la ligne de vue et la proximité sont nécessaires.</x:v>
      </x:c>
      <x:c r="I7" s="9" t="str">
        <x:v>Trait entre protecteur et partenaire, statut préparation.</x:v>
      </x:c>
      <x:c r="J7" s="9" t="str">
        <x:v>Observation, réponse prudente, contact radio et garde.</x:v>
      </x:c>
      <x:c r="K7" s="9" t="str">
        <x:v>Confirmation courte doublée d’un pictogramme; événement silencieux visible dans le journal de combat.</x:v>
      </x:c>
      <x:c r="L7" s="9" t="str">
        <x:v>Commande ATB proposée DIS/TIRAN/assist; résoudre cible, coût proposé, contre-mesure et annulation avant les dégâts.</x:v>
      </x:c>
      <x:c r="M7" s="9" t="str">
        <x:v>Le passage de Tiran de l’infiltration vers l’adhésion reste un raccord narratif. Les choix locaux ne modifient pas la mort des personnages, l’issue de Zeta ou l’existence d’une autre version du voyage.</x:v>
      </x:c>
      <x:c r="N7" s="9" t="str">
        <x:v>La commande indique son coût avant validation, échoue proprement si la cible devient invalide et ne déclenche pas une action canon supplémentaire.</x:v>
      </x:c>
      <x:c r="O7" s="9" t="str">
        <x:v>DIS-ACT-TIRAN, DIS-ANI-TIRAN</x:v>
      </x:c>
      <x:c r="P7" s="9" t="str">
        <x:v>Adaptation originale du rôle; pas un pouvoir officiel du comic.</x:v>
      </x:c>
      <x:c r="Q7" s="9" t="str"/>
      <x:c r="R7" s="9" t="str"/>
      <x:c r="S7" s="9" t="str"/>
    </x:row>
    <x:row r="8" ht="68" customHeight="1">
      <x:c r="A8" s="19" t="str">
        <x:v>DIS-ALLY-SHANKS</x:v>
      </x:c>
      <x:c r="B8" s="7" t="str">
        <x:v>Dégagement biotique</x:v>
      </x:c>
      <x:c r="C8" s="15" t="str">
        <x:v>Défini</x:v>
      </x:c>
      <x:c r="D8" s="17" t="str">
        <x:v>Extrapolation</x:v>
      </x:c>
      <x:c r="E8" s="17" t="str">
        <x:v>P1</x:v>
      </x:c>
      <x:c r="F8" s="7" t="str">
        <x:v>Action de groupe originale pour Luna Shanks.</x:v>
      </x:c>
      <x:c r="G8" s="7" t="str">
        <x:v>Partenaire biotique et interlocutrice dont la confiance évolue.</x:v>
      </x:c>
      <x:c r="H8" s="7" t="str">
        <x:v>Proposition : libérer un passage pour un partenaire en déplaçant une cible compatible; la géométrie bloque les projections impossibles.</x:v>
      </x:c>
      <x:c r="I8" s="7" t="str">
        <x:v>Arc cyan court et point d’arrivée.</x:v>
      </x:c>
      <x:c r="J8" s="7" t="str">
        <x:v>Interrogation directe, maintien biotique et réaction de défiance.</x:v>
      </x:c>
      <x:c r="K8" s="7" t="str">
        <x:v>Confirmation courte doublée d’un pictogramme; événement silencieux visible dans le journal de combat.</x:v>
      </x:c>
      <x:c r="L8" s="7" t="str">
        <x:v>Commande ATB proposée DIS/SHANKS/assist; résoudre cible, coût proposé, contre-mesure et annulation avant les dégâts.</x:v>
      </x:c>
      <x:c r="M8" s="7" t="str">
        <x:v>Le passage de Tiran de l’infiltration vers l’adhésion reste un raccord narratif. Les choix locaux ne modifient pas la mort des personnages, l’issue de Zeta ou l’existence d’une autre version du voyage.</x:v>
      </x:c>
      <x:c r="N8" s="7" t="str">
        <x:v>La commande indique son coût avant validation, échoue proprement si la cible devient invalide et ne déclenche pas une action canon supplémentaire.</x:v>
      </x:c>
      <x:c r="O8" s="7" t="str">
        <x:v>DIS-ACT-SHANKS, DIS-ANI-SHANKS</x:v>
      </x:c>
      <x:c r="P8" s="7" t="str">
        <x:v>Adaptation originale du rôle; pas un pouvoir officiel du comic.</x:v>
      </x:c>
      <x:c r="Q8" s="7" t="str"/>
      <x:c r="R8" s="7" t="str"/>
      <x:c r="S8" s="7" t="str"/>
    </x:row>
    <x:row r="9" ht="68" customHeight="1">
      <x:c r="A9" s="18" t="str">
        <x:v>DIS-ALLY-SHIO</x:v>
      </x:c>
      <x:c r="B9" s="9" t="str">
        <x:v>Correction de données</x:v>
      </x:c>
      <x:c r="C9" s="15" t="str">
        <x:v>Défini</x:v>
      </x:c>
      <x:c r="D9" s="16" t="str">
        <x:v>Extrapolation</x:v>
      </x:c>
      <x:c r="E9" s="16" t="str">
        <x:v>P1</x:v>
      </x:c>
      <x:c r="F9" s="9" t="str">
        <x:v>Action de groupe originale pour Shio’Leth vas Novarra.</x:v>
      </x:c>
      <x:c r="G9" s="9" t="str">
        <x:v>Personnage d’objectif avec initiative propre; accès aux données, sans statut de simple colis.</x:v>
      </x:c>
      <x:c r="H9" s="9" t="str">
        <x:v>Proposition finale : consacrer une fenêtre d’action à un terminal pendant que le groupe protège l’accès; aucune équation réelle inventée.</x:v>
      </x:c>
      <x:c r="I9" s="9" t="str">
        <x:v>Progression qualitative et statut de validation.</x:v>
      </x:c>
      <x:c r="J9" s="9" t="str">
        <x:v>Inspection, hésitation et manipulation concentrée.</x:v>
      </x:c>
      <x:c r="K9" s="9" t="str">
        <x:v>Confirmation courte doublée d’un pictogramme; événement silencieux visible dans le journal de combat.</x:v>
      </x:c>
      <x:c r="L9" s="9" t="str">
        <x:v>Commande ATB proposée DIS/SHIO/assist; résoudre cible, coût proposé, contre-mesure et annulation avant les dégâts.</x:v>
      </x:c>
      <x:c r="M9" s="9" t="str">
        <x:v>Le passage de Tiran de l’infiltration vers l’adhésion reste un raccord narratif. Les choix locaux ne modifient pas la mort des personnages, l’issue de Zeta ou l’existence d’une autre version du voyage.</x:v>
      </x:c>
      <x:c r="N9" s="9" t="str">
        <x:v>La commande indique son coût avant validation, échoue proprement si la cible devient invalide et ne déclenche pas une action canon supplémentaire.</x:v>
      </x:c>
      <x:c r="O9" s="9" t="str">
        <x:v>DIS-ACT-SHIO, DIS-ANI-SHIO</x:v>
      </x:c>
      <x:c r="P9" s="9" t="str">
        <x:v>Adaptation originale du rôle; pas un pouvoir officiel du comic.</x:v>
      </x:c>
      <x:c r="Q9" s="9" t="str"/>
      <x:c r="R9" s="9" t="str"/>
      <x:c r="S9" s="9" t="str"/>
    </x:row>
  </x:sheetData>
  <x:conditionalFormatting sqref="D7:D9">
    <x:cfRule type="cellIs" dxfId="68" priority="1" operator="equal">
      <x:formula>"À vérifier"</x:formula>
    </x:cfRule>
    <x:cfRule type="cellIs" dxfId="69" priority="2" operator="equal">
      <x:formula>"Extrapolation"</x:formula>
    </x:cfRule>
  </x:conditionalFormatting>
  <x:conditionalFormatting sqref="C7:C9">
    <x:cfRule type="cellIs" dxfId="70" priority="3" operator="equal">
      <x:formula>"Validé"</x:formula>
    </x:cfRule>
  </x:conditionalFormatting>
  <x:conditionalFormatting sqref="E7:E9">
    <x:cfRule type="cellIs" dxfId="71"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62eb95c6d2624f22"/>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Discovery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DIS-EN-ZETA-M1</x:v>
      </x:c>
      <x:c r="B7" s="9" t="str">
        <x:v>Onde de rupture</x:v>
      </x:c>
      <x:c r="C7" s="15" t="str">
        <x:v>Défini</x:v>
      </x:c>
      <x:c r="D7" s="16" t="str">
        <x:v>Extrapolation</x:v>
      </x:c>
      <x:c r="E7" s="16" t="str">
        <x:v>P1</x:v>
      </x:c>
      <x:c r="F7" s="9" t="str">
        <x:v>Pattern original de zone.</x:v>
      </x:c>
      <x:c r="G7" s="9" t="str">
        <x:v>Antagoniste à surcharge; même acteur que la fiche de personnage, pas copie indépendante.</x:v>
      </x:c>
      <x:c r="H7" s="9" t="str">
        <x:v>Marquer l’aire avant impact; couvert ou sortie latérale selon scène.</x:v>
      </x:c>
      <x:c r="I7" s="9" t="str">
        <x:v>Anneau discontinu.</x:v>
      </x:c>
      <x:c r="J7" s="9" t="str">
        <x:v>Charge du haut du corps, projection et instabilité.</x:v>
      </x:c>
      <x:c r="K7" s="9" t="str">
        <x:v>Basse biotique originale et alerte de surcharge.</x:v>
      </x:c>
      <x:c r="L7" s="9" t="str">
        <x:v>Action proposée DIS/ZETA/1; étapes annonce → attente ATB → validation cible → résolution; annulation explicite si neutralisé.</x:v>
      </x:c>
      <x:c r="M7" s="9" t="str">
        <x:v>Le passage de Tiran de l’infiltration vers l’adhésion reste un raccord narratif. Les choix locaux ne modifient pas la mort des personnages, l’issue de Zeta ou l’existence d’une autre version du voyage.</x:v>
      </x:c>
      <x:c r="N7" s="9" t="str">
        <x:v>Le joueur peut reconnaître la préparation et employer la contre-mesure avant la résolution; aucune attaque invisible ou imparable hors séquence annoncée.</x:v>
      </x:c>
      <x:c r="O7" s="9" t="str">
        <x:v>DIS-EN-ZETA</x:v>
      </x:c>
      <x:c r="P7" s="9" t="str">
        <x:v>Pattern original; pas de valeur numérique canon.</x:v>
      </x:c>
      <x:c r="Q7" s="9" t="str"/>
      <x:c r="R7" s="9" t="str"/>
      <x:c r="S7" s="9" t="str"/>
    </x:row>
    <x:row r="8" ht="68" customHeight="1">
      <x:c r="A8" s="19" t="str">
        <x:v>DIS-EN-ZETA-M2</x:v>
      </x:c>
      <x:c r="B8" s="7" t="str">
        <x:v>Surcharge après effort</x:v>
      </x:c>
      <x:c r="C8" s="15" t="str">
        <x:v>Défini</x:v>
      </x:c>
      <x:c r="D8" s="17" t="str">
        <x:v>Extrapolation</x:v>
      </x:c>
      <x:c r="E8" s="17" t="str">
        <x:v>P1</x:v>
      </x:c>
      <x:c r="F8" s="7" t="str">
        <x:v>Fenêtre originale de récupération.</x:v>
      </x:c>
      <x:c r="G8" s="7" t="str">
        <x:v>Antagoniste à surcharge; même acteur que la fiche de personnage, pas copie indépendante.</x:v>
      </x:c>
      <x:c r="H8" s="7" t="str">
        <x:v>Pendant l’arrêt annoncé, progresser vers l’objectif; ne promet pas un remède à Zeta.</x:v>
      </x:c>
      <x:c r="I8" s="7" t="str">
        <x:v>Statut surcharge et pose repliée.</x:v>
      </x:c>
      <x:c r="J8" s="7" t="str">
        <x:v>Charge du haut du corps, projection et instabilité.</x:v>
      </x:c>
      <x:c r="K8" s="7" t="str">
        <x:v>Basse biotique originale et alerte de surcharge.</x:v>
      </x:c>
      <x:c r="L8" s="7" t="str">
        <x:v>Action proposée DIS/ZETA/2; étapes annonce → attente ATB → validation cible → résolution; annulation explicite si neutralisé.</x:v>
      </x:c>
      <x:c r="M8" s="7" t="str">
        <x:v>Le passage de Tiran de l’infiltration vers l’adhésion reste un raccord narratif. Les choix locaux ne modifient pas la mort des personnages, l’issue de Zeta ou l’existence d’une autre version du voyage.</x:v>
      </x:c>
      <x:c r="N8" s="7" t="str">
        <x:v>Le joueur peut reconnaître la préparation et employer la contre-mesure avant la résolution; aucune attaque invisible ou imparable hors séquence annoncée.</x:v>
      </x:c>
      <x:c r="O8" s="7" t="str">
        <x:v>DIS-EN-ZETA</x:v>
      </x:c>
      <x:c r="P8" s="7" t="str">
        <x:v>Pattern original; pas de valeur numérique canon.</x:v>
      </x:c>
      <x:c r="Q8" s="7" t="str"/>
      <x:c r="R8" s="7" t="str"/>
      <x:c r="S8" s="7" t="str"/>
    </x:row>
    <x:row r="9" ht="68" customHeight="1">
      <x:c r="A9" s="18" t="str">
        <x:v>DIS-EN-GETH-M1</x:v>
      </x:c>
      <x:c r="B9" s="9" t="str">
        <x:v>Verrou de terminal</x:v>
      </x:c>
      <x:c r="C9" s="15" t="str">
        <x:v>Défini</x:v>
      </x:c>
      <x:c r="D9" s="16" t="str">
        <x:v>Extrapolation</x:v>
      </x:c>
      <x:c r="E9" s="16" t="str">
        <x:v>P1</x:v>
      </x:c>
      <x:c r="F9" s="9" t="str">
        <x:v>Pattern original d’interruption.</x:v>
      </x:c>
      <x:c r="G9" s="9" t="str">
        <x:v>Défense locale d’installation; aucune nouvelle classe canon inventée.</x:v>
      </x:c>
      <x:c r="H9" s="9" t="str">
        <x:v>Protéger Shio ou interrompre le tireur avant le prochain segment de correction.</x:v>
      </x:c>
      <x:c r="I9" s="9" t="str">
        <x:v>Ligne visant le terminal.</x:v>
      </x:c>
      <x:c r="J9" s="9" t="str">
        <x:v>Rotation de capteur et déplacement mécanique.</x:v>
      </x:c>
      <x:c r="K9" s="9" t="str">
        <x:v>Timbres synthétiques originaux.</x:v>
      </x:c>
      <x:c r="L9" s="9" t="str">
        <x:v>Action proposée DIS/GETH/1; étapes annonce → attente ATB → validation cible → résolution; annulation explicite si neutralisé.</x:v>
      </x:c>
      <x:c r="M9" s="9" t="str">
        <x:v>Le passage de Tiran de l’infiltration vers l’adhésion reste un raccord narratif. Les choix locaux ne modifient pas la mort des personnages, l’issue de Zeta ou l’existence d’une autre version du voyage.</x:v>
      </x:c>
      <x:c r="N9" s="9" t="str">
        <x:v>Le joueur peut reconnaître la préparation et employer la contre-mesure avant la résolution; aucune attaque invisible ou imparable hors séquence annoncée.</x:v>
      </x:c>
      <x:c r="O9" s="9" t="str">
        <x:v>DIS-EN-GETH</x:v>
      </x:c>
      <x:c r="P9" s="9" t="str">
        <x:v>Pattern original; pas de valeur numérique canon.</x:v>
      </x:c>
      <x:c r="Q9" s="9" t="str"/>
      <x:c r="R9" s="9" t="str"/>
      <x:c r="S9" s="9" t="str"/>
    </x:row>
    <x:row r="10" ht="68" customHeight="1">
      <x:c r="A10" s="19" t="str">
        <x:v>DIS-EN-GETH-M2</x:v>
      </x:c>
      <x:c r="B10" s="7" t="str">
        <x:v>Approche de coque</x:v>
      </x:c>
      <x:c r="C10" s="15" t="str">
        <x:v>Défini</x:v>
      </x:c>
      <x:c r="D10" s="17" t="str">
        <x:v>Extrapolation</x:v>
      </x:c>
      <x:c r="E10" s="17" t="str">
        <x:v>P1</x:v>
      </x:c>
      <x:c r="F10" s="7" t="str">
        <x:v>Pattern original de déplacement.</x:v>
      </x:c>
      <x:c r="G10" s="7" t="str">
        <x:v>Défense locale d’installation; aucune nouvelle classe canon inventée.</x:v>
      </x:c>
      <x:c r="H10" s="7" t="str">
        <x:v>Une trajectoire est annoncée sur la surface; repositionner le protecteur.</x:v>
      </x:c>
      <x:c r="I10" s="7" t="str">
        <x:v>Flèches d’ancrage au sol.</x:v>
      </x:c>
      <x:c r="J10" s="7" t="str">
        <x:v>Rotation de capteur et déplacement mécanique.</x:v>
      </x:c>
      <x:c r="K10" s="7" t="str">
        <x:v>Timbres synthétiques originaux.</x:v>
      </x:c>
      <x:c r="L10" s="7" t="str">
        <x:v>Action proposée DIS/GETH/2; étapes annonce → attente ATB → validation cible → résolution; annulation explicite si neutralisé.</x:v>
      </x:c>
      <x:c r="M10" s="7" t="str">
        <x:v>Le passage de Tiran de l’infiltration vers l’adhésion reste un raccord narratif. Les choix locaux ne modifient pas la mort des personnages, l’issue de Zeta ou l’existence d’une autre version du voyage.</x:v>
      </x:c>
      <x:c r="N10" s="7" t="str">
        <x:v>Le joueur peut reconnaître la préparation et employer la contre-mesure avant la résolution; aucune attaque invisible ou imparable hors séquence annoncée.</x:v>
      </x:c>
      <x:c r="O10" s="7" t="str">
        <x:v>DIS-EN-GETH</x:v>
      </x:c>
      <x:c r="P10" s="7" t="str">
        <x:v>Pattern original; pas de valeur numérique canon.</x:v>
      </x:c>
      <x:c r="Q10" s="7" t="str"/>
      <x:c r="R10" s="7" t="str"/>
      <x:c r="S10" s="7" t="str"/>
    </x:row>
    <x:row r="11" ht="68" customHeight="1">
      <x:c r="A11" s="18" t="str">
        <x:v>DIS-EN-LOKI-M1</x:v>
      </x:c>
      <x:c r="B11" s="9" t="str">
        <x:v>Pression de couloir</x:v>
      </x:c>
      <x:c r="C11" s="15" t="str">
        <x:v>Défini</x:v>
      </x:c>
      <x:c r="D11" s="16" t="str">
        <x:v>Extrapolation</x:v>
      </x:c>
      <x:c r="E11" s="16" t="str">
        <x:v>P1</x:v>
      </x:c>
      <x:c r="F11" s="9" t="str">
        <x:v>Pattern original de tir.</x:v>
      </x:c>
      <x:c r="G11" s="9" t="str">
        <x:v>Menace secondaire limitée, à comparer avant placement précis.</x:v>
      </x:c>
      <x:c r="H11" s="9" t="str">
        <x:v>Couvert ou interruption mécanique, aucun tir traversant un mur.</x:v>
      </x:c>
      <x:c r="I11" s="9" t="str">
        <x:v>Bande étroite.</x:v>
      </x:c>
      <x:c r="J11" s="9" t="str">
        <x:v>Pas réguliers, pivot et tir annoncé.</x:v>
      </x:c>
      <x:c r="K11" s="9" t="str">
        <x:v>Servomoteurs légers.</x:v>
      </x:c>
      <x:c r="L11" s="9" t="str">
        <x:v>Action proposée DIS/LOKI/1; étapes annonce → attente ATB → validation cible → résolution; annulation explicite si neutralisé.</x:v>
      </x:c>
      <x:c r="M11" s="9" t="str">
        <x:v>Le passage de Tiran de l’infiltration vers l’adhésion reste un raccord narratif. Les choix locaux ne modifient pas la mort des personnages, l’issue de Zeta ou l’existence d’une autre version du voyage.</x:v>
      </x:c>
      <x:c r="N11" s="9" t="str">
        <x:v>Le joueur peut reconnaître la préparation et employer la contre-mesure avant la résolution; aucune attaque invisible ou imparable hors séquence annoncée.</x:v>
      </x:c>
      <x:c r="O11" s="9" t="str">
        <x:v>DIS-EN-LOKI</x:v>
      </x:c>
      <x:c r="P11" s="9" t="str">
        <x:v>Pattern original; pas de valeur numérique canon.</x:v>
      </x:c>
      <x:c r="Q11" s="9" t="str"/>
      <x:c r="R11" s="9" t="str"/>
      <x:c r="S11" s="9" t="str"/>
    </x:row>
    <x:row r="12" ht="68" customHeight="1">
      <x:c r="A12" s="19" t="str">
        <x:v>DIS-EN-LOKI-M2</x:v>
      </x:c>
      <x:c r="B12" s="7" t="str">
        <x:v>Recherche du scientifique</x:v>
      </x:c>
      <x:c r="C12" s="15" t="str">
        <x:v>Défini</x:v>
      </x:c>
      <x:c r="D12" s="17" t="str">
        <x:v>Extrapolation</x:v>
      </x:c>
      <x:c r="E12" s="17" t="str">
        <x:v>P1</x:v>
      </x:c>
      <x:c r="F12" s="7" t="str">
        <x:v>Pattern original de surveillance.</x:v>
      </x:c>
      <x:c r="G12" s="7" t="str">
        <x:v>Menace secondaire limitée, à comparer avant placement précis.</x:v>
      </x:c>
      <x:c r="H12" s="7" t="str">
        <x:v>Masquer le trajet par le terrain ou changer de route; pas de détection omnisciente.</x:v>
      </x:c>
      <x:c r="I12" s="7" t="str">
        <x:v>Cône rayé.</x:v>
      </x:c>
      <x:c r="J12" s="7" t="str">
        <x:v>Pas réguliers, pivot et tir annoncé.</x:v>
      </x:c>
      <x:c r="K12" s="7" t="str">
        <x:v>Servomoteurs légers.</x:v>
      </x:c>
      <x:c r="L12" s="7" t="str">
        <x:v>Action proposée DIS/LOKI/2; étapes annonce → attente ATB → validation cible → résolution; annulation explicite si neutralisé.</x:v>
      </x:c>
      <x:c r="M12" s="7" t="str">
        <x:v>Le passage de Tiran de l’infiltration vers l’adhésion reste un raccord narratif. Les choix locaux ne modifient pas la mort des personnages, l’issue de Zeta ou l’existence d’une autre version du voyage.</x:v>
      </x:c>
      <x:c r="N12" s="7" t="str">
        <x:v>Le joueur peut reconnaître la préparation et employer la contre-mesure avant la résolution; aucune attaque invisible ou imparable hors séquence annoncée.</x:v>
      </x:c>
      <x:c r="O12" s="7" t="str">
        <x:v>DIS-EN-LOKI</x:v>
      </x:c>
      <x:c r="P12" s="7" t="str">
        <x:v>Pattern original; pas de valeur numérique canon.</x:v>
      </x:c>
      <x:c r="Q12" s="7" t="str"/>
      <x:c r="R12" s="7" t="str"/>
      <x:c r="S12" s="7" t="str"/>
    </x:row>
    <x:row r="13" ht="68" customHeight="1">
      <x:c r="A13" s="18" t="str">
        <x:v>DIS-EN-EXTORT-M1</x:v>
      </x:c>
      <x:c r="B13" s="9" t="str">
        <x:v>Blocage de passage</x:v>
      </x:c>
      <x:c r="C13" s="15" t="str">
        <x:v>Défini</x:v>
      </x:c>
      <x:c r="D13" s="16" t="str">
        <x:v>Extrapolation</x:v>
      </x:c>
      <x:c r="E13" s="16" t="str">
        <x:v>P1</x:v>
      </x:c>
      <x:c r="F13" s="9" t="str">
        <x:v>Pattern original social.</x:v>
      </x:c>
      <x:c r="G13" s="9" t="str">
        <x:v>Obstacle social ponctuel, évitable; pas une faction entière.</x:v>
      </x:c>
      <x:c r="H13" s="9" t="str">
        <x:v>Interroger, contourner ou attendre l’intervention narrative; aucune mise à mort exigée.</x:v>
      </x:c>
      <x:c r="I13" s="9" t="str">
        <x:v>Accès marqué temporairement occupé.</x:v>
      </x:c>
      <x:c r="J13" s="9" t="str">
        <x:v>Blocage de chemin et réaction à une intervention.</x:v>
      </x:c>
      <x:c r="K13" s="9" t="str">
        <x:v>Voix originales et bruit de quai.</x:v>
      </x:c>
      <x:c r="L13" s="9" t="str">
        <x:v>Action proposée DIS/EXTORT/1; étapes annonce → attente ATB → validation cible → résolution; annulation explicite si neutralisé.</x:v>
      </x:c>
      <x:c r="M13" s="9" t="str">
        <x:v>Le passage de Tiran de l’infiltration vers l’adhésion reste un raccord narratif. Les choix locaux ne modifient pas la mort des personnages, l’issue de Zeta ou l’existence d’une autre version du voyage.</x:v>
      </x:c>
      <x:c r="N13" s="9" t="str">
        <x:v>Le joueur peut reconnaître la préparation et employer la contre-mesure avant la résolution; aucune attaque invisible ou imparable hors séquence annoncée.</x:v>
      </x:c>
      <x:c r="O13" s="9" t="str">
        <x:v>DIS-EN-EXTORT</x:v>
      </x:c>
      <x:c r="P13" s="9" t="str">
        <x:v>Pattern original; pas de valeur numérique canon.</x:v>
      </x:c>
      <x:c r="Q13" s="9" t="str"/>
      <x:c r="R13" s="9" t="str"/>
      <x:c r="S13" s="9" t="str"/>
    </x:row>
    <x:row r="14" ht="68" customHeight="1">
      <x:c r="A14" s="19" t="str">
        <x:v>DIS-EN-EXTORT-M2</x:v>
      </x:c>
      <x:c r="B14" s="7" t="str">
        <x:v>Menace rapprochée</x:v>
      </x:c>
      <x:c r="C14" s="15" t="str">
        <x:v>Défini</x:v>
      </x:c>
      <x:c r="D14" s="17" t="str">
        <x:v>Extrapolation</x:v>
      </x:c>
      <x:c r="E14" s="17" t="str">
        <x:v>P1</x:v>
      </x:c>
      <x:c r="F14" s="7" t="str">
        <x:v>Pattern original de tension.</x:v>
      </x:c>
      <x:c r="G14" s="7" t="str">
        <x:v>Obstacle social ponctuel, évitable; pas une faction entière.</x:v>
      </x:c>
      <x:c r="H14" s="7" t="str">
        <x:v>Reculer garde le contrôle; le menu de dialogue reste disponible.</x:v>
      </x:c>
      <x:c r="I14" s="7" t="str">
        <x:v>Zone de proximité limitée.</x:v>
      </x:c>
      <x:c r="J14" s="7" t="str">
        <x:v>Blocage de chemin et réaction à une intervention.</x:v>
      </x:c>
      <x:c r="K14" s="7" t="str">
        <x:v>Voix originales et bruit de quai.</x:v>
      </x:c>
      <x:c r="L14" s="7" t="str">
        <x:v>Action proposée DIS/EXTORT/2; étapes annonce → attente ATB → validation cible → résolution; annulation explicite si neutralisé.</x:v>
      </x:c>
      <x:c r="M14" s="7" t="str">
        <x:v>Le passage de Tiran de l’infiltration vers l’adhésion reste un raccord narratif. Les choix locaux ne modifient pas la mort des personnages, l’issue de Zeta ou l’existence d’une autre version du voyage.</x:v>
      </x:c>
      <x:c r="N14" s="7" t="str">
        <x:v>Le joueur peut reconnaître la préparation et employer la contre-mesure avant la résolution; aucune attaque invisible ou imparable hors séquence annoncée.</x:v>
      </x:c>
      <x:c r="O14" s="7" t="str">
        <x:v>DIS-EN-EXTORT</x:v>
      </x:c>
      <x:c r="P14" s="7" t="str">
        <x:v>Pattern original; pas de valeur numérique canon.</x:v>
      </x:c>
      <x:c r="Q14" s="7" t="str"/>
      <x:c r="R14" s="7" t="str"/>
      <x:c r="S14" s="7" t="str"/>
    </x:row>
  </x:sheetData>
  <x:conditionalFormatting sqref="D7:D14">
    <x:cfRule type="cellIs" dxfId="72" priority="1" operator="equal">
      <x:formula>"À vérifier"</x:formula>
    </x:cfRule>
    <x:cfRule type="cellIs" dxfId="73" priority="2" operator="equal">
      <x:formula>"Extrapolation"</x:formula>
    </x:cfRule>
  </x:conditionalFormatting>
  <x:conditionalFormatting sqref="C7:C14">
    <x:cfRule type="cellIs" dxfId="74" priority="3" operator="equal">
      <x:formula>"Validé"</x:formula>
    </x:cfRule>
  </x:conditionalFormatting>
  <x:conditionalFormatting sqref="E7:E14">
    <x:cfRule type="cellIs" dxfId="75"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d02179379d274101"/>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Discovery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DIS-ANI-TIRAN</x:v>
      </x:c>
      <x:c r="B7" s="9" t="str">
        <x:v>Tiran Kandros — jeu de poses</x:v>
      </x:c>
      <x:c r="C7" s="15" t="str">
        <x:v>Défini</x:v>
      </x:c>
      <x:c r="D7" s="16" t="str">
        <x:v>Extrapolation</x:v>
      </x:c>
      <x:c r="E7" s="16" t="str">
        <x:v>P1</x:v>
      </x:c>
      <x:c r="F7" s="9" t="str">
        <x:v>Définir les transitions propres au rôle de Tiran Kandros.</x:v>
      </x:c>
      <x:c r="G7" s="9" t="str">
        <x:v>Enquêteur sous couverture; préparer des accès et protéger les partenaires.</x:v>
      </x:c>
      <x:c r="H7" s="9" t="str"/>
      <x:c r="I7" s="9" t="str">
        <x:v>Turien militaire puis tenue de couverture, capuche à Omega seulement au bon segment; armures à vérifier.</x:v>
      </x:c>
      <x:c r="J7" s="9" t="str">
        <x:v>Observation, réponse prudente, contact radio et garde. Décomposer anticipation, action, retour et interruption; garder un état neutre utilisable après une cinématique sautée.</x:v>
      </x:c>
      <x:c r="K7" s="9" t="str">
        <x:v>Associer les contacts de sol ou de siège à des événements; éviter le bruitage répété sur une pose tenue.</x:v>
      </x:c>
      <x:c r="L7" s="9" t="str">
        <x:v>Table d'animation prévue DIS/TIRAN; paramètres direction, locomotion, accessoire et interruption.</x:v>
      </x:c>
      <x:c r="M7" s="9" t="str">
        <x:v>Le passage de Tiran de l’infiltration vers l’adhésion reste un raccord narratif. Les choix locaux ne modifient pas la mort des personnages, l’issue de Zeta ou l’existence d’une autre version du voyage.</x:v>
      </x:c>
      <x:c r="N7" s="9" t="str">
        <x:v>Un enchaînement déplacement → interaction → interruption → reprise conserve le pivot et les accessoires de Tiran Kandros.</x:v>
      </x:c>
      <x:c r="O7" s="9" t="str">
        <x:v>DIS-ACT-TIRAN, DIS-SPR-TIRAN</x:v>
      </x:c>
      <x:c r="P7" s="9" t="str">
        <x:v>Conception originale, aucune cadence extraite du comic.</x:v>
      </x:c>
      <x:c r="Q7" s="9" t="str"/>
      <x:c r="R7" s="9" t="str"/>
      <x:c r="S7" s="9" t="str"/>
    </x:row>
    <x:row r="8" ht="68" customHeight="1">
      <x:c r="A8" s="19" t="str">
        <x:v>DIS-ANI-SHANKS</x:v>
      </x:c>
      <x:c r="B8" s="7" t="str">
        <x:v>Luna Shanks — jeu de poses</x:v>
      </x:c>
      <x:c r="C8" s="15" t="str">
        <x:v>Défini</x:v>
      </x:c>
      <x:c r="D8" s="17" t="str">
        <x:v>Extrapolation</x:v>
      </x:c>
      <x:c r="E8" s="17" t="str">
        <x:v>P1</x:v>
      </x:c>
      <x:c r="F8" s="7" t="str">
        <x:v>Définir les transitions propres au rôle de Luna Shanks.</x:v>
      </x:c>
      <x:c r="G8" s="7" t="str">
        <x:v>Partenaire biotique et interlocutrice dont la confiance évolue.</x:v>
      </x:c>
      <x:c r="H8" s="7" t="str"/>
      <x:c r="I8" s="7" t="str">
        <x:v>Humaine en tenue de sécurité, silhouette solide, arme à vérifier dans chaque numéro.</x:v>
      </x:c>
      <x:c r="J8" s="7" t="str">
        <x:v>Interrogation directe, maintien biotique et réaction de défiance. Décomposer anticipation, action, retour et interruption; garder un état neutre utilisable après une cinématique sautée.</x:v>
      </x:c>
      <x:c r="K8" s="7" t="str">
        <x:v>Associer les contacts de sol ou de siège à des événements; éviter le bruitage répété sur une pose tenue.</x:v>
      </x:c>
      <x:c r="L8" s="7" t="str">
        <x:v>Table d'animation prévue DIS/SHANKS; paramètres direction, locomotion, accessoire et interruption.</x:v>
      </x:c>
      <x:c r="M8" s="7" t="str">
        <x:v>Le passage de Tiran de l’infiltration vers l’adhésion reste un raccord narratif. Les choix locaux ne modifient pas la mort des personnages, l’issue de Zeta ou l’existence d’une autre version du voyage.</x:v>
      </x:c>
      <x:c r="N8" s="7" t="str">
        <x:v>Un enchaînement déplacement → interaction → interruption → reprise conserve le pivot et les accessoires de Luna Shanks.</x:v>
      </x:c>
      <x:c r="O8" s="7" t="str">
        <x:v>DIS-ACT-SHANKS, DIS-SPR-SHANKS</x:v>
      </x:c>
      <x:c r="P8" s="7" t="str">
        <x:v>Conception originale, aucune cadence extraite du comic.</x:v>
      </x:c>
      <x:c r="Q8" s="7" t="str"/>
      <x:c r="R8" s="7" t="str"/>
      <x:c r="S8" s="7" t="str"/>
    </x:row>
    <x:row r="9" ht="68" customHeight="1">
      <x:c r="A9" s="18" t="str">
        <x:v>DIS-ANI-SHIO</x:v>
      </x:c>
      <x:c r="B9" s="9" t="str">
        <x:v>Shio’Leth vas Novarra — jeu de poses</x:v>
      </x:c>
      <x:c r="C9" s="15" t="str">
        <x:v>Défini</x:v>
      </x:c>
      <x:c r="D9" s="16" t="str">
        <x:v>Extrapolation</x:v>
      </x:c>
      <x:c r="E9" s="16" t="str">
        <x:v>P1</x:v>
      </x:c>
      <x:c r="F9" s="9" t="str">
        <x:v>Définir les transitions propres au rôle de Shio’Leth vas Novarra.</x:v>
      </x:c>
      <x:c r="G9" s="9" t="str">
        <x:v>Personnage d’objectif avec initiative propre; accès aux données, sans statut de simple colis.</x:v>
      </x:c>
      <x:c r="H9" s="9" t="str"/>
      <x:c r="I9" s="9" t="str">
        <x:v>Combinaison quarienne, posture inquiète et outil de données à contrôler.</x:v>
      </x:c>
      <x:c r="J9" s="9" t="str">
        <x:v>Inspection, hésitation et manipulation concentrée. Décomposer anticipation, action, retour et interruption; garder un état neutre utilisable après une cinématique sautée.</x:v>
      </x:c>
      <x:c r="K9" s="9" t="str">
        <x:v>Associer les contacts de sol ou de siège à des événements; éviter le bruitage répété sur une pose tenue.</x:v>
      </x:c>
      <x:c r="L9" s="9" t="str">
        <x:v>Table d'animation prévue DIS/SHIO; paramètres direction, locomotion, accessoire et interruption.</x:v>
      </x:c>
      <x:c r="M9" s="9" t="str">
        <x:v>Le passage de Tiran de l’infiltration vers l’adhésion reste un raccord narratif. Les choix locaux ne modifient pas la mort des personnages, l’issue de Zeta ou l’existence d’une autre version du voyage.</x:v>
      </x:c>
      <x:c r="N9" s="9" t="str">
        <x:v>Un enchaînement déplacement → interaction → interruption → reprise conserve le pivot et les accessoires de Shio’Leth vas Novarra.</x:v>
      </x:c>
      <x:c r="O9" s="9" t="str">
        <x:v>DIS-ACT-SHIO, DIS-SPR-SHIO</x:v>
      </x:c>
      <x:c r="P9" s="9" t="str">
        <x:v>Conception originale, aucune cadence extraite du comic.</x:v>
      </x:c>
      <x:c r="Q9" s="9" t="str"/>
      <x:c r="R9" s="9" t="str"/>
      <x:c r="S9" s="9" t="str"/>
    </x:row>
    <x:row r="10" ht="68" customHeight="1">
      <x:c r="A10" s="19" t="str">
        <x:v>DIS-ANI-GARSON</x:v>
      </x:c>
      <x:c r="B10" s="7" t="str">
        <x:v>Jien Garson — jeu de poses</x:v>
      </x:c>
      <x:c r="C10" s="15" t="str">
        <x:v>Défini</x:v>
      </x:c>
      <x:c r="D10" s="17" t="str">
        <x:v>Extrapolation</x:v>
      </x:c>
      <x:c r="E10" s="17" t="str">
        <x:v>P1</x:v>
      </x:c>
      <x:c r="F10" s="7" t="str">
        <x:v>Définir les transitions propres au rôle de Jien Garson.</x:v>
      </x:c>
      <x:c r="G10" s="7" t="str">
        <x:v>Interlocutrice de l’Initiative et perspective du projet.</x:v>
      </x:c>
      <x:c r="H10" s="7" t="str"/>
      <x:c r="I10" s="7" t="str">
        <x:v>Tenue de direction claire, bureau de recrutement et posture attentive.</x:v>
      </x:c>
      <x:c r="J10" s="7" t="str">
        <x:v>Écoute, question ciblée et décision. Décomposer anticipation, action, retour et interruption; garder un état neutre utilisable après une cinématique sautée.</x:v>
      </x:c>
      <x:c r="K10" s="7" t="str">
        <x:v>Associer les contacts de sol ou de siège à des événements; éviter le bruitage répété sur une pose tenue.</x:v>
      </x:c>
      <x:c r="L10" s="7" t="str">
        <x:v>Table d'animation prévue DIS/GARSON; paramètres direction, locomotion, accessoire et interruption.</x:v>
      </x:c>
      <x:c r="M10" s="7" t="str">
        <x:v>Le passage de Tiran de l’infiltration vers l’adhésion reste un raccord narratif. Les choix locaux ne modifient pas la mort des personnages, l’issue de Zeta ou l’existence d’une autre version du voyage.</x:v>
      </x:c>
      <x:c r="N10" s="7" t="str">
        <x:v>Un enchaînement déplacement → interaction → interruption → reprise conserve le pivot et les accessoires de Jien Garson.</x:v>
      </x:c>
      <x:c r="O10" s="7" t="str">
        <x:v>DIS-ACT-GARSON, DIS-SPR-GARSON</x:v>
      </x:c>
      <x:c r="P10" s="7" t="str">
        <x:v>Conception originale, aucune cadence extraite du comic.</x:v>
      </x:c>
      <x:c r="Q10" s="7" t="str"/>
      <x:c r="R10" s="7" t="str"/>
      <x:c r="S10" s="7" t="str"/>
    </x:row>
    <x:row r="11" ht="68" customHeight="1">
      <x:c r="A11" s="18" t="str">
        <x:v>DIS-ANI-RAVIS</x:v>
      </x:c>
      <x:c r="B11" s="9" t="str">
        <x:v>Amirale Ravis — jeu de poses</x:v>
      </x:c>
      <x:c r="C11" s="15" t="str">
        <x:v>Défini</x:v>
      </x:c>
      <x:c r="D11" s="16" t="str">
        <x:v>Extrapolation</x:v>
      </x:c>
      <x:c r="E11" s="16" t="str">
        <x:v>P1</x:v>
      </x:c>
      <x:c r="F11" s="9" t="str">
        <x:v>Définir les transitions propres au rôle de Amirale Ravis.</x:v>
      </x:c>
      <x:c r="G11" s="9" t="str">
        <x:v>Lien familial et militaire, canaux séparés de la couverture.</x:v>
      </x:c>
      <x:c r="H11" s="9" t="str"/>
      <x:c r="I11" s="9" t="str">
        <x:v>Turienne en tenue d’amirale à contrôler; portrait holographique pour les rapports.</x:v>
      </x:c>
      <x:c r="J11" s="9" t="str">
        <x:v>Observation, avertissement et adieu mesuré. Décomposer anticipation, action, retour et interruption; garder un état neutre utilisable après une cinématique sautée.</x:v>
      </x:c>
      <x:c r="K11" s="9" t="str">
        <x:v>Associer les contacts de sol ou de siège à des événements; éviter le bruitage répété sur une pose tenue.</x:v>
      </x:c>
      <x:c r="L11" s="9" t="str">
        <x:v>Table d'animation prévue DIS/RAVIS; paramètres direction, locomotion, accessoire et interruption.</x:v>
      </x:c>
      <x:c r="M11" s="9" t="str">
        <x:v>Le passage de Tiran de l’infiltration vers l’adhésion reste un raccord narratif. Les choix locaux ne modifient pas la mort des personnages, l’issue de Zeta ou l’existence d’une autre version du voyage.</x:v>
      </x:c>
      <x:c r="N11" s="9" t="str">
        <x:v>Un enchaînement déplacement → interaction → interruption → reprise conserve le pivot et les accessoires de Amirale Ravis.</x:v>
      </x:c>
      <x:c r="O11" s="9" t="str">
        <x:v>DIS-ACT-RAVIS, DIS-SPR-RAVIS</x:v>
      </x:c>
      <x:c r="P11" s="9" t="str">
        <x:v>Conception originale, aucune cadence extraite du comic.</x:v>
      </x:c>
      <x:c r="Q11" s="9" t="str"/>
      <x:c r="R11" s="9" t="str"/>
      <x:c r="S11" s="9" t="str"/>
    </x:row>
    <x:row r="12" ht="82" customHeight="1">
      <x:c r="A12" s="19" t="str">
        <x:v>DIS-ANI-ZETA</x:v>
      </x:c>
      <x:c r="B12" s="7" t="str">
        <x:v>Agent Zeta — jeu de poses</x:v>
      </x:c>
      <x:c r="C12" s="15" t="str">
        <x:v>Défini</x:v>
      </x:c>
      <x:c r="D12" s="17" t="str">
        <x:v>Extrapolation</x:v>
      </x:c>
      <x:c r="E12" s="17" t="str">
        <x:v>P1</x:v>
      </x:c>
      <x:c r="F12" s="7" t="str">
        <x:v>Définir les transitions propres au rôle de Agent Zeta.</x:v>
      </x:c>
      <x:c r="G12" s="7" t="str">
        <x:v>Antagoniste poursuivant le même scientifique, avec motivations révélées par étapes.</x:v>
      </x:c>
      <x:c r="H12" s="7" t="str"/>
      <x:c r="I12" s="7" t="str">
        <x:v>Salarian marqué par les augmentations à comparer; effets de surcharge localisés.</x:v>
      </x:c>
      <x:c r="J12" s="7" t="str">
        <x:v>Concentration tendue, attaque explosive et déséquilibre après effort. Décomposer anticipation, action, retour et interruption; garder un état neutre utilisable après une cinématique sautée.</x:v>
      </x:c>
      <x:c r="K12" s="7" t="str">
        <x:v>Associer les contacts de sol ou de siège à des événements; éviter le bruitage répété sur une pose tenue.</x:v>
      </x:c>
      <x:c r="L12" s="7" t="str">
        <x:v>Table d'animation prévue DIS/ZETA; paramètres direction, locomotion, accessoire et interruption.</x:v>
      </x:c>
      <x:c r="M12" s="7" t="str">
        <x:v>Le passage de Tiran de l’infiltration vers l’adhésion reste un raccord narratif. Les choix locaux ne modifient pas la mort des personnages, l’issue de Zeta ou l’existence d’une autre version du voyage.</x:v>
      </x:c>
      <x:c r="N12" s="7" t="str">
        <x:v>Un enchaînement déplacement → interaction → interruption → reprise conserve le pivot et les accessoires de Agent Zeta.</x:v>
      </x:c>
      <x:c r="O12" s="7" t="str">
        <x:v>DIS-ACT-ZETA, DIS-SPR-ZETA</x:v>
      </x:c>
      <x:c r="P12" s="7" t="str">
        <x:v>Conception originale, aucune cadence extraite du comic.</x:v>
      </x:c>
      <x:c r="Q12" s="7" t="str"/>
      <x:c r="R12" s="7" t="str"/>
      <x:c r="S12" s="7" t="str"/>
    </x:row>
    <x:row r="13" ht="68" customHeight="1">
      <x:c r="A13" s="18" t="str">
        <x:v>DIS-ANI-NYREEN</x:v>
      </x:c>
      <x:c r="B13" s="9" t="str">
        <x:v>Nyreen Kandros — jeu de poses</x:v>
      </x:c>
      <x:c r="C13" s="15" t="str">
        <x:v>Défini</x:v>
      </x:c>
      <x:c r="D13" s="16" t="str">
        <x:v>Extrapolation</x:v>
      </x:c>
      <x:c r="E13" s="16" t="str">
        <x:v>P1</x:v>
      </x:c>
      <x:c r="F13" s="9" t="str">
        <x:v>Définir les transitions propres au rôle de Nyreen Kandros.</x:v>
      </x:c>
      <x:c r="G13" s="9" t="str">
        <x:v>Interlocutrice familiale et soutien local; sa présence expose l’alias.</x:v>
      </x:c>
      <x:c r="H13" s="9" t="str"/>
      <x:c r="I13" s="9" t="str">
        <x:v>Turienne au costume d’Omega à contrôler, silhouette distincte de Tiran.</x:v>
      </x:c>
      <x:c r="J13" s="9" t="str">
        <x:v>Reconnaissance, geste d’arrêt et entretien calme. Décomposer anticipation, action, retour et interruption; garder un état neutre utilisable après une cinématique sautée.</x:v>
      </x:c>
      <x:c r="K13" s="9" t="str">
        <x:v>Associer les contacts de sol ou de siège à des événements; éviter le bruitage répété sur une pose tenue.</x:v>
      </x:c>
      <x:c r="L13" s="9" t="str">
        <x:v>Table d'animation prévue DIS/NYREEN; paramètres direction, locomotion, accessoire et interruption.</x:v>
      </x:c>
      <x:c r="M13" s="9" t="str">
        <x:v>Le passage de Tiran de l’infiltration vers l’adhésion reste un raccord narratif. Les choix locaux ne modifient pas la mort des personnages, l’issue de Zeta ou l’existence d’une autre version du voyage.</x:v>
      </x:c>
      <x:c r="N13" s="9" t="str">
        <x:v>Un enchaînement déplacement → interaction → interruption → reprise conserve le pivot et les accessoires de Nyreen Kandros.</x:v>
      </x:c>
      <x:c r="O13" s="9" t="str">
        <x:v>DIS-ACT-NYREEN, DIS-SPR-NYREEN</x:v>
      </x:c>
      <x:c r="P13" s="9" t="str">
        <x:v>Conception originale, aucune cadence extraite du comic.</x:v>
      </x:c>
      <x:c r="Q13" s="9" t="str"/>
      <x:c r="R13" s="9" t="str"/>
      <x:c r="S13" s="9" t="str"/>
    </x:row>
    <x:row r="14" ht="68" customHeight="1">
      <x:c r="A14" s="19" t="str">
        <x:v>DIS-ANI-JAKIN</x:v>
      </x:c>
      <x:c r="B14" s="7" t="str">
        <x:v>Capitaine Jakin — jeu de poses</x:v>
      </x:c>
      <x:c r="C14" s="15" t="str">
        <x:v>Défini</x:v>
      </x:c>
      <x:c r="D14" s="17" t="str">
        <x:v>Extrapolation</x:v>
      </x:c>
      <x:c r="E14" s="17" t="str">
        <x:v>P1</x:v>
      </x:c>
      <x:c r="F14" s="7" t="str">
        <x:v>Définir les transitions propres au rôle de Capitaine Jakin.</x:v>
      </x:c>
      <x:c r="G14" s="7" t="str">
        <x:v>Interlocuteur sur le passé de Shio; informations attribuées à son point de vue.</x:v>
      </x:c>
      <x:c r="H14" s="7" t="str"/>
      <x:c r="I14" s="7" t="str">
        <x:v>Quarien en tenue de commandement de terrain à vérifier.</x:v>
      </x:c>
      <x:c r="J14" s="7" t="str">
        <x:v>Accueil fermé, écoute et ordre à son groupe. Décomposer anticipation, action, retour et interruption; garder un état neutre utilisable après une cinématique sautée.</x:v>
      </x:c>
      <x:c r="K14" s="7" t="str">
        <x:v>Associer les contacts de sol ou de siège à des événements; éviter le bruitage répété sur une pose tenue.</x:v>
      </x:c>
      <x:c r="L14" s="7" t="str">
        <x:v>Table d'animation prévue DIS/JAKIN; paramètres direction, locomotion, accessoire et interruption.</x:v>
      </x:c>
      <x:c r="M14" s="7" t="str">
        <x:v>Le passage de Tiran de l’infiltration vers l’adhésion reste un raccord narratif. Les choix locaux ne modifient pas la mort des personnages, l’issue de Zeta ou l’existence d’une autre version du voyage.</x:v>
      </x:c>
      <x:c r="N14" s="7" t="str">
        <x:v>Un enchaînement déplacement → interaction → interruption → reprise conserve le pivot et les accessoires de Capitaine Jakin.</x:v>
      </x:c>
      <x:c r="O14" s="7" t="str">
        <x:v>DIS-ACT-JAKIN, DIS-SPR-JAKIN</x:v>
      </x:c>
      <x:c r="P14" s="7" t="str">
        <x:v>Conception originale, aucune cadence extraite du comic.</x:v>
      </x:c>
      <x:c r="Q14" s="7" t="str"/>
      <x:c r="R14" s="7" t="str"/>
      <x:c r="S14" s="7" t="str"/>
    </x:row>
    <x:row r="15" ht="68" customHeight="1">
      <x:c r="A15" s="18" t="str">
        <x:v>DIS-ANI-VIEGLE</x:v>
      </x:c>
      <x:c r="B15" s="9" t="str">
        <x:v>Viegle — jeu de poses</x:v>
      </x:c>
      <x:c r="C15" s="15" t="str">
        <x:v>Défini</x:v>
      </x:c>
      <x:c r="D15" s="16" t="str">
        <x:v>Extrapolation</x:v>
      </x:c>
      <x:c r="E15" s="16" t="str">
        <x:v>P1</x:v>
      </x:c>
      <x:c r="F15" s="9" t="str">
        <x:v>Définir les transitions propres au rôle de Viegle.</x:v>
      </x:c>
      <x:c r="G15" s="9" t="str">
        <x:v>Témoin avec une relation personnelle, pas simple indicateur de quête.</x:v>
      </x:c>
      <x:c r="H15" s="9" t="str"/>
      <x:c r="I15" s="9" t="str">
        <x:v>Quarien de terrain, posture discrète et détails à vérifier.</x:v>
      </x:c>
      <x:c r="J15" s="9" t="str">
        <x:v>Hésitation, signal de fuite et échange d’objet. Décomposer anticipation, action, retour et interruption; garder un état neutre utilisable après une cinématique sautée.</x:v>
      </x:c>
      <x:c r="K15" s="9" t="str">
        <x:v>Associer les contacts de sol ou de siège à des événements; éviter le bruitage répété sur une pose tenue.</x:v>
      </x:c>
      <x:c r="L15" s="9" t="str">
        <x:v>Table d'animation prévue DIS/VIEGLE; paramètres direction, locomotion, accessoire et interruption.</x:v>
      </x:c>
      <x:c r="M15" s="9" t="str">
        <x:v>Le passage de Tiran de l’infiltration vers l’adhésion reste un raccord narratif. Les choix locaux ne modifient pas la mort des personnages, l’issue de Zeta ou l’existence d’une autre version du voyage.</x:v>
      </x:c>
      <x:c r="N15" s="9" t="str">
        <x:v>Un enchaînement déplacement → interaction → interruption → reprise conserve le pivot et les accessoires de Viegle.</x:v>
      </x:c>
      <x:c r="O15" s="9" t="str">
        <x:v>DIS-ACT-VIEGLE, DIS-SPR-VIEGLE</x:v>
      </x:c>
      <x:c r="P15" s="9" t="str">
        <x:v>Conception originale, aucune cadence extraite du comic.</x:v>
      </x:c>
      <x:c r="Q15" s="9" t="str"/>
      <x:c r="R15" s="9" t="str"/>
      <x:c r="S15" s="9" t="str"/>
    </x:row>
    <x:row r="16" ht="68" customHeight="1">
      <x:c r="A16" s="19" t="str">
        <x:v>DIS-ANI-ARIA</x:v>
      </x:c>
      <x:c r="B16" s="7" t="str">
        <x:v>Aria T’Loak — jeu de poses</x:v>
      </x:c>
      <x:c r="C16" s="15" t="str">
        <x:v>Défini</x:v>
      </x:c>
      <x:c r="D16" s="17" t="str">
        <x:v>Extrapolation</x:v>
      </x:c>
      <x:c r="E16" s="17" t="str">
        <x:v>P1</x:v>
      </x:c>
      <x:c r="F16" s="7" t="str">
        <x:v>Définir les transitions propres au rôle de Aria T’Loak.</x:v>
      </x:c>
      <x:c r="G16" s="7" t="str">
        <x:v>Autorité locale; négociation bornée au numéro.</x:v>
      </x:c>
      <x:c r="H16" s="7" t="str"/>
      <x:c r="I16" s="7" t="str">
        <x:v>Asari en position dominante dans un décor réduit d’Afterlife.</x:v>
      </x:c>
      <x:c r="J16" s="7" t="str">
        <x:v>Immobilité, geste de contrôle et clôture d’entretien. Décomposer anticipation, action, retour et interruption; garder un état neutre utilisable après une cinématique sautée.</x:v>
      </x:c>
      <x:c r="K16" s="7" t="str">
        <x:v>Associer les contacts de sol ou de siège à des événements; éviter le bruitage répété sur une pose tenue.</x:v>
      </x:c>
      <x:c r="L16" s="7" t="str">
        <x:v>Table d'animation prévue DIS/ARIA; paramètres direction, locomotion, accessoire et interruption.</x:v>
      </x:c>
      <x:c r="M16" s="7" t="str">
        <x:v>Le passage de Tiran de l’infiltration vers l’adhésion reste un raccord narratif. Les choix locaux ne modifient pas la mort des personnages, l’issue de Zeta ou l’existence d’une autre version du voyage.</x:v>
      </x:c>
      <x:c r="N16" s="7" t="str">
        <x:v>Un enchaînement déplacement → interaction → interruption → reprise conserve le pivot et les accessoires de Aria T’Loak.</x:v>
      </x:c>
      <x:c r="O16" s="7" t="str">
        <x:v>DIS-ACT-ARIA, DIS-SPR-ARIA</x:v>
      </x:c>
      <x:c r="P16" s="7" t="str">
        <x:v>Conception originale, aucune cadence extraite du comic.</x:v>
      </x:c>
      <x:c r="Q16" s="7" t="str"/>
      <x:c r="R16" s="7" t="str"/>
      <x:c r="S16" s="7" t="str"/>
    </x:row>
  </x:sheetData>
  <x:conditionalFormatting sqref="D7:D16">
    <x:cfRule type="cellIs" dxfId="76" priority="1" operator="equal">
      <x:formula>"À vérifier"</x:formula>
    </x:cfRule>
    <x:cfRule type="cellIs" dxfId="77" priority="2" operator="equal">
      <x:formula>"Extrapolation"</x:formula>
    </x:cfRule>
  </x:conditionalFormatting>
  <x:conditionalFormatting sqref="C7:C16">
    <x:cfRule type="cellIs" dxfId="78" priority="3" operator="equal">
      <x:formula>"Validé"</x:formula>
    </x:cfRule>
  </x:conditionalFormatting>
  <x:conditionalFormatting sqref="E7:E16">
    <x:cfRule type="cellIs" dxfId="79"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27843e4e7882415a"/>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Discovery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DIS-SPR-TIRAN</x:v>
      </x:c>
      <x:c r="B7" s="9" t="str">
        <x:v>Tiran Kandros — planche de sprites</x:v>
      </x:c>
      <x:c r="C7" s="15" t="str">
        <x:v>Défini</x:v>
      </x:c>
      <x:c r="D7" s="16" t="str">
        <x:v>Extrapolation</x:v>
      </x:c>
      <x:c r="E7" s="16" t="str">
        <x:v>P1</x:v>
      </x:c>
      <x:c r="F7" s="9" t="str">
        <x:v>Produire une silhouette lisible pour Tiran Kandros dans le module Discovery.</x:v>
      </x:c>
      <x:c r="G7" s="9" t="str">
        <x:v>Enquêteur sous couverture; préparer des accès et protéger les partenaires.</x:v>
      </x:c>
      <x:c r="H7" s="9" t="str"/>
      <x:c r="I7" s="9" t="str">
        <x:v>Turien militaire puis tenue de couverture, capuche à Omega seulement au bon segment; armures à vérifier. Prévoir face, dos et profils trois-quarts; conserver le même pivot de pieds dans chaque pose.</x:v>
      </x:c>
      <x:c r="J7" s="9" t="str">
        <x:v>Observation, réponse prudente, contact radio et garde. Séparer arme/objet tenu du corps lorsque le changement de main est nécessaire.</x:v>
      </x:c>
      <x:c r="K7" s="9" t="str"/>
      <x:c r="L7" s="9" t="str">
        <x:v>Atlas prévu dis/actors/tiran; métadonnées pivot, masque d'occlusion, orientation et état. Aucun fichier de sprite n'est livré par ce catalogue.</x:v>
      </x:c>
      <x:c r="M7" s="9" t="str">
        <x:v>Le passage de Tiran de l’infiltration vers l’adhésion reste un raccord narratif. Les choix locaux ne modifient pas la mort des personnages, l’issue de Zeta ou l’existence d’une autre version du voyage.</x:v>
      </x:c>
      <x:c r="N7" s="9" t="str">
        <x:v>La planche permet d'identifier Tiran Kandros sans portrait UI à l'échelle de jeu; pieds stables devant les occultations du décor 3D.</x:v>
      </x:c>
      <x:c r="O7" s="9" t="str">
        <x:v>DIS-ACT-TIRAN</x:v>
      </x:c>
      <x:c r="P7" s="9" t="str">
        <x:v>Conception originale; référence visuelle du personnage à contrôler.</x:v>
      </x:c>
      <x:c r="Q7" s="9" t="str"/>
      <x:c r="R7" s="9" t="str"/>
      <x:c r="S7" s="9" t="str"/>
    </x:row>
    <x:row r="8" ht="68" customHeight="1">
      <x:c r="A8" s="19" t="str">
        <x:v>DIS-SPR-SHANKS</x:v>
      </x:c>
      <x:c r="B8" s="7" t="str">
        <x:v>Luna Shanks — planche de sprites</x:v>
      </x:c>
      <x:c r="C8" s="15" t="str">
        <x:v>Défini</x:v>
      </x:c>
      <x:c r="D8" s="17" t="str">
        <x:v>Extrapolation</x:v>
      </x:c>
      <x:c r="E8" s="17" t="str">
        <x:v>P1</x:v>
      </x:c>
      <x:c r="F8" s="7" t="str">
        <x:v>Produire une silhouette lisible pour Luna Shanks dans le module Discovery.</x:v>
      </x:c>
      <x:c r="G8" s="7" t="str">
        <x:v>Partenaire biotique et interlocutrice dont la confiance évolue.</x:v>
      </x:c>
      <x:c r="H8" s="7" t="str"/>
      <x:c r="I8" s="7" t="str">
        <x:v>Humaine en tenue de sécurité, silhouette solide, arme à vérifier dans chaque numéro. Prévoir face, dos et profils trois-quarts; conserver le même pivot de pieds dans chaque pose.</x:v>
      </x:c>
      <x:c r="J8" s="7" t="str">
        <x:v>Interrogation directe, maintien biotique et réaction de défiance. Séparer arme/objet tenu du corps lorsque le changement de main est nécessaire.</x:v>
      </x:c>
      <x:c r="K8" s="7" t="str"/>
      <x:c r="L8" s="7" t="str">
        <x:v>Atlas prévu dis/actors/shanks; métadonnées pivot, masque d'occlusion, orientation et état. Aucun fichier de sprite n'est livré par ce catalogue.</x:v>
      </x:c>
      <x:c r="M8" s="7" t="str">
        <x:v>Le passage de Tiran de l’infiltration vers l’adhésion reste un raccord narratif. Les choix locaux ne modifient pas la mort des personnages, l’issue de Zeta ou l’existence d’une autre version du voyage.</x:v>
      </x:c>
      <x:c r="N8" s="7" t="str">
        <x:v>La planche permet d'identifier Luna Shanks sans portrait UI à l'échelle de jeu; pieds stables devant les occultations du décor 3D.</x:v>
      </x:c>
      <x:c r="O8" s="7" t="str">
        <x:v>DIS-ACT-SHANKS</x:v>
      </x:c>
      <x:c r="P8" s="7" t="str">
        <x:v>Conception originale; référence visuelle du personnage à contrôler.</x:v>
      </x:c>
      <x:c r="Q8" s="7" t="str"/>
      <x:c r="R8" s="7" t="str"/>
      <x:c r="S8" s="7" t="str"/>
    </x:row>
    <x:row r="9" ht="68" customHeight="1">
      <x:c r="A9" s="18" t="str">
        <x:v>DIS-SPR-SHIO</x:v>
      </x:c>
      <x:c r="B9" s="9" t="str">
        <x:v>Shio’Leth vas Novarra — planche de sprites</x:v>
      </x:c>
      <x:c r="C9" s="15" t="str">
        <x:v>Défini</x:v>
      </x:c>
      <x:c r="D9" s="16" t="str">
        <x:v>Extrapolation</x:v>
      </x:c>
      <x:c r="E9" s="16" t="str">
        <x:v>P1</x:v>
      </x:c>
      <x:c r="F9" s="9" t="str">
        <x:v>Produire une silhouette lisible pour Shio’Leth vas Novarra dans le module Discovery.</x:v>
      </x:c>
      <x:c r="G9" s="9" t="str">
        <x:v>Personnage d’objectif avec initiative propre; accès aux données, sans statut de simple colis.</x:v>
      </x:c>
      <x:c r="H9" s="9" t="str"/>
      <x:c r="I9" s="9" t="str">
        <x:v>Combinaison quarienne, posture inquiète et outil de données à contrôler. Prévoir face, dos et profils trois-quarts; conserver le même pivot de pieds dans chaque pose.</x:v>
      </x:c>
      <x:c r="J9" s="9" t="str">
        <x:v>Inspection, hésitation et manipulation concentrée. Séparer arme/objet tenu du corps lorsque le changement de main est nécessaire.</x:v>
      </x:c>
      <x:c r="K9" s="9" t="str"/>
      <x:c r="L9" s="9" t="str">
        <x:v>Atlas prévu dis/actors/shio; métadonnées pivot, masque d'occlusion, orientation et état. Aucun fichier de sprite n'est livré par ce catalogue.</x:v>
      </x:c>
      <x:c r="M9" s="9" t="str">
        <x:v>Le passage de Tiran de l’infiltration vers l’adhésion reste un raccord narratif. Les choix locaux ne modifient pas la mort des personnages, l’issue de Zeta ou l’existence d’une autre version du voyage.</x:v>
      </x:c>
      <x:c r="N9" s="9" t="str">
        <x:v>La planche permet d'identifier Shio’Leth vas Novarra sans portrait UI à l'échelle de jeu; pieds stables devant les occultations du décor 3D.</x:v>
      </x:c>
      <x:c r="O9" s="9" t="str">
        <x:v>DIS-ACT-SHIO</x:v>
      </x:c>
      <x:c r="P9" s="9" t="str">
        <x:v>Conception originale; référence visuelle du personnage à contrôler.</x:v>
      </x:c>
      <x:c r="Q9" s="9" t="str"/>
      <x:c r="R9" s="9" t="str"/>
      <x:c r="S9" s="9" t="str"/>
    </x:row>
    <x:row r="10" ht="68" customHeight="1">
      <x:c r="A10" s="19" t="str">
        <x:v>DIS-SPR-GARSON</x:v>
      </x:c>
      <x:c r="B10" s="7" t="str">
        <x:v>Jien Garson — planche de sprites</x:v>
      </x:c>
      <x:c r="C10" s="15" t="str">
        <x:v>Défini</x:v>
      </x:c>
      <x:c r="D10" s="17" t="str">
        <x:v>Extrapolation</x:v>
      </x:c>
      <x:c r="E10" s="17" t="str">
        <x:v>P1</x:v>
      </x:c>
      <x:c r="F10" s="7" t="str">
        <x:v>Produire une silhouette lisible pour Jien Garson dans le module Discovery.</x:v>
      </x:c>
      <x:c r="G10" s="7" t="str">
        <x:v>Interlocutrice de l’Initiative et perspective du projet.</x:v>
      </x:c>
      <x:c r="H10" s="7" t="str"/>
      <x:c r="I10" s="7" t="str">
        <x:v>Tenue de direction claire, bureau de recrutement et posture attentive. Prévoir face, dos et profils trois-quarts; conserver le même pivot de pieds dans chaque pose.</x:v>
      </x:c>
      <x:c r="J10" s="7" t="str">
        <x:v>Écoute, question ciblée et décision. Séparer arme/objet tenu du corps lorsque le changement de main est nécessaire.</x:v>
      </x:c>
      <x:c r="K10" s="7" t="str"/>
      <x:c r="L10" s="7" t="str">
        <x:v>Atlas prévu dis/actors/garson; métadonnées pivot, masque d'occlusion, orientation et état. Aucun fichier de sprite n'est livré par ce catalogue.</x:v>
      </x:c>
      <x:c r="M10" s="7" t="str">
        <x:v>Le passage de Tiran de l’infiltration vers l’adhésion reste un raccord narratif. Les choix locaux ne modifient pas la mort des personnages, l’issue de Zeta ou l’existence d’une autre version du voyage.</x:v>
      </x:c>
      <x:c r="N10" s="7" t="str">
        <x:v>La planche permet d'identifier Jien Garson sans portrait UI à l'échelle de jeu; pieds stables devant les occultations du décor 3D.</x:v>
      </x:c>
      <x:c r="O10" s="7" t="str">
        <x:v>DIS-ACT-GARSON</x:v>
      </x:c>
      <x:c r="P10" s="7" t="str">
        <x:v>Conception originale; référence visuelle du personnage à contrôler.</x:v>
      </x:c>
      <x:c r="Q10" s="7" t="str"/>
      <x:c r="R10" s="7" t="str"/>
      <x:c r="S10" s="7" t="str"/>
    </x:row>
    <x:row r="11" ht="68" customHeight="1">
      <x:c r="A11" s="18" t="str">
        <x:v>DIS-SPR-RAVIS</x:v>
      </x:c>
      <x:c r="B11" s="9" t="str">
        <x:v>Amirale Ravis — planche de sprites</x:v>
      </x:c>
      <x:c r="C11" s="15" t="str">
        <x:v>Défini</x:v>
      </x:c>
      <x:c r="D11" s="16" t="str">
        <x:v>Extrapolation</x:v>
      </x:c>
      <x:c r="E11" s="16" t="str">
        <x:v>P1</x:v>
      </x:c>
      <x:c r="F11" s="9" t="str">
        <x:v>Produire une silhouette lisible pour Amirale Ravis dans le module Discovery.</x:v>
      </x:c>
      <x:c r="G11" s="9" t="str">
        <x:v>Lien familial et militaire, canaux séparés de la couverture.</x:v>
      </x:c>
      <x:c r="H11" s="9" t="str"/>
      <x:c r="I11" s="9" t="str">
        <x:v>Turienne en tenue d’amirale à contrôler; portrait holographique pour les rapports. Prévoir face, dos et profils trois-quarts; conserver le même pivot de pieds dans chaque pose.</x:v>
      </x:c>
      <x:c r="J11" s="9" t="str">
        <x:v>Observation, avertissement et adieu mesuré. Séparer arme/objet tenu du corps lorsque le changement de main est nécessaire.</x:v>
      </x:c>
      <x:c r="K11" s="9" t="str"/>
      <x:c r="L11" s="9" t="str">
        <x:v>Atlas prévu dis/actors/ravis; métadonnées pivot, masque d'occlusion, orientation et état. Aucun fichier de sprite n'est livré par ce catalogue.</x:v>
      </x:c>
      <x:c r="M11" s="9" t="str">
        <x:v>Le passage de Tiran de l’infiltration vers l’adhésion reste un raccord narratif. Les choix locaux ne modifient pas la mort des personnages, l’issue de Zeta ou l’existence d’une autre version du voyage.</x:v>
      </x:c>
      <x:c r="N11" s="9" t="str">
        <x:v>La planche permet d'identifier Amirale Ravis sans portrait UI à l'échelle de jeu; pieds stables devant les occultations du décor 3D.</x:v>
      </x:c>
      <x:c r="O11" s="9" t="str">
        <x:v>DIS-ACT-RAVIS</x:v>
      </x:c>
      <x:c r="P11" s="9" t="str">
        <x:v>Conception originale; référence visuelle du personnage à contrôler.</x:v>
      </x:c>
      <x:c r="Q11" s="9" t="str"/>
      <x:c r="R11" s="9" t="str"/>
      <x:c r="S11" s="9" t="str"/>
    </x:row>
    <x:row r="12" ht="68" customHeight="1">
      <x:c r="A12" s="19" t="str">
        <x:v>DIS-SPR-ZETA</x:v>
      </x:c>
      <x:c r="B12" s="7" t="str">
        <x:v>Agent Zeta — planche de sprites</x:v>
      </x:c>
      <x:c r="C12" s="15" t="str">
        <x:v>Défini</x:v>
      </x:c>
      <x:c r="D12" s="17" t="str">
        <x:v>Extrapolation</x:v>
      </x:c>
      <x:c r="E12" s="17" t="str">
        <x:v>P1</x:v>
      </x:c>
      <x:c r="F12" s="7" t="str">
        <x:v>Produire une silhouette lisible pour Agent Zeta dans le module Discovery.</x:v>
      </x:c>
      <x:c r="G12" s="7" t="str">
        <x:v>Antagoniste poursuivant le même scientifique, avec motivations révélées par étapes.</x:v>
      </x:c>
      <x:c r="H12" s="7" t="str"/>
      <x:c r="I12" s="7" t="str">
        <x:v>Salarian marqué par les augmentations à comparer; effets de surcharge localisés. Prévoir face, dos et profils trois-quarts; conserver le même pivot de pieds dans chaque pose.</x:v>
      </x:c>
      <x:c r="J12" s="7" t="str">
        <x:v>Concentration tendue, attaque explosive et déséquilibre après effort. Séparer arme/objet tenu du corps lorsque le changement de main est nécessaire.</x:v>
      </x:c>
      <x:c r="K12" s="7" t="str"/>
      <x:c r="L12" s="7" t="str">
        <x:v>Atlas prévu dis/actors/zeta; métadonnées pivot, masque d'occlusion, orientation et état. Aucun fichier de sprite n'est livré par ce catalogue.</x:v>
      </x:c>
      <x:c r="M12" s="7" t="str">
        <x:v>Le passage de Tiran de l’infiltration vers l’adhésion reste un raccord narratif. Les choix locaux ne modifient pas la mort des personnages, l’issue de Zeta ou l’existence d’une autre version du voyage.</x:v>
      </x:c>
      <x:c r="N12" s="7" t="str">
        <x:v>La planche permet d'identifier Agent Zeta sans portrait UI à l'échelle de jeu; pieds stables devant les occultations du décor 3D.</x:v>
      </x:c>
      <x:c r="O12" s="7" t="str">
        <x:v>DIS-ACT-ZETA</x:v>
      </x:c>
      <x:c r="P12" s="7" t="str">
        <x:v>Conception originale; référence visuelle du personnage à contrôler.</x:v>
      </x:c>
      <x:c r="Q12" s="7" t="str"/>
      <x:c r="R12" s="7" t="str"/>
      <x:c r="S12" s="7" t="str"/>
    </x:row>
    <x:row r="13" ht="68" customHeight="1">
      <x:c r="A13" s="18" t="str">
        <x:v>DIS-SPR-NYREEN</x:v>
      </x:c>
      <x:c r="B13" s="9" t="str">
        <x:v>Nyreen Kandros — planche de sprites</x:v>
      </x:c>
      <x:c r="C13" s="15" t="str">
        <x:v>Défini</x:v>
      </x:c>
      <x:c r="D13" s="16" t="str">
        <x:v>Extrapolation</x:v>
      </x:c>
      <x:c r="E13" s="16" t="str">
        <x:v>P1</x:v>
      </x:c>
      <x:c r="F13" s="9" t="str">
        <x:v>Produire une silhouette lisible pour Nyreen Kandros dans le module Discovery.</x:v>
      </x:c>
      <x:c r="G13" s="9" t="str">
        <x:v>Interlocutrice familiale et soutien local; sa présence expose l’alias.</x:v>
      </x:c>
      <x:c r="H13" s="9" t="str"/>
      <x:c r="I13" s="9" t="str">
        <x:v>Turienne au costume d’Omega à contrôler, silhouette distincte de Tiran. Prévoir face, dos et profils trois-quarts; conserver le même pivot de pieds dans chaque pose.</x:v>
      </x:c>
      <x:c r="J13" s="9" t="str">
        <x:v>Reconnaissance, geste d’arrêt et entretien calme. Séparer arme/objet tenu du corps lorsque le changement de main est nécessaire.</x:v>
      </x:c>
      <x:c r="K13" s="9" t="str"/>
      <x:c r="L13" s="9" t="str">
        <x:v>Atlas prévu dis/actors/nyreen; métadonnées pivot, masque d'occlusion, orientation et état. Aucun fichier de sprite n'est livré par ce catalogue.</x:v>
      </x:c>
      <x:c r="M13" s="9" t="str">
        <x:v>Le passage de Tiran de l’infiltration vers l’adhésion reste un raccord narratif. Les choix locaux ne modifient pas la mort des personnages, l’issue de Zeta ou l’existence d’une autre version du voyage.</x:v>
      </x:c>
      <x:c r="N13" s="9" t="str">
        <x:v>La planche permet d'identifier Nyreen Kandros sans portrait UI à l'échelle de jeu; pieds stables devant les occultations du décor 3D.</x:v>
      </x:c>
      <x:c r="O13" s="9" t="str">
        <x:v>DIS-ACT-NYREEN</x:v>
      </x:c>
      <x:c r="P13" s="9" t="str">
        <x:v>Conception originale; référence visuelle du personnage à contrôler.</x:v>
      </x:c>
      <x:c r="Q13" s="9" t="str"/>
      <x:c r="R13" s="9" t="str"/>
      <x:c r="S13" s="9" t="str"/>
    </x:row>
    <x:row r="14" ht="68" customHeight="1">
      <x:c r="A14" s="19" t="str">
        <x:v>DIS-SPR-JAKIN</x:v>
      </x:c>
      <x:c r="B14" s="7" t="str">
        <x:v>Capitaine Jakin — planche de sprites</x:v>
      </x:c>
      <x:c r="C14" s="15" t="str">
        <x:v>Défini</x:v>
      </x:c>
      <x:c r="D14" s="17" t="str">
        <x:v>Extrapolation</x:v>
      </x:c>
      <x:c r="E14" s="17" t="str">
        <x:v>P1</x:v>
      </x:c>
      <x:c r="F14" s="7" t="str">
        <x:v>Produire une silhouette lisible pour Capitaine Jakin dans le module Discovery.</x:v>
      </x:c>
      <x:c r="G14" s="7" t="str">
        <x:v>Interlocuteur sur le passé de Shio; informations attribuées à son point de vue.</x:v>
      </x:c>
      <x:c r="H14" s="7" t="str"/>
      <x:c r="I14" s="7" t="str">
        <x:v>Quarien en tenue de commandement de terrain à vérifier. Prévoir face, dos et profils trois-quarts; conserver le même pivot de pieds dans chaque pose.</x:v>
      </x:c>
      <x:c r="J14" s="7" t="str">
        <x:v>Accueil fermé, écoute et ordre à son groupe. Séparer arme/objet tenu du corps lorsque le changement de main est nécessaire.</x:v>
      </x:c>
      <x:c r="K14" s="7" t="str"/>
      <x:c r="L14" s="7" t="str">
        <x:v>Atlas prévu dis/actors/jakin; métadonnées pivot, masque d'occlusion, orientation et état. Aucun fichier de sprite n'est livré par ce catalogue.</x:v>
      </x:c>
      <x:c r="M14" s="7" t="str">
        <x:v>Le passage de Tiran de l’infiltration vers l’adhésion reste un raccord narratif. Les choix locaux ne modifient pas la mort des personnages, l’issue de Zeta ou l’existence d’une autre version du voyage.</x:v>
      </x:c>
      <x:c r="N14" s="7" t="str">
        <x:v>La planche permet d'identifier Capitaine Jakin sans portrait UI à l'échelle de jeu; pieds stables devant les occultations du décor 3D.</x:v>
      </x:c>
      <x:c r="O14" s="7" t="str">
        <x:v>DIS-ACT-JAKIN</x:v>
      </x:c>
      <x:c r="P14" s="7" t="str">
        <x:v>Conception originale; référence visuelle du personnage à contrôler.</x:v>
      </x:c>
      <x:c r="Q14" s="7" t="str"/>
      <x:c r="R14" s="7" t="str"/>
      <x:c r="S14" s="7" t="str"/>
    </x:row>
    <x:row r="15" ht="68" customHeight="1">
      <x:c r="A15" s="18" t="str">
        <x:v>DIS-SPR-VIEGLE</x:v>
      </x:c>
      <x:c r="B15" s="9" t="str">
        <x:v>Viegle — planche de sprites</x:v>
      </x:c>
      <x:c r="C15" s="15" t="str">
        <x:v>Défini</x:v>
      </x:c>
      <x:c r="D15" s="16" t="str">
        <x:v>Extrapolation</x:v>
      </x:c>
      <x:c r="E15" s="16" t="str">
        <x:v>P1</x:v>
      </x:c>
      <x:c r="F15" s="9" t="str">
        <x:v>Produire une silhouette lisible pour Viegle dans le module Discovery.</x:v>
      </x:c>
      <x:c r="G15" s="9" t="str">
        <x:v>Témoin avec une relation personnelle, pas simple indicateur de quête.</x:v>
      </x:c>
      <x:c r="H15" s="9" t="str"/>
      <x:c r="I15" s="9" t="str">
        <x:v>Quarien de terrain, posture discrète et détails à vérifier. Prévoir face, dos et profils trois-quarts; conserver le même pivot de pieds dans chaque pose.</x:v>
      </x:c>
      <x:c r="J15" s="9" t="str">
        <x:v>Hésitation, signal de fuite et échange d’objet. Séparer arme/objet tenu du corps lorsque le changement de main est nécessaire.</x:v>
      </x:c>
      <x:c r="K15" s="9" t="str"/>
      <x:c r="L15" s="9" t="str">
        <x:v>Atlas prévu dis/actors/viegle; métadonnées pivot, masque d'occlusion, orientation et état. Aucun fichier de sprite n'est livré par ce catalogue.</x:v>
      </x:c>
      <x:c r="M15" s="9" t="str">
        <x:v>Le passage de Tiran de l’infiltration vers l’adhésion reste un raccord narratif. Les choix locaux ne modifient pas la mort des personnages, l’issue de Zeta ou l’existence d’une autre version du voyage.</x:v>
      </x:c>
      <x:c r="N15" s="9" t="str">
        <x:v>La planche permet d'identifier Viegle sans portrait UI à l'échelle de jeu; pieds stables devant les occultations du décor 3D.</x:v>
      </x:c>
      <x:c r="O15" s="9" t="str">
        <x:v>DIS-ACT-VIEGLE</x:v>
      </x:c>
      <x:c r="P15" s="9" t="str">
        <x:v>Conception originale; référence visuelle du personnage à contrôler.</x:v>
      </x:c>
      <x:c r="Q15" s="9" t="str"/>
      <x:c r="R15" s="9" t="str"/>
      <x:c r="S15" s="9" t="str"/>
    </x:row>
    <x:row r="16" ht="68" customHeight="1">
      <x:c r="A16" s="19" t="str">
        <x:v>DIS-SPR-ARIA</x:v>
      </x:c>
      <x:c r="B16" s="7" t="str">
        <x:v>Aria T’Loak — planche de sprites</x:v>
      </x:c>
      <x:c r="C16" s="15" t="str">
        <x:v>Défini</x:v>
      </x:c>
      <x:c r="D16" s="17" t="str">
        <x:v>Extrapolation</x:v>
      </x:c>
      <x:c r="E16" s="17" t="str">
        <x:v>P1</x:v>
      </x:c>
      <x:c r="F16" s="7" t="str">
        <x:v>Produire une silhouette lisible pour Aria T’Loak dans le module Discovery.</x:v>
      </x:c>
      <x:c r="G16" s="7" t="str">
        <x:v>Autorité locale; négociation bornée au numéro.</x:v>
      </x:c>
      <x:c r="H16" s="7" t="str"/>
      <x:c r="I16" s="7" t="str">
        <x:v>Asari en position dominante dans un décor réduit d’Afterlife. Prévoir face, dos et profils trois-quarts; conserver le même pivot de pieds dans chaque pose.</x:v>
      </x:c>
      <x:c r="J16" s="7" t="str">
        <x:v>Immobilité, geste de contrôle et clôture d’entretien. Séparer arme/objet tenu du corps lorsque le changement de main est nécessaire.</x:v>
      </x:c>
      <x:c r="K16" s="7" t="str"/>
      <x:c r="L16" s="7" t="str">
        <x:v>Atlas prévu dis/actors/aria; métadonnées pivot, masque d'occlusion, orientation et état. Aucun fichier de sprite n'est livré par ce catalogue.</x:v>
      </x:c>
      <x:c r="M16" s="7" t="str">
        <x:v>Le passage de Tiran de l’infiltration vers l’adhésion reste un raccord narratif. Les choix locaux ne modifient pas la mort des personnages, l’issue de Zeta ou l’existence d’une autre version du voyage.</x:v>
      </x:c>
      <x:c r="N16" s="7" t="str">
        <x:v>La planche permet d'identifier Aria T’Loak sans portrait UI à l'échelle de jeu; pieds stables devant les occultations du décor 3D.</x:v>
      </x:c>
      <x:c r="O16" s="7" t="str">
        <x:v>DIS-ACT-ARIA</x:v>
      </x:c>
      <x:c r="P16" s="7" t="str">
        <x:v>Conception originale; référence visuelle du personnage à contrôler.</x:v>
      </x:c>
      <x:c r="Q16" s="7" t="str"/>
      <x:c r="R16" s="7" t="str"/>
      <x:c r="S16" s="7" t="str"/>
    </x:row>
  </x:sheetData>
  <x:conditionalFormatting sqref="D7:D16">
    <x:cfRule type="cellIs" dxfId="80" priority="1" operator="equal">
      <x:formula>"À vérifier"</x:formula>
    </x:cfRule>
    <x:cfRule type="cellIs" dxfId="81" priority="2" operator="equal">
      <x:formula>"Extrapolation"</x:formula>
    </x:cfRule>
  </x:conditionalFormatting>
  <x:conditionalFormatting sqref="C7:C16">
    <x:cfRule type="cellIs" dxfId="82" priority="3" operator="equal">
      <x:formula>"Validé"</x:formula>
    </x:cfRule>
  </x:conditionalFormatting>
  <x:conditionalFormatting sqref="E7:E16">
    <x:cfRule type="cellIs" dxfId="83"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3d8301c7f1824c0a"/>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Discovery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DIS-SC-01-COVER-VFX</x:v>
      </x:c>
      <x:c r="B7" s="9" t="str">
        <x:v>#1 — entrer sous couverture — signal visuel</x:v>
      </x:c>
      <x:c r="C7" s="15" t="str">
        <x:v>Défini</x:v>
      </x:c>
      <x:c r="D7" s="16" t="str">
        <x:v>Extrapolation</x:v>
      </x:c>
      <x:c r="E7" s="16" t="str">
        <x:v>P1</x:v>
      </x:c>
      <x:c r="F7" s="9" t="str">
        <x:v>Badge couverture active visible uniquement au joueur.</x:v>
      </x:c>
      <x:c r="G7" s="9" t="str">
        <x:v>Rendre lisibles les interactions propres à cette séquence à la taille réelle du jeu.</x:v>
      </x:c>
      <x:c r="H7" s="9" t="str"/>
      <x:c r="I7" s="9" t="str">
        <x:v>Badge couverture active visible uniquement au joueur.</x:v>
      </x:c>
      <x:c r="J7" s="9" t="str">
        <x:v>Anticipation séparée de l’impact; variante sans flash, sans secousse et à contraste renforcé.</x:v>
      </x:c>
      <x:c r="K7" s="9" t="str">
        <x:v>Notification de dossier et ambiance de recrutement.</x:v>
      </x:c>
      <x:c r="L7" s="9" t="str">
        <x:v>Émetteur proposé DIS/01-COVER/vfx; ancrage sur monde 3D et tri compatible avec les sprites; options de confort indépendantes.</x:v>
      </x:c>
      <x:c r="M7" s="9" t="str">
        <x:v>Le passage de Tiran de l’infiltration vers l’adhésion reste un raccord narratif. Les choix locaux ne modifient pas la mort des personnages, l’issue de Zeta ou l’existence d’une autre version du voyage.</x:v>
      </x:c>
      <x:c r="N7" s="9" t="str">
        <x:v>Le signal reste identifiable en pause et sans son; aucun flash plein écran indispensable pour comprendre la résolution.</x:v>
      </x:c>
      <x:c r="O7" s="9" t="str">
        <x:v>DIS-SC-01-COVER-MAIN</x:v>
      </x:c>
      <x:c r="P7" s="9" t="str">
        <x:v>VFX original; intensité et timing à régler au prototype.</x:v>
      </x:c>
      <x:c r="Q7" s="9" t="str"/>
      <x:c r="R7" s="9" t="str"/>
      <x:c r="S7" s="9" t="str"/>
    </x:row>
    <x:row r="8" ht="68" customHeight="1">
      <x:c r="A8" s="19" t="str">
        <x:v>DIS-SC-01-SEARCH-VFX</x:v>
      </x:c>
      <x:c r="B8" s="7" t="str">
        <x:v>#1 — chercher le scientifique — signal visuel</x:v>
      </x:c>
      <x:c r="C8" s="15" t="str">
        <x:v>Défini</x:v>
      </x:c>
      <x:c r="D8" s="17" t="str">
        <x:v>Extrapolation</x:v>
      </x:c>
      <x:c r="E8" s="17" t="str">
        <x:v>P1</x:v>
      </x:c>
      <x:c r="F8" s="7" t="str">
        <x:v>Lien de piste vers la sortie; aucun marqueur omniscient de Shio.</x:v>
      </x:c>
      <x:c r="G8" s="7" t="str">
        <x:v>Rendre lisibles les interactions propres à cette séquence à la taille réelle du jeu.</x:v>
      </x:c>
      <x:c r="H8" s="7" t="str"/>
      <x:c r="I8" s="7" t="str">
        <x:v>Lien de piste vers la sortie; aucun marqueur omniscient de Shio.</x:v>
      </x:c>
      <x:c r="J8" s="7" t="str">
        <x:v>Anticipation séparée de l’impact; variante sans flash, sans secousse et à contraste renforcé.</x:v>
      </x:c>
      <x:c r="K8" s="7" t="str">
        <x:v>Vie quotidienne, écran d’information et interruption inquiétante.</x:v>
      </x:c>
      <x:c r="L8" s="7" t="str">
        <x:v>Émetteur proposé DIS/01-SEARCH/vfx; ancrage sur monde 3D et tri compatible avec les sprites; options de confort indépendantes.</x:v>
      </x:c>
      <x:c r="M8" s="7" t="str">
        <x:v>Le passage de Tiran de l’infiltration vers l’adhésion reste un raccord narratif. Les choix locaux ne modifient pas la mort des personnages, l’issue de Zeta ou l’existence d’une autre version du voyage.</x:v>
      </x:c>
      <x:c r="N8" s="7" t="str">
        <x:v>Le signal reste identifiable en pause et sans son; aucun flash plein écran indispensable pour comprendre la résolution.</x:v>
      </x:c>
      <x:c r="O8" s="7" t="str">
        <x:v>DIS-SC-01-SEARCH-MAIN</x:v>
      </x:c>
      <x:c r="P8" s="7" t="str">
        <x:v>VFX original; intensité et timing à régler au prototype.</x:v>
      </x:c>
      <x:c r="Q8" s="7" t="str"/>
      <x:c r="R8" s="7" t="str"/>
      <x:c r="S8" s="7" t="str"/>
    </x:row>
    <x:row r="9" ht="68" customHeight="1">
      <x:c r="A9" s="18" t="str">
        <x:v>DIS-SC-02-NOVARRA-VFX</x:v>
      </x:c>
      <x:c r="B9" s="9" t="str">
        <x:v>#2 — interroger le Novarra — signal visuel</x:v>
      </x:c>
      <x:c r="C9" s="15" t="str">
        <x:v>Défini</x:v>
      </x:c>
      <x:c r="D9" s="16" t="str">
        <x:v>Extrapolation</x:v>
      </x:c>
      <x:c r="E9" s="16" t="str">
        <x:v>P1</x:v>
      </x:c>
      <x:c r="F9" s="9" t="str">
        <x:v>Piste disponible distincte d’accès autorisé.</x:v>
      </x:c>
      <x:c r="G9" s="9" t="str">
        <x:v>Rendre lisibles les interactions propres à cette séquence à la taille réelle du jeu.</x:v>
      </x:c>
      <x:c r="H9" s="9" t="str"/>
      <x:c r="I9" s="9" t="str">
        <x:v>Piste disponible distincte d’accès autorisé.</x:v>
      </x:c>
      <x:c r="J9" s="9" t="str">
        <x:v>Anticipation séparée de l’impact; variante sans flash, sans secousse et à contraste renforcé.</x:v>
      </x:c>
      <x:c r="K9" s="9" t="str">
        <x:v>Machinerie tenue sous le niveau des voix.</x:v>
      </x:c>
      <x:c r="L9" s="9" t="str">
        <x:v>Émetteur proposé DIS/02-NOVARRA/vfx; ancrage sur monde 3D et tri compatible avec les sprites; options de confort indépendantes.</x:v>
      </x:c>
      <x:c r="M9" s="9" t="str">
        <x:v>Le passage de Tiran de l’infiltration vers l’adhésion reste un raccord narratif. Les choix locaux ne modifient pas la mort des personnages, l’issue de Zeta ou l’existence d’une autre version du voyage.</x:v>
      </x:c>
      <x:c r="N9" s="9" t="str">
        <x:v>Le signal reste identifiable en pause et sans son; aucun flash plein écran indispensable pour comprendre la résolution.</x:v>
      </x:c>
      <x:c r="O9" s="9" t="str">
        <x:v>DIS-SC-02-NOVARRA-MAIN</x:v>
      </x:c>
      <x:c r="P9" s="9" t="str">
        <x:v>VFX original; intensité et timing à régler au prototype.</x:v>
      </x:c>
      <x:c r="Q9" s="9" t="str"/>
      <x:c r="R9" s="9" t="str"/>
      <x:c r="S9" s="9" t="str"/>
    </x:row>
    <x:row r="10" ht="68" customHeight="1">
      <x:c r="A10" s="19" t="str">
        <x:v>DIS-SC-02-ESCAPE-VFX</x:v>
      </x:c>
      <x:c r="B10" s="7" t="str">
        <x:v>#2 — sortie sous pression biotique — signal visuel</x:v>
      </x:c>
      <x:c r="C10" s="15" t="str">
        <x:v>Défini</x:v>
      </x:c>
      <x:c r="D10" s="17" t="str">
        <x:v>Extrapolation</x:v>
      </x:c>
      <x:c r="E10" s="17" t="str">
        <x:v>P1</x:v>
      </x:c>
      <x:c r="F10" s="7" t="str">
        <x:v>Zone de surcharge en anneau hachuré et direction de fuite.</x:v>
      </x:c>
      <x:c r="G10" s="7" t="str">
        <x:v>Rendre lisibles les interactions propres à cette séquence à la taille réelle du jeu.</x:v>
      </x:c>
      <x:c r="H10" s="7" t="str"/>
      <x:c r="I10" s="7" t="str">
        <x:v>Zone de surcharge en anneau hachuré et direction de fuite.</x:v>
      </x:c>
      <x:c r="J10" s="7" t="str">
        <x:v>Anticipation séparée de l’impact; variante sans flash, sans secousse et à contraste renforcé.</x:v>
      </x:c>
      <x:c r="K10" s="7" t="str">
        <x:v>Arrêt brutal des machines et charge biotique originale.</x:v>
      </x:c>
      <x:c r="L10" s="7" t="str">
        <x:v>Émetteur proposé DIS/02-ESCAPE/vfx; ancrage sur monde 3D et tri compatible avec les sprites; options de confort indépendantes.</x:v>
      </x:c>
      <x:c r="M10" s="7" t="str">
        <x:v>Le passage de Tiran de l’infiltration vers l’adhésion reste un raccord narratif. Les choix locaux ne modifient pas la mort des personnages, l’issue de Zeta ou l’existence d’une autre version du voyage.</x:v>
      </x:c>
      <x:c r="N10" s="7" t="str">
        <x:v>Le signal reste identifiable en pause et sans son; aucun flash plein écran indispensable pour comprendre la résolution.</x:v>
      </x:c>
      <x:c r="O10" s="7" t="str">
        <x:v>DIS-SC-02-ESCAPE-MAIN</x:v>
      </x:c>
      <x:c r="P10" s="7" t="str">
        <x:v>VFX original; intensité et timing à régler au prototype.</x:v>
      </x:c>
      <x:c r="Q10" s="7" t="str"/>
      <x:c r="R10" s="7" t="str"/>
      <x:c r="S10" s="7" t="str"/>
    </x:row>
    <x:row r="11" ht="68" customHeight="1">
      <x:c r="A11" s="18" t="str">
        <x:v>DIS-SC-03-IDENTITY-VFX</x:v>
      </x:c>
      <x:c r="B11" s="9" t="str">
        <x:v>#3 — identité reconnue — signal visuel</x:v>
      </x:c>
      <x:c r="C11" s="15" t="str">
        <x:v>Défini</x:v>
      </x:c>
      <x:c r="D11" s="16" t="str">
        <x:v>Extrapolation</x:v>
      </x:c>
      <x:c r="E11" s="16" t="str">
        <x:v>P1</x:v>
      </x:c>
      <x:c r="F11" s="9" t="str">
        <x:v>Badge couverture compromis, sans marque de haine automatique.</x:v>
      </x:c>
      <x:c r="G11" s="9" t="str">
        <x:v>Rendre lisibles les interactions propres à cette séquence à la taille réelle du jeu.</x:v>
      </x:c>
      <x:c r="H11" s="9" t="str"/>
      <x:c r="I11" s="9" t="str">
        <x:v>Badge couverture compromis, sans marque de haine automatique.</x:v>
      </x:c>
      <x:c r="J11" s="9" t="str">
        <x:v>Anticipation séparée de l’impact; variante sans flash, sans secousse et à contraste renforcé.</x:v>
      </x:c>
      <x:c r="K11" s="9" t="str">
        <x:v>Ambiance qui se baisse à la reconnaissance, sans effet de choc criard.</x:v>
      </x:c>
      <x:c r="L11" s="9" t="str">
        <x:v>Émetteur proposé DIS/03-IDENTITY/vfx; ancrage sur monde 3D et tri compatible avec les sprites; options de confort indépendantes.</x:v>
      </x:c>
      <x:c r="M11" s="9" t="str">
        <x:v>Le passage de Tiran de l’infiltration vers l’adhésion reste un raccord narratif. Les choix locaux ne modifient pas la mort des personnages, l’issue de Zeta ou l’existence d’une autre version du voyage.</x:v>
      </x:c>
      <x:c r="N11" s="9" t="str">
        <x:v>Le signal reste identifiable en pause et sans son; aucun flash plein écran indispensable pour comprendre la résolution.</x:v>
      </x:c>
      <x:c r="O11" s="9" t="str">
        <x:v>DIS-SC-03-IDENTITY-MAIN</x:v>
      </x:c>
      <x:c r="P11" s="9" t="str">
        <x:v>VFX original; intensité et timing à régler au prototype.</x:v>
      </x:c>
      <x:c r="Q11" s="9" t="str"/>
      <x:c r="R11" s="9" t="str"/>
      <x:c r="S11" s="9" t="str"/>
    </x:row>
    <x:row r="12" ht="68" customHeight="1">
      <x:c r="A12" s="19" t="str">
        <x:v>DIS-SC-03-PATH-VFX</x:v>
      </x:c>
      <x:c r="B12" s="7" t="str">
        <x:v>#3 — poursuivre malgré la rupture — signal visuel</x:v>
      </x:c>
      <x:c r="C12" s="15" t="str">
        <x:v>Défini</x:v>
      </x:c>
      <x:c r="D12" s="17" t="str">
        <x:v>Extrapolation</x:v>
      </x:c>
      <x:c r="E12" s="17" t="str">
        <x:v>P1</x:v>
      </x:c>
      <x:c r="F12" s="7" t="str">
        <x:v>Liaison du duo rétablie comme capacité de jeu, pas preuve de pardon intégral.</x:v>
      </x:c>
      <x:c r="G12" s="7" t="str">
        <x:v>Rendre lisibles les interactions propres à cette séquence à la taille réelle du jeu.</x:v>
      </x:c>
      <x:c r="H12" s="7" t="str"/>
      <x:c r="I12" s="7" t="str">
        <x:v>Liaison du duo rétablie comme capacité de jeu, pas preuve de pardon intégral.</x:v>
      </x:c>
      <x:c r="J12" s="7" t="str">
        <x:v>Anticipation séparée de l’impact; variante sans flash, sans secousse et à contraste renforcé.</x:v>
      </x:c>
      <x:c r="K12" s="7" t="str">
        <x:v>Musique de club filtrée puis conversation plus claire.</x:v>
      </x:c>
      <x:c r="L12" s="7" t="str">
        <x:v>Émetteur proposé DIS/03-PATH/vfx; ancrage sur monde 3D et tri compatible avec les sprites; options de confort indépendantes.</x:v>
      </x:c>
      <x:c r="M12" s="7" t="str">
        <x:v>Le passage de Tiran de l’infiltration vers l’adhésion reste un raccord narratif. Les choix locaux ne modifient pas la mort des personnages, l’issue de Zeta ou l’existence d’une autre version du voyage.</x:v>
      </x:c>
      <x:c r="N12" s="7" t="str">
        <x:v>Le signal reste identifiable en pause et sans son; aucun flash plein écran indispensable pour comprendre la résolution.</x:v>
      </x:c>
      <x:c r="O12" s="7" t="str">
        <x:v>DIS-SC-03-PATH-MAIN</x:v>
      </x:c>
      <x:c r="P12" s="7" t="str">
        <x:v>VFX original; intensité et timing à régler au prototype.</x:v>
      </x:c>
      <x:c r="Q12" s="7" t="str"/>
      <x:c r="R12" s="7" t="str"/>
      <x:c r="S12" s="7" t="str"/>
    </x:row>
    <x:row r="13" ht="68" customHeight="1">
      <x:c r="A13" s="18" t="str">
        <x:v>DIS-SC-04-ARRAY-VFX</x:v>
      </x:c>
      <x:c r="B13" s="9" t="str">
        <x:v>#4 — données du réseau Kholas — signal visuel</x:v>
      </x:c>
      <x:c r="C13" s="15" t="str">
        <x:v>Défini</x:v>
      </x:c>
      <x:c r="D13" s="16" t="str">
        <x:v>Extrapolation</x:v>
      </x:c>
      <x:c r="E13" s="16" t="str">
        <x:v>P1</x:v>
      </x:c>
      <x:c r="F13" s="9" t="str">
        <x:v>Réseau de lignes qui se stabilise sans inonder l’écran de particules.</x:v>
      </x:c>
      <x:c r="G13" s="9" t="str">
        <x:v>Rendre lisibles les interactions propres à cette séquence à la taille réelle du jeu.</x:v>
      </x:c>
      <x:c r="H13" s="9" t="str"/>
      <x:c r="I13" s="9" t="str">
        <x:v>Réseau de lignes qui se stabilise sans inonder l’écran de particules.</x:v>
      </x:c>
      <x:c r="J13" s="9" t="str">
        <x:v>Anticipation séparée de l’impact; variante sans flash, sans secousse et à contraste renforcé.</x:v>
      </x:c>
      <x:c r="K13" s="9" t="str">
        <x:v>Signaux électroniques progressifs et radio filtrée.</x:v>
      </x:c>
      <x:c r="L13" s="9" t="str">
        <x:v>Émetteur proposé DIS/04-ARRAY/vfx; ancrage sur monde 3D et tri compatible avec les sprites; options de confort indépendantes.</x:v>
      </x:c>
      <x:c r="M13" s="9" t="str">
        <x:v>Le passage de Tiran de l’infiltration vers l’adhésion reste un raccord narratif. Les choix locaux ne modifient pas la mort des personnages, l’issue de Zeta ou l’existence d’une autre version du voyage.</x:v>
      </x:c>
      <x:c r="N13" s="9" t="str">
        <x:v>Le signal reste identifiable en pause et sans son; aucun flash plein écran indispensable pour comprendre la résolution.</x:v>
      </x:c>
      <x:c r="O13" s="9" t="str">
        <x:v>DIS-SC-04-ARRAY-MAIN</x:v>
      </x:c>
      <x:c r="P13" s="9" t="str">
        <x:v>VFX original; intensité et timing à régler au prototype.</x:v>
      </x:c>
      <x:c r="Q13" s="9" t="str"/>
      <x:c r="R13" s="9" t="str"/>
      <x:c r="S13" s="9" t="str"/>
    </x:row>
    <x:row r="14" ht="68" customHeight="1">
      <x:c r="A14" s="19" t="str">
        <x:v>DIS-SC-04-CHOICE-VFX</x:v>
      </x:c>
      <x:c r="B14" s="7" t="str">
        <x:v>#4 — choisir l’Initiative — signal visuel</x:v>
      </x:c>
      <x:c r="C14" s="15" t="str">
        <x:v>Défini</x:v>
      </x:c>
      <x:c r="D14" s="17" t="str">
        <x:v>Extrapolation</x:v>
      </x:c>
      <x:c r="E14" s="17" t="str">
        <x:v>P1</x:v>
      </x:c>
      <x:c r="F14" s="7" t="str">
        <x:v>Transition d’état d’alias vers identité réelle, sans gain magique de puissance.</x:v>
      </x:c>
      <x:c r="G14" s="7" t="str">
        <x:v>Rendre lisibles les interactions propres à cette séquence à la taille réelle du jeu.</x:v>
      </x:c>
      <x:c r="H14" s="7" t="str"/>
      <x:c r="I14" s="7" t="str">
        <x:v>Transition d’état d’alias vers identité réelle, sans gain magique de puissance.</x:v>
      </x:c>
      <x:c r="J14" s="7" t="str">
        <x:v>Anticipation séparée de l’impact; variante sans flash, sans secousse et à contraste renforcé.</x:v>
      </x:c>
      <x:c r="K14" s="7" t="str">
        <x:v>Motif original qui reprend celui du doute sous une forme plus ouverte.</x:v>
      </x:c>
      <x:c r="L14" s="7" t="str">
        <x:v>Émetteur proposé DIS/04-CHOICE/vfx; ancrage sur monde 3D et tri compatible avec les sprites; options de confort indépendantes.</x:v>
      </x:c>
      <x:c r="M14" s="7" t="str">
        <x:v>Le passage de Tiran de l’infiltration vers l’adhésion reste un raccord narratif. Les choix locaux ne modifient pas la mort des personnages, l’issue de Zeta ou l’existence d’une autre version du voyage.</x:v>
      </x:c>
      <x:c r="N14" s="7" t="str">
        <x:v>Le signal reste identifiable en pause et sans son; aucun flash plein écran indispensable pour comprendre la résolution.</x:v>
      </x:c>
      <x:c r="O14" s="7" t="str">
        <x:v>DIS-SC-04-CHOICE-MAIN</x:v>
      </x:c>
      <x:c r="P14" s="7" t="str">
        <x:v>VFX original; intensité et timing à régler au prototype.</x:v>
      </x:c>
      <x:c r="Q14" s="7" t="str"/>
      <x:c r="R14" s="7" t="str"/>
      <x:c r="S14" s="7" t="str"/>
    </x:row>
  </x:sheetData>
  <x:conditionalFormatting sqref="D7:D14">
    <x:cfRule type="cellIs" dxfId="84" priority="1" operator="equal">
      <x:formula>"À vérifier"</x:formula>
    </x:cfRule>
    <x:cfRule type="cellIs" dxfId="85" priority="2" operator="equal">
      <x:formula>"Extrapolation"</x:formula>
    </x:cfRule>
  </x:conditionalFormatting>
  <x:conditionalFormatting sqref="C7:C14">
    <x:cfRule type="cellIs" dxfId="86" priority="3" operator="equal">
      <x:formula>"Validé"</x:formula>
    </x:cfRule>
  </x:conditionalFormatting>
  <x:conditionalFormatting sqref="E7:E14">
    <x:cfRule type="cellIs" dxfId="87"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2ff6b306a1944144"/>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Discovery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DIS-AUD-EARTH</x:v>
      </x:c>
      <x:c r="B7" s="9" t="str">
        <x:v>Terre — siège de l’Initiative — paysage sonore</x:v>
      </x:c>
      <x:c r="C7" s="15" t="str">
        <x:v>Défini</x:v>
      </x:c>
      <x:c r="D7" s="16" t="str">
        <x:v>Extrapolation</x:v>
      </x:c>
      <x:c r="E7" s="16" t="str">
        <x:v>P1</x:v>
      </x:c>
      <x:c r="F7" s="9" t="str">
        <x:v>Ambiance de bureau et annonces de recrutement originales.</x:v>
      </x:c>
      <x:c r="G7" s="9" t="str">
        <x:v>Entrée sociale sous couverture.</x:v>
      </x:c>
      <x:c r="H7" s="9" t="str">
        <x:v>Doubler les alarmes utiles par texte, symbole ou changement de pose; les bruits d’ambiance ne portent pas seuls une information obligatoire.</x:v>
      </x:c>
      <x:c r="I7" s="9" t="str">
        <x:v>Verre clair, métal propre et accents bleus proposés.</x:v>
      </x:c>
      <x:c r="J7" s="9" t="str">
        <x:v>Déclencher les contacts mécaniques au mouvement visible; éviter les boucles désynchronisées des portes.</x:v>
      </x:c>
      <x:c r="K7" s="9" t="str">
        <x:v>Ambiance de bureau et annonces de recrutement originales. Composer une ambiance originale en couches fond / activité / danger, avec réglage indépendant des voix.</x:v>
      </x:c>
      <x:c r="L7" s="9" t="str">
        <x:v>Bus proposé DIS/EARTH; snapshots exploration, tension et dialogue; fondus après chargement.</x:v>
      </x:c>
      <x:c r="M7" s="9" t="str">
        <x:v>Le passage de Tiran de l’infiltration vers l’adhésion reste un raccord narratif. Les choix locaux ne modifient pas la mort des personnages, l’issue de Zeta ou l’existence d’une autre version du voyage.</x:v>
      </x:c>
      <x:c r="N7" s="9" t="str">
        <x:v>Un parcours muet reste compréhensible; l’entrée en dialogue baisse les ambiances sans couper brutalement leur réverbération.</x:v>
      </x:c>
      <x:c r="O7" s="9" t="str">
        <x:v>DIS-ZONE-EARTH</x:v>
      </x:c>
      <x:c r="P7" s="9" t="str">
        <x:v>Création sonore originale; aucune piste commerciale requise.</x:v>
      </x:c>
      <x:c r="Q7" s="9" t="str"/>
      <x:c r="R7" s="9" t="str"/>
      <x:c r="S7" s="9" t="str"/>
    </x:row>
    <x:row r="8" ht="68" customHeight="1">
      <x:c r="A8" s="19" t="str">
        <x:v>DIS-AUD-CITADEL</x:v>
      </x:c>
      <x:c r="B8" s="7" t="str">
        <x:v>Citadelle — recherche de Shio — paysage sonore</x:v>
      </x:c>
      <x:c r="C8" s="15" t="str">
        <x:v>Défini</x:v>
      </x:c>
      <x:c r="D8" s="17" t="str">
        <x:v>Extrapolation</x:v>
      </x:c>
      <x:c r="E8" s="17" t="str">
        <x:v>P1</x:v>
      </x:c>
      <x:c r="F8" s="7" t="str">
        <x:v>Vie quotidienne, ventilation et échos courts.</x:v>
      </x:c>
      <x:c r="G8" s="7" t="str">
        <x:v>Enquête dans des espaces habités, sans assimiler précarité et hostilité.</x:v>
      </x:c>
      <x:c r="H8" s="7" t="str">
        <x:v>Doubler les alarmes utiles par texte, symbole ou changement de pose; les bruits d’ambiance ne portent pas seuls une information obligatoire.</x:v>
      </x:c>
      <x:c r="I8" s="7" t="str">
        <x:v>Lumière diffuse, habitation usée et couleurs neutres pour les témoins.</x:v>
      </x:c>
      <x:c r="J8" s="7" t="str">
        <x:v>Déclencher les contacts mécaniques au mouvement visible; éviter les boucles désynchronisées des portes.</x:v>
      </x:c>
      <x:c r="K8" s="7" t="str">
        <x:v>Vie quotidienne, ventilation et échos courts. Composer une ambiance originale en couches fond / activité / danger, avec réglage indépendant des voix.</x:v>
      </x:c>
      <x:c r="L8" s="7" t="str">
        <x:v>Bus proposé DIS/CITADEL; snapshots exploration, tension et dialogue; fondus après chargement.</x:v>
      </x:c>
      <x:c r="M8" s="7" t="str">
        <x:v>Le passage de Tiran de l’infiltration vers l’adhésion reste un raccord narratif. Les choix locaux ne modifient pas la mort des personnages, l’issue de Zeta ou l’existence d’une autre version du voyage.</x:v>
      </x:c>
      <x:c r="N8" s="7" t="str">
        <x:v>Un parcours muet reste compréhensible; l’entrée en dialogue baisse les ambiances sans couper brutalement leur réverbération.</x:v>
      </x:c>
      <x:c r="O8" s="7" t="str">
        <x:v>DIS-ZONE-CITADEL</x:v>
      </x:c>
      <x:c r="P8" s="7" t="str">
        <x:v>Création sonore originale; aucune piste commerciale requise.</x:v>
      </x:c>
      <x:c r="Q8" s="7" t="str"/>
      <x:c r="R8" s="7" t="str"/>
      <x:c r="S8" s="7" t="str"/>
    </x:row>
    <x:row r="9" ht="68" customHeight="1">
      <x:c r="A9" s="18" t="str">
        <x:v>DIS-AUD-NOVARRA</x:v>
      </x:c>
      <x:c r="B9" s="9" t="str">
        <x:v>Site minier du Novarra — planète non nommée — paysage sonore</x:v>
      </x:c>
      <x:c r="C9" s="15" t="str">
        <x:v>Défini</x:v>
      </x:c>
      <x:c r="D9" s="16" t="str">
        <x:v>Extrapolation</x:v>
      </x:c>
      <x:c r="E9" s="16" t="str">
        <x:v>P1</x:v>
      </x:c>
      <x:c r="F9" s="9" t="str">
        <x:v>Machinerie minière, vent et rupture sonore à l’arrivée de Zeta.</x:v>
      </x:c>
      <x:c r="G9" s="9" t="str">
        <x:v>Terrain ouvert, témoins et menace biotique.</x:v>
      </x:c>
      <x:c r="H9" s="9" t="str">
        <x:v>Doubler les alarmes utiles par texte, symbole ou changement de pose; les bruits d’ambiance ne portent pas seuls une information obligatoire.</x:v>
      </x:c>
      <x:c r="I9" s="9" t="str">
        <x:v>Roche pâle, poussière légère et matériel minier quarien à contrôler.</x:v>
      </x:c>
      <x:c r="J9" s="9" t="str">
        <x:v>Déclencher les contacts mécaniques au mouvement visible; éviter les boucles désynchronisées des portes.</x:v>
      </x:c>
      <x:c r="K9" s="9" t="str">
        <x:v>Machinerie minière, vent et rupture sonore à l’arrivée de Zeta. Composer une ambiance originale en couches fond / activité / danger, avec réglage indépendant des voix.</x:v>
      </x:c>
      <x:c r="L9" s="9" t="str">
        <x:v>Bus proposé DIS/NOVARRA; snapshots exploration, tension et dialogue; fondus après chargement.</x:v>
      </x:c>
      <x:c r="M9" s="9" t="str">
        <x:v>Le passage de Tiran de l’infiltration vers l’adhésion reste un raccord narratif. Les choix locaux ne modifient pas la mort des personnages, l’issue de Zeta ou l’existence d’une autre version du voyage.</x:v>
      </x:c>
      <x:c r="N9" s="9" t="str">
        <x:v>Un parcours muet reste compréhensible; l’entrée en dialogue baisse les ambiances sans couper brutalement leur réverbération.</x:v>
      </x:c>
      <x:c r="O9" s="9" t="str">
        <x:v>DIS-ZONE-NOVARRA</x:v>
      </x:c>
      <x:c r="P9" s="9" t="str">
        <x:v>Création sonore originale; aucune piste commerciale requise.</x:v>
      </x:c>
      <x:c r="Q9" s="9" t="str"/>
      <x:c r="R9" s="9" t="str"/>
      <x:c r="S9" s="9" t="str"/>
    </x:row>
    <x:row r="10" ht="68" customHeight="1">
      <x:c r="A10" s="19" t="str">
        <x:v>DIS-AUD-OMEGA</x:v>
      </x:c>
      <x:c r="B10" s="7" t="str">
        <x:v>Omega — alias exposé — paysage sonore</x:v>
      </x:c>
      <x:c r="C10" s="15" t="str">
        <x:v>Défini</x:v>
      </x:c>
      <x:c r="D10" s="17" t="str">
        <x:v>Extrapolation</x:v>
      </x:c>
      <x:c r="E10" s="17" t="str">
        <x:v>P1</x:v>
      </x:c>
      <x:c r="F10" s="7" t="str">
        <x:v>Foule basse, moteurs et musique de club originale filtrée.</x:v>
      </x:c>
      <x:c r="G10" s="7" t="str">
        <x:v>Confrontation sociale et recherche localisée.</x:v>
      </x:c>
      <x:c r="H10" s="7" t="str">
        <x:v>Doubler les alarmes utiles par texte, symbole ou changement de pose; les bruits d’ambiance ne portent pas seuls une information obligatoire.</x:v>
      </x:c>
      <x:c r="I10" s="7" t="str">
        <x:v>Orange industriel, silhouettes de marché et zones calmes pour le dialogue.</x:v>
      </x:c>
      <x:c r="J10" s="7" t="str">
        <x:v>Déclencher les contacts mécaniques au mouvement visible; éviter les boucles désynchronisées des portes.</x:v>
      </x:c>
      <x:c r="K10" s="7" t="str">
        <x:v>Foule basse, moteurs et musique de club originale filtrée. Composer une ambiance originale en couches fond / activité / danger, avec réglage indépendant des voix.</x:v>
      </x:c>
      <x:c r="L10" s="7" t="str">
        <x:v>Bus proposé DIS/OMEGA; snapshots exploration, tension et dialogue; fondus après chargement.</x:v>
      </x:c>
      <x:c r="M10" s="7" t="str">
        <x:v>Le passage de Tiran de l’infiltration vers l’adhésion reste un raccord narratif. Les choix locaux ne modifient pas la mort des personnages, l’issue de Zeta ou l’existence d’une autre version du voyage.</x:v>
      </x:c>
      <x:c r="N10" s="7" t="str">
        <x:v>Un parcours muet reste compréhensible; l’entrée en dialogue baisse les ambiances sans couper brutalement leur réverbération.</x:v>
      </x:c>
      <x:c r="O10" s="7" t="str">
        <x:v>DIS-ZONE-OMEGA</x:v>
      </x:c>
      <x:c r="P10" s="7" t="str">
        <x:v>Création sonore originale; aucune piste commerciale requise.</x:v>
      </x:c>
      <x:c r="Q10" s="7" t="str"/>
      <x:c r="R10" s="7" t="str"/>
      <x:c r="S10" s="7" t="str"/>
    </x:row>
    <x:row r="11" ht="68" customHeight="1">
      <x:c r="A11" s="18" t="str">
        <x:v>DIS-AUD-KHOLAS</x:v>
      </x:c>
      <x:c r="B11" s="9" t="str">
        <x:v>Réseau Kholas — paysage sonore</x:v>
      </x:c>
      <x:c r="C11" s="15" t="str">
        <x:v>Défini</x:v>
      </x:c>
      <x:c r="D11" s="16" t="str">
        <x:v>Extrapolation</x:v>
      </x:c>
      <x:c r="E11" s="16" t="str">
        <x:v>P1</x:v>
      </x:c>
      <x:c r="F11" s="9" t="str">
        <x:v>Bourdonnement électronique, contacts de coque et communication filtrée.</x:v>
      </x:c>
      <x:c r="G11" s="9" t="str">
        <x:v>Objectif de données et confrontation finale sur une installation geth.</x:v>
      </x:c>
      <x:c r="H11" s="9" t="str">
        <x:v>Doubler les alarmes utiles par texte, symbole ou changement de pose; les bruits d’ambiance ne portent pas seuls une information obligatoire.</x:v>
      </x:c>
      <x:c r="I11" s="9" t="str">
        <x:v>Métal sombre, lumières geth contenues et vaste fond spatial.</x:v>
      </x:c>
      <x:c r="J11" s="9" t="str">
        <x:v>Déclencher les contacts mécaniques au mouvement visible; éviter les boucles désynchronisées des portes.</x:v>
      </x:c>
      <x:c r="K11" s="9" t="str">
        <x:v>Bourdonnement électronique, contacts de coque et communication filtrée. Composer une ambiance originale en couches fond / activité / danger, avec réglage indépendant des voix.</x:v>
      </x:c>
      <x:c r="L11" s="9" t="str">
        <x:v>Bus proposé DIS/KHOLAS; snapshots exploration, tension et dialogue; fondus après chargement.</x:v>
      </x:c>
      <x:c r="M11" s="9" t="str">
        <x:v>Le passage de Tiran de l’infiltration vers l’adhésion reste un raccord narratif. Les choix locaux ne modifient pas la mort des personnages, l’issue de Zeta ou l’existence d’une autre version du voyage.</x:v>
      </x:c>
      <x:c r="N11" s="9" t="str">
        <x:v>Un parcours muet reste compréhensible; l’entrée en dialogue baisse les ambiances sans couper brutalement leur réverbération.</x:v>
      </x:c>
      <x:c r="O11" s="9" t="str">
        <x:v>DIS-ZONE-KHOLAS</x:v>
      </x:c>
      <x:c r="P11" s="9" t="str">
        <x:v>Création sonore originale; aucune piste commerciale requise.</x:v>
      </x:c>
      <x:c r="Q11" s="9" t="str"/>
      <x:c r="R11" s="9" t="str"/>
      <x:c r="S11" s="9" t="str"/>
    </x:row>
  </x:sheetData>
  <x:conditionalFormatting sqref="D7:D11">
    <x:cfRule type="cellIs" dxfId="88" priority="1" operator="equal">
      <x:formula>"À vérifier"</x:formula>
    </x:cfRule>
    <x:cfRule type="cellIs" dxfId="89" priority="2" operator="equal">
      <x:formula>"Extrapolation"</x:formula>
    </x:cfRule>
  </x:conditionalFormatting>
  <x:conditionalFormatting sqref="C7:C11">
    <x:cfRule type="cellIs" dxfId="90" priority="3" operator="equal">
      <x:formula>"Validé"</x:formula>
    </x:cfRule>
  </x:conditionalFormatting>
  <x:conditionalFormatting sqref="E7:E11">
    <x:cfRule type="cellIs" dxfId="91"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58d2471d6b6a4a48"/>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Discovery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DIS-SYS-CANON</x:v>
      </x:c>
      <x:c r="B7" s="9" t="str">
        <x:v>Journal à deux niveaux</x:v>
      </x:c>
      <x:c r="C7" s="15" t="str">
        <x:v>Défini</x:v>
      </x:c>
      <x:c r="D7" s="16" t="str">
        <x:v>Extrapolation</x:v>
      </x:c>
      <x:c r="E7" s="16" t="str">
        <x:v>P1</x:v>
      </x:c>
      <x:c r="F7" s="9" t="str">
        <x:v>Dans Discovery, séparer faits attestés, données à contrôler et événements issus des règles du fan game.</x:v>
      </x:c>
      <x:c r="G7" s="9" t="str">
        <x:v>La continuité éditoriale est distincte des essais de gameplay; un choix stratégique ne réécrit pas la fin publiée.</x:v>
      </x:c>
      <x:c r="H7" s="9" t="str">
        <x:v>La continuité éditoriale est distincte des essais de gameplay; un choix stratégique ne réécrit pas la fin publiée.</x:v>
      </x:c>
      <x:c r="I7" s="9" t="str"/>
      <x:c r="J7" s="9" t="str"/>
      <x:c r="K7" s="9" t="str"/>
      <x:c r="L7" s="9" t="str">
        <x:v>Contrat de production DIS/SYS-CANON; à appliquer au futur contenu de l'œuvre.</x:v>
      </x:c>
      <x:c r="M7" s="9" t="str">
        <x:v>Le passage de Tiran de l’infiltration vers l’adhésion reste un raccord narratif. Les choix locaux ne modifient pas la mort des personnages, l’issue de Zeta ou l’existence d’une autre version du voyage.</x:v>
      </x:c>
      <x:c r="N7" s="9" t="str">
        <x:v>Chaque entrée de journal porte sa provenance; un résultat de combat ne change jamais le niveau de certitude du fait source.</x:v>
      </x:c>
      <x:c r="O7" s="9" t="str">
        <x:v>DIS-REF-SCOPE</x:v>
      </x:c>
      <x:c r="P7" s="9" t="str">
        <x:v>Règle originale de production; les ancrages de continuité sont documentés dans les fiches REF.</x:v>
      </x:c>
      <x:c r="Q7" s="9" t="str"/>
      <x:c r="R7" s="9" t="str"/>
      <x:c r="S7" s="9" t="str"/>
    </x:row>
    <x:row r="8" ht="68" customHeight="1">
      <x:c r="A8" s="19" t="str">
        <x:v>DIS-SYS-GROUP</x:v>
      </x:c>
      <x:c r="B8" s="7" t="str">
        <x:v>Groupe propre au chapitre</x:v>
      </x:c>
      <x:c r="C8" s="15" t="str">
        <x:v>Défini</x:v>
      </x:c>
      <x:c r="D8" s="17" t="str">
        <x:v>Extrapolation</x:v>
      </x:c>
      <x:c r="E8" s="17" t="str">
        <x:v>P1</x:v>
      </x:c>
      <x:c r="F8" s="7" t="str">
        <x:v>Tiran et Luna Shanks forment le duo proposé selon le numéro; Shio est un partenaire d’objectif dans le final. Nyreen est un soutien local à Omega, pas une recrue pour Andromeda.</x:v>
      </x:c>
      <x:c r="G8" s="7" t="str">
        <x:v>Former le groupe à partir du chapitre actif; les rôles de soutien ne deviennent pas des recrutements permanents.</x:v>
      </x:c>
      <x:c r="H8" s="7" t="str">
        <x:v>Former le groupe à partir du chapitre actif; les rôles de soutien ne deviennent pas des recrutements permanents.</x:v>
      </x:c>
      <x:c r="I8" s="7" t="str"/>
      <x:c r="J8" s="7" t="str"/>
      <x:c r="K8" s="7" t="str"/>
      <x:c r="L8" s="7" t="str">
        <x:v>Contrat de production DIS/SYS-GROUP; à appliquer au futur contenu de l'œuvre.</x:v>
      </x:c>
      <x:c r="M8" s="7" t="str">
        <x:v>Le passage de Tiran de l’infiltration vers l’adhésion reste un raccord narratif. Les choix locaux ne modifient pas la mort des personnages, l’issue de Zeta ou l’existence d’une autre version du voyage.</x:v>
      </x:c>
      <x:c r="N8" s="7" t="str">
        <x:v>Recharger un chapitre restitue uniquement son groupe autorisé, ses positions et ses commandes proposées.</x:v>
      </x:c>
      <x:c r="O8" s="7" t="str">
        <x:v>DIS-REF-SCOPE</x:v>
      </x:c>
      <x:c r="P8" s="7" t="str">
        <x:v>Règle originale de production; les ancrages de continuité sont documentés dans les fiches REF.</x:v>
      </x:c>
      <x:c r="Q8" s="7" t="str"/>
      <x:c r="R8" s="7" t="str"/>
      <x:c r="S8" s="7" t="str"/>
    </x:row>
    <x:row r="9" ht="68" customHeight="1">
      <x:c r="A9" s="18" t="str">
        <x:v>DIS-SYS-ATB</x:v>
      </x:c>
      <x:c r="B9" s="9" t="str">
        <x:v>Rythme ATB proposé</x:v>
      </x:c>
      <x:c r="C9" s="15" t="str">
        <x:v>Défini</x:v>
      </x:c>
      <x:c r="D9" s="16" t="str">
        <x:v>Extrapolation</x:v>
      </x:c>
      <x:c r="E9" s="16" t="str">
        <x:v>P1</x:v>
      </x:c>
      <x:c r="F9" s="9" t="str">
        <x:v>Observation, protection de partenaire et contrôle de surcharge; les confrontations avec Zeta privilégient la survie et les fenêtres d’action, pas une chasse aux statistiques.</x:v>
      </x:c>
      <x:c r="G9" s="9" t="str">
        <x:v>Pause de planification, annonce visible, résolution déterministe et commandes annulables avant confirmation.</x:v>
      </x:c>
      <x:c r="H9" s="9" t="str">
        <x:v>Pause de planification, annonce visible, résolution déterministe et commandes annulables avant confirmation.</x:v>
      </x:c>
      <x:c r="I9" s="9" t="str"/>
      <x:c r="J9" s="9" t="str"/>
      <x:c r="K9" s="9" t="str"/>
      <x:c r="L9" s="9" t="str">
        <x:v>Contrat de production DIS/SYS-ATB; à appliquer au futur contenu de l'œuvre.</x:v>
      </x:c>
      <x:c r="M9" s="9" t="str">
        <x:v>Le passage de Tiran de l’infiltration vers l’adhésion reste un raccord narratif. Les choix locaux ne modifient pas la mort des personnages, l’issue de Zeta ou l’existence d’une autre version du voyage.</x:v>
      </x:c>
      <x:c r="N9" s="9" t="str">
        <x:v>Un lecteur peut suivre chaque préparation sans son; la vitesse réglable ne modifie pas les conditions du raccord narratif.</x:v>
      </x:c>
      <x:c r="O9" s="9" t="str">
        <x:v>DIS-REF-SCOPE</x:v>
      </x:c>
      <x:c r="P9" s="9" t="str">
        <x:v>Règle originale de production; les ancrages de continuité sont documentés dans les fiches REF.</x:v>
      </x:c>
      <x:c r="Q9" s="9" t="str"/>
      <x:c r="R9" s="9" t="str"/>
      <x:c r="S9" s="9" t="str"/>
    </x:row>
    <x:row r="10" ht="68" customHeight="1">
      <x:c r="A10" s="19" t="str">
        <x:v>DIS-SYS-SAVE</x:v>
      </x:c>
      <x:c r="B10" s="7" t="str">
        <x:v>Sauvegarde des modules</x:v>
      </x:c>
      <x:c r="C10" s="15" t="str">
        <x:v>Défini</x:v>
      </x:c>
      <x:c r="D10" s="17" t="str">
        <x:v>Extrapolation</x:v>
      </x:c>
      <x:c r="E10" s="17" t="str">
        <x:v>P1</x:v>
      </x:c>
      <x:c r="F10" s="7" t="str">
        <x:v>Conserver la progression de Discovery sans exporter une issue hypothétique vers la continuité des jeux.</x:v>
      </x:c>
      <x:c r="G10" s="7" t="str">
        <x:v>Enregistrer couverture active, connaissances de Shanks, rapport à Ravis, état du scientifique et phase de numéro. Ne pas faire apparaître la vérité de l’alias avant son ancrage.</x:v>
      </x:c>
      <x:c r="H10" s="7" t="str">
        <x:v>Enregistrer couverture active, connaissances de Shanks, rapport à Ravis, état du scientifique et phase de numéro. Ne pas faire apparaître la vérité de l’alias avant son ancrage.</x:v>
      </x:c>
      <x:c r="I10" s="7" t="str"/>
      <x:c r="J10" s="7" t="str"/>
      <x:c r="K10" s="7" t="str"/>
      <x:c r="L10" s="7" t="str">
        <x:v>Contrat de production DIS/SYS-SAVE; à appliquer au futur contenu de l'œuvre.</x:v>
      </x:c>
      <x:c r="M10" s="7" t="str">
        <x:v>Le passage de Tiran de l’infiltration vers l’adhésion reste un raccord narratif. Les choix locaux ne modifient pas la mort des personnages, l’issue de Zeta ou l’existence d’une autre version du voyage.</x:v>
      </x:c>
      <x:c r="N10" s="7" t="str">
        <x:v>Sauvegarder, quitter et reprendre avant/après un raccord ne double aucun objet, objectif ou récompense.</x:v>
      </x:c>
      <x:c r="O10" s="7" t="str">
        <x:v>DIS-REF-SCOPE</x:v>
      </x:c>
      <x:c r="P10" s="7" t="str">
        <x:v>Règle originale de production; les ancrages de continuité sont documentés dans les fiches REF.</x:v>
      </x:c>
      <x:c r="Q10" s="7" t="str"/>
      <x:c r="R10" s="7" t="str"/>
      <x:c r="S10" s="7" t="str"/>
    </x:row>
  </x:sheetData>
  <x:conditionalFormatting sqref="D7:D10">
    <x:cfRule type="cellIs" dxfId="92" priority="1" operator="equal">
      <x:formula>"À vérifier"</x:formula>
    </x:cfRule>
    <x:cfRule type="cellIs" dxfId="93" priority="2" operator="equal">
      <x:formula>"Extrapolation"</x:formula>
    </x:cfRule>
  </x:conditionalFormatting>
  <x:conditionalFormatting sqref="C7:C10">
    <x:cfRule type="cellIs" dxfId="94" priority="3" operator="equal">
      <x:formula>"Validé"</x:formula>
    </x:cfRule>
  </x:conditionalFormatting>
  <x:conditionalFormatting sqref="E7:E10">
    <x:cfRule type="cellIs" dxfId="9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e00869207b4c4b3f"/>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Discovery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DIS-SC-01-COVER-QA</x:v>
      </x:c>
      <x:c r="B7" s="9" t="str">
        <x:v>#1 — entrer sous couverture — contrôle du parcours</x:v>
      </x:c>
      <x:c r="C7" s="15" t="str">
        <x:v>Défini</x:v>
      </x:c>
      <x:c r="D7" s="16" t="str">
        <x:v>Extrapolation</x:v>
      </x:c>
      <x:c r="E7" s="16" t="str">
        <x:v>P0</x:v>
      </x:c>
      <x:c r="F7" s="9" t="str">
        <x:v>Rejouer « #1 — entrer sous couverture » par les deux méthodes proposées, avec tâche facultative ignorée puis terminée, et en sautant le raccord.</x:v>
      </x:c>
      <x:c r="G7" s="9" t="str">
        <x:v>Briefing → préparation de couverture → entrée → entretien.</x:v>
      </x:c>
      <x:c r="H7" s="9" t="str">
        <x:v>Trois éléments de contexte proposés soutiennent l’identité; la réussite ne dépend pas d’un quiz de mémoire sur un long texte.</x:v>
      </x:c>
      <x:c r="I7" s="9" t="str"/>
      <x:c r="J7" s="9" t="str"/>
      <x:c r="K7" s="9" t="str"/>
      <x:c r="L7" s="9" t="str">
        <x:v>Scénarios de recette à exécuter pour DIS/01-COVER; consigner résultat réel et preuve seulement lors d’une future réalisation.</x:v>
      </x:c>
      <x:c r="M7" s="9" t="str">
        <x:v>Fiche de recette définie; aucun test du jeu n’a été exécuté par ce catalogue.</x:v>
      </x:c>
      <x:c r="N7" s="9" t="str">
        <x:v>L'objectif « #1 — entrer sous couverture » atteint son raccord annoncé après chaque méthode; sauvegarde, rechargement et saut de scène n'en changent ni le groupe ni les informations acquises.</x:v>
      </x:c>
      <x:c r="O7" s="9" t="str">
        <x:v>DIS-SC-01-COVER-MAIN, DIS-SC-01-COVER-CHOICE, DIS-SC-01-COVER-CINE, DIS-SC-01-COVER-PROP</x:v>
      </x:c>
      <x:c r="P7" s="9" t="str">
        <x:v>Critère de production original, pas une validation déjà obtenue.</x:v>
      </x:c>
      <x:c r="Q7" s="9" t="str"/>
      <x:c r="R7" s="9" t="str"/>
      <x:c r="S7" s="9" t="str"/>
    </x:row>
    <x:row r="8" ht="68" customHeight="1">
      <x:c r="A8" s="19" t="str">
        <x:v>DIS-SC-01-SEARCH-QA</x:v>
      </x:c>
      <x:c r="B8" s="7" t="str">
        <x:v>#1 — chercher le scientifique — contrôle du parcours</x:v>
      </x:c>
      <x:c r="C8" s="15" t="str">
        <x:v>Défini</x:v>
      </x:c>
      <x:c r="D8" s="17" t="str">
        <x:v>Extrapolation</x:v>
      </x:c>
      <x:c r="E8" s="17" t="str">
        <x:v>P0</x:v>
      </x:c>
      <x:c r="F8" s="7" t="str">
        <x:v>Rejouer « #1 — chercher le scientifique » par les deux méthodes proposées, avec tâche facultative ignorée puis terminée, et en sautant le raccord.</x:v>
      </x:c>
      <x:c r="G8" s="7" t="str">
        <x:v>Arrivée Citadelle → questions → vérification du lieu → nouvelle piste.</x:v>
      </x:c>
      <x:c r="H8" s="7" t="str">
        <x:v>Les indices nécessaires ont plusieurs chemins d’accès; intimidation éventuelle reste un choix d’adaptation local, jamais une vérité sur les habitants.</x:v>
      </x:c>
      <x:c r="I8" s="7" t="str"/>
      <x:c r="J8" s="7" t="str"/>
      <x:c r="K8" s="7" t="str"/>
      <x:c r="L8" s="7" t="str">
        <x:v>Scénarios de recette à exécuter pour DIS/01-SEARCH; consigner résultat réel et preuve seulement lors d’une future réalisation.</x:v>
      </x:c>
      <x:c r="M8" s="7" t="str">
        <x:v>Fiche de recette définie; aucun test du jeu n’a été exécuté par ce catalogue.</x:v>
      </x:c>
      <x:c r="N8" s="7" t="str">
        <x:v>L'objectif « #1 — chercher le scientifique » atteint son raccord annoncé après chaque méthode; sauvegarde, rechargement et saut de scène n'en changent ni le groupe ni les informations acquises.</x:v>
      </x:c>
      <x:c r="O8" s="7" t="str">
        <x:v>DIS-SC-01-SEARCH-MAIN, DIS-SC-01-SEARCH-CHOICE, DIS-SC-01-SEARCH-CINE, DIS-SC-01-SEARCH-PROP</x:v>
      </x:c>
      <x:c r="P8" s="7" t="str">
        <x:v>Critère de production original, pas une validation déjà obtenue.</x:v>
      </x:c>
      <x:c r="Q8" s="7" t="str"/>
      <x:c r="R8" s="7" t="str"/>
      <x:c r="S8" s="7" t="str"/>
    </x:row>
    <x:row r="9" ht="68" customHeight="1">
      <x:c r="A9" s="18" t="str">
        <x:v>DIS-SC-02-NOVARRA-QA</x:v>
      </x:c>
      <x:c r="B9" s="9" t="str">
        <x:v>#2 — interroger le Novarra — contrôle du parcours</x:v>
      </x:c>
      <x:c r="C9" s="15" t="str">
        <x:v>Défini</x:v>
      </x:c>
      <x:c r="D9" s="16" t="str">
        <x:v>Extrapolation</x:v>
      </x:c>
      <x:c r="E9" s="16" t="str">
        <x:v>P0</x:v>
      </x:c>
      <x:c r="F9" s="9" t="str">
        <x:v>Rejouer « #2 — interroger le Novarra » par les deux méthodes proposées, avec tâche facultative ignorée puis terminée, et en sautant le raccord.</x:v>
      </x:c>
      <x:c r="G9" s="9" t="str">
        <x:v>Arrivée → entretien → désaccord de méthode → interruption.</x:v>
      </x:c>
      <x:c r="H9" s="9" t="str">
        <x:v>Le journal distingue le jugement d’un témoin de faits indépendamment établis; aucune réputation d’espèce générale.</x:v>
      </x:c>
      <x:c r="I9" s="9" t="str"/>
      <x:c r="J9" s="9" t="str"/>
      <x:c r="K9" s="9" t="str"/>
      <x:c r="L9" s="9" t="str">
        <x:v>Scénarios de recette à exécuter pour DIS/02-NOVARRA; consigner résultat réel et preuve seulement lors d’une future réalisation.</x:v>
      </x:c>
      <x:c r="M9" s="9" t="str">
        <x:v>Fiche de recette définie; aucun test du jeu n’a été exécuté par ce catalogue.</x:v>
      </x:c>
      <x:c r="N9" s="9" t="str">
        <x:v>L'objectif « #2 — interroger le Novarra » atteint son raccord annoncé après chaque méthode; sauvegarde, rechargement et saut de scène n'en changent ni le groupe ni les informations acquises.</x:v>
      </x:c>
      <x:c r="O9" s="9" t="str">
        <x:v>DIS-SC-02-NOVARRA-MAIN, DIS-SC-02-NOVARRA-CHOICE, DIS-SC-02-NOVARRA-CINE, DIS-SC-02-NOVARRA-PROP</x:v>
      </x:c>
      <x:c r="P9" s="9" t="str">
        <x:v>Critère de production original, pas une validation déjà obtenue.</x:v>
      </x:c>
      <x:c r="Q9" s="9" t="str"/>
      <x:c r="R9" s="9" t="str"/>
      <x:c r="S9" s="9" t="str"/>
    </x:row>
    <x:row r="10" ht="68" customHeight="1">
      <x:c r="A10" s="19" t="str">
        <x:v>DIS-SC-02-ESCAPE-QA</x:v>
      </x:c>
      <x:c r="B10" s="7" t="str">
        <x:v>#2 — sortie sous pression biotique — contrôle du parcours</x:v>
      </x:c>
      <x:c r="C10" s="15" t="str">
        <x:v>Défini</x:v>
      </x:c>
      <x:c r="D10" s="17" t="str">
        <x:v>Extrapolation</x:v>
      </x:c>
      <x:c r="E10" s="17" t="str">
        <x:v>P0</x:v>
      </x:c>
      <x:c r="F10" s="7" t="str">
        <x:v>Rejouer « #2 — sortie sous pression biotique » par les deux méthodes proposées, avec tâche facultative ignorée puis terminée, et en sautant le raccord.</x:v>
      </x:c>
      <x:c r="G10" s="7" t="str">
        <x:v>Menace → séparation temporaire → secours → sortie narrative.</x:v>
      </x:c>
      <x:c r="H10" s="7" t="str">
        <x:v>Les jauges sont qualitatives; un objectif local de protection ne promet pas de sauver un personnage dont l’issue source est fixée.</x:v>
      </x:c>
      <x:c r="I10" s="7" t="str"/>
      <x:c r="J10" s="7" t="str"/>
      <x:c r="K10" s="7" t="str"/>
      <x:c r="L10" s="7" t="str">
        <x:v>Scénarios de recette à exécuter pour DIS/02-ESCAPE; consigner résultat réel et preuve seulement lors d’une future réalisation.</x:v>
      </x:c>
      <x:c r="M10" s="7" t="str">
        <x:v>Fiche de recette définie; aucun test du jeu n’a été exécuté par ce catalogue.</x:v>
      </x:c>
      <x:c r="N10" s="7" t="str">
        <x:v>L'objectif « #2 — sortie sous pression biotique » atteint son raccord annoncé après chaque méthode; sauvegarde, rechargement et saut de scène n'en changent ni le groupe ni les informations acquises.</x:v>
      </x:c>
      <x:c r="O10" s="7" t="str">
        <x:v>DIS-SC-02-ESCAPE-MAIN, DIS-SC-02-ESCAPE-CHOICE, DIS-SC-02-ESCAPE-CINE, DIS-SC-02-ESCAPE-PROP</x:v>
      </x:c>
      <x:c r="P10" s="7" t="str">
        <x:v>Critère de production original, pas une validation déjà obtenue.</x:v>
      </x:c>
      <x:c r="Q10" s="7" t="str"/>
      <x:c r="R10" s="7" t="str"/>
      <x:c r="S10" s="7" t="str"/>
    </x:row>
    <x:row r="11" ht="68" customHeight="1">
      <x:c r="A11" s="18" t="str">
        <x:v>DIS-SC-03-IDENTITY-QA</x:v>
      </x:c>
      <x:c r="B11" s="9" t="str">
        <x:v>#3 — identité reconnue — contrôle du parcours</x:v>
      </x:c>
      <x:c r="C11" s="15" t="str">
        <x:v>Défini</x:v>
      </x:c>
      <x:c r="D11" s="16" t="str">
        <x:v>Extrapolation</x:v>
      </x:c>
      <x:c r="E11" s="16" t="str">
        <x:v>P0</x:v>
      </x:c>
      <x:c r="F11" s="9" t="str">
        <x:v>Rejouer « #3 — identité reconnue » par les deux méthodes proposées, avec tâche facultative ignorée puis terminée, et en sautant le raccord.</x:v>
      </x:c>
      <x:c r="G11" s="9" t="str">
        <x:v>Rencontre → révélation → explication → médiation locale.</x:v>
      </x:c>
      <x:c r="H11" s="9" t="str">
        <x:v>Changer l’état de connaissance de Shanks avant tout dialogue suivant; pas de retour à une couverture intacte par rechargement.</x:v>
      </x:c>
      <x:c r="I11" s="9" t="str"/>
      <x:c r="J11" s="9" t="str"/>
      <x:c r="K11" s="9" t="str"/>
      <x:c r="L11" s="9" t="str">
        <x:v>Scénarios de recette à exécuter pour DIS/03-IDENTITY; consigner résultat réel et preuve seulement lors d’une future réalisation.</x:v>
      </x:c>
      <x:c r="M11" s="9" t="str">
        <x:v>Fiche de recette définie; aucun test du jeu n’a été exécuté par ce catalogue.</x:v>
      </x:c>
      <x:c r="N11" s="9" t="str">
        <x:v>L'objectif « #3 — identité reconnue » atteint son raccord annoncé après chaque méthode; sauvegarde, rechargement et saut de scène n'en changent ni le groupe ni les informations acquises.</x:v>
      </x:c>
      <x:c r="O11" s="9" t="str">
        <x:v>DIS-SC-03-IDENTITY-MAIN, DIS-SC-03-IDENTITY-CHOICE, DIS-SC-03-IDENTITY-CINE, DIS-SC-03-IDENTITY-PROP</x:v>
      </x:c>
      <x:c r="P11" s="9" t="str">
        <x:v>Critère de production original, pas une validation déjà obtenue.</x:v>
      </x:c>
      <x:c r="Q11" s="9" t="str"/>
      <x:c r="R11" s="9" t="str"/>
      <x:c r="S11" s="9" t="str"/>
    </x:row>
    <x:row r="12" ht="68" customHeight="1">
      <x:c r="A12" s="19" t="str">
        <x:v>DIS-SC-03-PATH-QA</x:v>
      </x:c>
      <x:c r="B12" s="7" t="str">
        <x:v>#3 — poursuivre malgré la rupture — contrôle du parcours</x:v>
      </x:c>
      <x:c r="C12" s="15" t="str">
        <x:v>Défini</x:v>
      </x:c>
      <x:c r="D12" s="17" t="str">
        <x:v>Extrapolation</x:v>
      </x:c>
      <x:c r="E12" s="17" t="str">
        <x:v>P0</x:v>
      </x:c>
      <x:c r="F12" s="7" t="str">
        <x:v>Rejouer « #3 — poursuivre malgré la rupture » par les deux méthodes proposées, avec tâche facultative ignorée puis terminée, et en sautant le raccord.</x:v>
      </x:c>
      <x:c r="G12" s="7" t="str">
        <x:v>Entretien local → clarification → route d’enquête → départ vers le final.</x:v>
      </x:c>
      <x:c r="H12" s="7" t="str">
        <x:v>La coopération dépend des actions du segment; aucune jauge de romance ou fidélité permanente inventée.</x:v>
      </x:c>
      <x:c r="I12" s="7" t="str"/>
      <x:c r="J12" s="7" t="str"/>
      <x:c r="K12" s="7" t="str"/>
      <x:c r="L12" s="7" t="str">
        <x:v>Scénarios de recette à exécuter pour DIS/03-PATH; consigner résultat réel et preuve seulement lors d’une future réalisation.</x:v>
      </x:c>
      <x:c r="M12" s="7" t="str">
        <x:v>Fiche de recette définie; aucun test du jeu n’a été exécuté par ce catalogue.</x:v>
      </x:c>
      <x:c r="N12" s="7" t="str">
        <x:v>L'objectif « #3 — poursuivre malgré la rupture » atteint son raccord annoncé après chaque méthode; sauvegarde, rechargement et saut de scène n'en changent ni le groupe ni les informations acquises.</x:v>
      </x:c>
      <x:c r="O12" s="7" t="str">
        <x:v>DIS-SC-03-PATH-MAIN, DIS-SC-03-PATH-CHOICE, DIS-SC-03-PATH-CINE, DIS-SC-03-PATH-PROP</x:v>
      </x:c>
      <x:c r="P12" s="7" t="str">
        <x:v>Critère de production original, pas une validation déjà obtenue.</x:v>
      </x:c>
      <x:c r="Q12" s="7" t="str"/>
      <x:c r="R12" s="7" t="str"/>
      <x:c r="S12" s="7" t="str"/>
    </x:row>
    <x:row r="13" ht="68" customHeight="1">
      <x:c r="A13" s="18" t="str">
        <x:v>DIS-SC-04-ARRAY-QA</x:v>
      </x:c>
      <x:c r="B13" s="9" t="str">
        <x:v>#4 — données du réseau Kholas — contrôle du parcours</x:v>
      </x:c>
      <x:c r="C13" s="15" t="str">
        <x:v>Défini</x:v>
      </x:c>
      <x:c r="D13" s="16" t="str">
        <x:v>Extrapolation</x:v>
      </x:c>
      <x:c r="E13" s="16" t="str">
        <x:v>P0</x:v>
      </x:c>
      <x:c r="F13" s="9" t="str">
        <x:v>Rejouer « #4 — données du réseau Kholas » par les deux méthodes proposées, avec tâche facultative ignorée puis terminée, et en sautant le raccord.</x:v>
      </x:c>
      <x:c r="G13" s="9" t="str">
        <x:v>Arrivée → compréhension de l’erreur → protection → validation → extraction.</x:v>
      </x:c>
      <x:c r="H13" s="9" t="str">
        <x:v>Le mini-objectif compare des ensembles qualitatifs; aucune équation réelle, distance précise ou preuve scientifique fabriquée.</x:v>
      </x:c>
      <x:c r="I13" s="9" t="str"/>
      <x:c r="J13" s="9" t="str"/>
      <x:c r="K13" s="9" t="str"/>
      <x:c r="L13" s="9" t="str">
        <x:v>Scénarios de recette à exécuter pour DIS/04-ARRAY; consigner résultat réel et preuve seulement lors d’une future réalisation.</x:v>
      </x:c>
      <x:c r="M13" s="9" t="str">
        <x:v>Fiche de recette définie; aucun test du jeu n’a été exécuté par ce catalogue.</x:v>
      </x:c>
      <x:c r="N13" s="9" t="str">
        <x:v>L'objectif « #4 — données du réseau Kholas » atteint son raccord annoncé après chaque méthode; sauvegarde, rechargement et saut de scène n'en changent ni le groupe ni les informations acquises.</x:v>
      </x:c>
      <x:c r="O13" s="9" t="str">
        <x:v>DIS-SC-04-ARRAY-MAIN, DIS-SC-04-ARRAY-CHOICE, DIS-SC-04-ARRAY-CINE, DIS-SC-04-ARRAY-PROP</x:v>
      </x:c>
      <x:c r="P13" s="9" t="str">
        <x:v>Critère de production original, pas une validation déjà obtenue.</x:v>
      </x:c>
      <x:c r="Q13" s="9" t="str"/>
      <x:c r="R13" s="9" t="str"/>
      <x:c r="S13" s="9" t="str"/>
    </x:row>
    <x:row r="14" ht="68" customHeight="1">
      <x:c r="A14" s="19" t="str">
        <x:v>DIS-SC-04-CHOICE-QA</x:v>
      </x:c>
      <x:c r="B14" s="7" t="str">
        <x:v>#4 — choisir l’Initiative — contrôle du parcours</x:v>
      </x:c>
      <x:c r="C14" s="15" t="str">
        <x:v>Défini</x:v>
      </x:c>
      <x:c r="D14" s="17" t="str">
        <x:v>Extrapolation</x:v>
      </x:c>
      <x:c r="E14" s="17" t="str">
        <x:v>P0</x:v>
      </x:c>
      <x:c r="F14" s="7" t="str">
        <x:v>Rejouer « #4 — choisir l’Initiative » par les deux méthodes proposées, avec tâche facultative ignorée puis terminée, et en sautant le raccord.</x:v>
      </x:c>
      <x:c r="G14" s="7" t="str">
        <x:v>Retour → bilan militaire → conversation familiale → engagement.</x:v>
      </x:c>
      <x:c r="H14" s="7" t="str">
        <x:v>Les options portent sur les raisons formulées, pas sur l’existence d’une branche où Tiran annulerait Andromeda.</x:v>
      </x:c>
      <x:c r="I14" s="7" t="str"/>
      <x:c r="J14" s="7" t="str"/>
      <x:c r="K14" s="7" t="str"/>
      <x:c r="L14" s="7" t="str">
        <x:v>Scénarios de recette à exécuter pour DIS/04-CHOICE; consigner résultat réel et preuve seulement lors d’une future réalisation.</x:v>
      </x:c>
      <x:c r="M14" s="7" t="str">
        <x:v>Fiche de recette définie; aucun test du jeu n’a été exécuté par ce catalogue.</x:v>
      </x:c>
      <x:c r="N14" s="7" t="str">
        <x:v>L'objectif « #4 — choisir l’Initiative » atteint son raccord annoncé après chaque méthode; sauvegarde, rechargement et saut de scène n'en changent ni le groupe ni les informations acquises.</x:v>
      </x:c>
      <x:c r="O14" s="7" t="str">
        <x:v>DIS-SC-04-CHOICE-MAIN, DIS-SC-04-CHOICE-CHOICE, DIS-SC-04-CHOICE-CINE, DIS-SC-04-CHOICE-PROP</x:v>
      </x:c>
      <x:c r="P14" s="7" t="str">
        <x:v>Critère de production original, pas une validation déjà obtenue.</x:v>
      </x:c>
      <x:c r="Q14" s="7" t="str"/>
      <x:c r="R14" s="7" t="str"/>
      <x:c r="S14" s="7" t="str"/>
    </x:row>
    <x:row r="15" ht="54" customHeight="1">
      <x:c r="A15" s="18" t="str">
        <x:v>DIS-QA-SOURCE</x:v>
      </x:c>
      <x:c r="B15" s="9" t="str">
        <x:v>Vérification des références</x:v>
      </x:c>
      <x:c r="C15" s="15" t="str">
        <x:v>Défini</x:v>
      </x:c>
      <x:c r="D15" s="16" t="str">
        <x:v>Extrapolation</x:v>
      </x:c>
      <x:c r="E15" s="16" t="str">
        <x:v>P0</x:v>
      </x:c>
      <x:c r="F15" s="9" t="str">
        <x:v>Contrôler Discovery dans une édition autorisée avant de transformer les éléments À vérifier en faits établis.</x:v>
      </x:c>
      <x:c r="G15" s="9" t="str">
        <x:v>Vérifier le bon numéro, les graphies, les costumes et le placement exact des séquences; aucune pagination non consultée fournie.</x:v>
      </x:c>
      <x:c r="H15" s="9" t="str"/>
      <x:c r="I15" s="9" t="str"/>
      <x:c r="J15" s="9" t="str"/>
      <x:c r="K15" s="9" t="str"/>
      <x:c r="L15" s="9" t="str">
        <x:v>Contrat de production DIS/QA-SOURCE; à appliquer au futur contenu de l'œuvre.</x:v>
      </x:c>
      <x:c r="M15" s="9" t="str">
        <x:v>Recette planifiée; aucune réalisation testée ici.</x:v>
      </x:c>
      <x:c r="N15" s="9" t="str">
        <x:v>Chaque ajout de nom, page, costume ou date est lié à la bonne édition; les descriptions restent brèves et paraphrasées.</x:v>
      </x:c>
      <x:c r="O15" s="9" t="str">
        <x:v>DIS-REF-SCOPE</x:v>
      </x:c>
      <x:c r="P15" s="9" t="str">
        <x:v>Règle originale de production; les ancrages de continuité sont documentés dans les fiches REF.</x:v>
      </x:c>
      <x:c r="Q15" s="9" t="str"/>
      <x:c r="R15" s="9" t="str"/>
      <x:c r="S15" s="9" t="str"/>
    </x:row>
    <x:row r="16" ht="54" customHeight="1">
      <x:c r="A16" s="19" t="str">
        <x:v>DIS-QA-VISIBILITY</x:v>
      </x:c>
      <x:c r="B16" s="7" t="str">
        <x:v>Lecture des sprites et du terrain</x:v>
      </x:c>
      <x:c r="C16" s="15" t="str">
        <x:v>Défini</x:v>
      </x:c>
      <x:c r="D16" s="17" t="str">
        <x:v>Extrapolation</x:v>
      </x:c>
      <x:c r="E16" s="17" t="str">
        <x:v>P0</x:v>
      </x:c>
      <x:c r="F16" s="7" t="str">
        <x:v>Contrôler la taille des sprites, la séparation des silhouettes et les sorties sous la caméra fixe de chaque scène.</x:v>
      </x:c>
      <x:c r="G16" s="7" t="str">
        <x:v>Faire parcourir les zones avec premier plan actif, sous-titres larges et mode de contraste renforcé.</x:v>
      </x:c>
      <x:c r="H16" s="7" t="str"/>
      <x:c r="I16" s="7" t="str"/>
      <x:c r="J16" s="7" t="str"/>
      <x:c r="K16" s="7" t="str"/>
      <x:c r="L16" s="7" t="str">
        <x:v>Contrat de production DIS/QA-VISIBILITY; à appliquer au futur contenu de l'œuvre.</x:v>
      </x:c>
      <x:c r="M16" s="7" t="str">
        <x:v>Recette planifiée; aucune réalisation testée ici.</x:v>
      </x:c>
      <x:c r="N16" s="7" t="str">
        <x:v>Le personnage contrôlé, les sorties et le signal de danger restent localisables sans désactiver le décor.</x:v>
      </x:c>
      <x:c r="O16" s="7" t="str">
        <x:v>DIS-REF-SCOPE</x:v>
      </x:c>
      <x:c r="P16" s="7" t="str">
        <x:v>Règle originale de production; les ancrages de continuité sont documentés dans les fiches REF.</x:v>
      </x:c>
      <x:c r="Q16" s="7" t="str"/>
      <x:c r="R16" s="7" t="str"/>
      <x:c r="S16" s="7" t="str"/>
    </x:row>
    <x:row r="17" ht="82" customHeight="1">
      <x:c r="A17" s="18" t="str">
        <x:v>DIS-QA-NARRATIVE</x:v>
      </x:c>
      <x:c r="B17" s="9" t="str">
        <x:v>Convergence narrative</x:v>
      </x:c>
      <x:c r="C17" s="15" t="str">
        <x:v>Défini</x:v>
      </x:c>
      <x:c r="D17" s="16" t="str">
        <x:v>Extrapolation</x:v>
      </x:c>
      <x:c r="E17" s="16" t="str">
        <x:v>P0</x:v>
      </x:c>
      <x:c r="F17" s="9" t="str">
        <x:v>Le passage de Tiran de l’infiltration vers l’adhésion reste un raccord narratif. Les choix locaux ne modifient pas la mort des personnages, l’issue de Zeta ou l’existence d’une autre version du voyage.</x:v>
      </x:c>
      <x:c r="G17" s="9" t="str">
        <x:v>La continuité éditoriale est distincte des essais de gameplay; un choix stratégique ne réécrit pas la fin publiée.</x:v>
      </x:c>
      <x:c r="H17" s="9" t="str"/>
      <x:c r="I17" s="9" t="str"/>
      <x:c r="J17" s="9" t="str"/>
      <x:c r="K17" s="9" t="str"/>
      <x:c r="L17" s="9" t="str">
        <x:v>Contrat de production DIS/QA-NARRATIVE; à appliquer au futur contenu de l'œuvre.</x:v>
      </x:c>
      <x:c r="M17" s="9" t="str">
        <x:v>Recette planifiée; aucune réalisation testée ici.</x:v>
      </x:c>
      <x:c r="N17" s="9" t="str">
        <x:v>Jouer chaque choix local et passer chaque cinématique produit les mêmes ancrages de conclusion; les divergences restent marquées adaptation.</x:v>
      </x:c>
      <x:c r="O17" s="9" t="str">
        <x:v>DIS-REF-SCOPE</x:v>
      </x:c>
      <x:c r="P17" s="9" t="str">
        <x:v>Règle originale de production; les ancrages de continuité sont documentés dans les fiches REF.</x:v>
      </x:c>
      <x:c r="Q17" s="9" t="str"/>
      <x:c r="R17" s="9" t="str"/>
      <x:c r="S17" s="9" t="str"/>
    </x:row>
  </x:sheetData>
  <x:conditionalFormatting sqref="D7:D17">
    <x:cfRule type="cellIs" dxfId="96" priority="1" operator="equal">
      <x:formula>"À vérifier"</x:formula>
    </x:cfRule>
    <x:cfRule type="cellIs" dxfId="97" priority="2" operator="equal">
      <x:formula>"Extrapolation"</x:formula>
    </x:cfRule>
  </x:conditionalFormatting>
  <x:conditionalFormatting sqref="C7:C17">
    <x:cfRule type="cellIs" dxfId="98" priority="3" operator="equal">
      <x:formula>"Validé"</x:formula>
    </x:cfRule>
  </x:conditionalFormatting>
  <x:conditionalFormatting sqref="E7:E17">
    <x:cfRule type="cellIs" dxfId="99" priority="4" operator="equal">
      <x:formula>"P0"</x:formula>
    </x:cfRule>
  </x:conditionalFormatting>
  <x:dataValidations count="3">
    <x:dataValidation type="list" sqref="C7:C17">
      <x:formula1>"Défini,Prototype,Intégré,Validé"</x:formula1>
    </x:dataValidation>
    <x:dataValidation type="list" sqref="D7:D17">
      <x:formula1>"Établi,À vérifier,Extrapolation,Coupé attesté,Concept abandonné,Allégation écartée"</x:formula1>
    </x:dataValidation>
    <x:dataValidation type="list" sqref="E7:E17">
      <x:formula1>"P0,P1,P2"</x:formula1>
    </x:dataValidation>
  </x:dataValidations>
  <x:pageMargins left="0.7" right="0.7" top="0.75" bottom="0.75" header="0.3" footer="0.3"/>
  <x:tableParts count="1">
    <x:tablePart xmlns:r="http://schemas.openxmlformats.org/officeDocument/2006/relationships" r:id="Rcc96f8fb649b4c6f"/>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Discovery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DIS-CNT-PLACE</x:v>
      </x:c>
      <x:c r="B7" s="9" t="str">
        <x:v>Position dans l’univers</x:v>
      </x:c>
      <x:c r="C7" s="15" t="str">
        <x:v>Défini</x:v>
      </x:c>
      <x:c r="D7" s="16" t="str">
        <x:v>Extrapolation</x:v>
      </x:c>
      <x:c r="E7" s="16" t="str">
        <x:v>P1</x:v>
      </x:c>
      <x:c r="F7" s="9" t="str">
        <x:v>Préquelle liée à Andromeda, située dans la Voie lactée avant le voyage de l’Initiative. Ne pas installer ces scènes dans Heleus ou les confondre avec une mission de Ryder.</x:v>
      </x:c>
      <x:c r="G7" s="9" t="str">
        <x:v>La continuité éditoriale est distincte des essais de gameplay; un choix stratégique ne réécrit pas la fin publiée.</x:v>
      </x:c>
      <x:c r="H7" s="9" t="str"/>
      <x:c r="I7" s="9" t="str"/>
      <x:c r="J7" s="9" t="str"/>
      <x:c r="K7" s="9" t="str"/>
      <x:c r="L7" s="9" t="str">
        <x:v>Contrat de production DIS/CNT-PLACE; à appliquer au futur contenu de l'œuvre.</x:v>
      </x:c>
      <x:c r="M7" s="9" t="str">
        <x:v>Le passage de Tiran de l’infiltration vers l’adhésion reste un raccord narratif. Les choix locaux ne modifient pas la mort des personnages, l’issue de Zeta ou l’existence d’une autre version du voyage.</x:v>
      </x:c>
      <x:c r="N7" s="9" t="str">
        <x:v>La frise indique les incertitudes et les liens avec les autres œuvres sans attribuer une date non sourcée.</x:v>
      </x:c>
      <x:c r="O7" s="9" t="str">
        <x:v>DIS-REF-SCOPE</x:v>
      </x:c>
      <x:c r="P7" s="9" t="str">
        <x:v>Règle originale de production; les ancrages de continuité sont documentés dans les fiches REF.</x:v>
      </x:c>
      <x:c r="Q7" s="9" t="str"/>
      <x:c r="R7" s="9" t="str"/>
      <x:c r="S7" s="9" t="str"/>
    </x:row>
    <x:row r="8" ht="68" customHeight="1">
      <x:c r="A8" s="19" t="str">
        <x:v>DIS-CNT-NO-CUT</x:v>
      </x:c>
      <x:c r="B8" s="7" t="str">
        <x:v>Contenus non attestés</x:v>
      </x:c>
      <x:c r="C8" s="15" t="str">
        <x:v>Défini</x:v>
      </x:c>
      <x:c r="D8" s="17" t="str">
        <x:v>Extrapolation</x:v>
      </x:c>
      <x:c r="E8" s="17" t="str">
        <x:v>P1</x:v>
      </x:c>
      <x:c r="F8" s="7" t="str">
        <x:v>Aucune rumeur de scène coupée n’est intégrée à Discovery.</x:v>
      </x:c>
      <x:c r="G8" s="7" t="str">
        <x:v>Un contenu absent des notices consultées reste non documenté; une illustration préparatoire ne prouve pas une scène canon.</x:v>
      </x:c>
      <x:c r="H8" s="7" t="str"/>
      <x:c r="I8" s="7" t="str"/>
      <x:c r="J8" s="7" t="str"/>
      <x:c r="K8" s="7" t="str"/>
      <x:c r="L8" s="7" t="str">
        <x:v>Contrat de production DIS/CNT-NO-CUT; à appliquer au futur contenu de l'œuvre.</x:v>
      </x:c>
      <x:c r="M8" s="7" t="str">
        <x:v>Le passage de Tiran de l’infiltration vers l’adhésion reste un raccord narratif. Les choix locaux ne modifient pas la mort des personnages, l’issue de Zeta ou l’existence d’une autre version du voyage.</x:v>
      </x:c>
      <x:c r="N8" s="7" t="str">
        <x:v>Une future fiche Coupé attesté ou Concept abandonné devra citer une preuve primaire spécifique.</x:v>
      </x:c>
      <x:c r="O8" s="7" t="str">
        <x:v>DIS-REF-SCOPE</x:v>
      </x:c>
      <x:c r="P8" s="7" t="str">
        <x:v>Règle originale de production; les ancrages de continuité sont documentés dans les fiches REF.</x:v>
      </x:c>
      <x:c r="Q8" s="7" t="str"/>
      <x:c r="R8" s="7" t="str"/>
      <x:c r="S8" s="7" t="str"/>
    </x:row>
  </x:sheetData>
  <x:conditionalFormatting sqref="D7:D8">
    <x:cfRule type="cellIs" dxfId="100" priority="1" operator="equal">
      <x:formula>"À vérifier"</x:formula>
    </x:cfRule>
    <x:cfRule type="cellIs" dxfId="101" priority="2" operator="equal">
      <x:formula>"Extrapolation"</x:formula>
    </x:cfRule>
  </x:conditionalFormatting>
  <x:conditionalFormatting sqref="C7:C8">
    <x:cfRule type="cellIs" dxfId="102" priority="3" operator="equal">
      <x:formula>"Validé"</x:formula>
    </x:cfRule>
  </x:conditionalFormatting>
  <x:conditionalFormatting sqref="E7:E8">
    <x:cfRule type="cellIs" dxfId="10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4880bc2484f64e62"/>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Discovery</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8" t="str">
        <x:v>Champ</x:v>
      </x:c>
      <x:c r="B6" s="30" t="str">
        <x:v>Définition</x:v>
      </x:c>
      <x:c r="C6" s="2"/>
      <x:c r="D6" s="2"/>
      <x:c r="E6" s="2"/>
      <x:c r="F6" s="2"/>
    </x:row>
    <x:row r="7" ht="30" customHeight="1">
      <x:c r="A7" s="7" t="str">
        <x:v>Œuvre</x:v>
      </x:c>
      <x:c r="B7" s="7" t="str">
        <x:v>Mass Effect: Discovery</x:v>
      </x:c>
      <x:c r="C7" s="2"/>
      <x:c r="D7" s="2"/>
      <x:c r="E7" s="2"/>
      <x:c r="F7" s="2"/>
    </x:row>
    <x:row r="8" ht="30" customHeight="1">
      <x:c r="A8" s="7" t="str">
        <x:v>Support</x:v>
      </x:c>
      <x:c r="B8" s="7" t="str">
        <x:v>Comic / bande dessinée</x:v>
      </x:c>
      <x:c r="C8" s="2"/>
      <x:c r="D8" s="2"/>
      <x:c r="E8" s="2"/>
      <x:c r="F8" s="2"/>
    </x:row>
    <x:row r="9" ht="68" customHeight="1">
      <x:c r="A9" s="7" t="str">
        <x:v>Périmètre</x:v>
      </x:c>
      <x:c r="B9" s="7" t="str">
        <x:v>Les quatre numéros : infiltration de l’Initiative, recherche de Shio, site minier du Novarra, Omega et réseau Kholas. Deux séquences de production par numéro, avec limites de connaissance et d’allégeance.</x:v>
      </x:c>
      <x:c r="C9" s="2"/>
      <x:c r="D9" s="2"/>
      <x:c r="E9" s="2"/>
      <x:c r="F9" s="2"/>
    </x:row>
    <x:row r="10" ht="54" customHeight="1">
      <x:c r="A10" s="7" t="str">
        <x:v>Projet</x:v>
      </x:c>
      <x:c r="B10" s="7" t="str">
        <x:v>160 fiches de production ; 2 fiches au stade Prototype de portée partielle. Les autres livrables restent des spécifications ; aucun achèvement intégral 1:1 revendiqué.</x:v>
      </x:c>
      <x:c r="C10" s="2"/>
      <x:c r="D10" s="2"/>
      <x:c r="E10" s="2"/>
      <x:c r="F10" s="2"/>
    </x:row>
    <x:row r="11" ht="194" customHeight="1">
      <x:c r="A11" s="7" t="str">
        <x:v>Références et limites</x:v>
      </x:c>
      <x:c r="B11" s="7" t="str">
        <x:v>La notice officielle confirme un Turien infiltré dans l’Initiative et un scientifique recherché. Les détails des personnages et scènes issus du wiki indexé restent À vérifier. La découverte du réseau geth ne prouve ni un financement précis ni une solution à tous les mystères de l’Initiative. Les missions, options, ATB, coûts, compositions 2D/3D, effets et fichiers proposés sont des extrapolations; aucun chiffre de réglage n’est présenté comme canon. « Établi » qualifie uniquement le fait bref de description, pas sa proposition d’adaptation. Les sources wiki consultées via l’index restent À vérifier. Les 12 pages Fandom fournies ont été tentées en accès direct et ont échoué; les notices officielles et notes d’auteur servent de remplacement lorsque disponibles.</x:v>
      </x:c>
      <x:c r="C11" s="2"/>
      <x:c r="D11" s="2"/>
      <x:c r="E11" s="2"/>
      <x:c r="F11" s="2"/>
    </x:row>
    <x:row r="12" ht="30" customHeight="1">
      <x:c r="A12" s="7" t="str">
        <x:v>Date de référence</x:v>
      </x:c>
      <x:c r="B12" s="42"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8" t="str">
        <x:v>Source</x:v>
      </x:c>
      <x:c r="B26" s="29" t="str">
        <x:v>Titre</x:v>
      </x:c>
      <x:c r="C26" s="29" t="str">
        <x:v>Type</x:v>
      </x:c>
      <x:c r="D26" s="29" t="str">
        <x:v>URL</x:v>
      </x:c>
      <x:c r="E26" s="29" t="str">
        <x:v>Périmètre</x:v>
      </x:c>
      <x:c r="F26" s="30" t="str">
        <x:v>Accès et limites</x:v>
      </x:c>
    </x:row>
    <x:row r="27" ht="54" customHeight="1">
      <x:c r="A27" s="6" t="str">
        <x:v>DIS-S-BOOK</x:v>
      </x:c>
      <x:c r="B27" s="6" t="str">
        <x:v>Dark Horse — Discovery</x:v>
      </x:c>
      <x:c r="C27" s="6" t="str">
        <x:v>source officielle — notice Dark Horse via Penguin Random House</x:v>
      </x:c>
      <x:c r="D27" s="6" t="str">
        <x:v>https://www.penguinrandomhouse.com/books/539581/mass-effect-discovery-by-based-off-game-by-bioware-written-by-jeremy-barlow-illustrated-by-gabriel-guzman-and-michael-atiyeh/</x:v>
      </x:c>
      <x:c r="E27" s="6" t="str">
        <x:v>Turian infiltré dans l’Initiative et scientifique recherché.</x:v>
      </x:c>
      <x:c r="F27" s="6" t="str">
        <x:v>Consulté le 22 octobre 2026; les faits sont paraphrasés brièvement.</x:v>
      </x:c>
    </x:row>
    <x:row r="28" ht="54" customHeight="1">
      <x:c r="A28" s="6" t="str">
        <x:v>DIS-S-COMPLETE</x:v>
      </x:c>
      <x:c r="B28" s="6" t="str">
        <x:v>Dark Horse Digital — The Complete Comics</x:v>
      </x:c>
      <x:c r="C28" s="6" t="str">
        <x:v>source officielle — éditeur</x:v>
      </x:c>
      <x:c r="D28" s="6" t="str">
        <x:v>https://digital.darkhorse.com/books/7bcdbde713b746338287bb0d74350bac/mass-effect-the-complete-comics</x:v>
      </x:c>
      <x:c r="E28" s="6" t="str">
        <x:v>Prémisses, personnages centraux et compilation; ne remplace pas les numéros individuels.</x:v>
      </x:c>
      <x:c r="F28" s="6" t="str">
        <x:v>Consulté le 22 octobre 2026; les faits sont paraphrasés brièvement.</x:v>
      </x:c>
    </x:row>
    <x:row r="29" ht="54" customHeight="1">
      <x:c r="A29" s="6" t="str">
        <x:v>DIS-S-OPENING</x:v>
      </x:c>
      <x:c r="B29" s="6" t="str">
        <x:v>Storyline IV — Discovery, ouverture</x:v>
      </x:c>
      <x:c r="C29" s="6" t="str">
        <x:v>wiki — extrait indexé, à contrôler</x:v>
      </x:c>
      <x:c r="D29" s="6" t="str">
        <x:v>https://masseffect.fandom.com/wiki/Storyline_IV</x:v>
      </x:c>
      <x:c r="E29" s="6" t="str">
        <x:v>Tiran, Ravis, Garson, Shanks, Shio et Citadelle; ne pas importer la section Andromeda du même article.</x:v>
      </x:c>
      <x:c r="F29" s="6" t="str">
        <x:v>Contenu lu dans le résultat de recherche indexé; ouverture directe Fandom restreinte ou en erreur. Comparaison avec le comic autorisé requise.</x:v>
      </x:c>
    </x:row>
    <x:row r="30" ht="54" customHeight="1">
      <x:c r="A30" s="6" t="str">
        <x:v>DIS-S-ISSUE2</x:v>
      </x:c>
      <x:c r="B30" s="6" t="str">
        <x:v>Discovery #2</x:v>
      </x:c>
      <x:c r="C30" s="6" t="str">
        <x:v>wiki — extrait indexé, à contrôler</x:v>
      </x:c>
      <x:c r="D30" s="6" t="str">
        <x:v>https://masseffect.fandom.com/wiki/Mass_Effect%3A_Discovery_2</x:v>
      </x:c>
      <x:c r="E30" s="6" t="str">
        <x:v>Repérage des événements du numéro 2.</x:v>
      </x:c>
      <x:c r="F30" s="6" t="str">
        <x:v>Contenu lu dans le résultat de recherche indexé; ouverture directe Fandom restreinte ou en erreur. Comparaison avec le comic autorisé requise.</x:v>
      </x:c>
    </x:row>
    <x:row r="31" ht="54" customHeight="1">
      <x:c r="A31" s="6" t="str">
        <x:v>DIS-S-ISSUE3</x:v>
      </x:c>
      <x:c r="B31" s="6" t="str">
        <x:v>Discovery #3</x:v>
      </x:c>
      <x:c r="C31" s="6" t="str">
        <x:v>wiki — extrait indexé, à contrôler</x:v>
      </x:c>
      <x:c r="D31" s="6" t="str">
        <x:v>https://masseffect.fandom.com/wiki/Mass_Effect%3A_Discovery_3</x:v>
      </x:c>
      <x:c r="E31" s="6" t="str">
        <x:v>Repérage des événements du numéro 3.</x:v>
      </x:c>
      <x:c r="F31" s="6" t="str">
        <x:v>Contenu lu dans le résultat de recherche indexé; ouverture directe Fandom restreinte ou en erreur. Comparaison avec le comic autorisé requise.</x:v>
      </x:c>
    </x:row>
    <x:row r="32" ht="54" customHeight="1">
      <x:c r="A32" s="6" t="str">
        <x:v>DIS-S-ISSUE4</x:v>
      </x:c>
      <x:c r="B32" s="6" t="str">
        <x:v>Discovery #4</x:v>
      </x:c>
      <x:c r="C32" s="6" t="str">
        <x:v>wiki — extrait indexé, à contrôler</x:v>
      </x:c>
      <x:c r="D32" s="6" t="str">
        <x:v>https://masseffect.fandom.com/wiki/Mass_Effect%3A_Discovery_4</x:v>
      </x:c>
      <x:c r="E32" s="6" t="str">
        <x:v>Repérage des événements du numéro 4.</x:v>
      </x:c>
      <x:c r="F32" s="6" t="str">
        <x:v>Contenu lu dans le résultat de recherche indexé; ouverture directe Fandom restreinte ou en erreur. Comparaison avec le comic autorisé requise.</x:v>
      </x:c>
    </x:row>
    <x:row r="33" ht="22" customHeight="1">
      <x:c r="A33" s="2"/>
      <x:c r="B33" s="2"/>
      <x:c r="C33" s="2"/>
      <x:c r="D33" s="2"/>
      <x:c r="E33" s="2"/>
      <x:c r="F33" s="2"/>
    </x:row>
    <x:row r="34" ht="22" customHeight="1">
      <x:c r="A34" s="2"/>
      <x:c r="B34" s="2"/>
      <x:c r="C34" s="2"/>
      <x:c r="D34" s="2"/>
      <x:c r="E34" s="2"/>
      <x:c r="F34" s="2"/>
    </x:row>
    <x:row r="35" ht="22" customHeight="1">
      <x:c r="A35" s="2"/>
      <x:c r="B35" s="2"/>
      <x:c r="C35" s="2"/>
      <x:c r="D35" s="2"/>
      <x:c r="E35" s="2"/>
      <x:c r="F35" s="2"/>
    </x:row>
    <x:row r="36" ht="34" customHeight="1">
      <x:c r="A36" s="28" t="str">
        <x:v>Domaine</x:v>
      </x:c>
      <x:c r="B36" s="29" t="str">
        <x:v>Couverture actuelle</x:v>
      </x:c>
      <x:c r="C36" s="30" t="str">
        <x:v>Travail restant</x:v>
      </x:c>
      <x:c r="D36" s="2"/>
      <x:c r="E36" s="2"/>
      <x:c r="F36" s="2"/>
    </x:row>
    <x:row r="37" ht="68" customHeight="1">
      <x:c r="A37" s="6" t="str">
        <x:v>characters</x:v>
      </x:c>
      <x:c r="B37" s="6" t="str">
        <x:v>4 fiche(s) : Tiran Kandros; Luna Shanks; Shio’Leth vas Novarra; Agent Zeta</x:v>
      </x:c>
      <x:c r="C37" s="6" t="str">
        <x:v>Comparer les détails marqués À vérifier à une édition autorisée; les sources éditoriales n’attestent pas chaque détail graphique.</x:v>
      </x:c>
      <x:c r="D37" s="2"/>
      <x:c r="E37" s="2"/>
      <x:c r="F37" s="2"/>
    </x:row>
    <x:row r="38" ht="68" customHeight="1">
      <x:c r="A38" s="6" t="str">
        <x:v>npcs</x:v>
      </x:c>
      <x:c r="B38" s="6" t="str">
        <x:v>6 fiche(s) : Jien Garson; Amirale Ravis; Nyreen Kandros; Capitaine Jakin</x:v>
      </x:c>
      <x:c r="C38" s="6" t="str">
        <x:v>Comparer les détails marqués À vérifier à une édition autorisée; les sources éditoriales n’attestent pas chaque détail graphique.</x:v>
      </x:c>
      <x:c r="D38" s="2"/>
      <x:c r="E38" s="2"/>
      <x:c r="F38" s="2"/>
    </x:row>
    <x:row r="39" ht="68" customHeight="1">
      <x:c r="A39" s="6" t="str">
        <x:v>lore</x:v>
      </x:c>
      <x:c r="B39" s="6" t="str">
        <x:v>12 fiche(s) : Infiltration de l’Initiative; Tiran Kandros; Agent Zeta au numéro 2; Conclusion du quatrième numéro</x:v>
      </x:c>
      <x:c r="C39" s="6" t="str">
        <x:v>Comparer les détails marqués À vérifier à une édition autorisée; les sources éditoriales n’attestent pas chaque détail graphique.</x:v>
      </x:c>
      <x:c r="D39" s="2"/>
      <x:c r="E39" s="2"/>
      <x:c r="F39" s="2"/>
    </x:row>
    <x:row r="40" ht="54" customHeight="1">
      <x:c r="A40" s="6" t="str">
        <x:v>worlds</x:v>
      </x:c>
      <x:c r="B40" s="6" t="str">
        <x:v>5 fiche(s) : Terre — siège de l’Initiative; Citadelle — recherche de Shio; Site minier du Novarra — planète non nommée; Omega — alias exposé</x:v>
      </x:c>
      <x:c r="C40" s="6" t="str">
        <x:v>Le site du Novarra reste sur une planète non nommée dans ce dossier; relever le nom seulement si une source primaire l’établit.</x:v>
      </x:c>
      <x:c r="D40" s="2"/>
      <x:c r="E40" s="2"/>
      <x:c r="F40" s="2"/>
    </x:row>
    <x:row r="41" ht="68" customHeight="1">
      <x:c r="A41" s="6" t="str">
        <x:v>zones</x:v>
      </x:c>
      <x:c r="B41" s="6" t="str">
        <x:v>5 fiche(s) : Terre — siège de l’Initiative — espace jouable proposé; Citadelle — recherche de Shio — espace jouable proposé; Site minier du Novarra — planète non nommée — espace jouable proposé; Omega — alias exposé — espace jouable proposé</x:v>
      </x:c>
      <x:c r="C41" s="6" t="str">
        <x:v>Prototyper les règles proposées et exécuter les critères de recette; aucune fiche n’est déclarée intégrée ou validée.</x:v>
      </x:c>
      <x:c r="D41" s="2"/>
      <x:c r="E41" s="2"/>
      <x:c r="F41" s="2"/>
    </x:row>
    <x:row r="42" ht="68" customHeight="1">
      <x:c r="A42" s="6" t="str">
        <x:v>links</x:v>
      </x:c>
      <x:c r="B42" s="6" t="str">
        <x:v>5 fiche(s) : Terre — siège de l’Initiative — accès et sortie; Citadelle — recherche de Shio — accès et sortie; Site minier du Novarra — planète non nommée — accès et sortie; Omega — alias exposé — accès et sortie</x:v>
      </x:c>
      <x:c r="C42" s="6" t="str">
        <x:v>Prototyper les règles proposées et exécuter les critères de recette; aucune fiche n’est déclarée intégrée ou validée.</x:v>
      </x:c>
      <x:c r="D42" s="2"/>
      <x:c r="E42" s="2"/>
      <x:c r="F42" s="2"/>
    </x:row>
    <x:row r="43" ht="68" customHeight="1">
      <x:c r="A43" s="6" t="str">
        <x:v>scenery</x:v>
      </x:c>
      <x:c r="B43" s="6" t="str">
        <x:v>5 fiche(s) : Terre — siège de l’Initiative — décor et repère; Citadelle — recherche de Shio — décor et repère; Site minier du Novarra — planète non nommée — décor et repère; Omega — alias exposé — décor et repère</x:v>
      </x:c>
      <x:c r="C43" s="6" t="str">
        <x:v>Produire les assets originaux puis vérifier en situation; ce catalogue ne livre ni image, ni son, ni animation.</x:v>
      </x:c>
      <x:c r="D43" s="2"/>
      <x:c r="E43" s="2"/>
      <x:c r="F43" s="2"/>
    </x:row>
    <x:row r="44" ht="54" customHeight="1">
      <x:c r="A44" s="6" t="str">
        <x:v>props</x:v>
      </x:c>
      <x:c r="B44" s="6" t="str">
        <x:v>8 fiche(s) : Fiche d’alias; Message incomplet; Datapad à accès limité; Point d’appui de secours</x:v>
      </x:c>
      <x:c r="C44" s="6" t="str">
        <x:v>Prototyper les règles proposées et exécuter les critères de recette; aucune fiche n’est déclarée intégrée ou validée.</x:v>
      </x:c>
      <x:c r="D44" s="2"/>
      <x:c r="E44" s="2"/>
      <x:c r="F44" s="2"/>
    </x:row>
    <x:row r="45" ht="54" customHeight="1">
      <x:c r="A45" s="6" t="str">
        <x:v>enemies</x:v>
      </x:c>
      <x:c r="B45" s="6" t="str">
        <x:v>4 fiche(s) : Agent Zeta — confrontation proposée; Plateformes geth du réseau; Mechs LOKI du contexte Zeta; Extorqueurs du quai — scène d’Omega</x:v>
      </x:c>
      <x:c r="C45" s="6" t="str">
        <x:v>Prototyper les règles proposées et exécuter les critères de recette; aucune fiche n’est déclarée intégrée ou validée.</x:v>
      </x:c>
      <x:c r="D45" s="2"/>
      <x:c r="E45" s="2"/>
      <x:c r="F45" s="2"/>
    </x:row>
    <x:row r="46" ht="68" customHeight="1">
      <x:c r="A46" s="6" t="str">
        <x:v>main_quests</x:v>
      </x:c>
      <x:c r="B46" s="6" t="str">
        <x:v>8 fiche(s) : #1 — entrer sous couverture — objectif jouable; #1 — chercher le scientifique — objectif jouable; #2 — interroger le Novarra — objectif jouable; #2 — sortie sous pression biotique — objectif jouable</x:v>
      </x:c>
      <x:c r="C46" s="6" t="str">
        <x:v>Prototyper les règles proposées et exécuter les critères de recette; aucune fiche n’est déclarée intégrée ou validée.</x:v>
      </x:c>
      <x:c r="D46" s="2"/>
      <x:c r="E46" s="2"/>
      <x:c r="F46" s="2"/>
    </x:row>
    <x:row r="47" ht="54" customHeight="1">
      <x:c r="A47" s="6" t="str">
        <x:v>side_quests</x:v>
      </x:c>
      <x:c r="B47" s="6" t="str">
        <x:v>8 fiche(s) : Examiner la présentation de l’Initiative; Vérifier une chronologie de départ; Relier les témoignages; Préparer l’embarquement</x:v>
      </x:c>
      <x:c r="C47" s="6" t="str">
        <x:v>Prototyper les règles proposées et exécuter les critères de recette; aucune fiche n’est déclarée intégrée ou validée.</x:v>
      </x:c>
      <x:c r="D47" s="2"/>
      <x:c r="E47" s="2"/>
      <x:c r="F47" s="2"/>
    </x:row>
    <x:row r="48" ht="68" customHeight="1">
      <x:c r="A48" s="6" t="str">
        <x:v>choices</x:v>
      </x:c>
      <x:c r="B48" s="6" t="str">
        <x:v>8 fiche(s) : #1 — entrer sous couverture — stratégie locale; #1 — chercher le scientifique — stratégie locale; #2 — interroger le Novarra — stratégie locale; #2 — sortie sous pression biotique — stratégie locale</x:v>
      </x:c>
      <x:c r="C48" s="6" t="str">
        <x:v>Prototyper les règles proposées et exécuter les critères de recette; aucune fiche n’est déclarée intégrée ou validée.</x:v>
      </x:c>
      <x:c r="D48" s="2"/>
      <x:c r="E48" s="2"/>
      <x:c r="F48" s="2"/>
    </x:row>
    <x:row r="49" ht="82" customHeight="1">
      <x:c r="A49" s="6" t="str">
        <x:v>dialogues</x:v>
      </x:c>
      <x:c r="B49" s="6" t="str">
        <x:v>8 fiche(s) : #1 — entrer sous couverture — intentions de conversation; #1 — chercher le scientifique — intentions de conversation; #2 — interroger le Novarra — intentions de conversation; #2 — sortie sous pression biotique — intentions de conversation</x:v>
      </x:c>
      <x:c r="C49" s="6" t="str">
        <x:v>Prototyper les règles proposées et exécuter les critères de recette; aucune fiche n’est déclarée intégrée ou validée.</x:v>
      </x:c>
      <x:c r="D49" s="2"/>
      <x:c r="E49" s="2"/>
      <x:c r="F49" s="2"/>
    </x:row>
    <x:row r="50" ht="68" customHeight="1">
      <x:c r="A50" s="6" t="str">
        <x:v>cinematics</x:v>
      </x:c>
      <x:c r="B50" s="6" t="str">
        <x:v>8 fiche(s) : #1 — entrer sous couverture — raccord mis en scène; #1 — chercher le scientifique — raccord mis en scène; #2 — interroger le Novarra — raccord mis en scène; #2 — sortie sous pression biotique — raccord mis en scène</x:v>
      </x:c>
      <x:c r="C50" s="6" t="str">
        <x:v>Prototyper les règles proposées et exécuter les critères de recette; aucune fiche n’est déclarée intégrée ou validée.</x:v>
      </x:c>
      <x:c r="D50" s="2"/>
      <x:c r="E50" s="2"/>
      <x:c r="F50" s="2"/>
    </x:row>
    <x:row r="51" ht="54" customHeight="1">
      <x:c r="A51" s="6" t="str">
        <x:v>weapons</x:v>
      </x:c>
      <x:c r="B51" s="6" t="str">
        <x:v>2 fiche(s) : M-4 Shuriken — référence à contrôler; Arme de service de Tiran — profil proposé</x:v>
      </x:c>
      <x:c r="C51" s="6" t="str">
        <x:v>Prototyper les règles proposées et exécuter les critères de recette; aucune fiche n’est déclarée intégrée ou validée.</x:v>
      </x:c>
      <x:c r="D51" s="2"/>
      <x:c r="E51" s="2"/>
      <x:c r="F51" s="2"/>
    </x:row>
    <x:row r="52" ht="54" customHeight="1">
      <x:c r="A52" s="6" t="str">
        <x:v>equipment</x:v>
      </x:c>
      <x:c r="B52" s="6" t="str">
        <x:v>2 fiche(s) : Identité de couverture contextuelle; Validation astrométrique abstraite</x:v>
      </x:c>
      <x:c r="C52" s="6" t="str">
        <x:v>Prototyper les règles proposées et exécuter les critères de recette; aucune fiche n’est déclarée intégrée ou validée.</x:v>
      </x:c>
      <x:c r="D52" s="2"/>
      <x:c r="E52" s="2"/>
      <x:c r="F52" s="2"/>
    </x:row>
    <x:row r="53" ht="54" customHeight="1">
      <x:c r="A53" s="6" t="str">
        <x:v>powers</x:v>
      </x:c>
      <x:c r="B53" s="6" t="str">
        <x:v>1 fiche(s) : Biotiques Shanks / Zeta — profils distincts</x:v>
      </x:c>
      <x:c r="C53" s="6" t="str">
        <x:v>Prototyper les règles proposées et exécuter les critères de recette; aucune fiche n’est déclarée intégrée ou validée.</x:v>
      </x:c>
      <x:c r="D53" s="2"/>
      <x:c r="E53" s="2"/>
      <x:c r="F53" s="2"/>
    </x:row>
    <x:row r="54" ht="54" customHeight="1">
      <x:c r="A54" s="6" t="str">
        <x:v>ally_moves</x:v>
      </x:c>
      <x:c r="B54" s="6" t="str">
        <x:v>3 fiche(s) : Protection d’enquête; Dégagement biotique; Correction de données</x:v>
      </x:c>
      <x:c r="C54" s="6" t="str">
        <x:v>Prototyper les règles proposées et exécuter les critères de recette; aucune fiche n’est déclarée intégrée ou validée.</x:v>
      </x:c>
      <x:c r="D54" s="2"/>
      <x:c r="E54" s="2"/>
      <x:c r="F54" s="2"/>
    </x:row>
    <x:row r="55" ht="54" customHeight="1">
      <x:c r="A55" s="6" t="str">
        <x:v>enemy_moves</x:v>
      </x:c>
      <x:c r="B55" s="6" t="str">
        <x:v>8 fiche(s) : Onde de rupture; Surcharge après effort; Verrou de terminal; Approche de coque</x:v>
      </x:c>
      <x:c r="C55" s="6" t="str">
        <x:v>Prototyper les règles proposées et exécuter les critères de recette; aucune fiche n’est déclarée intégrée ou validée.</x:v>
      </x:c>
      <x:c r="D55" s="2"/>
      <x:c r="E55" s="2"/>
      <x:c r="F55" s="2"/>
    </x:row>
    <x:row r="56" ht="54" customHeight="1">
      <x:c r="A56" s="6" t="str">
        <x:v>animations</x:v>
      </x:c>
      <x:c r="B56" s="6" t="str">
        <x:v>10 fiche(s) : Tiran Kandros — jeu de poses; Luna Shanks — jeu de poses; Shio’Leth vas Novarra — jeu de poses; Jien Garson — jeu de poses</x:v>
      </x:c>
      <x:c r="C56" s="6" t="str">
        <x:v>Produire les assets originaux puis vérifier en situation; ce catalogue ne livre ni image, ni son, ni animation.</x:v>
      </x:c>
      <x:c r="D56" s="2"/>
      <x:c r="E56" s="2"/>
      <x:c r="F56" s="2"/>
    </x:row>
    <x:row r="57" ht="54" customHeight="1">
      <x:c r="A57" s="6" t="str">
        <x:v>sprites</x:v>
      </x:c>
      <x:c r="B57" s="6" t="str">
        <x:v>10 fiche(s) : Tiran Kandros — planche de sprites; Luna Shanks — planche de sprites; Shio’Leth vas Novarra — planche de sprites; Jien Garson — planche de sprites</x:v>
      </x:c>
      <x:c r="C57" s="6" t="str">
        <x:v>Produire les assets originaux puis vérifier en situation; ce catalogue ne livre ni image, ni son, ni animation.</x:v>
      </x:c>
      <x:c r="D57" s="2"/>
      <x:c r="E57" s="2"/>
      <x:c r="F57" s="2"/>
    </x:row>
    <x:row r="58" ht="68" customHeight="1">
      <x:c r="A58" s="6" t="str">
        <x:v>vfx</x:v>
      </x:c>
      <x:c r="B58" s="6" t="str">
        <x:v>8 fiche(s) : #1 — entrer sous couverture — signal visuel; #1 — chercher le scientifique — signal visuel; #2 — interroger le Novarra — signal visuel; #2 — sortie sous pression biotique — signal visuel</x:v>
      </x:c>
      <x:c r="C58" s="6" t="str">
        <x:v>Produire les assets originaux puis vérifier en situation; ce catalogue ne livre ni image, ni son, ni animation.</x:v>
      </x:c>
      <x:c r="D58" s="2"/>
      <x:c r="E58" s="2"/>
      <x:c r="F58" s="2"/>
    </x:row>
    <x:row r="59" ht="68" customHeight="1">
      <x:c r="A59" s="6" t="str">
        <x:v>audio</x:v>
      </x:c>
      <x:c r="B59" s="6" t="str">
        <x:v>5 fiche(s) : Terre — siège de l’Initiative — paysage sonore; Citadelle — recherche de Shio — paysage sonore; Site minier du Novarra — planète non nommée — paysage sonore; Omega — alias exposé — paysage sonore</x:v>
      </x:c>
      <x:c r="C59" s="6" t="str">
        <x:v>Produire les assets originaux puis vérifier en situation; ce catalogue ne livre ni image, ni son, ni animation.</x:v>
      </x:c>
      <x:c r="D59" s="2"/>
      <x:c r="E59" s="2"/>
      <x:c r="F59" s="2"/>
    </x:row>
    <x:row r="60" ht="54" customHeight="1">
      <x:c r="A60" s="6" t="str">
        <x:v>systems</x:v>
      </x:c>
      <x:c r="B60" s="6" t="str">
        <x:v>4 fiche(s) : Journal à deux niveaux; Groupe propre au chapitre; Rythme ATB proposé; Sauvegarde des modules</x:v>
      </x:c>
      <x:c r="C60" s="6" t="str">
        <x:v>Prototyper les règles proposées et exécuter les critères de recette; aucune fiche n’est déclarée intégrée ou validée.</x:v>
      </x:c>
      <x:c r="D60" s="2"/>
      <x:c r="E60" s="2"/>
      <x:c r="F60" s="2"/>
    </x:row>
    <x:row r="61" ht="68" customHeight="1">
      <x:c r="A61" s="6" t="str">
        <x:v>qa</x:v>
      </x:c>
      <x:c r="B61" s="6" t="str">
        <x:v>11 fiche(s) : #1 — entrer sous couverture — contrôle du parcours; #1 — chercher le scientifique — contrôle du parcours; #2 — interroger le Novarra — contrôle du parcours; #2 — sortie sous pression biotique — contrôle du parcours</x:v>
      </x:c>
      <x:c r="C61" s="6" t="str">
        <x:v>Prototyper les règles proposées et exécuter les critères de recette; aucune fiche n’est déclarée intégrée ou validée.</x:v>
      </x:c>
      <x:c r="D61" s="2"/>
      <x:c r="E61" s="2"/>
      <x:c r="F61" s="2"/>
    </x:row>
    <x:row r="62" ht="68" customHeight="1">
      <x:c r="A62" s="6" t="str">
        <x:v>continuity</x:v>
      </x:c>
      <x:c r="B62" s="6" t="str">
        <x:v>2 fiche(s) : Position dans l’univers; Contenus non attestés</x:v>
      </x:c>
      <x:c r="C62" s="6" t="str">
        <x:v>Vérifier l’ordre des révélations, les liens familiaux, les costumes et la fin dans les quatre numéros. Ne pas conclure sur les mystères de financement de l’Initiative.</x:v>
      </x:c>
      <x:c r="D62" s="2"/>
      <x:c r="E62" s="2"/>
      <x:c r="F62" s="2"/>
    </x:row>
    <x:row r="63" ht="96" customHeight="1">
      <x:c r="A63" s="6" t="str">
        <x:v>Complément lectures contextualisées</x:v>
      </x:c>
      <x:c r="B63" s="6" t="str">
        <x:v>2 références supplémentaires au stade Prototype dans 1 parcours de lecture (1 pages de paraphrases documentaires sourcées), limités à leurs segments exacts.</x:v>
      </x:c>
      <x:c r="C63" s="6" t="str">
        <x:v>Les faits, références, sources et réserves d’origine sont conservés. Ces lectures ne constituent ni un découpage intégral, ni une scène jouable, ni un recrutement ; modèles, voix et animations de l’œuvre ne sont pas produits.</x:v>
      </x:c>
      <x:c r="D63" s="2"/>
      <x:c r="E63" s="2"/>
      <x:c r="F63" s="2"/>
    </x:row>
    <x:row r="64" ht="22" customHeight="1">
      <x:c r="A64" s="2"/>
      <x:c r="B64" s="2"/>
      <x:c r="C64" s="2"/>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row r="122" ht="22" customHeight="1">
      <x:c r="A122" s="2"/>
      <x:c r="B122" s="2"/>
      <x:c r="C122" s="2"/>
      <x:c r="D122" s="2"/>
      <x:c r="E122" s="2"/>
      <x:c r="F122" s="2"/>
    </x:row>
    <x:row r="123" ht="22" customHeight="1">
      <x:c r="A123" s="2"/>
      <x:c r="B123" s="2"/>
      <x:c r="C123" s="2"/>
      <x:c r="D123" s="2"/>
      <x:c r="E123" s="2"/>
      <x:c r="F123" s="2"/>
    </x:row>
    <x:row r="124" ht="22" customHeight="1">
      <x:c r="A124" s="2"/>
      <x:c r="B124" s="2"/>
      <x:c r="C124" s="2"/>
      <x:c r="D124" s="2"/>
      <x:c r="E124" s="2"/>
      <x:c r="F124" s="2"/>
    </x:row>
    <x:row r="125" ht="22" customHeight="1">
      <x:c r="A125" s="2"/>
      <x:c r="B125" s="2"/>
      <x:c r="C125" s="2"/>
      <x:c r="D125" s="2"/>
      <x:c r="E125" s="2"/>
      <x:c r="F125" s="2"/>
    </x:row>
    <x:row r="126" ht="22" customHeight="1">
      <x:c r="A126" s="2"/>
      <x:c r="B126" s="2"/>
      <x:c r="C126" s="2"/>
      <x:c r="D126" s="2"/>
      <x:c r="E126" s="2"/>
      <x:c r="F126" s="2"/>
    </x:row>
    <x:row r="127" ht="22" customHeight="1">
      <x:c r="A127" s="2"/>
      <x:c r="B127" s="2"/>
      <x:c r="C127" s="2"/>
      <x:c r="D127" s="2"/>
      <x:c r="E127" s="2"/>
      <x:c r="F127" s="2"/>
    </x:row>
    <x:row r="128" ht="22" customHeight="1">
      <x:c r="A128" s="2"/>
      <x:c r="B128" s="2"/>
      <x:c r="C128" s="2"/>
      <x:c r="D128" s="2"/>
      <x:c r="E128" s="2"/>
      <x:c r="F128" s="2"/>
    </x:row>
    <x:row r="129" ht="22" customHeight="1">
      <x:c r="A129" s="2"/>
      <x:c r="B129" s="2"/>
      <x:c r="C129" s="2"/>
      <x:c r="D129" s="2"/>
      <x:c r="E129" s="2"/>
      <x:c r="F129" s="2"/>
    </x:row>
    <x:row r="130" ht="22" customHeight="1">
      <x:c r="A130" s="2"/>
      <x:c r="B130" s="2"/>
      <x:c r="C130" s="2"/>
      <x:c r="D130" s="2"/>
      <x:c r="E130" s="2"/>
      <x:c r="F130" s="2"/>
    </x:row>
    <x:row r="131" ht="22" customHeight="1">
      <x:c r="A131" s="2"/>
      <x:c r="B131" s="2"/>
      <x:c r="C131" s="2"/>
      <x:c r="D131" s="2"/>
      <x:c r="E131" s="2"/>
      <x:c r="F131" s="2"/>
    </x:row>
    <x:row r="132" ht="22" customHeight="1">
      <x:c r="A132" s="2"/>
      <x:c r="B132" s="2"/>
      <x:c r="C132" s="2"/>
      <x:c r="D132" s="2"/>
      <x:c r="E132" s="2"/>
      <x:c r="F132" s="2"/>
    </x:row>
    <x:row r="133" ht="22" customHeight="1">
      <x:c r="A133" s="2"/>
      <x:c r="B133" s="2"/>
      <x:c r="C133" s="2"/>
      <x:c r="D133" s="2"/>
      <x:c r="E133" s="2"/>
      <x:c r="F133" s="2"/>
    </x:row>
  </x:sheetData>
  <x:pageMargins left="0.7" right="0.7" top="0.75" bottom="0.75" header="0.3" footer="0.3"/>
</x:worksheet>
</file>