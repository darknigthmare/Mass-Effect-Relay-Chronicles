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79127545a04679" /></Relationships>
</file>

<file path=xl/workbook.xml><?xml version="1.0" encoding="utf-8"?>
<x:workbook xmlns:x="http://schemas.openxmlformats.org/spreadsheetml/2006/main">
  <x:sheets>
    <x:sheet xmlns:r="http://schemas.openxmlformats.org/officeDocument/2006/relationships" name="Dashboard" sheetId="1" r:id="R7b1617b54fdd4050"/>
    <x:sheet xmlns:r="http://schemas.openxmlformats.org/officeDocument/2006/relationships" name="Personnages" sheetId="2" r:id="R9729f0cfcf5643d8"/>
    <x:sheet xmlns:r="http://schemas.openxmlformats.org/officeDocument/2006/relationships" name="PNJ" sheetId="3" r:id="Rde3736c65373479c"/>
    <x:sheet xmlns:r="http://schemas.openxmlformats.org/officeDocument/2006/relationships" name="Especes_factions" sheetId="4" r:id="Rac41d80e7d9943a1"/>
    <x:sheet xmlns:r="http://schemas.openxmlformats.org/officeDocument/2006/relationships" name="Mondes" sheetId="5" r:id="R44c2c7cca86940f0"/>
    <x:sheet xmlns:r="http://schemas.openxmlformats.org/officeDocument/2006/relationships" name="Zones" sheetId="6" r:id="R1f19aa9bdde6436c"/>
    <x:sheet xmlns:r="http://schemas.openxmlformats.org/officeDocument/2006/relationships" name="Liaisons" sheetId="7" r:id="R6607db2ab47149f3"/>
    <x:sheet xmlns:r="http://schemas.openxmlformats.org/officeDocument/2006/relationships" name="Decors" sheetId="8" r:id="Rb73033f6e4004028"/>
    <x:sheet xmlns:r="http://schemas.openxmlformats.org/officeDocument/2006/relationships" name="Props" sheetId="9" r:id="R901d9f98bb2d4797"/>
    <x:sheet xmlns:r="http://schemas.openxmlformats.org/officeDocument/2006/relationships" name="Ennemis_boss" sheetId="10" r:id="R1000e3befb0049f7"/>
    <x:sheet xmlns:r="http://schemas.openxmlformats.org/officeDocument/2006/relationships" name="Missions" sheetId="11" r:id="Rd5c397fd9a0a4ddd"/>
    <x:sheet xmlns:r="http://schemas.openxmlformats.org/officeDocument/2006/relationships" name="Secondaires_DLC" sheetId="12" r:id="R0e328bd0fd3e418b"/>
    <x:sheet xmlns:r="http://schemas.openxmlformats.org/officeDocument/2006/relationships" name="Choix_relations" sheetId="13" r:id="Re4a00bcccc294fe7"/>
    <x:sheet xmlns:r="http://schemas.openxmlformats.org/officeDocument/2006/relationships" name="Dialogues" sheetId="14" r:id="R541dc8f37142432d"/>
    <x:sheet xmlns:r="http://schemas.openxmlformats.org/officeDocument/2006/relationships" name="Cinematiques" sheetId="15" r:id="R218b3a88dc464b18"/>
    <x:sheet xmlns:r="http://schemas.openxmlformats.org/officeDocument/2006/relationships" name="Armes" sheetId="16" r:id="Raca5094a75464d02"/>
    <x:sheet xmlns:r="http://schemas.openxmlformats.org/officeDocument/2006/relationships" name="Armures_equipement" sheetId="17" r:id="R13d382e32373483e"/>
    <x:sheet xmlns:r="http://schemas.openxmlformats.org/officeDocument/2006/relationships" name="Pouvoirs" sheetId="18" r:id="Rbc8a1f4c338e4065"/>
    <x:sheet xmlns:r="http://schemas.openxmlformats.org/officeDocument/2006/relationships" name="Movesets_allies" sheetId="19" r:id="R878732cba4024b2b"/>
    <x:sheet xmlns:r="http://schemas.openxmlformats.org/officeDocument/2006/relationships" name="Movesets_ennemis" sheetId="20" r:id="Rb3ece2f51a914c51"/>
    <x:sheet xmlns:r="http://schemas.openxmlformats.org/officeDocument/2006/relationships" name="Animations" sheetId="21" r:id="Ra41618c430a84509"/>
    <x:sheet xmlns:r="http://schemas.openxmlformats.org/officeDocument/2006/relationships" name="Sprites" sheetId="22" r:id="R081357e2634d4607"/>
    <x:sheet xmlns:r="http://schemas.openxmlformats.org/officeDocument/2006/relationships" name="VFX" sheetId="23" r:id="Rc5996229aa0949ca"/>
    <x:sheet xmlns:r="http://schemas.openxmlformats.org/officeDocument/2006/relationships" name="Audio" sheetId="24" r:id="R74700acad1cb49cd"/>
    <x:sheet xmlns:r="http://schemas.openxmlformats.org/officeDocument/2006/relationships" name="UI_systemes" sheetId="25" r:id="R1b0a90f3ec65486a"/>
    <x:sheet xmlns:r="http://schemas.openxmlformats.org/officeDocument/2006/relationships" name="QA" sheetId="26" r:id="Rd09c7670735b4c09"/>
    <x:sheet xmlns:r="http://schemas.openxmlformats.org/officeDocument/2006/relationships" name="Continuite" sheetId="27" r:id="Ra04940ca38144d89"/>
    <x:sheet xmlns:r="http://schemas.openxmlformats.org/officeDocument/2006/relationships" name="Guide" sheetId="28" r:id="R8263c97977a040d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ce676f10edc64c53" /><Relationship Type="http://schemas.openxmlformats.org/officeDocument/2006/relationships/theme" Target="/xl/theme/theme1.xml" Id="R9b1406222cb14c33" /><Relationship Type="http://schemas.openxmlformats.org/officeDocument/2006/relationships/sharedStrings" Target="/xl/sharedStrings.xml" Id="Rd41aefb7090a427a" /><Relationship Type="http://schemas.openxmlformats.org/officeDocument/2006/relationships/worksheet" Target="/xl/worksheets/sheet1.xml" Id="R7b1617b54fdd4050" /><Relationship Type="http://schemas.openxmlformats.org/officeDocument/2006/relationships/worksheet" Target="/xl/worksheets/sheet2.xml" Id="R9729f0cfcf5643d8" /><Relationship Type="http://schemas.openxmlformats.org/officeDocument/2006/relationships/worksheet" Target="/xl/worksheets/sheet3.xml" Id="Rde3736c65373479c" /><Relationship Type="http://schemas.openxmlformats.org/officeDocument/2006/relationships/worksheet" Target="/xl/worksheets/sheet4.xml" Id="Rac41d80e7d9943a1" /><Relationship Type="http://schemas.openxmlformats.org/officeDocument/2006/relationships/worksheet" Target="/xl/worksheets/sheet5.xml" Id="R44c2c7cca86940f0" /><Relationship Type="http://schemas.openxmlformats.org/officeDocument/2006/relationships/worksheet" Target="/xl/worksheets/sheet6.xml" Id="R1f19aa9bdde6436c" /><Relationship Type="http://schemas.openxmlformats.org/officeDocument/2006/relationships/worksheet" Target="/xl/worksheets/sheet7.xml" Id="R6607db2ab47149f3" /><Relationship Type="http://schemas.openxmlformats.org/officeDocument/2006/relationships/worksheet" Target="/xl/worksheets/sheet8.xml" Id="Rb73033f6e4004028" /><Relationship Type="http://schemas.openxmlformats.org/officeDocument/2006/relationships/worksheet" Target="/xl/worksheets/sheet9.xml" Id="R901d9f98bb2d4797" /><Relationship Type="http://schemas.openxmlformats.org/officeDocument/2006/relationships/worksheet" Target="/xl/worksheets/sheet10.xml" Id="R1000e3befb0049f7" /><Relationship Type="http://schemas.openxmlformats.org/officeDocument/2006/relationships/worksheet" Target="/xl/worksheets/sheet11.xml" Id="Rd5c397fd9a0a4ddd" /><Relationship Type="http://schemas.openxmlformats.org/officeDocument/2006/relationships/worksheet" Target="/xl/worksheets/sheet12.xml" Id="R0e328bd0fd3e418b" /><Relationship Type="http://schemas.openxmlformats.org/officeDocument/2006/relationships/worksheet" Target="/xl/worksheets/sheet13.xml" Id="Re4a00bcccc294fe7" /><Relationship Type="http://schemas.openxmlformats.org/officeDocument/2006/relationships/worksheet" Target="/xl/worksheets/sheet14.xml" Id="R541dc8f37142432d" /><Relationship Type="http://schemas.openxmlformats.org/officeDocument/2006/relationships/worksheet" Target="/xl/worksheets/sheet15.xml" Id="R218b3a88dc464b18" /><Relationship Type="http://schemas.openxmlformats.org/officeDocument/2006/relationships/worksheet" Target="/xl/worksheets/sheet16.xml" Id="Raca5094a75464d02" /><Relationship Type="http://schemas.openxmlformats.org/officeDocument/2006/relationships/worksheet" Target="/xl/worksheets/sheet17.xml" Id="R13d382e32373483e" /><Relationship Type="http://schemas.openxmlformats.org/officeDocument/2006/relationships/worksheet" Target="/xl/worksheets/sheet18.xml" Id="Rbc8a1f4c338e4065" /><Relationship Type="http://schemas.openxmlformats.org/officeDocument/2006/relationships/worksheet" Target="/xl/worksheets/sheet19.xml" Id="R878732cba4024b2b" /><Relationship Type="http://schemas.openxmlformats.org/officeDocument/2006/relationships/worksheet" Target="/xl/worksheets/sheet20.xml" Id="Rb3ece2f51a914c51" /><Relationship Type="http://schemas.openxmlformats.org/officeDocument/2006/relationships/worksheet" Target="/xl/worksheets/sheet21.xml" Id="Ra41618c430a84509" /><Relationship Type="http://schemas.openxmlformats.org/officeDocument/2006/relationships/worksheet" Target="/xl/worksheets/sheet22.xml" Id="R081357e2634d4607" /><Relationship Type="http://schemas.openxmlformats.org/officeDocument/2006/relationships/worksheet" Target="/xl/worksheets/sheet23.xml" Id="Rc5996229aa0949ca" /><Relationship Type="http://schemas.openxmlformats.org/officeDocument/2006/relationships/worksheet" Target="/xl/worksheets/sheet24.xml" Id="R74700acad1cb49cd" /><Relationship Type="http://schemas.openxmlformats.org/officeDocument/2006/relationships/worksheet" Target="/xl/worksheets/sheet25.xml" Id="R1b0a90f3ec65486a" /><Relationship Type="http://schemas.openxmlformats.org/officeDocument/2006/relationships/worksheet" Target="/xl/worksheets/sheet26.xml" Id="Rd09c7670735b4c09" /><Relationship Type="http://schemas.openxmlformats.org/officeDocument/2006/relationships/worksheet" Target="/xl/worksheets/sheet27.xml" Id="Ra04940ca38144d89" /><Relationship Type="http://schemas.openxmlformats.org/officeDocument/2006/relationships/worksheet" Target="/xl/worksheets/sheet28.xml" Id="R8263c97977a040d9" /></Relationships>
</file>

<file path=xl/tables/table1.xml><?xml version="1.0" encoding="utf-8"?>
<x:table xmlns:x="http://schemas.openxmlformats.org/spreadsheetml/2006/main" id="1" name="ANN_characters" displayName="ANN_character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ANN_npcs" displayName="ANN_npc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ANN_lore" displayName="ANN_lore"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ANN_worlds" displayName="ANN_world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ANN_zones" displayName="ANN_zon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ANN_links" displayName="ANN_link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ANN_scenery" displayName="ANN_scenery"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ANN_props" displayName="ANN_prop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ANN_enemies" displayName="ANN_enemi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ANN_main_quests" displayName="ANN_main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ANN_side_quests" displayName="ANN_side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ANN_choices" displayName="ANN_choic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ANN_dialogues" displayName="ANN_dialogu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ANN_cinematics" displayName="ANN_cinematic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ANN_weapons" displayName="ANN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ANN_equipment" displayName="ANN_equipment"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ANN_powers" displayName="ANN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ANN_ally_moves" displayName="ANN_all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ANN_enemy_moves" displayName="ANN_enemy_mov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ANN_animations" displayName="ANN_animation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ANN_sprites" displayName="ANN_sprit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ANN_vfx" displayName="ANN_vfx"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ANN_audio" displayName="ANN_audio"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ANN_systems" displayName="ANN_system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ANN_qa" displayName="ANN_qa"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ANN_continuity" displayName="ANN_continuity"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07675488ee476d" /></Relationships>
</file>

<file path=xl/worksheets/_rels/sheet3.xml.rels>&#65279;<?xml version="1.0" encoding="utf-8"?><Relationships xmlns="http://schemas.openxmlformats.org/package/2006/relationships"><Relationship Type="http://schemas.openxmlformats.org/officeDocument/2006/relationships/table" Target="/xl/tables/table2.xml" Id="Rf9306a3a097f4beb" /></Relationships>
</file>

<file path=xl/worksheets/_rels/sheet4.xml.rels>&#65279;<?xml version="1.0" encoding="utf-8"?><Relationships xmlns="http://schemas.openxmlformats.org/package/2006/relationships"><Relationship Type="http://schemas.openxmlformats.org/officeDocument/2006/relationships/table" Target="/xl/tables/table3.xml" Id="Rdb6e05a4318f4585" /></Relationships>
</file>

<file path=xl/worksheets/_rels/sheet5.xml.rels>&#65279;<?xml version="1.0" encoding="utf-8"?><Relationships xmlns="http://schemas.openxmlformats.org/package/2006/relationships"><Relationship Type="http://schemas.openxmlformats.org/officeDocument/2006/relationships/table" Target="/xl/tables/table4.xml" Id="Rc56c70ad198d4526" /></Relationships>
</file>

<file path=xl/worksheets/_rels/sheet6.xml.rels>&#65279;<?xml version="1.0" encoding="utf-8"?><Relationships xmlns="http://schemas.openxmlformats.org/package/2006/relationships"><Relationship Type="http://schemas.openxmlformats.org/officeDocument/2006/relationships/table" Target="/xl/tables/table5.xml" Id="R29875849a3484996" /></Relationships>
</file>

<file path=xl/worksheets/_rels/sheet7.xml.rels>&#65279;<?xml version="1.0" encoding="utf-8"?><Relationships xmlns="http://schemas.openxmlformats.org/package/2006/relationships"><Relationship Type="http://schemas.openxmlformats.org/officeDocument/2006/relationships/table" Target="/xl/tables/table6.xml" Id="Rab4c363c25b447aa" /></Relationships>
</file>

<file path=xl/worksheets/_rels/sheet8.xml.rels>&#65279;<?xml version="1.0" encoding="utf-8"?><Relationships xmlns="http://schemas.openxmlformats.org/package/2006/relationships"><Relationship Type="http://schemas.openxmlformats.org/officeDocument/2006/relationships/table" Target="/xl/tables/table7.xml" Id="Re73f4fe2a4a14079" /></Relationships>
</file>

<file path=xl/worksheets/_rels/sheet9.xml.rels>&#65279;<?xml version="1.0" encoding="utf-8"?><Relationships xmlns="http://schemas.openxmlformats.org/package/2006/relationships"><Relationship Type="http://schemas.openxmlformats.org/officeDocument/2006/relationships/table" Target="/xl/tables/table8.xml" Id="R4c881b3e942241bb" /></Relationships>
</file>

<file path=xl/worksheets/_rels/sheet10.xml.rels>&#65279;<?xml version="1.0" encoding="utf-8"?><Relationships xmlns="http://schemas.openxmlformats.org/package/2006/relationships"><Relationship Type="http://schemas.openxmlformats.org/officeDocument/2006/relationships/table" Target="/xl/tables/table9.xml" Id="R56d1980e1bcd4dbc" /></Relationships>
</file>

<file path=xl/worksheets/_rels/sheet11.xml.rels>&#65279;<?xml version="1.0" encoding="utf-8"?><Relationships xmlns="http://schemas.openxmlformats.org/package/2006/relationships"><Relationship Type="http://schemas.openxmlformats.org/officeDocument/2006/relationships/table" Target="/xl/tables/table10.xml" Id="R6d71d106bdcb495c" /></Relationships>
</file>

<file path=xl/worksheets/_rels/sheet12.xml.rels>&#65279;<?xml version="1.0" encoding="utf-8"?><Relationships xmlns="http://schemas.openxmlformats.org/package/2006/relationships"><Relationship Type="http://schemas.openxmlformats.org/officeDocument/2006/relationships/table" Target="/xl/tables/table11.xml" Id="Rbe257a42887c4836" /></Relationships>
</file>

<file path=xl/worksheets/_rels/sheet13.xml.rels>&#65279;<?xml version="1.0" encoding="utf-8"?><Relationships xmlns="http://schemas.openxmlformats.org/package/2006/relationships"><Relationship Type="http://schemas.openxmlformats.org/officeDocument/2006/relationships/table" Target="/xl/tables/table12.xml" Id="Raefa5b2d10bf4c54" /></Relationships>
</file>

<file path=xl/worksheets/_rels/sheet14.xml.rels>&#65279;<?xml version="1.0" encoding="utf-8"?><Relationships xmlns="http://schemas.openxmlformats.org/package/2006/relationships"><Relationship Type="http://schemas.openxmlformats.org/officeDocument/2006/relationships/table" Target="/xl/tables/table13.xml" Id="R0676d42ab8cb450a" /></Relationships>
</file>

<file path=xl/worksheets/_rels/sheet15.xml.rels>&#65279;<?xml version="1.0" encoding="utf-8"?><Relationships xmlns="http://schemas.openxmlformats.org/package/2006/relationships"><Relationship Type="http://schemas.openxmlformats.org/officeDocument/2006/relationships/table" Target="/xl/tables/table14.xml" Id="R83eef6079778470f" /></Relationships>
</file>

<file path=xl/worksheets/_rels/sheet16.xml.rels>&#65279;<?xml version="1.0" encoding="utf-8"?><Relationships xmlns="http://schemas.openxmlformats.org/package/2006/relationships"><Relationship Type="http://schemas.openxmlformats.org/officeDocument/2006/relationships/table" Target="/xl/tables/table15.xml" Id="R42f9dce130174012" /></Relationships>
</file>

<file path=xl/worksheets/_rels/sheet17.xml.rels>&#65279;<?xml version="1.0" encoding="utf-8"?><Relationships xmlns="http://schemas.openxmlformats.org/package/2006/relationships"><Relationship Type="http://schemas.openxmlformats.org/officeDocument/2006/relationships/table" Target="/xl/tables/table16.xml" Id="Rde6234caa9664674" /></Relationships>
</file>

<file path=xl/worksheets/_rels/sheet18.xml.rels>&#65279;<?xml version="1.0" encoding="utf-8"?><Relationships xmlns="http://schemas.openxmlformats.org/package/2006/relationships"><Relationship Type="http://schemas.openxmlformats.org/officeDocument/2006/relationships/table" Target="/xl/tables/table17.xml" Id="R7f0820c48d8d4b9e" /></Relationships>
</file>

<file path=xl/worksheets/_rels/sheet19.xml.rels>&#65279;<?xml version="1.0" encoding="utf-8"?><Relationships xmlns="http://schemas.openxmlformats.org/package/2006/relationships"><Relationship Type="http://schemas.openxmlformats.org/officeDocument/2006/relationships/table" Target="/xl/tables/table18.xml" Id="R463fab4a03214fc2" /></Relationships>
</file>

<file path=xl/worksheets/_rels/sheet20.xml.rels>&#65279;<?xml version="1.0" encoding="utf-8"?><Relationships xmlns="http://schemas.openxmlformats.org/package/2006/relationships"><Relationship Type="http://schemas.openxmlformats.org/officeDocument/2006/relationships/table" Target="/xl/tables/table19.xml" Id="Rb810e8d5ab0e46b6" /></Relationships>
</file>

<file path=xl/worksheets/_rels/sheet21.xml.rels>&#65279;<?xml version="1.0" encoding="utf-8"?><Relationships xmlns="http://schemas.openxmlformats.org/package/2006/relationships"><Relationship Type="http://schemas.openxmlformats.org/officeDocument/2006/relationships/table" Target="/xl/tables/table20.xml" Id="R553d6feb03184f3f" /></Relationships>
</file>

<file path=xl/worksheets/_rels/sheet22.xml.rels>&#65279;<?xml version="1.0" encoding="utf-8"?><Relationships xmlns="http://schemas.openxmlformats.org/package/2006/relationships"><Relationship Type="http://schemas.openxmlformats.org/officeDocument/2006/relationships/table" Target="/xl/tables/table21.xml" Id="Rfecaaca7efb645fe" /></Relationships>
</file>

<file path=xl/worksheets/_rels/sheet23.xml.rels>&#65279;<?xml version="1.0" encoding="utf-8"?><Relationships xmlns="http://schemas.openxmlformats.org/package/2006/relationships"><Relationship Type="http://schemas.openxmlformats.org/officeDocument/2006/relationships/table" Target="/xl/tables/table22.xml" Id="R8ba7035640e84ac5" /></Relationships>
</file>

<file path=xl/worksheets/_rels/sheet24.xml.rels>&#65279;<?xml version="1.0" encoding="utf-8"?><Relationships xmlns="http://schemas.openxmlformats.org/package/2006/relationships"><Relationship Type="http://schemas.openxmlformats.org/officeDocument/2006/relationships/table" Target="/xl/tables/table23.xml" Id="R78efc5a9bb3941b0" /></Relationships>
</file>

<file path=xl/worksheets/_rels/sheet25.xml.rels>&#65279;<?xml version="1.0" encoding="utf-8"?><Relationships xmlns="http://schemas.openxmlformats.org/package/2006/relationships"><Relationship Type="http://schemas.openxmlformats.org/officeDocument/2006/relationships/table" Target="/xl/tables/table24.xml" Id="Rc6dc4f3a357b4d61" /></Relationships>
</file>

<file path=xl/worksheets/_rels/sheet26.xml.rels>&#65279;<?xml version="1.0" encoding="utf-8"?><Relationships xmlns="http://schemas.openxmlformats.org/package/2006/relationships"><Relationship Type="http://schemas.openxmlformats.org/officeDocument/2006/relationships/table" Target="/xl/tables/table25.xml" Id="Re50a8ad05d8e40e7" /></Relationships>
</file>

<file path=xl/worksheets/_rels/sheet27.xml.rels>&#65279;<?xml version="1.0" encoding="utf-8"?><Relationships xmlns="http://schemas.openxmlformats.org/package/2006/relationships"><Relationship Type="http://schemas.openxmlformats.org/officeDocument/2006/relationships/table" Target="/xl/tables/table26.xml" Id="R96a6e9e38b694dd6"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Andromeda: Annihilation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161</x:v>
      </x:c>
      <x:c r="C5" s="2"/>
      <x:c r="D5" s="2" t="str">
        <x:v>Intégrés</x:v>
      </x:c>
      <x:c r="E5" s="31" t="n">
        <x:f>SUM(E10:F35)</x:f>
        <x:v>0</x:v>
      </x:c>
      <x:c r="F5" s="2"/>
      <x:c r="G5" s="2" t="str">
        <x:v>À vérifier</x:v>
      </x:c>
      <x:c r="H5" s="31" t="n">
        <x:f>SUM(H10:H35)</x:f>
        <x:v>1</x:v>
      </x:c>
      <x:c r="I5" s="2"/>
      <x:c r="J5" s="2" t="str">
        <x:v>Extrapolations</x:v>
      </x:c>
      <x:c r="K5" s="31" t="n">
        <x:f>SUM(I10:I35)</x:f>
        <x:v>132</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COUNTA('Personnages'!$A$7:$A$12)</x:f>
        <x:v>6</x:v>
      </x:c>
      <x:c r="C10" s="37" t="n">
        <x:f>COUNTIFS('Personnages'!$C$7:$C$12,"Défini")</x:f>
        <x:v>6</x:v>
      </x:c>
      <x:c r="D10" s="37" t="n">
        <x:f>COUNTIFS('Personnages'!$C$7:$C$12,"Prototype")</x:f>
        <x:v>0</x:v>
      </x:c>
      <x:c r="E10" s="37" t="n">
        <x:f>COUNTIFS('Personnages'!$C$7:$C$12,"Intégré")</x:f>
        <x:v>0</x:v>
      </x:c>
      <x:c r="F10" s="37" t="n">
        <x:f>COUNTIFS('Personnages'!$C$7:$C$12,"Validé")</x:f>
        <x:v>0</x:v>
      </x:c>
      <x:c r="G10" s="37" t="n">
        <x:f>COUNTIFS('Personnages'!$D$7:$D$12,"Établi")</x:f>
        <x:v>6</x:v>
      </x:c>
      <x:c r="H10" s="37" t="n">
        <x:f>COUNTIFS('Personnages'!$D$7:$D$12,"À vérifier")</x:f>
        <x:v>0</x:v>
      </x:c>
      <x:c r="I10" s="37" t="n">
        <x:f>COUNTIFS('Personnages'!$D$7:$D$12,"Extrapolation")</x:f>
        <x:v>0</x:v>
      </x:c>
      <x:c r="J10" s="37" t="n">
        <x:f>COUNTIFS('Personnages'!$D$7:$D$12,"Coupé attesté")</x:f>
        <x:v>0</x:v>
      </x:c>
      <x:c r="K10" s="37" t="n">
        <x:f>COUNTIFS('Personnages'!$D$7:$D$12,"Concept abandonné")</x:f>
        <x:v>0</x:v>
      </x:c>
      <x:c r="L10" s="37" t="n">
        <x:f>COUNTIFS('Personnages'!$D$7:$D$12,"Allégation écartée")</x:f>
        <x:v>0</x:v>
      </x:c>
      <x:c r="M10" s="37" t="n">
        <x:f>COUNTIFS('Personnages'!$E$7:$E$12,"P0")</x:f>
        <x:v>0</x:v>
      </x:c>
    </x:row>
    <x:row r="11" ht="22" customHeight="1">
      <x:c r="A11" s="2" t="str">
        <x:v>PNJ</x:v>
      </x:c>
      <x:c r="B11" s="38" t="n">
        <x:f>COUNTA('PNJ'!$A$7:$A$10)</x:f>
        <x:v>4</x:v>
      </x:c>
      <x:c r="C11" s="38" t="n">
        <x:f>COUNTIFS('PNJ'!$C$7:$C$10,"Défini")</x:f>
        <x:v>4</x:v>
      </x:c>
      <x:c r="D11" s="38" t="n">
        <x:f>COUNTIFS('PNJ'!$C$7:$C$10,"Prototype")</x:f>
        <x:v>0</x:v>
      </x:c>
      <x:c r="E11" s="38" t="n">
        <x:f>COUNTIFS('PNJ'!$C$7:$C$10,"Intégré")</x:f>
        <x:v>0</x:v>
      </x:c>
      <x:c r="F11" s="38" t="n">
        <x:f>COUNTIFS('PNJ'!$C$7:$C$10,"Validé")</x:f>
        <x:v>0</x:v>
      </x:c>
      <x:c r="G11" s="38" t="n">
        <x:f>COUNTIFS('PNJ'!$D$7:$D$10,"Établi")</x:f>
        <x:v>4</x:v>
      </x:c>
      <x:c r="H11" s="38" t="n">
        <x:f>COUNTIFS('PNJ'!$D$7:$D$10,"À vérifier")</x:f>
        <x:v>0</x:v>
      </x:c>
      <x:c r="I11" s="38" t="n">
        <x:f>COUNTIFS('PNJ'!$D$7:$D$10,"Extrapolation")</x:f>
        <x:v>0</x:v>
      </x:c>
      <x:c r="J11" s="38" t="n">
        <x:f>COUNTIFS('PNJ'!$D$7:$D$10,"Coupé attesté")</x:f>
        <x:v>0</x:v>
      </x:c>
      <x:c r="K11" s="38" t="n">
        <x:f>COUNTIFS('PNJ'!$D$7:$D$10,"Concept abandonné")</x:f>
        <x:v>0</x:v>
      </x:c>
      <x:c r="L11" s="38" t="n">
        <x:f>COUNTIFS('PNJ'!$D$7:$D$10,"Allégation écartée")</x:f>
        <x:v>0</x:v>
      </x:c>
      <x:c r="M11" s="38" t="n">
        <x:f>COUNTIFS('PNJ'!$E$7:$E$10,"P0")</x:f>
        <x:v>0</x:v>
      </x:c>
    </x:row>
    <x:row r="12" ht="22" customHeight="1">
      <x:c r="A12" s="33" t="str">
        <x:v>Espèces et factions</x:v>
      </x:c>
      <x:c r="B12" s="37" t="n">
        <x:f>COUNTA('Especes_factions'!$A$7:$A$13)</x:f>
        <x:v>7</x:v>
      </x:c>
      <x:c r="C12" s="37" t="n">
        <x:f>COUNTIFS('Especes_factions'!$C$7:$C$13,"Défini")</x:f>
        <x:v>5</x:v>
      </x:c>
      <x:c r="D12" s="37" t="n">
        <x:f>COUNTIFS('Especes_factions'!$C$7:$C$13,"Prototype")</x:f>
        <x:v>2</x:v>
      </x:c>
      <x:c r="E12" s="37" t="n">
        <x:f>COUNTIFS('Especes_factions'!$C$7:$C$13,"Intégré")</x:f>
        <x:v>0</x:v>
      </x:c>
      <x:c r="F12" s="37" t="n">
        <x:f>COUNTIFS('Especes_factions'!$C$7:$C$13,"Validé")</x:f>
        <x:v>0</x:v>
      </x:c>
      <x:c r="G12" s="37" t="n">
        <x:f>COUNTIFS('Especes_factions'!$D$7:$D$13,"Établi")</x:f>
        <x:v>7</x:v>
      </x:c>
      <x:c r="H12" s="37" t="n">
        <x:f>COUNTIFS('Especes_factions'!$D$7:$D$13,"À vérifier")</x:f>
        <x:v>0</x:v>
      </x:c>
      <x:c r="I12" s="37" t="n">
        <x:f>COUNTIFS('Especes_factions'!$D$7:$D$13,"Extrapolation")</x:f>
        <x:v>0</x:v>
      </x:c>
      <x:c r="J12" s="37" t="n">
        <x:f>COUNTIFS('Especes_factions'!$D$7:$D$13,"Coupé attesté")</x:f>
        <x:v>0</x:v>
      </x:c>
      <x:c r="K12" s="37" t="n">
        <x:f>COUNTIFS('Especes_factions'!$D$7:$D$13,"Concept abandonné")</x:f>
        <x:v>0</x:v>
      </x:c>
      <x:c r="L12" s="37" t="n">
        <x:f>COUNTIFS('Especes_factions'!$D$7:$D$13,"Allégation écartée")</x:f>
        <x:v>0</x:v>
      </x:c>
      <x:c r="M12" s="37" t="n">
        <x:f>COUNTIFS('Especes_factions'!$E$7:$E$13,"P0")</x:f>
        <x:v>0</x:v>
      </x:c>
    </x:row>
    <x:row r="13" ht="22" customHeight="1">
      <x:c r="A13" s="2" t="str">
        <x:v>Mondes</x:v>
      </x:c>
      <x:c r="B13" s="38" t="n">
        <x:f>COUNTA('Mondes'!$A$7:$A$8)</x:f>
        <x:v>2</x:v>
      </x:c>
      <x:c r="C13" s="38" t="n">
        <x:f>COUNTIFS('Mondes'!$C$7:$C$8,"Défini")</x:f>
        <x:v>0</x:v>
      </x:c>
      <x:c r="D13" s="38" t="n">
        <x:f>COUNTIFS('Mondes'!$C$7:$C$8,"Prototype")</x:f>
        <x:v>2</x:v>
      </x:c>
      <x:c r="E13" s="38" t="n">
        <x:f>COUNTIFS('Mondes'!$C$7:$C$8,"Intégré")</x:f>
        <x:v>0</x:v>
      </x:c>
      <x:c r="F13" s="38" t="n">
        <x:f>COUNTIFS('Mondes'!$C$7:$C$8,"Validé")</x:f>
        <x:v>0</x:v>
      </x:c>
      <x:c r="G13" s="38" t="n">
        <x:f>COUNTIFS('Mondes'!$D$7:$D$8,"Établi")</x:f>
        <x:v>2</x:v>
      </x:c>
      <x:c r="H13" s="38" t="n">
        <x:f>COUNTIFS('Mondes'!$D$7:$D$8,"À vérifier")</x:f>
        <x:v>0</x:v>
      </x:c>
      <x:c r="I13" s="38" t="n">
        <x:f>COUNTIFS('Mondes'!$D$7:$D$8,"Extrapolation")</x:f>
        <x:v>0</x:v>
      </x:c>
      <x:c r="J13" s="38" t="n">
        <x:f>COUNTIFS('Mondes'!$D$7:$D$8,"Coupé attesté")</x:f>
        <x:v>0</x:v>
      </x:c>
      <x:c r="K13" s="38" t="n">
        <x:f>COUNTIFS('Mondes'!$D$7:$D$8,"Concept abandonné")</x:f>
        <x:v>0</x:v>
      </x:c>
      <x:c r="L13" s="38" t="n">
        <x:f>COUNTIFS('Mondes'!$D$7:$D$8,"Allégation écartée")</x:f>
        <x:v>0</x:v>
      </x:c>
      <x:c r="M13" s="38" t="n">
        <x:f>COUNTIFS('Mondes'!$E$7:$E$8,"P0")</x:f>
        <x:v>0</x:v>
      </x:c>
    </x:row>
    <x:row r="14" ht="22" customHeight="1">
      <x:c r="A14" s="33" t="str">
        <x:v>Zones</x:v>
      </x:c>
      <x:c r="B14" s="37" t="n">
        <x:f>COUNTA('Zones'!$A$7:$A$14)</x:f>
        <x:v>8</x:v>
      </x:c>
      <x:c r="C14" s="37" t="n">
        <x:f>COUNTIFS('Zones'!$C$7:$C$14,"Défini")</x:f>
        <x:v>8</x:v>
      </x:c>
      <x:c r="D14" s="37" t="n">
        <x:f>COUNTIFS('Zones'!$C$7:$C$14,"Prototype")</x:f>
        <x:v>0</x:v>
      </x:c>
      <x:c r="E14" s="37" t="n">
        <x:f>COUNTIFS('Zones'!$C$7:$C$14,"Intégré")</x:f>
        <x:v>0</x:v>
      </x:c>
      <x:c r="F14" s="37" t="n">
        <x:f>COUNTIFS('Zones'!$C$7:$C$14,"Validé")</x:f>
        <x:v>0</x:v>
      </x:c>
      <x:c r="G14" s="37" t="n">
        <x:f>COUNTIFS('Zones'!$D$7:$D$14,"Établi")</x:f>
        <x:v>0</x:v>
      </x:c>
      <x:c r="H14" s="37" t="n">
        <x:f>COUNTIFS('Zones'!$D$7:$D$14,"À vérifier")</x:f>
        <x:v>0</x:v>
      </x:c>
      <x:c r="I14" s="37" t="n">
        <x:f>COUNTIFS('Zones'!$D$7:$D$14,"Extrapolation")</x:f>
        <x:v>8</x:v>
      </x:c>
      <x:c r="J14" s="37" t="n">
        <x:f>COUNTIFS('Zones'!$D$7:$D$14,"Coupé attesté")</x:f>
        <x:v>0</x:v>
      </x:c>
      <x:c r="K14" s="37" t="n">
        <x:f>COUNTIFS('Zones'!$D$7:$D$14,"Concept abandonné")</x:f>
        <x:v>0</x:v>
      </x:c>
      <x:c r="L14" s="37" t="n">
        <x:f>COUNTIFS('Zones'!$D$7:$D$14,"Allégation écartée")</x:f>
        <x:v>0</x:v>
      </x:c>
      <x:c r="M14" s="37" t="n">
        <x:f>COUNTIFS('Zones'!$E$7:$E$14,"P0")</x:f>
        <x:v>0</x:v>
      </x:c>
    </x:row>
    <x:row r="15" ht="22" customHeight="1">
      <x:c r="A15" s="2" t="str">
        <x:v>Liaisons</x:v>
      </x:c>
      <x:c r="B15" s="38" t="n">
        <x:f>COUNTA('Liaisons'!$A$7:$A$14)</x:f>
        <x:v>8</x:v>
      </x:c>
      <x:c r="C15" s="38" t="n">
        <x:f>COUNTIFS('Liaisons'!$C$7:$C$14,"Défini")</x:f>
        <x:v>8</x:v>
      </x:c>
      <x:c r="D15" s="38" t="n">
        <x:f>COUNTIFS('Liaisons'!$C$7:$C$14,"Prototype")</x:f>
        <x:v>0</x:v>
      </x:c>
      <x:c r="E15" s="38" t="n">
        <x:f>COUNTIFS('Liaisons'!$C$7:$C$14,"Intégré")</x:f>
        <x:v>0</x:v>
      </x:c>
      <x:c r="F15" s="38" t="n">
        <x:f>COUNTIFS('Liaisons'!$C$7:$C$14,"Validé")</x:f>
        <x:v>0</x:v>
      </x:c>
      <x:c r="G15" s="38" t="n">
        <x:f>COUNTIFS('Liaisons'!$D$7:$D$14,"Établi")</x:f>
        <x:v>0</x:v>
      </x:c>
      <x:c r="H15" s="38" t="n">
        <x:f>COUNTIFS('Liaisons'!$D$7:$D$14,"À vérifier")</x:f>
        <x:v>0</x:v>
      </x:c>
      <x:c r="I15" s="38" t="n">
        <x:f>COUNTIFS('Liaisons'!$D$7:$D$14,"Extrapolation")</x:f>
        <x:v>8</x:v>
      </x:c>
      <x:c r="J15" s="38" t="n">
        <x:f>COUNTIFS('Liaisons'!$D$7:$D$14,"Coupé attesté")</x:f>
        <x:v>0</x:v>
      </x:c>
      <x:c r="K15" s="38" t="n">
        <x:f>COUNTIFS('Liaisons'!$D$7:$D$14,"Concept abandonné")</x:f>
        <x:v>0</x:v>
      </x:c>
      <x:c r="L15" s="38" t="n">
        <x:f>COUNTIFS('Liaisons'!$D$7:$D$14,"Allégation écartée")</x:f>
        <x:v>0</x:v>
      </x:c>
      <x:c r="M15" s="38" t="n">
        <x:f>COUNTIFS('Liaisons'!$E$7:$E$14,"P0")</x:f>
        <x:v>0</x:v>
      </x:c>
    </x:row>
    <x:row r="16" ht="22" customHeight="1">
      <x:c r="A16" s="33" t="str">
        <x:v>Décors</x:v>
      </x:c>
      <x:c r="B16" s="37" t="n">
        <x:f>COUNTA('Decors'!$A$7:$A$14)</x:f>
        <x:v>8</x:v>
      </x:c>
      <x:c r="C16" s="37" t="n">
        <x:f>COUNTIFS('Decors'!$C$7:$C$14,"Défini")</x:f>
        <x:v>8</x:v>
      </x:c>
      <x:c r="D16" s="37" t="n">
        <x:f>COUNTIFS('Decors'!$C$7:$C$14,"Prototype")</x:f>
        <x:v>0</x:v>
      </x:c>
      <x:c r="E16" s="37" t="n">
        <x:f>COUNTIFS('Decors'!$C$7:$C$14,"Intégré")</x:f>
        <x:v>0</x:v>
      </x:c>
      <x:c r="F16" s="37" t="n">
        <x:f>COUNTIFS('Decors'!$C$7:$C$14,"Validé")</x:f>
        <x:v>0</x:v>
      </x:c>
      <x:c r="G16" s="37" t="n">
        <x:f>COUNTIFS('Decors'!$D$7:$D$14,"Établi")</x:f>
        <x:v>0</x:v>
      </x:c>
      <x:c r="H16" s="37" t="n">
        <x:f>COUNTIFS('Decors'!$D$7:$D$14,"À vérifier")</x:f>
        <x:v>0</x:v>
      </x:c>
      <x:c r="I16" s="37" t="n">
        <x:f>COUNTIFS('Decors'!$D$7:$D$14,"Extrapolation")</x:f>
        <x:v>8</x:v>
      </x:c>
      <x:c r="J16" s="37" t="n">
        <x:f>COUNTIFS('Decors'!$D$7:$D$14,"Coupé attesté")</x:f>
        <x:v>0</x:v>
      </x:c>
      <x:c r="K16" s="37" t="n">
        <x:f>COUNTIFS('Decors'!$D$7:$D$14,"Concept abandonné")</x:f>
        <x:v>0</x:v>
      </x:c>
      <x:c r="L16" s="37" t="n">
        <x:f>COUNTIFS('Decors'!$D$7:$D$14,"Allégation écartée")</x:f>
        <x:v>0</x:v>
      </x:c>
      <x:c r="M16" s="37" t="n">
        <x:f>COUNTIFS('Decors'!$E$7:$E$14,"P0")</x:f>
        <x:v>0</x:v>
      </x:c>
    </x:row>
    <x:row r="17" ht="22" customHeight="1">
      <x:c r="A17" s="2" t="str">
        <x:v>Props</x:v>
      </x:c>
      <x:c r="B17" s="38" t="n">
        <x:f>COUNTA('Props'!$A$7:$A$7)</x:f>
        <x:v>1</x:v>
      </x:c>
      <x:c r="C17" s="38" t="n">
        <x:f>COUNTIFS('Props'!$C$7:$C$7,"Défini")</x:f>
        <x:v>1</x:v>
      </x:c>
      <x:c r="D17" s="38" t="n">
        <x:f>COUNTIFS('Props'!$C$7:$C$7,"Prototype")</x:f>
        <x:v>0</x:v>
      </x:c>
      <x:c r="E17" s="38" t="n">
        <x:f>COUNTIFS('Props'!$C$7:$C$7,"Intégré")</x:f>
        <x:v>0</x:v>
      </x:c>
      <x:c r="F17" s="38" t="n">
        <x:f>COUNTIFS('Props'!$C$7:$C$7,"Validé")</x:f>
        <x:v>0</x:v>
      </x:c>
      <x:c r="G17" s="38" t="n">
        <x:f>COUNTIFS('Props'!$D$7:$D$7,"Établi")</x:f>
        <x:v>1</x:v>
      </x:c>
      <x:c r="H17" s="38" t="n">
        <x:f>COUNTIFS('Props'!$D$7:$D$7,"À vérifier")</x:f>
        <x:v>0</x:v>
      </x:c>
      <x:c r="I17" s="38" t="n">
        <x:f>COUNTIFS('Props'!$D$7:$D$7,"Extrapolation")</x:f>
        <x:v>0</x:v>
      </x:c>
      <x:c r="J17" s="38" t="n">
        <x:f>COUNTIFS('Props'!$D$7:$D$7,"Coupé attesté")</x:f>
        <x:v>0</x:v>
      </x:c>
      <x:c r="K17" s="38" t="n">
        <x:f>COUNTIFS('Props'!$D$7:$D$7,"Concept abandonné")</x:f>
        <x:v>0</x:v>
      </x:c>
      <x:c r="L17" s="38" t="n">
        <x:f>COUNTIFS('Props'!$D$7:$D$7,"Allégation écartée")</x:f>
        <x:v>0</x:v>
      </x:c>
      <x:c r="M17" s="38" t="n">
        <x:f>COUNTIFS('Props'!$E$7:$E$7,"P0")</x:f>
        <x:v>0</x:v>
      </x:c>
    </x:row>
    <x:row r="18" ht="22" customHeight="1">
      <x:c r="A18" s="33" t="str">
        <x:v>Ennemis et boss</x:v>
      </x:c>
      <x:c r="B18" s="37" t="n">
        <x:f>COUNTA('Ennemis_boss'!$A$7:$A$10)</x:f>
        <x:v>4</x:v>
      </x:c>
      <x:c r="C18" s="37" t="n">
        <x:f>COUNTIFS('Ennemis_boss'!$C$7:$C$10,"Défini")</x:f>
        <x:v>4</x:v>
      </x:c>
      <x:c r="D18" s="37" t="n">
        <x:f>COUNTIFS('Ennemis_boss'!$C$7:$C$10,"Prototype")</x:f>
        <x:v>0</x:v>
      </x:c>
      <x:c r="E18" s="37" t="n">
        <x:f>COUNTIFS('Ennemis_boss'!$C$7:$C$10,"Intégré")</x:f>
        <x:v>0</x:v>
      </x:c>
      <x:c r="F18" s="37" t="n">
        <x:f>COUNTIFS('Ennemis_boss'!$C$7:$C$10,"Validé")</x:f>
        <x:v>0</x:v>
      </x:c>
      <x:c r="G18" s="37" t="n">
        <x:f>COUNTIFS('Ennemis_boss'!$D$7:$D$10,"Établi")</x:f>
        <x:v>0</x:v>
      </x:c>
      <x:c r="H18" s="37" t="n">
        <x:f>COUNTIFS('Ennemis_boss'!$D$7:$D$10,"À vérifier")</x:f>
        <x:v>0</x:v>
      </x:c>
      <x:c r="I18" s="37" t="n">
        <x:f>COUNTIFS('Ennemis_boss'!$D$7:$D$10,"Extrapolation")</x:f>
        <x:v>4</x:v>
      </x:c>
      <x:c r="J18" s="37" t="n">
        <x:f>COUNTIFS('Ennemis_boss'!$D$7:$D$10,"Coupé attesté")</x:f>
        <x:v>0</x:v>
      </x:c>
      <x:c r="K18" s="37" t="n">
        <x:f>COUNTIFS('Ennemis_boss'!$D$7:$D$10,"Concept abandonné")</x:f>
        <x:v>0</x:v>
      </x:c>
      <x:c r="L18" s="37" t="n">
        <x:f>COUNTIFS('Ennemis_boss'!$D$7:$D$10,"Allégation écartée")</x:f>
        <x:v>0</x:v>
      </x:c>
      <x:c r="M18" s="37" t="n">
        <x:f>COUNTIFS('Ennemis_boss'!$E$7:$E$10,"P0")</x:f>
        <x:v>0</x:v>
      </x:c>
    </x:row>
    <x:row r="19" ht="22" customHeight="1">
      <x:c r="A19" s="2" t="str">
        <x:v>Missions</x:v>
      </x:c>
      <x:c r="B19" s="38" t="n">
        <x:f>COUNTA('Missions'!$A$7:$A$14)</x:f>
        <x:v>8</x:v>
      </x:c>
      <x:c r="C19" s="38" t="n">
        <x:f>COUNTIFS('Missions'!$C$7:$C$14,"Défini")</x:f>
        <x:v>8</x:v>
      </x:c>
      <x:c r="D19" s="38" t="n">
        <x:f>COUNTIFS('Missions'!$C$7:$C$14,"Prototype")</x:f>
        <x:v>0</x:v>
      </x:c>
      <x:c r="E19" s="38" t="n">
        <x:f>COUNTIFS('Missions'!$C$7:$C$14,"Intégré")</x:f>
        <x:v>0</x:v>
      </x:c>
      <x:c r="F19" s="38" t="n">
        <x:f>COUNTIFS('Missions'!$C$7:$C$14,"Validé")</x:f>
        <x:v>0</x:v>
      </x:c>
      <x:c r="G19" s="38" t="n">
        <x:f>COUNTIFS('Missions'!$D$7:$D$14,"Établi")</x:f>
        <x:v>0</x:v>
      </x:c>
      <x:c r="H19" s="38" t="n">
        <x:f>COUNTIFS('Missions'!$D$7:$D$14,"À vérifier")</x:f>
        <x:v>0</x:v>
      </x:c>
      <x:c r="I19" s="38" t="n">
        <x:f>COUNTIFS('Missions'!$D$7:$D$14,"Extrapolation")</x:f>
        <x:v>8</x:v>
      </x:c>
      <x:c r="J19" s="38" t="n">
        <x:f>COUNTIFS('Missions'!$D$7:$D$14,"Coupé attesté")</x:f>
        <x:v>0</x:v>
      </x:c>
      <x:c r="K19" s="38" t="n">
        <x:f>COUNTIFS('Missions'!$D$7:$D$14,"Concept abandonné")</x:f>
        <x:v>0</x:v>
      </x:c>
      <x:c r="L19" s="38" t="n">
        <x:f>COUNTIFS('Missions'!$D$7:$D$14,"Allégation écartée")</x:f>
        <x:v>0</x:v>
      </x:c>
      <x:c r="M19" s="38" t="n">
        <x:f>COUNTIFS('Missions'!$E$7:$E$14,"P0")</x:f>
        <x:v>8</x:v>
      </x:c>
    </x:row>
    <x:row r="20" ht="22" customHeight="1">
      <x:c r="A20" s="33" t="str">
        <x:v>Secondaires et DLC</x:v>
      </x:c>
      <x:c r="B20" s="37" t="n">
        <x:f>COUNTA('Secondaires_DLC'!$A$7:$A$14)</x:f>
        <x:v>8</x:v>
      </x:c>
      <x:c r="C20" s="37" t="n">
        <x:f>COUNTIFS('Secondaires_DLC'!$C$7:$C$14,"Défini")</x:f>
        <x:v>8</x:v>
      </x:c>
      <x:c r="D20" s="37" t="n">
        <x:f>COUNTIFS('Secondaires_DLC'!$C$7:$C$14,"Prototype")</x:f>
        <x:v>0</x:v>
      </x:c>
      <x:c r="E20" s="37" t="n">
        <x:f>COUNTIFS('Secondaires_DLC'!$C$7:$C$14,"Intégré")</x:f>
        <x:v>0</x:v>
      </x:c>
      <x:c r="F20" s="37" t="n">
        <x:f>COUNTIFS('Secondaires_DLC'!$C$7:$C$14,"Validé")</x:f>
        <x:v>0</x:v>
      </x:c>
      <x:c r="G20" s="37" t="n">
        <x:f>COUNTIFS('Secondaires_DLC'!$D$7:$D$14,"Établi")</x:f>
        <x:v>0</x:v>
      </x:c>
      <x:c r="H20" s="37" t="n">
        <x:f>COUNTIFS('Secondaires_DLC'!$D$7:$D$14,"À vérifier")</x:f>
        <x:v>0</x:v>
      </x:c>
      <x:c r="I20" s="37" t="n">
        <x:f>COUNTIFS('Secondaires_DLC'!$D$7:$D$14,"Extrapolation")</x:f>
        <x:v>8</x:v>
      </x:c>
      <x:c r="J20" s="37" t="n">
        <x:f>COUNTIFS('Secondaires_DLC'!$D$7:$D$14,"Coupé attesté")</x:f>
        <x:v>0</x:v>
      </x:c>
      <x:c r="K20" s="37" t="n">
        <x:f>COUNTIFS('Secondaires_DLC'!$D$7:$D$14,"Concept abandonné")</x:f>
        <x:v>0</x:v>
      </x:c>
      <x:c r="L20" s="37" t="n">
        <x:f>COUNTIFS('Secondaires_DLC'!$D$7:$D$14,"Allégation écartée")</x:f>
        <x:v>0</x:v>
      </x:c>
      <x:c r="M20" s="37" t="n">
        <x:f>COUNTIFS('Secondaires_DLC'!$E$7:$E$14,"P0")</x:f>
        <x:v>0</x:v>
      </x:c>
    </x:row>
    <x:row r="21" ht="22" customHeight="1">
      <x:c r="A21" s="2" t="str">
        <x:v>Choix et relations</x:v>
      </x:c>
      <x:c r="B21" s="38" t="n">
        <x:f>COUNTA('Choix_relations'!$A$7:$A$14)</x:f>
        <x:v>8</x:v>
      </x:c>
      <x:c r="C21" s="38" t="n">
        <x:f>COUNTIFS('Choix_relations'!$C$7:$C$14,"Défini")</x:f>
        <x:v>8</x:v>
      </x:c>
      <x:c r="D21" s="38" t="n">
        <x:f>COUNTIFS('Choix_relations'!$C$7:$C$14,"Prototype")</x:f>
        <x:v>0</x:v>
      </x:c>
      <x:c r="E21" s="38" t="n">
        <x:f>COUNTIFS('Choix_relations'!$C$7:$C$14,"Intégré")</x:f>
        <x:v>0</x:v>
      </x:c>
      <x:c r="F21" s="38" t="n">
        <x:f>COUNTIFS('Choix_relations'!$C$7:$C$14,"Validé")</x:f>
        <x:v>0</x:v>
      </x:c>
      <x:c r="G21" s="38" t="n">
        <x:f>COUNTIFS('Choix_relations'!$D$7:$D$14,"Établi")</x:f>
        <x:v>0</x:v>
      </x:c>
      <x:c r="H21" s="38" t="n">
        <x:f>COUNTIFS('Choix_relations'!$D$7:$D$14,"À vérifier")</x:f>
        <x:v>0</x:v>
      </x:c>
      <x:c r="I21" s="38" t="n">
        <x:f>COUNTIFS('Choix_relations'!$D$7:$D$14,"Extrapolation")</x:f>
        <x:v>8</x:v>
      </x:c>
      <x:c r="J21" s="38" t="n">
        <x:f>COUNTIFS('Choix_relations'!$D$7:$D$14,"Coupé attesté")</x:f>
        <x:v>0</x:v>
      </x:c>
      <x:c r="K21" s="38" t="n">
        <x:f>COUNTIFS('Choix_relations'!$D$7:$D$14,"Concept abandonné")</x:f>
        <x:v>0</x:v>
      </x:c>
      <x:c r="L21" s="38" t="n">
        <x:f>COUNTIFS('Choix_relations'!$D$7:$D$14,"Allégation écartée")</x:f>
        <x:v>0</x:v>
      </x:c>
      <x:c r="M21" s="38" t="n">
        <x:f>COUNTIFS('Choix_relations'!$E$7:$E$14,"P0")</x:f>
        <x:v>0</x:v>
      </x:c>
    </x:row>
    <x:row r="22" ht="22" customHeight="1">
      <x:c r="A22" s="33" t="str">
        <x:v>Dialogues</x:v>
      </x:c>
      <x:c r="B22" s="37" t="n">
        <x:f>COUNTA('Dialogues'!$A$7:$A$16)</x:f>
        <x:v>10</x:v>
      </x:c>
      <x:c r="C22" s="37" t="n">
        <x:f>COUNTIFS('Dialogues'!$C$7:$C$16,"Défini")</x:f>
        <x:v>10</x:v>
      </x:c>
      <x:c r="D22" s="37" t="n">
        <x:f>COUNTIFS('Dialogues'!$C$7:$C$16,"Prototype")</x:f>
        <x:v>0</x:v>
      </x:c>
      <x:c r="E22" s="37" t="n">
        <x:f>COUNTIFS('Dialogues'!$C$7:$C$16,"Intégré")</x:f>
        <x:v>0</x:v>
      </x:c>
      <x:c r="F22" s="37" t="n">
        <x:f>COUNTIFS('Dialogues'!$C$7:$C$16,"Validé")</x:f>
        <x:v>0</x:v>
      </x:c>
      <x:c r="G22" s="37" t="n">
        <x:f>COUNTIFS('Dialogues'!$D$7:$D$16,"Établi")</x:f>
        <x:v>0</x:v>
      </x:c>
      <x:c r="H22" s="37" t="n">
        <x:f>COUNTIFS('Dialogues'!$D$7:$D$16,"À vérifier")</x:f>
        <x:v>0</x:v>
      </x:c>
      <x:c r="I22" s="37" t="n">
        <x:f>COUNTIFS('Dialogues'!$D$7:$D$16,"Extrapolation")</x:f>
        <x:v>10</x:v>
      </x:c>
      <x:c r="J22" s="37" t="n">
        <x:f>COUNTIFS('Dialogues'!$D$7:$D$16,"Coupé attesté")</x:f>
        <x:v>0</x:v>
      </x:c>
      <x:c r="K22" s="37" t="n">
        <x:f>COUNTIFS('Dialogues'!$D$7:$D$16,"Concept abandonné")</x:f>
        <x:v>0</x:v>
      </x:c>
      <x:c r="L22" s="37" t="n">
        <x:f>COUNTIFS('Dialogues'!$D$7:$D$16,"Allégation écartée")</x:f>
        <x:v>0</x:v>
      </x:c>
      <x:c r="M22" s="37" t="n">
        <x:f>COUNTIFS('Dialogues'!$E$7:$E$16,"P0")</x:f>
        <x:v>0</x:v>
      </x:c>
    </x:row>
    <x:row r="23" ht="22" customHeight="1">
      <x:c r="A23" s="2" t="str">
        <x:v>Cinématiques</x:v>
      </x:c>
      <x:c r="B23" s="38" t="n">
        <x:f>COUNTA('Cinematiques'!$A$7:$A$14)</x:f>
        <x:v>8</x:v>
      </x:c>
      <x:c r="C23" s="38" t="n">
        <x:f>COUNTIFS('Cinematiques'!$C$7:$C$14,"Défini")</x:f>
        <x:v>8</x:v>
      </x:c>
      <x:c r="D23" s="38" t="n">
        <x:f>COUNTIFS('Cinematiques'!$C$7:$C$14,"Prototype")</x:f>
        <x:v>0</x:v>
      </x:c>
      <x:c r="E23" s="38" t="n">
        <x:f>COUNTIFS('Cinematiques'!$C$7:$C$14,"Intégré")</x:f>
        <x:v>0</x:v>
      </x:c>
      <x:c r="F23" s="38" t="n">
        <x:f>COUNTIFS('Cinematiques'!$C$7:$C$14,"Validé")</x:f>
        <x:v>0</x:v>
      </x:c>
      <x:c r="G23" s="38" t="n">
        <x:f>COUNTIFS('Cinematiques'!$D$7:$D$14,"Établi")</x:f>
        <x:v>0</x:v>
      </x:c>
      <x:c r="H23" s="38" t="n">
        <x:f>COUNTIFS('Cinematiques'!$D$7:$D$14,"À vérifier")</x:f>
        <x:v>0</x:v>
      </x:c>
      <x:c r="I23" s="38" t="n">
        <x:f>COUNTIFS('Cinematiques'!$D$7:$D$14,"Extrapolation")</x:f>
        <x:v>8</x:v>
      </x:c>
      <x:c r="J23" s="38" t="n">
        <x:f>COUNTIFS('Cinematiques'!$D$7:$D$14,"Coupé attesté")</x:f>
        <x:v>0</x:v>
      </x:c>
      <x:c r="K23" s="38" t="n">
        <x:f>COUNTIFS('Cinematiques'!$D$7:$D$14,"Concept abandonné")</x:f>
        <x:v>0</x:v>
      </x:c>
      <x:c r="L23" s="38" t="n">
        <x:f>COUNTIFS('Cinematiques'!$D$7:$D$14,"Allégation écartée")</x:f>
        <x:v>0</x:v>
      </x:c>
      <x:c r="M23" s="38" t="n">
        <x:f>COUNTIFS('Cinematiques'!$E$7:$E$14,"P0")</x:f>
        <x:v>0</x:v>
      </x:c>
    </x:row>
    <x:row r="24" ht="22" customHeight="1">
      <x:c r="A24" s="33" t="str">
        <x:v>Armes</x:v>
      </x:c>
      <x:c r="B24" s="37" t="n">
        <x:f>COUNTA('Armes'!$A$7:$A$7)</x:f>
        <x:v>1</x:v>
      </x:c>
      <x:c r="C24" s="37" t="n">
        <x:f>COUNTIFS('Armes'!$C$7:$C$7,"Défini")</x:f>
        <x:v>1</x:v>
      </x:c>
      <x:c r="D24" s="37" t="n">
        <x:f>COUNTIFS('Armes'!$C$7:$C$7,"Prototype")</x:f>
        <x:v>0</x:v>
      </x:c>
      <x:c r="E24" s="37" t="n">
        <x:f>COUNTIFS('Armes'!$C$7:$C$7,"Intégré")</x:f>
        <x:v>0</x:v>
      </x:c>
      <x:c r="F24" s="37" t="n">
        <x:f>COUNTIFS('Armes'!$C$7:$C$7,"Validé")</x:f>
        <x:v>0</x:v>
      </x:c>
      <x:c r="G24" s="37" t="n">
        <x:f>COUNTIFS('Armes'!$D$7:$D$7,"Établi")</x:f>
        <x:v>1</x:v>
      </x:c>
      <x:c r="H24" s="37" t="n">
        <x:f>COUNTIFS('Armes'!$D$7:$D$7,"À vérifier")</x:f>
        <x:v>0</x:v>
      </x:c>
      <x:c r="I24" s="37" t="n">
        <x:f>COUNTIFS('Armes'!$D$7:$D$7,"Extrapolation")</x:f>
        <x:v>0</x:v>
      </x:c>
      <x:c r="J24" s="37" t="n">
        <x:f>COUNTIFS('Armes'!$D$7:$D$7,"Coupé attesté")</x:f>
        <x:v>0</x:v>
      </x:c>
      <x:c r="K24" s="37" t="n">
        <x:f>COUNTIFS('Armes'!$D$7:$D$7,"Concept abandonné")</x:f>
        <x:v>0</x:v>
      </x:c>
      <x:c r="L24" s="37" t="n">
        <x:f>COUNTIFS('Armes'!$D$7:$D$7,"Allégation écartée")</x:f>
        <x:v>0</x:v>
      </x:c>
      <x:c r="M24" s="37" t="n">
        <x:f>COUNTIFS('Armes'!$E$7:$E$7,"P0")</x:f>
        <x:v>0</x:v>
      </x:c>
    </x:row>
    <x:row r="25" ht="22" customHeight="1">
      <x:c r="A25" s="2" t="str">
        <x:v>Armures et équipement</x:v>
      </x:c>
      <x:c r="B25" s="38" t="n">
        <x:f>COUNTA('Armures_equipement'!$A$7:$A$8)</x:f>
        <x:v>2</x:v>
      </x:c>
      <x:c r="C25" s="38" t="n">
        <x:f>COUNTIFS('Armures_equipement'!$C$7:$C$8,"Défini")</x:f>
        <x:v>2</x:v>
      </x:c>
      <x:c r="D25" s="38" t="n">
        <x:f>COUNTIFS('Armures_equipement'!$C$7:$C$8,"Prototype")</x:f>
        <x:v>0</x:v>
      </x:c>
      <x:c r="E25" s="38" t="n">
        <x:f>COUNTIFS('Armures_equipement'!$C$7:$C$8,"Intégré")</x:f>
        <x:v>0</x:v>
      </x:c>
      <x:c r="F25" s="38" t="n">
        <x:f>COUNTIFS('Armures_equipement'!$C$7:$C$8,"Validé")</x:f>
        <x:v>0</x:v>
      </x:c>
      <x:c r="G25" s="38" t="n">
        <x:f>COUNTIFS('Armures_equipement'!$D$7:$D$8,"Établi")</x:f>
        <x:v>2</x:v>
      </x:c>
      <x:c r="H25" s="38" t="n">
        <x:f>COUNTIFS('Armures_equipement'!$D$7:$D$8,"À vérifier")</x:f>
        <x:v>0</x:v>
      </x:c>
      <x:c r="I25" s="38" t="n">
        <x:f>COUNTIFS('Armures_equipement'!$D$7:$D$8,"Extrapolation")</x:f>
        <x:v>0</x:v>
      </x:c>
      <x:c r="J25" s="38" t="n">
        <x:f>COUNTIFS('Armures_equipement'!$D$7:$D$8,"Coupé attesté")</x:f>
        <x:v>0</x:v>
      </x:c>
      <x:c r="K25" s="38" t="n">
        <x:f>COUNTIFS('Armures_equipement'!$D$7:$D$8,"Concept abandonné")</x:f>
        <x:v>0</x:v>
      </x:c>
      <x:c r="L25" s="38" t="n">
        <x:f>COUNTIFS('Armures_equipement'!$D$7:$D$8,"Allégation écartée")</x:f>
        <x:v>0</x:v>
      </x:c>
      <x:c r="M25" s="38" t="n">
        <x:f>COUNTIFS('Armures_equipement'!$E$7:$E$8,"P0")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1</x:v>
      </x:c>
      <x:c r="H26" s="37" t="n">
        <x:f>COUNTIFS('Pouvoirs'!$D$7:$D$7,"À vérifier")</x:f>
        <x:v>0</x:v>
      </x:c>
      <x:c r="I26" s="37" t="n">
        <x:f>COUNTIFS('Pouvoirs'!$D$7:$D$7,"Extrapolation")</x:f>
        <x:v>0</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COUNTA('Movesets_allies'!$A$7:$A$12)</x:f>
        <x:v>6</x:v>
      </x:c>
      <x:c r="C27" s="38" t="n">
        <x:f>COUNTIFS('Movesets_allies'!$C$7:$C$12,"Défini")</x:f>
        <x:v>6</x:v>
      </x:c>
      <x:c r="D27" s="38" t="n">
        <x:f>COUNTIFS('Movesets_allies'!$C$7:$C$12,"Prototype")</x:f>
        <x:v>0</x:v>
      </x:c>
      <x:c r="E27" s="38" t="n">
        <x:f>COUNTIFS('Movesets_allies'!$C$7:$C$12,"Intégré")</x:f>
        <x:v>0</x:v>
      </x:c>
      <x:c r="F27" s="38" t="n">
        <x:f>COUNTIFS('Movesets_allies'!$C$7:$C$12,"Validé")</x:f>
        <x:v>0</x:v>
      </x:c>
      <x:c r="G27" s="38" t="n">
        <x:f>COUNTIFS('Movesets_allies'!$D$7:$D$12,"Établi")</x:f>
        <x:v>0</x:v>
      </x:c>
      <x:c r="H27" s="38" t="n">
        <x:f>COUNTIFS('Movesets_allies'!$D$7:$D$12,"À vérifier")</x:f>
        <x:v>0</x:v>
      </x:c>
      <x:c r="I27" s="38" t="n">
        <x:f>COUNTIFS('Movesets_allies'!$D$7:$D$12,"Extrapolation")</x:f>
        <x:v>6</x:v>
      </x:c>
      <x:c r="J27" s="38" t="n">
        <x:f>COUNTIFS('Movesets_allies'!$D$7:$D$12,"Coupé attesté")</x:f>
        <x:v>0</x:v>
      </x:c>
      <x:c r="K27" s="38" t="n">
        <x:f>COUNTIFS('Movesets_allies'!$D$7:$D$12,"Concept abandonné")</x:f>
        <x:v>0</x:v>
      </x:c>
      <x:c r="L27" s="38" t="n">
        <x:f>COUNTIFS('Movesets_allies'!$D$7:$D$12,"Allégation écartée")</x:f>
        <x:v>0</x:v>
      </x:c>
      <x:c r="M27" s="38" t="n">
        <x:f>COUNTIFS('Movesets_allies'!$E$7:$E$12,"P0")</x:f>
        <x:v>0</x:v>
      </x:c>
    </x:row>
    <x:row r="28" ht="22" customHeight="1">
      <x:c r="A28" s="33" t="str">
        <x:v>Movesets ennemis</x:v>
      </x:c>
      <x:c r="B28" s="37" t="n">
        <x:f>COUNTA('Movesets_ennemis'!$A$7:$A$10)</x:f>
        <x:v>4</x:v>
      </x:c>
      <x:c r="C28" s="37" t="n">
        <x:f>COUNTIFS('Movesets_ennemis'!$C$7:$C$10,"Défini")</x:f>
        <x:v>4</x:v>
      </x:c>
      <x:c r="D28" s="37" t="n">
        <x:f>COUNTIFS('Movesets_ennemis'!$C$7:$C$10,"Prototype")</x:f>
        <x:v>0</x:v>
      </x:c>
      <x:c r="E28" s="37" t="n">
        <x:f>COUNTIFS('Movesets_ennemis'!$C$7:$C$10,"Intégré")</x:f>
        <x:v>0</x:v>
      </x:c>
      <x:c r="F28" s="37" t="n">
        <x:f>COUNTIFS('Movesets_ennemis'!$C$7:$C$10,"Validé")</x:f>
        <x:v>0</x:v>
      </x:c>
      <x:c r="G28" s="37" t="n">
        <x:f>COUNTIFS('Movesets_ennemis'!$D$7:$D$10,"Établi")</x:f>
        <x:v>0</x:v>
      </x:c>
      <x:c r="H28" s="37" t="n">
        <x:f>COUNTIFS('Movesets_ennemis'!$D$7:$D$10,"À vérifier")</x:f>
        <x:v>0</x:v>
      </x:c>
      <x:c r="I28" s="37" t="n">
        <x:f>COUNTIFS('Movesets_ennemis'!$D$7:$D$10,"Extrapolation")</x:f>
        <x:v>4</x:v>
      </x:c>
      <x:c r="J28" s="37" t="n">
        <x:f>COUNTIFS('Movesets_ennemis'!$D$7:$D$10,"Coupé attesté")</x:f>
        <x:v>0</x:v>
      </x:c>
      <x:c r="K28" s="37" t="n">
        <x:f>COUNTIFS('Movesets_ennemis'!$D$7:$D$10,"Concept abandonné")</x:f>
        <x:v>0</x:v>
      </x:c>
      <x:c r="L28" s="37" t="n">
        <x:f>COUNTIFS('Movesets_ennemis'!$D$7:$D$10,"Allégation écartée")</x:f>
        <x:v>0</x:v>
      </x:c>
      <x:c r="M28" s="37" t="n">
        <x:f>COUNTIFS('Movesets_ennemis'!$E$7:$E$10,"P0")</x:f>
        <x:v>0</x:v>
      </x:c>
    </x:row>
    <x:row r="29" ht="22" customHeight="1">
      <x:c r="A29" s="2" t="str">
        <x:v>Animations</x:v>
      </x:c>
      <x:c r="B29" s="38" t="n">
        <x:f>COUNTA('Animations'!$A$7:$A$16)</x:f>
        <x:v>10</x:v>
      </x:c>
      <x:c r="C29" s="38" t="n">
        <x:f>COUNTIFS('Animations'!$C$7:$C$16,"Défini")</x:f>
        <x:v>10</x:v>
      </x:c>
      <x:c r="D29" s="38" t="n">
        <x:f>COUNTIFS('Animations'!$C$7:$C$16,"Prototype")</x:f>
        <x:v>0</x:v>
      </x:c>
      <x:c r="E29" s="38" t="n">
        <x:f>COUNTIFS('Animations'!$C$7:$C$16,"Intégré")</x:f>
        <x:v>0</x:v>
      </x:c>
      <x:c r="F29" s="38" t="n">
        <x:f>COUNTIFS('Animations'!$C$7:$C$16,"Validé")</x:f>
        <x:v>0</x:v>
      </x:c>
      <x:c r="G29" s="38" t="n">
        <x:f>COUNTIFS('Animations'!$D$7:$D$16,"Établi")</x:f>
        <x:v>0</x:v>
      </x:c>
      <x:c r="H29" s="38" t="n">
        <x:f>COUNTIFS('Animations'!$D$7:$D$16,"À vérifier")</x:f>
        <x:v>0</x:v>
      </x:c>
      <x:c r="I29" s="38" t="n">
        <x:f>COUNTIFS('Animations'!$D$7:$D$16,"Extrapolation")</x:f>
        <x:v>10</x:v>
      </x:c>
      <x:c r="J29" s="38" t="n">
        <x:f>COUNTIFS('Animations'!$D$7:$D$16,"Coupé attesté")</x:f>
        <x:v>0</x:v>
      </x:c>
      <x:c r="K29" s="38" t="n">
        <x:f>COUNTIFS('Animations'!$D$7:$D$16,"Concept abandonné")</x:f>
        <x:v>0</x:v>
      </x:c>
      <x:c r="L29" s="38" t="n">
        <x:f>COUNTIFS('Animations'!$D$7:$D$16,"Allégation écartée")</x:f>
        <x:v>0</x:v>
      </x:c>
      <x:c r="M29" s="38" t="n">
        <x:f>COUNTIFS('Animations'!$E$7:$E$16,"P0")</x:f>
        <x:v>0</x:v>
      </x:c>
    </x:row>
    <x:row r="30" ht="22" customHeight="1">
      <x:c r="A30" s="33" t="str">
        <x:v>Sprites</x:v>
      </x:c>
      <x:c r="B30" s="37" t="n">
        <x:f>COUNTA('Sprites'!$A$7:$A$16)</x:f>
        <x:v>10</x:v>
      </x:c>
      <x:c r="C30" s="37" t="n">
        <x:f>COUNTIFS('Sprites'!$C$7:$C$16,"Défini")</x:f>
        <x:v>10</x:v>
      </x:c>
      <x:c r="D30" s="37" t="n">
        <x:f>COUNTIFS('Sprites'!$C$7:$C$16,"Prototype")</x:f>
        <x:v>0</x:v>
      </x:c>
      <x:c r="E30" s="37" t="n">
        <x:f>COUNTIFS('Sprites'!$C$7:$C$16,"Intégré")</x:f>
        <x:v>0</x:v>
      </x:c>
      <x:c r="F30" s="37" t="n">
        <x:f>COUNTIFS('Sprites'!$C$7:$C$16,"Validé")</x:f>
        <x:v>0</x:v>
      </x:c>
      <x:c r="G30" s="37" t="n">
        <x:f>COUNTIFS('Sprites'!$D$7:$D$16,"Établi")</x:f>
        <x:v>0</x:v>
      </x:c>
      <x:c r="H30" s="37" t="n">
        <x:f>COUNTIFS('Sprites'!$D$7:$D$16,"À vérifier")</x:f>
        <x:v>0</x:v>
      </x:c>
      <x:c r="I30" s="37" t="n">
        <x:f>COUNTIFS('Sprites'!$D$7:$D$16,"Extrapolation")</x:f>
        <x:v>10</x:v>
      </x:c>
      <x:c r="J30" s="37" t="n">
        <x:f>COUNTIFS('Sprites'!$D$7:$D$16,"Coupé attesté")</x:f>
        <x:v>0</x:v>
      </x:c>
      <x:c r="K30" s="37" t="n">
        <x:f>COUNTIFS('Sprites'!$D$7:$D$16,"Concept abandonné")</x:f>
        <x:v>0</x:v>
      </x:c>
      <x:c r="L30" s="37" t="n">
        <x:f>COUNTIFS('Sprites'!$D$7:$D$16,"Allégation écartée")</x:f>
        <x:v>0</x:v>
      </x:c>
      <x:c r="M30" s="37" t="n">
        <x:f>COUNTIFS('Sprites'!$E$7:$E$16,"P0")</x:f>
        <x:v>0</x:v>
      </x:c>
    </x:row>
    <x:row r="31" ht="22" customHeight="1">
      <x:c r="A31" s="2" t="str">
        <x:v>VFX</x:v>
      </x:c>
      <x:c r="B31" s="38" t="n">
        <x:f>COUNTA('VFX'!$A$7:$A$10)</x:f>
        <x:v>4</x:v>
      </x:c>
      <x:c r="C31" s="38" t="n">
        <x:f>COUNTIFS('VFX'!$C$7:$C$10,"Défini")</x:f>
        <x:v>4</x:v>
      </x:c>
      <x:c r="D31" s="38" t="n">
        <x:f>COUNTIFS('VFX'!$C$7:$C$10,"Prototype")</x:f>
        <x:v>0</x:v>
      </x:c>
      <x:c r="E31" s="38" t="n">
        <x:f>COUNTIFS('VFX'!$C$7:$C$10,"Intégré")</x:f>
        <x:v>0</x:v>
      </x:c>
      <x:c r="F31" s="38" t="n">
        <x:f>COUNTIFS('VFX'!$C$7:$C$10,"Validé")</x:f>
        <x:v>0</x:v>
      </x:c>
      <x:c r="G31" s="38" t="n">
        <x:f>COUNTIFS('VFX'!$D$7:$D$10,"Établi")</x:f>
        <x:v>0</x:v>
      </x:c>
      <x:c r="H31" s="38" t="n">
        <x:f>COUNTIFS('VFX'!$D$7:$D$10,"À vérifier")</x:f>
        <x:v>0</x:v>
      </x:c>
      <x:c r="I31" s="38" t="n">
        <x:f>COUNTIFS('VFX'!$D$7:$D$10,"Extrapolation")</x:f>
        <x:v>4</x:v>
      </x:c>
      <x:c r="J31" s="38" t="n">
        <x:f>COUNTIFS('VFX'!$D$7:$D$10,"Coupé attesté")</x:f>
        <x:v>0</x:v>
      </x:c>
      <x:c r="K31" s="38" t="n">
        <x:f>COUNTIFS('VFX'!$D$7:$D$10,"Concept abandonné")</x:f>
        <x:v>0</x:v>
      </x:c>
      <x:c r="L31" s="38" t="n">
        <x:f>COUNTIFS('VFX'!$D$7:$D$10,"Allégation écartée")</x:f>
        <x:v>0</x:v>
      </x:c>
      <x:c r="M31" s="38" t="n">
        <x:f>COUNTIFS('VFX'!$E$7:$E$10,"P0")</x:f>
        <x:v>0</x:v>
      </x:c>
    </x:row>
    <x:row r="32" ht="22" customHeight="1">
      <x:c r="A32" s="33" t="str">
        <x:v>Audio</x:v>
      </x:c>
      <x:c r="B32" s="37" t="n">
        <x:f>COUNTA('Audio'!$A$7:$A$11)</x:f>
        <x:v>5</x:v>
      </x:c>
      <x:c r="C32" s="37" t="n">
        <x:f>COUNTIFS('Audio'!$C$7:$C$11,"Défini")</x:f>
        <x:v>5</x:v>
      </x:c>
      <x:c r="D32" s="37" t="n">
        <x:f>COUNTIFS('Audio'!$C$7:$C$11,"Prototype")</x:f>
        <x:v>0</x:v>
      </x:c>
      <x:c r="E32" s="37" t="n">
        <x:f>COUNTIFS('Audio'!$C$7:$C$11,"Intégré")</x:f>
        <x:v>0</x:v>
      </x:c>
      <x:c r="F32" s="37" t="n">
        <x:f>COUNTIFS('Audio'!$C$7:$C$11,"Validé")</x:f>
        <x:v>0</x:v>
      </x:c>
      <x:c r="G32" s="37" t="n">
        <x:f>COUNTIFS('Audio'!$D$7:$D$11,"Établi")</x:f>
        <x:v>0</x:v>
      </x:c>
      <x:c r="H32" s="37" t="n">
        <x:f>COUNTIFS('Audio'!$D$7:$D$11,"À vérifier")</x:f>
        <x:v>0</x:v>
      </x:c>
      <x:c r="I32" s="37" t="n">
        <x:f>COUNTIFS('Audio'!$D$7:$D$11,"Extrapolation")</x:f>
        <x:v>5</x:v>
      </x:c>
      <x:c r="J32" s="37" t="n">
        <x:f>COUNTIFS('Audio'!$D$7:$D$11,"Coupé attesté")</x:f>
        <x:v>0</x:v>
      </x:c>
      <x:c r="K32" s="37" t="n">
        <x:f>COUNTIFS('Audio'!$D$7:$D$11,"Concept abandonné")</x:f>
        <x:v>0</x:v>
      </x:c>
      <x:c r="L32" s="37" t="n">
        <x:f>COUNTIFS('Audio'!$D$7:$D$11,"Allégation écartée")</x:f>
        <x:v>0</x:v>
      </x:c>
      <x:c r="M32" s="37" t="n">
        <x:f>COUNTIFS('Audio'!$E$7:$E$11,"P0")</x:f>
        <x:v>0</x:v>
      </x:c>
    </x:row>
    <x:row r="33" ht="22" customHeight="1">
      <x:c r="A33" s="2" t="str">
        <x:v>Systèmes et UI</x:v>
      </x:c>
      <x:c r="B33" s="38" t="n">
        <x:f>COUNTA('UI_systemes'!$A$7:$A$14)</x:f>
        <x:v>8</x:v>
      </x:c>
      <x:c r="C33" s="38" t="n">
        <x:f>COUNTIFS('UI_systemes'!$C$7:$C$14,"Défini")</x:f>
        <x:v>8</x:v>
      </x:c>
      <x:c r="D33" s="38" t="n">
        <x:f>COUNTIFS('UI_systemes'!$C$7:$C$14,"Prototype")</x:f>
        <x:v>0</x:v>
      </x:c>
      <x:c r="E33" s="38" t="n">
        <x:f>COUNTIFS('UI_systemes'!$C$7:$C$14,"Intégré")</x:f>
        <x:v>0</x:v>
      </x:c>
      <x:c r="F33" s="38" t="n">
        <x:f>COUNTIFS('UI_systemes'!$C$7:$C$14,"Validé")</x:f>
        <x:v>0</x:v>
      </x:c>
      <x:c r="G33" s="38" t="n">
        <x:f>COUNTIFS('UI_systemes'!$D$7:$D$14,"Établi")</x:f>
        <x:v>0</x:v>
      </x:c>
      <x:c r="H33" s="38" t="n">
        <x:f>COUNTIFS('UI_systemes'!$D$7:$D$14,"À vérifier")</x:f>
        <x:v>0</x:v>
      </x:c>
      <x:c r="I33" s="38" t="n">
        <x:f>COUNTIFS('UI_systemes'!$D$7:$D$14,"Extrapolation")</x:f>
        <x:v>8</x:v>
      </x:c>
      <x:c r="J33" s="38" t="n">
        <x:f>COUNTIFS('UI_systemes'!$D$7:$D$14,"Coupé attesté")</x:f>
        <x:v>0</x:v>
      </x:c>
      <x:c r="K33" s="38" t="n">
        <x:f>COUNTIFS('UI_systemes'!$D$7:$D$14,"Concept abandonné")</x:f>
        <x:v>0</x:v>
      </x:c>
      <x:c r="L33" s="38" t="n">
        <x:f>COUNTIFS('UI_systemes'!$D$7:$D$14,"Allégation écartée")</x:f>
        <x:v>0</x:v>
      </x:c>
      <x:c r="M33" s="38" t="n">
        <x:f>COUNTIFS('UI_systemes'!$E$7:$E$14,"P0")</x:f>
        <x:v>2</x:v>
      </x:c>
    </x:row>
    <x:row r="34" ht="22" customHeight="1">
      <x:c r="A34" s="33" t="str">
        <x:v>QA</x:v>
      </x:c>
      <x:c r="B34" s="37" t="n">
        <x:f>COUNTA('QA'!$A$7:$A$18)</x:f>
        <x:v>12</x:v>
      </x:c>
      <x:c r="C34" s="37" t="n">
        <x:f>COUNTIFS('QA'!$C$7:$C$18,"Défini")</x:f>
        <x:v>12</x:v>
      </x:c>
      <x:c r="D34" s="37" t="n">
        <x:f>COUNTIFS('QA'!$C$7:$C$18,"Prototype")</x:f>
        <x:v>0</x:v>
      </x:c>
      <x:c r="E34" s="37" t="n">
        <x:f>COUNTIFS('QA'!$C$7:$C$18,"Intégré")</x:f>
        <x:v>0</x:v>
      </x:c>
      <x:c r="F34" s="37" t="n">
        <x:f>COUNTIFS('QA'!$C$7:$C$18,"Validé")</x:f>
        <x:v>0</x:v>
      </x:c>
      <x:c r="G34" s="37" t="n">
        <x:f>COUNTIFS('QA'!$D$7:$D$18,"Établi")</x:f>
        <x:v>0</x:v>
      </x:c>
      <x:c r="H34" s="37" t="n">
        <x:f>COUNTIFS('QA'!$D$7:$D$18,"À vérifier")</x:f>
        <x:v>0</x:v>
      </x:c>
      <x:c r="I34" s="37" t="n">
        <x:f>COUNTIFS('QA'!$D$7:$D$18,"Extrapolation")</x:f>
        <x:v>12</x:v>
      </x:c>
      <x:c r="J34" s="37" t="n">
        <x:f>COUNTIFS('QA'!$D$7:$D$18,"Coupé attesté")</x:f>
        <x:v>0</x:v>
      </x:c>
      <x:c r="K34" s="37" t="n">
        <x:f>COUNTIFS('QA'!$D$7:$D$18,"Concept abandonné")</x:f>
        <x:v>0</x:v>
      </x:c>
      <x:c r="L34" s="37" t="n">
        <x:f>COUNTIFS('QA'!$D$7:$D$18,"Allégation écartée")</x:f>
        <x:v>0</x:v>
      </x:c>
      <x:c r="M34" s="37" t="n">
        <x:f>COUNTIFS('QA'!$E$7:$E$18,"P0")</x:f>
        <x:v>3</x:v>
      </x:c>
    </x:row>
    <x:row r="35" ht="22" customHeight="1">
      <x:c r="A35" s="2" t="str">
        <x:v>Continuité</x:v>
      </x:c>
      <x:c r="B35" s="38" t="n">
        <x:f>COUNTA('Continuite'!$A$7:$A$14)</x:f>
        <x:v>8</x:v>
      </x:c>
      <x:c r="C35" s="38" t="n">
        <x:f>COUNTIFS('Continuite'!$C$7:$C$14,"Défini")</x:f>
        <x:v>8</x:v>
      </x:c>
      <x:c r="D35" s="38" t="n">
        <x:f>COUNTIFS('Continuite'!$C$7:$C$14,"Prototype")</x:f>
        <x:v>0</x:v>
      </x:c>
      <x:c r="E35" s="38" t="n">
        <x:f>COUNTIFS('Continuite'!$C$7:$C$14,"Intégré")</x:f>
        <x:v>0</x:v>
      </x:c>
      <x:c r="F35" s="38" t="n">
        <x:f>COUNTIFS('Continuite'!$C$7:$C$14,"Validé")</x:f>
        <x:v>0</x:v>
      </x:c>
      <x:c r="G35" s="38" t="n">
        <x:f>COUNTIFS('Continuite'!$D$7:$D$14,"Établi")</x:f>
        <x:v>4</x:v>
      </x:c>
      <x:c r="H35" s="38" t="n">
        <x:f>COUNTIFS('Continuite'!$D$7:$D$14,"À vérifier")</x:f>
        <x:v>1</x:v>
      </x:c>
      <x:c r="I35" s="38" t="n">
        <x:f>COUNTIFS('Continuite'!$D$7:$D$14,"Extrapolation")</x:f>
        <x:v>3</x:v>
      </x:c>
      <x:c r="J35" s="38" t="n">
        <x:f>COUNTIFS('Continuite'!$D$7:$D$14,"Coupé attesté")</x:f>
        <x:v>0</x:v>
      </x:c>
      <x:c r="K35" s="38" t="n">
        <x:f>COUNTIFS('Continuite'!$D$7:$D$14,"Concept abandonné")</x:f>
        <x:v>0</x:v>
      </x:c>
      <x:c r="L35" s="38" t="n">
        <x:f>COUNTIFS('Continuite'!$D$7:$D$14,"Allégation écartée")</x:f>
        <x:v>0</x:v>
      </x:c>
      <x:c r="M35" s="38" t="n">
        <x:f>COUNTIFS('Continuite'!$E$7:$E$14,"P0")</x:f>
        <x:v>8</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161</x:v>
      </x:c>
      <x:c r="C37" s="39" t="n">
        <x:f>SUM(C10:C35)</x:f>
        <x:v>157</x:v>
      </x:c>
      <x:c r="D37" s="39" t="n">
        <x:f>SUM(D10:D35)</x:f>
        <x:v>4</x:v>
      </x:c>
      <x:c r="E37" s="39" t="n">
        <x:f>SUM(E10:E35)</x:f>
        <x:v>0</x:v>
      </x:c>
      <x:c r="F37" s="39" t="n">
        <x:f>SUM(F10:F35)</x:f>
        <x:v>0</x:v>
      </x:c>
      <x:c r="G37" s="39" t="n">
        <x:f>SUM(G10:G35)</x:f>
        <x:v>28</x:v>
      </x:c>
      <x:c r="H37" s="39" t="n">
        <x:f>SUM(H10:H35)</x:f>
        <x:v>1</x:v>
      </x:c>
      <x:c r="I37" s="39" t="n">
        <x:f>SUM(I10:I35)</x:f>
        <x:v>132</x:v>
      </x:c>
      <x:c r="J37" s="39" t="n">
        <x:f>SUM(J10:J35)</x:f>
        <x:v>0</x:v>
      </x:c>
      <x:c r="K37" s="39" t="n">
        <x:f>SUM(K10:K35)</x:f>
        <x:v>0</x:v>
      </x:c>
      <x:c r="L37" s="39" t="n">
        <x:f>SUM(L10:L35)</x:f>
        <x:v>0</x:v>
      </x:c>
      <x:c r="M37" s="39" t="n">
        <x:f>SUM(M10:M35)</x:f>
        <x:v>21</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Andromeda: Annihilation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ANN-CHR-SENNA</x:v>
      </x:c>
      <x:c r="B7" s="9" t="str">
        <x:v>Senna’Nir vas Keelah Si’yah</x:v>
      </x:c>
      <x:c r="C7" s="15" t="str">
        <x:v>Défini</x:v>
      </x:c>
      <x:c r="D7" s="16" t="str">
        <x:v>Établi</x:v>
      </x:c>
      <x:c r="E7" s="16" t="str">
        <x:v>P1</x:v>
      </x:c>
      <x:c r="F7" s="9" t="str">
        <x:v>Quarien responsable de l’équipe de maintenance Blue-7.</x:v>
      </x:c>
      <x:c r="G7" s="9" t="str">
        <x:v>Référence narrative ; proposition visuelle et interaction dans les fiches liées.</x:v>
      </x:c>
      <x:c r="H7" s="9" t="str"/>
      <x:c r="I7" s="9" t="str"/>
      <x:c r="J7" s="9" t="str"/>
      <x:c r="K7" s="9" t="str"/>
      <x:c r="L7" s="9" t="str">
        <x:v>Réserver actor.ann.senna ; rôle de référence : équipier.</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Nom, rôle et présence confirmés dans la source indiquée ; aucune compétence chiffrée déduite du roman.</x:v>
      </x:c>
      <x:c r="O7" s="9" t="str"/>
      <x:c r="P7" s="9" t="str">
        <x:v>Notice de personnage ou présentation de l’œuvre ; pas de chapitre attribué.</x:v>
      </x:c>
      <x:c r="Q7" s="9" t="str">
        <x:v>ANN-SRC-SENNA</x:v>
      </x:c>
      <x:c r="R7" s="9" t="str">
        <x:v>https://masseffect.fandom.com/wiki/Senna%27Nir_vas_Keelah_Si%27yah</x:v>
      </x:c>
      <x:c r="S7" s="9" t="str">
        <x:v>Le costume proposé dans les fiches de production n’est pas un modèle officiel.</x:v>
      </x:c>
    </x:row>
    <x:row r="8" ht="82" customHeight="1">
      <x:c r="A8" s="19" t="str">
        <x:v>ANN-CHR-ANAX</x:v>
      </x:c>
      <x:c r="B8" s="7" t="str">
        <x:v>Anax Therion</x:v>
      </x:c>
      <x:c r="C8" s="15" t="str">
        <x:v>Défini</x:v>
      </x:c>
      <x:c r="D8" s="17" t="str">
        <x:v>Établi</x:v>
      </x:c>
      <x:c r="E8" s="17" t="str">
        <x:v>P1</x:v>
      </x:c>
      <x:c r="F8" s="7" t="str">
        <x:v>Analyste drell de Blue-7, également capable d’actions biotiques.</x:v>
      </x:c>
      <x:c r="G8" s="7" t="str">
        <x:v>Référence narrative ; proposition visuelle et interaction dans les fiches liées.</x:v>
      </x:c>
      <x:c r="H8" s="7" t="str"/>
      <x:c r="I8" s="7" t="str"/>
      <x:c r="J8" s="7" t="str"/>
      <x:c r="K8" s="7" t="str"/>
      <x:c r="L8" s="7" t="str">
        <x:v>Réserver actor.ann.anax ; rôle de référence : équipier.</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Nom, rôle et présence confirmés dans la source indiquée ; aucune compétence chiffrée déduite du roman.</x:v>
      </x:c>
      <x:c r="O8" s="7" t="str"/>
      <x:c r="P8" s="7" t="str">
        <x:v>Notice de personnage ou présentation de l’œuvre ; pas de chapitre attribué.</x:v>
      </x:c>
      <x:c r="Q8" s="7" t="str">
        <x:v>ANN-SRC-ANAX</x:v>
      </x:c>
      <x:c r="R8" s="7" t="str">
        <x:v>https://masseffect.fandom.com/wiki/Anax_Therion</x:v>
      </x:c>
      <x:c r="S8" s="7" t="str">
        <x:v>Le costume proposé dans les fiches de production n’est pas un modèle officiel.</x:v>
      </x:c>
    </x:row>
    <x:row r="9" ht="82" customHeight="1">
      <x:c r="A9" s="18" t="str">
        <x:v>ANN-CHR-YORRIK</x:v>
      </x:c>
      <x:c r="B9" s="9" t="str">
        <x:v>Yorrik</x:v>
      </x:c>
      <x:c r="C9" s="15" t="str">
        <x:v>Défini</x:v>
      </x:c>
      <x:c r="D9" s="16" t="str">
        <x:v>Établi</x:v>
      </x:c>
      <x:c r="E9" s="16" t="str">
        <x:v>P1</x:v>
      </x:c>
      <x:c r="F9" s="9" t="str">
        <x:v>Elcor chargé de l’enjeu médical au sein de l’équipe.</x:v>
      </x:c>
      <x:c r="G9" s="9" t="str">
        <x:v>Référence narrative ; proposition visuelle et interaction dans les fiches liées.</x:v>
      </x:c>
      <x:c r="H9" s="9" t="str"/>
      <x:c r="I9" s="9" t="str"/>
      <x:c r="J9" s="9" t="str"/>
      <x:c r="K9" s="9" t="str"/>
      <x:c r="L9" s="9" t="str">
        <x:v>Réserver actor.ann.yorrik ; rôle de référence : équipier.</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Nom, rôle et présence confirmés dans la source indiquée ; aucune compétence chiffrée déduite du roman.</x:v>
      </x:c>
      <x:c r="O9" s="9" t="str"/>
      <x:c r="P9" s="9" t="str">
        <x:v>Notice de personnage ou présentation de l’œuvre ; pas de chapitre attribué.</x:v>
      </x:c>
      <x:c r="Q9" s="9" t="str">
        <x:v>ANN-SRC-YORRIK</x:v>
      </x:c>
      <x:c r="R9" s="9" t="str">
        <x:v>https://masseffect.fandom.com/wiki/Yorrik</x:v>
      </x:c>
      <x:c r="S9" s="9" t="str">
        <x:v>Le costume proposé dans les fiches de production n’est pas un modèle officiel.</x:v>
      </x:c>
    </x:row>
    <x:row r="10" ht="82" customHeight="1">
      <x:c r="A10" s="19" t="str">
        <x:v>ANN-CHR-BORBALA</x:v>
      </x:c>
      <x:c r="B10" s="7" t="str">
        <x:v>Borbala Ferank</x:v>
      </x:c>
      <x:c r="C10" s="15" t="str">
        <x:v>Défini</x:v>
      </x:c>
      <x:c r="D10" s="17" t="str">
        <x:v>Établi</x:v>
      </x:c>
      <x:c r="E10" s="17" t="str">
        <x:v>P1</x:v>
      </x:c>
      <x:c r="F10" s="7" t="str">
        <x:v>Batarienne de Blue-7, ancienne figure d’une famille criminelle.</x:v>
      </x:c>
      <x:c r="G10" s="7" t="str">
        <x:v>Référence narrative ; proposition visuelle et interaction dans les fiches liées.</x:v>
      </x:c>
      <x:c r="H10" s="7" t="str"/>
      <x:c r="I10" s="7" t="str"/>
      <x:c r="J10" s="7" t="str"/>
      <x:c r="K10" s="7" t="str"/>
      <x:c r="L10" s="7" t="str">
        <x:v>Réserver actor.ann.borbala ; rôle de référence : équipier.</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Nom, rôle et présence confirmés dans la source indiquée ; aucune compétence chiffrée déduite du roman.</x:v>
      </x:c>
      <x:c r="O10" s="7" t="str"/>
      <x:c r="P10" s="7" t="str">
        <x:v>Notice de personnage ou présentation de l’œuvre ; pas de chapitre attribué.</x:v>
      </x:c>
      <x:c r="Q10" s="7" t="str">
        <x:v>ANN-SRC-BORBALA</x:v>
      </x:c>
      <x:c r="R10" s="7" t="str">
        <x:v>https://masseffect.fandom.com/wiki/Borbala_Ferank</x:v>
      </x:c>
      <x:c r="S10" s="7" t="str">
        <x:v>Le costume proposé dans les fiches de production n’est pas un modèle officiel.</x:v>
      </x:c>
    </x:row>
    <x:row r="11" ht="82" customHeight="1">
      <x:c r="A11" s="18" t="str">
        <x:v>ANN-CHR-IRIT</x:v>
      </x:c>
      <x:c r="B11" s="9" t="str">
        <x:v>Irit Non</x:v>
      </x:c>
      <x:c r="C11" s="15" t="str">
        <x:v>Défini</x:v>
      </x:c>
      <x:c r="D11" s="16" t="str">
        <x:v>Établi</x:v>
      </x:c>
      <x:c r="E11" s="16" t="str">
        <x:v>P1</x:v>
      </x:c>
      <x:c r="F11" s="9" t="str">
        <x:v>Volus de l’équipe qui participe au diagnostic des systèmes.</x:v>
      </x:c>
      <x:c r="G11" s="9" t="str">
        <x:v>Référence narrative ; proposition visuelle et interaction dans les fiches liées.</x:v>
      </x:c>
      <x:c r="H11" s="9" t="str"/>
      <x:c r="I11" s="9" t="str"/>
      <x:c r="J11" s="9" t="str"/>
      <x:c r="K11" s="9" t="str"/>
      <x:c r="L11" s="9" t="str">
        <x:v>Réserver actor.ann.irit ; rôle de référence : équipier.</x:v>
      </x:c>
      <x:c r="M11" s="9" t="str">
        <x:v>Préserver le mystère et l’issue du roman. La maladie ne transforme pas les espèces en bestiaire de zombies ; les procédures médicales restent fictives et abstraites. Aucun sauvetage par Ryder ni prolongement officiel de MEA n’est inventé.</x:v>
      </x:c>
      <x:c r="N11" s="9" t="str">
        <x:v>Nom, rôle et présence confirmés dans la source indiquée ; aucune compétence chiffrée déduite du roman.</x:v>
      </x:c>
      <x:c r="O11" s="9" t="str"/>
      <x:c r="P11" s="9" t="str">
        <x:v>Notice de personnage ou présentation de l’œuvre ; pas de chapitre attribué.</x:v>
      </x:c>
      <x:c r="Q11" s="9" t="str">
        <x:v>ANN-SRC-IRIT</x:v>
      </x:c>
      <x:c r="R11" s="9" t="str">
        <x:v>https://masseffect.fandom.com/wiki/Irit_Non</x:v>
      </x:c>
      <x:c r="S11" s="9" t="str">
        <x:v>Le costume proposé dans les fiches de production n’est pas un modèle officiel.</x:v>
      </x:c>
    </x:row>
    <x:row r="12" ht="82" customHeight="1">
      <x:c r="A12" s="19" t="str">
        <x:v>ANN-CHR-YSSES</x:v>
      </x:c>
      <x:c r="B12" s="7" t="str">
        <x:v>Ysses</x:v>
      </x:c>
      <x:c r="C12" s="15" t="str">
        <x:v>Défini</x:v>
      </x:c>
      <x:c r="D12" s="17" t="str">
        <x:v>Établi</x:v>
      </x:c>
      <x:c r="E12" s="17" t="str">
        <x:v>P1</x:v>
      </x:c>
      <x:c r="F12" s="7" t="str">
        <x:v>Apothicaire hanar de Blue-7, partenaire de travail de Yorrik.</x:v>
      </x:c>
      <x:c r="G12" s="7" t="str">
        <x:v>Référence narrative ; proposition visuelle et interaction dans les fiches liées.</x:v>
      </x:c>
      <x:c r="H12" s="7" t="str"/>
      <x:c r="I12" s="7" t="str"/>
      <x:c r="J12" s="7" t="str"/>
      <x:c r="K12" s="7" t="str"/>
      <x:c r="L12" s="7" t="str">
        <x:v>Réserver actor.ann.ysses ; rôle de référence : équipier.</x:v>
      </x:c>
      <x:c r="M12" s="7" t="str">
        <x:v>Préserver le mystère et l’issue du roman. La maladie ne transforme pas les espèces en bestiaire de zombies ; les procédures médicales restent fictives et abstraites. Aucun sauvetage par Ryder ni prolongement officiel de MEA n’est inventé.</x:v>
      </x:c>
      <x:c r="N12" s="7" t="str">
        <x:v>Nom, rôle et présence confirmés dans la source indiquée ; aucune compétence chiffrée déduite du roman.</x:v>
      </x:c>
      <x:c r="O12" s="7" t="str"/>
      <x:c r="P12" s="7" t="str">
        <x:v>Notice de personnage ou présentation de l’œuvre ; pas de chapitre attribué.</x:v>
      </x:c>
      <x:c r="Q12" s="7" t="str">
        <x:v>ANN-SRC-YSSES</x:v>
      </x:c>
      <x:c r="R12" s="7" t="str">
        <x:v>https://masseffect.fandom.com/wiki/Ysses</x:v>
      </x:c>
      <x:c r="S12" s="7" t="str">
        <x:v>Le costume proposé dans les fiches de production n’est pas un modèle officiel.</x:v>
      </x:c>
    </x:row>
  </x:sheetData>
  <x:conditionalFormatting sqref="D7:D12">
    <x:cfRule type="cellIs" dxfId="0" priority="1" operator="equal">
      <x:formula>"À vérifier"</x:formula>
    </x:cfRule>
    <x:cfRule type="cellIs" dxfId="1" priority="2" operator="equal">
      <x:formula>"Extrapolation"</x:formula>
    </x:cfRule>
  </x:conditionalFormatting>
  <x:conditionalFormatting sqref="C7:C12">
    <x:cfRule type="cellIs" dxfId="2" priority="3" operator="equal">
      <x:formula>"Validé"</x:formula>
    </x:cfRule>
  </x:conditionalFormatting>
  <x:conditionalFormatting sqref="E7:E12">
    <x:cfRule type="cellIs" dxfId="3"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a07675488ee476d"/>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Andromeda: Annihilation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ANN-CHR-QETSI</x:v>
      </x:c>
      <x:c r="B7" s="9" t="str">
        <x:v>Qetsi’Olam vas Keelah Si’yah</x:v>
      </x:c>
      <x:c r="C7" s="15" t="str">
        <x:v>Défini</x:v>
      </x:c>
      <x:c r="D7" s="16" t="str">
        <x:v>Établi</x:v>
      </x:c>
      <x:c r="E7" s="16" t="str">
        <x:v>P1</x:v>
      </x:c>
      <x:c r="F7" s="9" t="str">
        <x:v>Capitaine de l’arche Keelah Si’yah.</x:v>
      </x:c>
      <x:c r="G7" s="9" t="str">
        <x:v>Référence narrative ; proposition visuelle et interaction dans les fiches liées.</x:v>
      </x:c>
      <x:c r="H7" s="9" t="str"/>
      <x:c r="I7" s="9" t="str"/>
      <x:c r="J7" s="9" t="str"/>
      <x:c r="K7" s="9" t="str"/>
      <x:c r="L7" s="9" t="str">
        <x:v>Réserver actor.ann.qetsi ; rôle de référence : interlocuteur.</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Nom, rôle et présence confirmés dans la source indiquée ; aucune compétence chiffrée déduite du roman.</x:v>
      </x:c>
      <x:c r="O7" s="9" t="str"/>
      <x:c r="P7" s="9" t="str">
        <x:v>Notice de personnage ou présentation de l’œuvre ; pas de chapitre attribué.</x:v>
      </x:c>
      <x:c r="Q7" s="9" t="str">
        <x:v>ANN-SRC-QETSI</x:v>
      </x:c>
      <x:c r="R7" s="9" t="str">
        <x:v>https://masseffect.fandom.com/wiki/Qetsi%27Olam_vas_Keelah_Si%27yah</x:v>
      </x:c>
      <x:c r="S7" s="9" t="str">
        <x:v>Le costume proposé dans les fiches de production n’est pas un modèle officiel.</x:v>
      </x:c>
    </x:row>
    <x:row r="8" ht="82" customHeight="1">
      <x:c r="A8" s="19" t="str">
        <x:v>ANN-CHR-MALAK</x:v>
      </x:c>
      <x:c r="B8" s="7" t="str">
        <x:v>Malak’Rafa vas Keelah Si’yah</x:v>
      </x:c>
      <x:c r="C8" s="15" t="str">
        <x:v>Défini</x:v>
      </x:c>
      <x:c r="D8" s="17" t="str">
        <x:v>Établi</x:v>
      </x:c>
      <x:c r="E8" s="17" t="str">
        <x:v>P1</x:v>
      </x:c>
      <x:c r="F8" s="7" t="str">
        <x:v>Quarien lié à Senna et Qetsi dans le contexte de l’arche.</x:v>
      </x:c>
      <x:c r="G8" s="7" t="str">
        <x:v>Référence narrative ; proposition visuelle et interaction dans les fiches liées.</x:v>
      </x:c>
      <x:c r="H8" s="7" t="str"/>
      <x:c r="I8" s="7" t="str"/>
      <x:c r="J8" s="7" t="str"/>
      <x:c r="K8" s="7" t="str"/>
      <x:c r="L8" s="7" t="str">
        <x:v>Réserver actor.ann.malak ; rôle de référence : interlocuteur.</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Nom, rôle et présence confirmés dans la source indiquée ; aucune compétence chiffrée déduite du roman.</x:v>
      </x:c>
      <x:c r="O8" s="7" t="str"/>
      <x:c r="P8" s="7" t="str">
        <x:v>Notice de personnage ou présentation de l’œuvre ; pas de chapitre attribué.</x:v>
      </x:c>
      <x:c r="Q8" s="7" t="str">
        <x:v>ANN-SRC-MALAK</x:v>
      </x:c>
      <x:c r="R8" s="7" t="str">
        <x:v>https://masseffect.fandom.com/wiki/Malak%27Rafa_vas_Keelah_Si%27yah</x:v>
      </x:c>
      <x:c r="S8" s="7" t="str">
        <x:v>Le costume proposé dans les fiches de production n’est pas un modèle officiel.</x:v>
      </x:c>
    </x:row>
    <x:row r="9" ht="82" customHeight="1">
      <x:c r="A9" s="18" t="str">
        <x:v>ANN-CHR-SOVAL</x:v>
      </x:c>
      <x:c r="B9" s="9" t="str">
        <x:v>Soval Raxios</x:v>
      </x:c>
      <x:c r="C9" s="15" t="str">
        <x:v>Défini</x:v>
      </x:c>
      <x:c r="D9" s="16" t="str">
        <x:v>Établi</x:v>
      </x:c>
      <x:c r="E9" s="16" t="str">
        <x:v>P1</x:v>
      </x:c>
      <x:c r="F9" s="9" t="str">
        <x:v>Analyste drell liée aux premiers constats de la crise.</x:v>
      </x:c>
      <x:c r="G9" s="9" t="str">
        <x:v>Référence narrative ; proposition visuelle et interaction dans les fiches liées.</x:v>
      </x:c>
      <x:c r="H9" s="9" t="str"/>
      <x:c r="I9" s="9" t="str"/>
      <x:c r="J9" s="9" t="str"/>
      <x:c r="K9" s="9" t="str"/>
      <x:c r="L9" s="9" t="str">
        <x:v>Réserver actor.ann.soval ; rôle de référence : référence.</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Nom, rôle et présence confirmés dans la source indiquée ; aucune compétence chiffrée déduite du roman.</x:v>
      </x:c>
      <x:c r="O9" s="9" t="str"/>
      <x:c r="P9" s="9" t="str">
        <x:v>Notice de personnage ou présentation de l’œuvre ; pas de chapitre attribué.</x:v>
      </x:c>
      <x:c r="Q9" s="9" t="str">
        <x:v>ANN-SRC-SOVAL</x:v>
      </x:c>
      <x:c r="R9" s="9" t="str">
        <x:v>https://masseffect.fandom.com/wiki/Soval_Raxios</x:v>
      </x:c>
      <x:c r="S9" s="9" t="str">
        <x:v>Le costume proposé dans les fiches de production n’est pas un modèle officiel.</x:v>
      </x:c>
    </x:row>
    <x:row r="10" ht="82" customHeight="1">
      <x:c r="A10" s="19" t="str">
        <x:v>ANN-CHR-KHOLAI</x:v>
      </x:c>
      <x:c r="B10" s="7" t="str">
        <x:v>Kholai</x:v>
      </x:c>
      <x:c r="C10" s="15" t="str">
        <x:v>Défini</x:v>
      </x:c>
      <x:c r="D10" s="17" t="str">
        <x:v>Établi</x:v>
      </x:c>
      <x:c r="E10" s="17" t="str">
        <x:v>P1</x:v>
      </x:c>
      <x:c r="F10" s="7" t="str">
        <x:v>Figure religieuse hanar mentionnée dans la vie de l’arche.</x:v>
      </x:c>
      <x:c r="G10" s="7" t="str">
        <x:v>Référence narrative ; proposition visuelle et interaction dans les fiches liées.</x:v>
      </x:c>
      <x:c r="H10" s="7" t="str"/>
      <x:c r="I10" s="7" t="str"/>
      <x:c r="J10" s="7" t="str"/>
      <x:c r="K10" s="7" t="str"/>
      <x:c r="L10" s="7" t="str">
        <x:v>Réserver actor.ann.kholai ; rôle de référence : interlocuteur.</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Nom, rôle et présence confirmés dans la source indiquée ; aucune compétence chiffrée déduite du roman.</x:v>
      </x:c>
      <x:c r="O10" s="7" t="str"/>
      <x:c r="P10" s="7" t="str">
        <x:v>Notice de personnage ou présentation de l’œuvre ; pas de chapitre attribué.</x:v>
      </x:c>
      <x:c r="Q10" s="7" t="str">
        <x:v>ANN-SRC-SHIP</x:v>
      </x:c>
      <x:c r="R10" s="7" t="str">
        <x:v>https://masseffect.fandom.com/wiki/Keelah_Si%27yah</x:v>
      </x:c>
      <x:c r="S10" s="7" t="str">
        <x:v>Le costume proposé dans les fiches de production n’est pas un modèle officiel.</x:v>
      </x:c>
    </x:row>
  </x:sheetData>
  <x:conditionalFormatting sqref="D7:D10">
    <x:cfRule type="cellIs" dxfId="4" priority="1" operator="equal">
      <x:formula>"À vérifier"</x:formula>
    </x:cfRule>
    <x:cfRule type="cellIs" dxfId="5" priority="2" operator="equal">
      <x:formula>"Extrapolation"</x:formula>
    </x:cfRule>
  </x:conditionalFormatting>
  <x:conditionalFormatting sqref="C7:C10">
    <x:cfRule type="cellIs" dxfId="6" priority="3" operator="equal">
      <x:formula>"Validé"</x:formula>
    </x:cfRule>
  </x:conditionalFormatting>
  <x:conditionalFormatting sqref="E7:E10">
    <x:cfRule type="cellIs" dxfId="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f9306a3a097f4beb"/>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Andromeda: Annihilation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ANN-REF-QUARIANS</x:v>
      </x:c>
      <x:c r="B7" s="9" t="str">
        <x:v>Quariens</x:v>
      </x:c>
      <x:c r="C7" s="15" t="str">
        <x:v>Défini</x:v>
      </x:c>
      <x:c r="D7" s="16" t="str">
        <x:v>Établi</x:v>
      </x:c>
      <x:c r="E7" s="16" t="str">
        <x:v>P1</x:v>
      </x:c>
      <x:c r="F7" s="9" t="str">
        <x:v>Ils font partie des passagers de l’arche.</x:v>
      </x:c>
      <x:c r="G7" s="9" t="str">
        <x:v>Ancrage documentaire du module ; aucune statistique officielle inférée.</x:v>
      </x:c>
      <x:c r="H7" s="9" t="str"/>
      <x:c r="I7" s="9" t="str"/>
      <x:c r="J7" s="9" t="str"/>
      <x:c r="K7" s="9" t="str"/>
      <x:c r="L7" s="9" t="str">
        <x:v>Codex ref.ann.quarians ; affichage bref avec source.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ANN-SRC-BW</x:v>
      </x:c>
      <x:c r="R7" s="9" t="str">
        <x:v>https://blog.bioware.com/2017/10/25/mass-effect-anihilation/</x:v>
      </x:c>
      <x:c r="S7" s="9" t="str">
        <x:v>Ce relevé n’est ni un inventaire exhaustif ni un résumé scène par scène.</x:v>
      </x:c>
    </x:row>
    <x:row r="8" ht="82" customHeight="1">
      <x:c r="A8" s="19" t="str">
        <x:v>ANN-REF-DRELL</x:v>
      </x:c>
      <x:c r="B8" s="7" t="str">
        <x:v>Drells</x:v>
      </x:c>
      <x:c r="C8" s="15" t="str">
        <x:v>Prototype</x:v>
      </x:c>
      <x:c r="D8" s="17" t="str">
        <x:v>Établi</x:v>
      </x:c>
      <x:c r="E8" s="17" t="str">
        <x:v>P1</x:v>
      </x:c>
      <x:c r="F8" s="7" t="str">
        <x:v>Des décès de Drells en cryostase révèlent la crise.</x:v>
      </x:c>
      <x:c r="G8" s="7" t="str">
        <x:v>Ancrage documentaire du module ; aucune statistique officielle inférée.</x:v>
      </x:c>
      <x:c r="H8" s="7" t="str"/>
      <x:c r="I8" s="7" t="str"/>
      <x:c r="J8" s="7" t="str"/>
      <x:c r="K8" s="7" t="str"/>
      <x:c r="L8" s="7" t="str">
        <x:v>Référence documentaire ANN-REF-DRELL consultable dans les lectures de src/chronicle-story.js, avec sources et progression séparée. Aucune scène, carte, animation ou incarnation de personnage n’est produite par cette fiche.</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ANN-SRC-PUB</x:v>
      </x:c>
      <x:c r="R8" s="7" t="str">
        <x:v>https://titanbooks.com/8749-mass-effect-annihilation/</x:v>
      </x:c>
      <x:c r="S8"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9" ht="82" customHeight="1">
      <x:c r="A9" s="18" t="str">
        <x:v>ANN-REF-ELCOR</x:v>
      </x:c>
      <x:c r="B9" s="9" t="str">
        <x:v>Elcors</x:v>
      </x:c>
      <x:c r="C9" s="15" t="str">
        <x:v>Défini</x:v>
      </x:c>
      <x:c r="D9" s="16" t="str">
        <x:v>Établi</x:v>
      </x:c>
      <x:c r="E9" s="16" t="str">
        <x:v>P1</x:v>
      </x:c>
      <x:c r="F9" s="9" t="str">
        <x:v>Yorrik représente une présence elcor au sein de Blue-7.</x:v>
      </x:c>
      <x:c r="G9" s="9" t="str">
        <x:v>Ancrage documentaire du module ; aucune statistique officielle inférée.</x:v>
      </x:c>
      <x:c r="H9" s="9" t="str"/>
      <x:c r="I9" s="9" t="str"/>
      <x:c r="J9" s="9" t="str"/>
      <x:c r="K9" s="9" t="str"/>
      <x:c r="L9" s="9" t="str">
        <x:v>Codex ref.ann.elcor ; affichage bref avec source.</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ANN-SRC-YORRIK</x:v>
      </x:c>
      <x:c r="R9" s="9" t="str">
        <x:v>https://masseffect.fandom.com/wiki/Yorrik</x:v>
      </x:c>
      <x:c r="S9" s="9" t="str">
        <x:v>Ce relevé n’est ni un inventaire exhaustif ni un résumé scène par scène.</x:v>
      </x:c>
    </x:row>
    <x:row r="10" ht="82" customHeight="1">
      <x:c r="A10" s="19" t="str">
        <x:v>ANN-REF-BATARIAN</x:v>
      </x:c>
      <x:c r="B10" s="7" t="str">
        <x:v>Butariens</x:v>
      </x:c>
      <x:c r="C10" s="15" t="str">
        <x:v>Défini</x:v>
      </x:c>
      <x:c r="D10" s="17" t="str">
        <x:v>Établi</x:v>
      </x:c>
      <x:c r="E10" s="17" t="str">
        <x:v>P1</x:v>
      </x:c>
      <x:c r="F10" s="7" t="str">
        <x:v>Borbala fait partie des passagers et de l’équipe de maintenance.</x:v>
      </x:c>
      <x:c r="G10" s="7" t="str">
        <x:v>Ancrage documentaire du module ; aucune statistique officielle inférée.</x:v>
      </x:c>
      <x:c r="H10" s="7" t="str"/>
      <x:c r="I10" s="7" t="str"/>
      <x:c r="J10" s="7" t="str"/>
      <x:c r="K10" s="7" t="str"/>
      <x:c r="L10" s="7" t="str">
        <x:v>Codex ref.ann.batarian ; affichage bref avec source.</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La source citée atteste précisément cet élément ; modèle, plan détaillé et valeur de combat restent séparés.</x:v>
      </x:c>
      <x:c r="O10" s="7" t="str"/>
      <x:c r="P10" s="7" t="str">
        <x:v>Rubrique consultée ou synopsis éditorial ; localisation précise dans l’œuvre à relever.</x:v>
      </x:c>
      <x:c r="Q10" s="7" t="str">
        <x:v>ANN-SRC-BORBALA</x:v>
      </x:c>
      <x:c r="R10" s="7" t="str">
        <x:v>https://masseffect.fandom.com/wiki/Borbala_Ferank</x:v>
      </x:c>
      <x:c r="S10" s="7" t="str">
        <x:v>Ce relevé n’est ni un inventaire exhaustif ni un résumé scène par scène.</x:v>
      </x:c>
    </x:row>
    <x:row r="11" ht="82" customHeight="1">
      <x:c r="A11" s="18" t="str">
        <x:v>ANN-REF-VOLUS</x:v>
      </x:c>
      <x:c r="B11" s="9" t="str">
        <x:v>Volus</x:v>
      </x:c>
      <x:c r="C11" s="15" t="str">
        <x:v>Défini</x:v>
      </x:c>
      <x:c r="D11" s="16" t="str">
        <x:v>Établi</x:v>
      </x:c>
      <x:c r="E11" s="16" t="str">
        <x:v>P1</x:v>
      </x:c>
      <x:c r="F11" s="9" t="str">
        <x:v>Irit Non appartient à cette espèce.</x:v>
      </x:c>
      <x:c r="G11" s="9" t="str">
        <x:v>Ancrage documentaire du module ; aucune statistique officielle inférée.</x:v>
      </x:c>
      <x:c r="H11" s="9" t="str"/>
      <x:c r="I11" s="9" t="str"/>
      <x:c r="J11" s="9" t="str"/>
      <x:c r="K11" s="9" t="str"/>
      <x:c r="L11" s="9" t="str">
        <x:v>Codex ref.ann.volus ; affichage bref avec source.</x:v>
      </x:c>
      <x:c r="M11" s="9" t="str">
        <x:v>Préserver le mystère et l’issue du roman. La maladie ne transforme pas les espèces en bestiaire de zombies ; les procédures médicales restent fictives et abstraites. Aucun sauvetage par Ryder ni prolongement officiel de MEA n’est inventé.</x:v>
      </x:c>
      <x:c r="N11" s="9" t="str">
        <x:v>La source citée atteste précisément cet élément ; modèle, plan détaillé et valeur de combat restent séparés.</x:v>
      </x:c>
      <x:c r="O11" s="9" t="str"/>
      <x:c r="P11" s="9" t="str">
        <x:v>Rubrique consultée ou synopsis éditorial ; localisation précise dans l’œuvre à relever.</x:v>
      </x:c>
      <x:c r="Q11" s="9" t="str">
        <x:v>ANN-SRC-IRIT</x:v>
      </x:c>
      <x:c r="R11" s="9" t="str">
        <x:v>https://masseffect.fandom.com/wiki/Irit_Non</x:v>
      </x:c>
      <x:c r="S11" s="9" t="str">
        <x:v>Ce relevé n’est ni un inventaire exhaustif ni un résumé scène par scène.</x:v>
      </x:c>
    </x:row>
    <x:row r="12" ht="82" customHeight="1">
      <x:c r="A12" s="19" t="str">
        <x:v>ANN-REF-HANAR</x:v>
      </x:c>
      <x:c r="B12" s="7" t="str">
        <x:v>Hanaris</x:v>
      </x:c>
      <x:c r="C12" s="15" t="str">
        <x:v>Défini</x:v>
      </x:c>
      <x:c r="D12" s="17" t="str">
        <x:v>Établi</x:v>
      </x:c>
      <x:c r="E12" s="17" t="str">
        <x:v>P1</x:v>
      </x:c>
      <x:c r="F12" s="7" t="str">
        <x:v>Ysses est un spécialiste hanar.</x:v>
      </x:c>
      <x:c r="G12" s="7" t="str">
        <x:v>Ancrage documentaire du module ; aucune statistique officielle inférée.</x:v>
      </x:c>
      <x:c r="H12" s="7" t="str"/>
      <x:c r="I12" s="7" t="str"/>
      <x:c r="J12" s="7" t="str"/>
      <x:c r="K12" s="7" t="str"/>
      <x:c r="L12" s="7" t="str">
        <x:v>Codex ref.ann.hanar ; affichage bref avec source.</x:v>
      </x:c>
      <x:c r="M12" s="7" t="str">
        <x:v>Préserver le mystère et l’issue du roman. La maladie ne transforme pas les espèces en bestiaire de zombies ; les procédures médicales restent fictives et abstraites. Aucun sauvetage par Ryder ni prolongement officiel de MEA n’est inventé.</x:v>
      </x:c>
      <x:c r="N12" s="7" t="str">
        <x:v>La source citée atteste précisément cet élément ; modèle, plan détaillé et valeur de combat restent séparés.</x:v>
      </x:c>
      <x:c r="O12" s="7" t="str"/>
      <x:c r="P12" s="7" t="str">
        <x:v>Rubrique consultée ou synopsis éditorial ; localisation précise dans l’œuvre à relever.</x:v>
      </x:c>
      <x:c r="Q12" s="7" t="str">
        <x:v>ANN-SRC-YSSES</x:v>
      </x:c>
      <x:c r="R12" s="7" t="str">
        <x:v>https://masseffect.fandom.com/wiki/Ysses</x:v>
      </x:c>
      <x:c r="S12" s="7" t="str">
        <x:v>Ce relevé n’est ni un inventaire exhaustif ni un résumé scène par scène.</x:v>
      </x:c>
    </x:row>
    <x:row r="13" ht="82" customHeight="1">
      <x:c r="A13" s="18" t="str">
        <x:v>ANN-REF-FORTINBRAS</x:v>
      </x:c>
      <x:c r="B13" s="9" t="str">
        <x:v>Maladie de Fortinbras</x:v>
      </x:c>
      <x:c r="C13" s="15" t="str">
        <x:v>Prototype</x:v>
      </x:c>
      <x:c r="D13" s="16" t="str">
        <x:v>Établi</x:v>
      </x:c>
      <x:c r="E13" s="16" t="str">
        <x:v>P1</x:v>
      </x:c>
      <x:c r="F13" s="9" t="str">
        <x:v>Le nom désigne la menace pathogène du roman.</x:v>
      </x:c>
      <x:c r="G13" s="9" t="str">
        <x:v>Ancrage documentaire du module ; aucune statistique officielle inférée.</x:v>
      </x:c>
      <x:c r="H13" s="9" t="str"/>
      <x:c r="I13" s="9" t="str"/>
      <x:c r="J13" s="9" t="str"/>
      <x:c r="K13" s="9" t="str"/>
      <x:c r="L13" s="9" t="str">
        <x:v>Référence documentaire ANN-REF-FORTINBRAS consultable dans les lectures de src/chronicle-story.js, avec sources et progression séparée. Aucune scène, carte, animation ou incarnation de personnage n’est produite par cette fiche.</x:v>
      </x:c>
      <x:c r="M13" s="9" t="str">
        <x:v>Préserver le mystère et l’issue du roman. La maladie ne transforme pas les espèces en bestiaire de zombies ; les procédures médicales restent fictives et abstraites. Aucun sauvetage par Ryder ni prolongement officiel de MEA n’est inventé.</x:v>
      </x:c>
      <x:c r="N13" s="9" t="str">
        <x:v>La source citée atteste précisément cet élément ; modèle, plan détaillé et valeur de combat restent séparés.</x:v>
      </x:c>
      <x:c r="O13" s="9" t="str"/>
      <x:c r="P13" s="9" t="str">
        <x:v>Rubrique consultée ou synopsis éditorial ; localisation précise dans l’œuvre à relever.</x:v>
      </x:c>
      <x:c r="Q13" s="9" t="str">
        <x:v>ANN-SRC-PLAGUE</x:v>
      </x:c>
      <x:c r="R13" s="9" t="str">
        <x:v>https://masseffect.fandom.com/wiki/Fortinbras_Plague</x:v>
      </x:c>
      <x:c r="S13"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13">
    <x:cfRule type="cellIs" dxfId="8" priority="1" operator="equal">
      <x:formula>"À vérifier"</x:formula>
    </x:cfRule>
    <x:cfRule type="cellIs" dxfId="9" priority="2" operator="equal">
      <x:formula>"Extrapolation"</x:formula>
    </x:cfRule>
  </x:conditionalFormatting>
  <x:conditionalFormatting sqref="C7:C13">
    <x:cfRule type="cellIs" dxfId="10" priority="3" operator="equal">
      <x:formula>"Validé"</x:formula>
    </x:cfRule>
  </x:conditionalFormatting>
  <x:conditionalFormatting sqref="E7:E13">
    <x:cfRule type="cellIs" dxfId="11"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db6e05a4318f4585"/>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Andromeda: Annihilation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ANN-REF-ARK</x:v>
      </x:c>
      <x:c r="B7" s="9" t="str">
        <x:v>Keelah Si’yah</x:v>
      </x:c>
      <x:c r="C7" s="15" t="str">
        <x:v>Prototype</x:v>
      </x:c>
      <x:c r="D7" s="16" t="str">
        <x:v>Établi</x:v>
      </x:c>
      <x:c r="E7" s="16" t="str">
        <x:v>P1</x:v>
      </x:c>
      <x:c r="F7" s="9" t="str">
        <x:v>L’arche transporte plusieurs espèces vers Andromède.</x:v>
      </x:c>
      <x:c r="G7" s="9" t="str">
        <x:v>Ancrage documentaire du module ; aucune statistique officielle inférée.</x:v>
      </x:c>
      <x:c r="H7" s="9" t="str"/>
      <x:c r="I7" s="9" t="str"/>
      <x:c r="J7" s="9" t="str"/>
      <x:c r="K7" s="9" t="str"/>
      <x:c r="L7" s="9" t="str">
        <x:v>Référence documentaire ANN-REF-ARK consultable dans les lectures de src/chronicle-story.js, avec sources et progression séparée. Aucune scène, carte, animation ou incarnation de personnage n’est produite par cette fiche.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ANN-SRC-BW</x:v>
      </x:c>
      <x:c r="R7" s="9" t="str">
        <x:v>https://blog.bioware.com/2017/10/25/mass-effect-anihilation/</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ANN-REF-DARKSPACE</x:v>
      </x:c>
      <x:c r="B8" s="7" t="str">
        <x:v>Voyage intergalactique</x:v>
      </x:c>
      <x:c r="C8" s="15" t="str">
        <x:v>Prototype</x:v>
      </x:c>
      <x:c r="D8" s="17" t="str">
        <x:v>Établi</x:v>
      </x:c>
      <x:c r="E8" s="17" t="str">
        <x:v>P1</x:v>
      </x:c>
      <x:c r="F8" s="7" t="str">
        <x:v>La crise survient pendant le trajet, avant l’arrivée à destination.</x:v>
      </x:c>
      <x:c r="G8" s="7" t="str">
        <x:v>Ancrage documentaire du module ; aucune statistique officielle inférée.</x:v>
      </x:c>
      <x:c r="H8" s="7" t="str"/>
      <x:c r="I8" s="7" t="str"/>
      <x:c r="J8" s="7" t="str"/>
      <x:c r="K8" s="7" t="str"/>
      <x:c r="L8" s="7" t="str">
        <x:v>Référence documentaire ANN-REF-DARKSPACE consultable dans les lectures de src/chronicle-story.js, avec sources et progression séparée. Aucune scène, carte, animation ou incarnation de personnage n’est produite par cette fiche.</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ANN-SRC-PUB</x:v>
      </x:c>
      <x:c r="R8" s="7" t="str">
        <x:v>https://titanbooks.com/8749-mass-effect-annihilation/</x:v>
      </x:c>
      <x:c r="S8"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8">
    <x:cfRule type="cellIs" dxfId="12" priority="1" operator="equal">
      <x:formula>"À vérifier"</x:formula>
    </x:cfRule>
    <x:cfRule type="cellIs" dxfId="13" priority="2" operator="equal">
      <x:formula>"Extrapolation"</x:formula>
    </x:cfRule>
  </x:conditionalFormatting>
  <x:conditionalFormatting sqref="C7:C8">
    <x:cfRule type="cellIs" dxfId="14" priority="3" operator="equal">
      <x:formula>"Validé"</x:formula>
    </x:cfRule>
  </x:conditionalFormatting>
  <x:conditionalFormatting sqref="E7:E8">
    <x:cfRule type="cellIs" dxfId="15"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c56c70ad198d452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Andromeda: Annihilation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ANN-MAP-RADIAL</x:v>
      </x:c>
      <x:c r="B7" s="9" t="str">
        <x:v>Radial — hub proposé — carte proposée</x:v>
      </x:c>
      <x:c r="C7" s="15" t="str">
        <x:v>Défini</x:v>
      </x:c>
      <x:c r="D7" s="16" t="str">
        <x:v>Extrapolation</x:v>
      </x:c>
      <x:c r="E7" s="16" t="str">
        <x:v>P1</x:v>
      </x:c>
      <x:c r="F7" s="9" t="str">
        <x:v>Bloc de niveau original autour de Radial — hub proposé. Le plan n’est pas fourni par la source.</x:v>
      </x:c>
      <x:c r="G7" s="9" t="str">
        <x:v>Décor 3D à caméra fixe et personnages sprites. Centre commun, accès aux sections et table de répartition.</x:v>
      </x:c>
      <x:c r="H7" s="9" t="str">
        <x:v>Les informations des équipes doivent être rapprochées au hub. Les passages importants restent accessibles en mode pause tactique.</x:v>
      </x:c>
      <x:c r="I7" s="9" t="str">
        <x:v>Composition végétale centrale, signalétique multiespèce, éclairage incomplet. Séparer sol praticable, couvert et fond par valeur lumineuse.</x:v>
      </x:c>
      <x:c r="J7" s="9" t="str">
        <x:v>Occlusion douce des parois devant le groupe ; portes synchronisées avec les collisions.</x:v>
      </x:c>
      <x:c r="K7" s="9" t="str">
        <x:v>Ventilation, silence spatial et interactions multiespèces originales. Un signal directionnel accompagne le danger local, doublé par une icône.</x:v>
      </x:c>
      <x:c r="L7" s="9" t="str">
        <x:v>maps/ann/radial.scene ; navmesh, colliders, ancrages d’entrée et sorties nommés.</x:v>
      </x:c>
      <x:c r="M7" s="9" t="str">
        <x:v>L’architecture exacte n’est pas prétendue canonique.</x:v>
      </x:c>
      <x:c r="N7" s="9" t="str">
        <x:v>Entrée, objectif et sortie sont reliés sans traverser une collision ; lisibilité des sprites aux carrefours.</x:v>
      </x:c>
      <x:c r="O7" s="9" t="str"/>
      <x:c r="P7" s="9" t="str"/>
      <x:c r="Q7" s="9" t="str"/>
      <x:c r="R7" s="9" t="str"/>
      <x:c r="S7" s="9" t="str">
        <x:v>Dimensions, connexions et accessoires de cette carte sont des propositions originales.</x:v>
      </x:c>
    </x:row>
    <x:row r="8" ht="68" customHeight="1">
      <x:c r="A8" s="19" t="str">
        <x:v>ANN-MAP-PODS</x:v>
      </x:c>
      <x:c r="B8" s="7" t="str">
        <x:v>Section de capsules drell proposée — carte proposée</x:v>
      </x:c>
      <x:c r="C8" s="15" t="str">
        <x:v>Défini</x:v>
      </x:c>
      <x:c r="D8" s="17" t="str">
        <x:v>Extrapolation</x:v>
      </x:c>
      <x:c r="E8" s="17" t="str">
        <x:v>P1</x:v>
      </x:c>
      <x:c r="F8" s="7" t="str">
        <x:v>Bloc de niveau original autour de Section de capsules drell proposée. Le plan n’est pas fourni par la source.</x:v>
      </x:c>
      <x:c r="G8" s="7" t="str">
        <x:v>Décor 3D à caméra fixe et personnages sprites. Allées de capsules, poste local et sas.</x:v>
      </x:c>
      <x:c r="H8" s="7" t="str">
        <x:v>Le statut affiché doit être confirmé par un constat distinct. Les passages importants restent accessibles en mode pause tactique.</x:v>
      </x:c>
      <x:c r="I8" s="7" t="str">
        <x:v>Lumière basse, écrans cohérents visuellement mais valeurs contradictoires. Séparer sol praticable, couvert et fond par valeur lumineuse.</x:v>
      </x:c>
      <x:c r="J8" s="7" t="str">
        <x:v>Occlusion douce des parois devant le groupe ; portes synchronisées avec les collisions.</x:v>
      </x:c>
      <x:c r="K8" s="7" t="str">
        <x:v>Ventilation, silence spatial et interactions multiespèces originales. Un signal directionnel accompagne le danger local, doublé par une icône.</x:v>
      </x:c>
      <x:c r="L8" s="7" t="str">
        <x:v>maps/ann/pods.scene ; navmesh, colliders, ancrages d’entrée et sorties nommés.</x:v>
      </x:c>
      <x:c r="M8" s="7" t="str">
        <x:v>Éviter la mise en scène voyeuriste des corps.</x:v>
      </x:c>
      <x:c r="N8" s="7" t="str">
        <x:v>Entrée, objectif et sortie sont reliés sans traverser une collision ; lisibilité des sprites aux carrefours.</x:v>
      </x:c>
      <x:c r="O8" s="7" t="str"/>
      <x:c r="P8" s="7" t="str"/>
      <x:c r="Q8" s="7" t="str"/>
      <x:c r="R8" s="7" t="str"/>
      <x:c r="S8" s="7" t="str">
        <x:v>Dimensions, connexions et accessoires de cette carte sont des propositions originales.</x:v>
      </x:c>
    </x:row>
    <x:row r="9" ht="68" customHeight="1">
      <x:c r="A9" s="18" t="str">
        <x:v>ANN-MAP-MED</x:v>
      </x:c>
      <x:c r="B9" s="9" t="str">
        <x:v>Unité de soin proposée — carte proposée</x:v>
      </x:c>
      <x:c r="C9" s="15" t="str">
        <x:v>Défini</x:v>
      </x:c>
      <x:c r="D9" s="16" t="str">
        <x:v>Extrapolation</x:v>
      </x:c>
      <x:c r="E9" s="16" t="str">
        <x:v>P1</x:v>
      </x:c>
      <x:c r="F9" s="9" t="str">
        <x:v>Bloc de niveau original autour de Unité de soin proposée. Le plan n’est pas fourni par la source.</x:v>
      </x:c>
      <x:c r="G9" s="9" t="str">
        <x:v>Décor 3D à caméra fixe et personnages sprites. Analyse, zone de repos et passage vers réserve.</x:v>
      </x:c>
      <x:c r="H9" s="9" t="str">
        <x:v>Les appareils indisponibles obligent à trouver un autre moyen abstrait de mesure. Les passages importants restent accessibles en mode pause tactique.</x:v>
      </x:c>
      <x:c r="I9" s="9" t="str">
        <x:v>Équipement adapté aux corps différents, espaces larges pour Yorrik. Séparer sol praticable, couvert et fond par valeur lumineuse.</x:v>
      </x:c>
      <x:c r="J9" s="9" t="str">
        <x:v>Occlusion douce des parois devant le groupe ; portes synchronisées avec les collisions.</x:v>
      </x:c>
      <x:c r="K9" s="9" t="str">
        <x:v>Ventilation, silence spatial et interactions multiespèces originales. Un signal directionnel accompagne le danger local, doublé par une icône.</x:v>
      </x:c>
      <x:c r="L9" s="9" t="str">
        <x:v>maps/ann/med.scene ; navmesh, colliders, ancrages d’entrée et sorties nommés.</x:v>
      </x:c>
      <x:c r="M9" s="9" t="str">
        <x:v>Aucune recette diagnostique réelle.</x:v>
      </x:c>
      <x:c r="N9" s="9" t="str">
        <x:v>Entrée, objectif et sortie sont reliés sans traverser une collision ; lisibilité des sprites aux carrefours.</x:v>
      </x:c>
      <x:c r="O9" s="9" t="str"/>
      <x:c r="P9" s="9" t="str"/>
      <x:c r="Q9" s="9" t="str"/>
      <x:c r="R9" s="9" t="str"/>
      <x:c r="S9" s="9" t="str">
        <x:v>Dimensions, connexions et accessoires de cette carte sont des propositions originales.</x:v>
      </x:c>
    </x:row>
    <x:row r="10" ht="68" customHeight="1">
      <x:c r="A10" s="19" t="str">
        <x:v>ANN-MAP-CARGO</x:v>
      </x:c>
      <x:c r="B10" s="7" t="str">
        <x:v>Réserve de bord proposée — carte proposée</x:v>
      </x:c>
      <x:c r="C10" s="15" t="str">
        <x:v>Défini</x:v>
      </x:c>
      <x:c r="D10" s="17" t="str">
        <x:v>Extrapolation</x:v>
      </x:c>
      <x:c r="E10" s="17" t="str">
        <x:v>P1</x:v>
      </x:c>
      <x:c r="F10" s="7" t="str">
        <x:v>Bloc de niveau original autour de Réserve de bord proposée. Le plan n’est pas fourni par la source.</x:v>
      </x:c>
      <x:c r="G10" s="7" t="str">
        <x:v>Décor 3D à caméra fixe et personnages sprites. Étagères, zone cargo isolée et monte-charge.</x:v>
      </x:c>
      <x:c r="H10" s="7" t="str">
        <x:v>Un matériel utile peut se trouver hors de son emplacement déclaré. Les passages importants restent accessibles en mode pause tactique.</x:v>
      </x:c>
      <x:c r="I10" s="7" t="str">
        <x:v>Caisses étiquetées, objets de cultures différentes et diversité des tailles. Séparer sol praticable, couvert et fond par valeur lumineuse.</x:v>
      </x:c>
      <x:c r="J10" s="7" t="str">
        <x:v>Occlusion douce des parois devant le groupe ; portes synchronisées avec les collisions.</x:v>
      </x:c>
      <x:c r="K10" s="7" t="str">
        <x:v>Ventilation, silence spatial et interactions multiespèces originales. Un signal directionnel accompagne le danger local, doublé par une icône.</x:v>
      </x:c>
      <x:c r="L10" s="7" t="str">
        <x:v>maps/ann/cargo.scene ; navmesh, colliders, ancrages d’entrée et sorties nommés.</x:v>
      </x:c>
      <x:c r="M10" s="7" t="str">
        <x:v>Les objets inventés restent des accessoires de production.</x:v>
      </x:c>
      <x:c r="N10" s="7" t="str">
        <x:v>Entrée, objectif et sortie sont reliés sans traverser une collision ; lisibilité des sprites aux carrefours.</x:v>
      </x:c>
      <x:c r="O10" s="7" t="str"/>
      <x:c r="P10" s="7" t="str"/>
      <x:c r="Q10" s="7" t="str"/>
      <x:c r="R10" s="7" t="str"/>
      <x:c r="S10" s="7" t="str">
        <x:v>Dimensions, connexions et accessoires de cette carte sont des propositions originales.</x:v>
      </x:c>
    </x:row>
    <x:row r="11" ht="68" customHeight="1">
      <x:c r="A11" s="18" t="str">
        <x:v>ANN-MAP-ENV</x:v>
      </x:c>
      <x:c r="B11" s="9" t="str">
        <x:v>Salle des environnements proposée — carte proposée</x:v>
      </x:c>
      <x:c r="C11" s="15" t="str">
        <x:v>Défini</x:v>
      </x:c>
      <x:c r="D11" s="16" t="str">
        <x:v>Extrapolation</x:v>
      </x:c>
      <x:c r="E11" s="16" t="str">
        <x:v>P1</x:v>
      </x:c>
      <x:c r="F11" s="9" t="str">
        <x:v>Bloc de niveau original autour de Salle des environnements proposée. Le plan n’est pas fourni par la source.</x:v>
      </x:c>
      <x:c r="G11" s="9" t="str">
        <x:v>Décor 3D à caméra fixe et personnages sprites. Panneaux de secteur, filtres et sas intermédiaire.</x:v>
      </x:c>
      <x:c r="H11" s="9" t="str">
        <x:v>Une commande centrale doit être confirmée au capteur local. Les passages importants restent accessibles en mode pause tactique.</x:v>
      </x:c>
      <x:c r="I11" s="9" t="str">
        <x:v>Diagrammes d’air abstraits, cloisons et connecteurs distincts. Séparer sol praticable, couvert et fond par valeur lumineuse.</x:v>
      </x:c>
      <x:c r="J11" s="9" t="str">
        <x:v>Occlusion douce des parois devant le groupe ; portes synchronisées avec les collisions.</x:v>
      </x:c>
      <x:c r="K11" s="9" t="str">
        <x:v>Ventilation, silence spatial et interactions multiespèces originales. Un signal directionnel accompagne le danger local, doublé par une icône.</x:v>
      </x:c>
      <x:c r="L11" s="9" t="str">
        <x:v>maps/ann/env.scene ; navmesh, colliders, ancrages d’entrée et sorties nommés.</x:v>
      </x:c>
      <x:c r="M11" s="9" t="str">
        <x:v>Aucune valeur de pression ou atmosphère ajoutée comme canon.</x:v>
      </x:c>
      <x:c r="N11" s="9" t="str">
        <x:v>Entrée, objectif et sortie sont reliés sans traverser une collision ; lisibilité des sprites aux carrefours.</x:v>
      </x:c>
      <x:c r="O11" s="9" t="str"/>
      <x:c r="P11" s="9" t="str"/>
      <x:c r="Q11" s="9" t="str"/>
      <x:c r="R11" s="9" t="str"/>
      <x:c r="S11" s="9" t="str">
        <x:v>Dimensions, connexions et accessoires de cette carte sont des propositions originales.</x:v>
      </x:c>
    </x:row>
    <x:row r="12" ht="68" customHeight="1">
      <x:c r="A12" s="19" t="str">
        <x:v>ANN-MAP-BRIDGE</x:v>
      </x:c>
      <x:c r="B12" s="7" t="str">
        <x:v>Pont de commandement proposé — carte proposée</x:v>
      </x:c>
      <x:c r="C12" s="15" t="str">
        <x:v>Défini</x:v>
      </x:c>
      <x:c r="D12" s="17" t="str">
        <x:v>Extrapolation</x:v>
      </x:c>
      <x:c r="E12" s="17" t="str">
        <x:v>P1</x:v>
      </x:c>
      <x:c r="F12" s="7" t="str">
        <x:v>Bloc de niveau original autour de Pont de commandement proposé. Le plan n’est pas fourni par la source.</x:v>
      </x:c>
      <x:c r="G12" s="7" t="str">
        <x:v>Décor 3D à caméra fixe et personnages sprites. Poste de navigation, console et issue de sécurité.</x:v>
      </x:c>
      <x:c r="H12" s="7" t="str">
        <x:v>Une autorisation ne suffit pas si le système reste compromis. Les passages importants restent accessibles en mode pause tactique.</x:v>
      </x:c>
      <x:c r="I12" s="7" t="str">
        <x:v>Perspective profonde, outils accessibles aux espèces de l’équipage. Séparer sol praticable, couvert et fond par valeur lumineuse.</x:v>
      </x:c>
      <x:c r="J12" s="7" t="str">
        <x:v>Occlusion douce des parois devant le groupe ; portes synchronisées avec les collisions.</x:v>
      </x:c>
      <x:c r="K12" s="7" t="str">
        <x:v>Ventilation, silence spatial et interactions multiespèces originales. Un signal directionnel accompagne le danger local, doublé par une icône.</x:v>
      </x:c>
      <x:c r="L12" s="7" t="str">
        <x:v>maps/ann/bridge.scene ; navmesh, colliders, ancrages d’entrée et sorties nommés.</x:v>
      </x:c>
      <x:c r="M12" s="7" t="str">
        <x:v>Le capitaine demeure une personne avec informations limitées.</x:v>
      </x:c>
      <x:c r="N12" s="7" t="str">
        <x:v>Entrée, objectif et sortie sont reliés sans traverser une collision ; lisibilité des sprites aux carrefours.</x:v>
      </x:c>
      <x:c r="O12" s="7" t="str"/>
      <x:c r="P12" s="7" t="str"/>
      <x:c r="Q12" s="7" t="str"/>
      <x:c r="R12" s="7" t="str"/>
      <x:c r="S12" s="7" t="str">
        <x:v>Dimensions, connexions et accessoires de cette carte sont des propositions originales.</x:v>
      </x:c>
    </x:row>
    <x:row r="13" ht="68" customHeight="1">
      <x:c r="A13" s="18" t="str">
        <x:v>ANN-MAP-QUARTERS</x:v>
      </x:c>
      <x:c r="B13" s="9" t="str">
        <x:v>Couloir de quartiers proposé — carte proposée</x:v>
      </x:c>
      <x:c r="C13" s="15" t="str">
        <x:v>Défini</x:v>
      </x:c>
      <x:c r="D13" s="16" t="str">
        <x:v>Extrapolation</x:v>
      </x:c>
      <x:c r="E13" s="16" t="str">
        <x:v>P1</x:v>
      </x:c>
      <x:c r="F13" s="9" t="str">
        <x:v>Bloc de niveau original autour de Couloir de quartiers proposé. Le plan n’est pas fourni par la source.</x:v>
      </x:c>
      <x:c r="G13" s="9" t="str">
        <x:v>Décor 3D à caméra fixe et personnages sprites. Entrées privées, espace commun et point de communication.</x:v>
      </x:c>
      <x:c r="H13" s="9" t="str">
        <x:v>Une inspection demande motif et périmètre ; pas de pillage général. Les passages importants restent accessibles en mode pause tactique.</x:v>
      </x:c>
      <x:c r="I13" s="9" t="str">
        <x:v>Objets individuels suggérés sans exposer les détails d’une biographie. Séparer sol praticable, couvert et fond par valeur lumineuse.</x:v>
      </x:c>
      <x:c r="J13" s="9" t="str">
        <x:v>Occlusion douce des parois devant le groupe ; portes synchronisées avec les collisions.</x:v>
      </x:c>
      <x:c r="K13" s="9" t="str">
        <x:v>Ventilation, silence spatial et interactions multiespèces originales. Un signal directionnel accompagne le danger local, doublé par une icône.</x:v>
      </x:c>
      <x:c r="L13" s="9" t="str">
        <x:v>maps/ann/quarters.scene ; navmesh, colliders, ancrages d’entrée et sorties nommés.</x:v>
      </x:c>
      <x:c r="M13" s="9" t="str">
        <x:v>Les indices ajoutés ne remplacent pas la preuve du roman.</x:v>
      </x:c>
      <x:c r="N13" s="9" t="str">
        <x:v>Entrée, objectif et sortie sont reliés sans traverser une collision ; lisibilité des sprites aux carrefours.</x:v>
      </x:c>
      <x:c r="O13" s="9" t="str"/>
      <x:c r="P13" s="9" t="str"/>
      <x:c r="Q13" s="9" t="str"/>
      <x:c r="R13" s="9" t="str"/>
      <x:c r="S13" s="9" t="str">
        <x:v>Dimensions, connexions et accessoires de cette carte sont des propositions originales.</x:v>
      </x:c>
    </x:row>
    <x:row r="14" ht="68" customHeight="1">
      <x:c r="A14" s="19" t="str">
        <x:v>ANN-MAP-SIGNAL</x:v>
      </x:c>
      <x:c r="B14" s="7" t="str">
        <x:v>Poste de signal proposé — carte proposée</x:v>
      </x:c>
      <x:c r="C14" s="15" t="str">
        <x:v>Défini</x:v>
      </x:c>
      <x:c r="D14" s="17" t="str">
        <x:v>Extrapolation</x:v>
      </x:c>
      <x:c r="E14" s="17" t="str">
        <x:v>P1</x:v>
      </x:c>
      <x:c r="F14" s="7" t="str">
        <x:v>Bloc de niveau original autour de Poste de signal proposé. Le plan n’est pas fourni par la source.</x:v>
      </x:c>
      <x:c r="G14" s="7" t="str">
        <x:v>Décor 3D à caméra fixe et personnages sprites. Communication, contrôle d’isolement et vue sur le vide.</x:v>
      </x:c>
      <x:c r="H14" s="7" t="str">
        <x:v>Confirmer l’état du vaisseau avant émission d’un message original. Les passages importants restent accessibles en mode pause tactique.</x:v>
      </x:c>
      <x:c r="I14" s="7" t="str">
        <x:v>Balises et interfaces claires, ambiance stable après crise. Séparer sol praticable, couvert et fond par valeur lumineuse.</x:v>
      </x:c>
      <x:c r="J14" s="7" t="str">
        <x:v>Occlusion douce des parois devant le groupe ; portes synchronisées avec les collisions.</x:v>
      </x:c>
      <x:c r="K14" s="7" t="str">
        <x:v>Ventilation, silence spatial et interactions multiespèces originales. Un signal directionnel accompagne le danger local, doublé par une icône.</x:v>
      </x:c>
      <x:c r="L14" s="7" t="str">
        <x:v>maps/ann/signal.scene ; navmesh, colliders, ancrages d’entrée et sorties nommés.</x:v>
      </x:c>
      <x:c r="M14" s="7" t="str">
        <x:v>Ne pas inventer une arrivée de Ryder en réponse.</x:v>
      </x:c>
      <x:c r="N14" s="7" t="str">
        <x:v>Entrée, objectif et sortie sont reliés sans traverser une collision ; lisibilité des sprites aux carrefours.</x:v>
      </x:c>
      <x:c r="O14" s="7" t="str"/>
      <x:c r="P14" s="7" t="str"/>
      <x:c r="Q14" s="7" t="str"/>
      <x:c r="R14" s="7" t="str"/>
      <x:c r="S14" s="7" t="str">
        <x:v>Dimensions, connexions et accessoires de cette carte sont des propositions originales.</x:v>
      </x:c>
    </x:row>
  </x:sheetData>
  <x:conditionalFormatting sqref="D7:D14">
    <x:cfRule type="cellIs" dxfId="16" priority="1" operator="equal">
      <x:formula>"À vérifier"</x:formula>
    </x:cfRule>
    <x:cfRule type="cellIs" dxfId="17" priority="2" operator="equal">
      <x:formula>"Extrapolation"</x:formula>
    </x:cfRule>
  </x:conditionalFormatting>
  <x:conditionalFormatting sqref="C7:C14">
    <x:cfRule type="cellIs" dxfId="18" priority="3" operator="equal">
      <x:formula>"Validé"</x:formula>
    </x:cfRule>
  </x:conditionalFormatting>
  <x:conditionalFormatting sqref="E7:E14">
    <x:cfRule type="cellIs" dxfId="1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29875849a3484996"/>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0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Andromeda: Annihilation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ANN-LNK-RADIAL</x:v>
      </x:c>
      <x:c r="B7" s="9" t="str">
        <x:v>Radial — hub proposé — transition de module</x:v>
      </x:c>
      <x:c r="C7" s="15" t="str">
        <x:v>Défini</x:v>
      </x:c>
      <x:c r="D7" s="16" t="str">
        <x:v>Extrapolation</x:v>
      </x:c>
      <x:c r="E7" s="16" t="str">
        <x:v>P1</x:v>
      </x:c>
      <x:c r="F7" s="9" t="str">
        <x:v>Liaison de niveau proposée, sans prétendre établir une géographie officielle.</x:v>
      </x:c>
      <x:c r="G7" s="9" t="str">
        <x:v>Associer un point de départ dans Radial — hub proposé au bloc Section de capsules drell proposée; transit masqué lorsque les lieux sont éloignés.</x:v>
      </x:c>
      <x:c r="H7" s="9" t="str">
        <x:v>Sortie inactive pendant une interaction critique ; confirmation uniquement si le retour est temporairement fermé.</x:v>
      </x:c>
      <x:c r="I7" s="9" t="str">
        <x:v>Flèche de sortie et nom du lieu cible ; distinguer voyage spatial et porte adjacente.</x:v>
      </x:c>
      <x:c r="J7" s="9" t="str">
        <x:v>Regroupement des sprites avant fondu ; aucun personnage laissé derrière hors cadre.</x:v>
      </x:c>
      <x:c r="K7" s="9" t="str">
        <x:v>Transition d’ambiance progressive ; sous-titre de lieu affiché après chargement.</x:v>
      </x:c>
      <x:c r="L7" s="9" t="str">
        <x:v>links/ann.json : radial -&gt; pods; sauvegarde avant transit, restauration à un ancrage sûr.</x:v>
      </x:c>
      <x:c r="M7" s="9" t="str">
        <x:v>L’architecture exacte n’est pas prétendue canonique.</x:v>
      </x:c>
      <x:c r="N7" s="9" t="str">
        <x:v>Le groupe arrive au bon ancrage après chargement ; aller-retour ne duplique ni objet ni dialogue.</x:v>
      </x:c>
      <x:c r="O7" s="9" t="str">
        <x:v>ANN-MAP-RADIAL, ANN-MAP-PODS</x:v>
      </x:c>
      <x:c r="P7" s="9" t="str"/>
      <x:c r="Q7" s="9" t="str"/>
      <x:c r="R7" s="9" t="str"/>
      <x:c r="S7" s="9" t="str">
        <x:v>Boucle de parcours de production ; la dernière liaison sert à la consultation post-module, pas à remonter le temps.</x:v>
      </x:c>
    </x:row>
    <x:row r="8" ht="54" customHeight="1">
      <x:c r="A8" s="19" t="str">
        <x:v>ANN-LNK-PODS</x:v>
      </x:c>
      <x:c r="B8" s="7" t="str">
        <x:v>Section de capsules drell proposée — transition de module</x:v>
      </x:c>
      <x:c r="C8" s="15" t="str">
        <x:v>Défini</x:v>
      </x:c>
      <x:c r="D8" s="17" t="str">
        <x:v>Extrapolation</x:v>
      </x:c>
      <x:c r="E8" s="17" t="str">
        <x:v>P1</x:v>
      </x:c>
      <x:c r="F8" s="7" t="str">
        <x:v>Liaison de niveau proposée, sans prétendre établir une géographie officielle.</x:v>
      </x:c>
      <x:c r="G8" s="7" t="str">
        <x:v>Associer un point de départ dans Section de capsules drell proposée au bloc Unité de soin proposée; transit masqué lorsque les lieux sont éloignés.</x:v>
      </x:c>
      <x:c r="H8" s="7" t="str">
        <x:v>Sortie inactive pendant une interaction critique ; confirmation uniquement si le retour est temporairement fermé.</x:v>
      </x:c>
      <x:c r="I8" s="7" t="str">
        <x:v>Flèche de sortie et nom du lieu cible ; distinguer voyage spatial et porte adjacente.</x:v>
      </x:c>
      <x:c r="J8" s="7" t="str">
        <x:v>Regroupement des sprites avant fondu ; aucun personnage laissé derrière hors cadre.</x:v>
      </x:c>
      <x:c r="K8" s="7" t="str">
        <x:v>Transition d’ambiance progressive ; sous-titre de lieu affiché après chargement.</x:v>
      </x:c>
      <x:c r="L8" s="7" t="str">
        <x:v>links/ann.json : pods -&gt; med; sauvegarde avant transit, restauration à un ancrage sûr.</x:v>
      </x:c>
      <x:c r="M8" s="7" t="str">
        <x:v>Éviter la mise en scène voyeuriste des corps.</x:v>
      </x:c>
      <x:c r="N8" s="7" t="str">
        <x:v>Le groupe arrive au bon ancrage après chargement ; aller-retour ne duplique ni objet ni dialogue.</x:v>
      </x:c>
      <x:c r="O8" s="7" t="str">
        <x:v>ANN-MAP-PODS, ANN-MAP-MED</x:v>
      </x:c>
      <x:c r="P8" s="7" t="str"/>
      <x:c r="Q8" s="7" t="str"/>
      <x:c r="R8" s="7" t="str"/>
      <x:c r="S8" s="7" t="str">
        <x:v>Boucle de parcours de production ; la dernière liaison sert à la consultation post-module, pas à remonter le temps.</x:v>
      </x:c>
    </x:row>
    <x:row r="9" ht="54" customHeight="1">
      <x:c r="A9" s="18" t="str">
        <x:v>ANN-LNK-MED</x:v>
      </x:c>
      <x:c r="B9" s="9" t="str">
        <x:v>Unité de soin proposée — transition de module</x:v>
      </x:c>
      <x:c r="C9" s="15" t="str">
        <x:v>Défini</x:v>
      </x:c>
      <x:c r="D9" s="16" t="str">
        <x:v>Extrapolation</x:v>
      </x:c>
      <x:c r="E9" s="16" t="str">
        <x:v>P1</x:v>
      </x:c>
      <x:c r="F9" s="9" t="str">
        <x:v>Liaison de niveau proposée, sans prétendre établir une géographie officielle.</x:v>
      </x:c>
      <x:c r="G9" s="9" t="str">
        <x:v>Associer un point de départ dans Unité de soin proposée au bloc Réserve de bord proposée; transit masqué lorsque les lieux sont éloignés.</x:v>
      </x:c>
      <x:c r="H9" s="9" t="str">
        <x:v>Sortie inactive pendant une interaction critique ; confirmation uniquement si le retour est temporairement fermé.</x:v>
      </x:c>
      <x:c r="I9" s="9" t="str">
        <x:v>Flèche de sortie et nom du lieu cible ; distinguer voyage spatial et porte adjacente.</x:v>
      </x:c>
      <x:c r="J9" s="9" t="str">
        <x:v>Regroupement des sprites avant fondu ; aucun personnage laissé derrière hors cadre.</x:v>
      </x:c>
      <x:c r="K9" s="9" t="str">
        <x:v>Transition d’ambiance progressive ; sous-titre de lieu affiché après chargement.</x:v>
      </x:c>
      <x:c r="L9" s="9" t="str">
        <x:v>links/ann.json : med -&gt; cargo; sauvegarde avant transit, restauration à un ancrage sûr.</x:v>
      </x:c>
      <x:c r="M9" s="9" t="str">
        <x:v>Aucune recette diagnostique réelle.</x:v>
      </x:c>
      <x:c r="N9" s="9" t="str">
        <x:v>Le groupe arrive au bon ancrage après chargement ; aller-retour ne duplique ni objet ni dialogue.</x:v>
      </x:c>
      <x:c r="O9" s="9" t="str">
        <x:v>ANN-MAP-MED, ANN-MAP-CARGO</x:v>
      </x:c>
      <x:c r="P9" s="9" t="str"/>
      <x:c r="Q9" s="9" t="str"/>
      <x:c r="R9" s="9" t="str"/>
      <x:c r="S9" s="9" t="str">
        <x:v>Boucle de parcours de production ; la dernière liaison sert à la consultation post-module, pas à remonter le temps.</x:v>
      </x:c>
    </x:row>
    <x:row r="10" ht="54" customHeight="1">
      <x:c r="A10" s="19" t="str">
        <x:v>ANN-LNK-CARGO</x:v>
      </x:c>
      <x:c r="B10" s="7" t="str">
        <x:v>Réserve de bord proposée — transition de module</x:v>
      </x:c>
      <x:c r="C10" s="15" t="str">
        <x:v>Défini</x:v>
      </x:c>
      <x:c r="D10" s="17" t="str">
        <x:v>Extrapolation</x:v>
      </x:c>
      <x:c r="E10" s="17" t="str">
        <x:v>P1</x:v>
      </x:c>
      <x:c r="F10" s="7" t="str">
        <x:v>Liaison de niveau proposée, sans prétendre établir une géographie officielle.</x:v>
      </x:c>
      <x:c r="G10" s="7" t="str">
        <x:v>Associer un point de départ dans Réserve de bord proposée au bloc Salle des environnements proposée; transit masqué lorsque les lieux sont éloignés.</x:v>
      </x:c>
      <x:c r="H10" s="7" t="str">
        <x:v>Sortie inactive pendant une interaction critique ; confirmation uniquement si le retour est temporairement fermé.</x:v>
      </x:c>
      <x:c r="I10" s="7" t="str">
        <x:v>Flèche de sortie et nom du lieu cible ; distinguer voyage spatial et porte adjacente.</x:v>
      </x:c>
      <x:c r="J10" s="7" t="str">
        <x:v>Regroupement des sprites avant fondu ; aucun personnage laissé derrière hors cadre.</x:v>
      </x:c>
      <x:c r="K10" s="7" t="str">
        <x:v>Transition d’ambiance progressive ; sous-titre de lieu affiché après chargement.</x:v>
      </x:c>
      <x:c r="L10" s="7" t="str">
        <x:v>links/ann.json : cargo -&gt; env; sauvegarde avant transit, restauration à un ancrage sûr.</x:v>
      </x:c>
      <x:c r="M10" s="7" t="str">
        <x:v>Les objets inventés restent des accessoires de production.</x:v>
      </x:c>
      <x:c r="N10" s="7" t="str">
        <x:v>Le groupe arrive au bon ancrage après chargement ; aller-retour ne duplique ni objet ni dialogue.</x:v>
      </x:c>
      <x:c r="O10" s="7" t="str">
        <x:v>ANN-MAP-CARGO, ANN-MAP-ENV</x:v>
      </x:c>
      <x:c r="P10" s="7" t="str"/>
      <x:c r="Q10" s="7" t="str"/>
      <x:c r="R10" s="7" t="str"/>
      <x:c r="S10" s="7" t="str">
        <x:v>Boucle de parcours de production ; la dernière liaison sert à la consultation post-module, pas à remonter le temps.</x:v>
      </x:c>
    </x:row>
    <x:row r="11" ht="68" customHeight="1">
      <x:c r="A11" s="18" t="str">
        <x:v>ANN-LNK-ENV</x:v>
      </x:c>
      <x:c r="B11" s="9" t="str">
        <x:v>Salle des environnements proposée — transition de module</x:v>
      </x:c>
      <x:c r="C11" s="15" t="str">
        <x:v>Défini</x:v>
      </x:c>
      <x:c r="D11" s="16" t="str">
        <x:v>Extrapolation</x:v>
      </x:c>
      <x:c r="E11" s="16" t="str">
        <x:v>P1</x:v>
      </x:c>
      <x:c r="F11" s="9" t="str">
        <x:v>Liaison de niveau proposée, sans prétendre établir une géographie officielle.</x:v>
      </x:c>
      <x:c r="G11" s="9" t="str">
        <x:v>Associer un point de départ dans Salle des environnements proposée au bloc Pont de commandement proposé; transit masqué lorsque les lieux sont éloignés.</x:v>
      </x:c>
      <x:c r="H11" s="9" t="str">
        <x:v>Sortie inactive pendant une interaction critique ; confirmation uniquement si le retour est temporairement fermé.</x:v>
      </x:c>
      <x:c r="I11" s="9" t="str">
        <x:v>Flèche de sortie et nom du lieu cible ; distinguer voyage spatial et porte adjacente.</x:v>
      </x:c>
      <x:c r="J11" s="9" t="str">
        <x:v>Regroupement des sprites avant fondu ; aucun personnage laissé derrière hors cadre.</x:v>
      </x:c>
      <x:c r="K11" s="9" t="str">
        <x:v>Transition d’ambiance progressive ; sous-titre de lieu affiché après chargement.</x:v>
      </x:c>
      <x:c r="L11" s="9" t="str">
        <x:v>links/ann.json : env -&gt; bridge; sauvegarde avant transit, restauration à un ancrage sûr.</x:v>
      </x:c>
      <x:c r="M11" s="9" t="str">
        <x:v>Aucune valeur de pression ou atmosphère ajoutée comme canon.</x:v>
      </x:c>
      <x:c r="N11" s="9" t="str">
        <x:v>Le groupe arrive au bon ancrage après chargement ; aller-retour ne duplique ni objet ni dialogue.</x:v>
      </x:c>
      <x:c r="O11" s="9" t="str">
        <x:v>ANN-MAP-ENV, ANN-MAP-BRIDGE</x:v>
      </x:c>
      <x:c r="P11" s="9" t="str"/>
      <x:c r="Q11" s="9" t="str"/>
      <x:c r="R11" s="9" t="str"/>
      <x:c r="S11" s="9" t="str">
        <x:v>Boucle de parcours de production ; la dernière liaison sert à la consultation post-module, pas à remonter le temps.</x:v>
      </x:c>
    </x:row>
    <x:row r="12" ht="54" customHeight="1">
      <x:c r="A12" s="19" t="str">
        <x:v>ANN-LNK-BRIDGE</x:v>
      </x:c>
      <x:c r="B12" s="7" t="str">
        <x:v>Pont de commandement proposé — transition de module</x:v>
      </x:c>
      <x:c r="C12" s="15" t="str">
        <x:v>Défini</x:v>
      </x:c>
      <x:c r="D12" s="17" t="str">
        <x:v>Extrapolation</x:v>
      </x:c>
      <x:c r="E12" s="17" t="str">
        <x:v>P1</x:v>
      </x:c>
      <x:c r="F12" s="7" t="str">
        <x:v>Liaison de niveau proposée, sans prétendre établir une géographie officielle.</x:v>
      </x:c>
      <x:c r="G12" s="7" t="str">
        <x:v>Associer un point de départ dans Pont de commandement proposé au bloc Couloir de quartiers proposé; transit masqué lorsque les lieux sont éloignés.</x:v>
      </x:c>
      <x:c r="H12" s="7" t="str">
        <x:v>Sortie inactive pendant une interaction critique ; confirmation uniquement si le retour est temporairement fermé.</x:v>
      </x:c>
      <x:c r="I12" s="7" t="str">
        <x:v>Flèche de sortie et nom du lieu cible ; distinguer voyage spatial et porte adjacente.</x:v>
      </x:c>
      <x:c r="J12" s="7" t="str">
        <x:v>Regroupement des sprites avant fondu ; aucun personnage laissé derrière hors cadre.</x:v>
      </x:c>
      <x:c r="K12" s="7" t="str">
        <x:v>Transition d’ambiance progressive ; sous-titre de lieu affiché après chargement.</x:v>
      </x:c>
      <x:c r="L12" s="7" t="str">
        <x:v>links/ann.json : bridge -&gt; quarters; sauvegarde avant transit, restauration à un ancrage sûr.</x:v>
      </x:c>
      <x:c r="M12" s="7" t="str">
        <x:v>Le capitaine demeure une personne avec informations limitées.</x:v>
      </x:c>
      <x:c r="N12" s="7" t="str">
        <x:v>Le groupe arrive au bon ancrage après chargement ; aller-retour ne duplique ni objet ni dialogue.</x:v>
      </x:c>
      <x:c r="O12" s="7" t="str">
        <x:v>ANN-MAP-BRIDGE, ANN-MAP-QUARTERS</x:v>
      </x:c>
      <x:c r="P12" s="7" t="str"/>
      <x:c r="Q12" s="7" t="str"/>
      <x:c r="R12" s="7" t="str"/>
      <x:c r="S12" s="7" t="str">
        <x:v>Boucle de parcours de production ; la dernière liaison sert à la consultation post-module, pas à remonter le temps.</x:v>
      </x:c>
    </x:row>
    <x:row r="13" ht="54" customHeight="1">
      <x:c r="A13" s="18" t="str">
        <x:v>ANN-LNK-QUARTERS</x:v>
      </x:c>
      <x:c r="B13" s="9" t="str">
        <x:v>Couloir de quartiers proposé — transition de module</x:v>
      </x:c>
      <x:c r="C13" s="15" t="str">
        <x:v>Défini</x:v>
      </x:c>
      <x:c r="D13" s="16" t="str">
        <x:v>Extrapolation</x:v>
      </x:c>
      <x:c r="E13" s="16" t="str">
        <x:v>P1</x:v>
      </x:c>
      <x:c r="F13" s="9" t="str">
        <x:v>Liaison de niveau proposée, sans prétendre établir une géographie officielle.</x:v>
      </x:c>
      <x:c r="G13" s="9" t="str">
        <x:v>Associer un point de départ dans Couloir de quartiers proposé au bloc Poste de signal proposé; transit masqué lorsque les lieux sont éloignés.</x:v>
      </x:c>
      <x:c r="H13" s="9" t="str">
        <x:v>Sortie inactive pendant une interaction critique ; confirmation uniquement si le retour est temporairement fermé.</x:v>
      </x:c>
      <x:c r="I13" s="9" t="str">
        <x:v>Flèche de sortie et nom du lieu cible ; distinguer voyage spatial et porte adjacente.</x:v>
      </x:c>
      <x:c r="J13" s="9" t="str">
        <x:v>Regroupement des sprites avant fondu ; aucun personnage laissé derrière hors cadre.</x:v>
      </x:c>
      <x:c r="K13" s="9" t="str">
        <x:v>Transition d’ambiance progressive ; sous-titre de lieu affiché après chargement.</x:v>
      </x:c>
      <x:c r="L13" s="9" t="str">
        <x:v>links/ann.json : quarters -&gt; signal; sauvegarde avant transit, restauration à un ancrage sûr.</x:v>
      </x:c>
      <x:c r="M13" s="9" t="str">
        <x:v>Les indices ajoutés ne remplacent pas la preuve du roman.</x:v>
      </x:c>
      <x:c r="N13" s="9" t="str">
        <x:v>Le groupe arrive au bon ancrage après chargement ; aller-retour ne duplique ni objet ni dialogue.</x:v>
      </x:c>
      <x:c r="O13" s="9" t="str">
        <x:v>ANN-MAP-QUARTERS, ANN-MAP-SIGNAL</x:v>
      </x:c>
      <x:c r="P13" s="9" t="str"/>
      <x:c r="Q13" s="9" t="str"/>
      <x:c r="R13" s="9" t="str"/>
      <x:c r="S13" s="9" t="str">
        <x:v>Boucle de parcours de production ; la dernière liaison sert à la consultation post-module, pas à remonter le temps.</x:v>
      </x:c>
    </x:row>
    <x:row r="14" ht="54" customHeight="1">
      <x:c r="A14" s="19" t="str">
        <x:v>ANN-LNK-SIGNAL</x:v>
      </x:c>
      <x:c r="B14" s="7" t="str">
        <x:v>Poste de signal proposé — transition de module</x:v>
      </x:c>
      <x:c r="C14" s="15" t="str">
        <x:v>Défini</x:v>
      </x:c>
      <x:c r="D14" s="17" t="str">
        <x:v>Extrapolation</x:v>
      </x:c>
      <x:c r="E14" s="17" t="str">
        <x:v>P1</x:v>
      </x:c>
      <x:c r="F14" s="7" t="str">
        <x:v>Liaison de niveau proposée, sans prétendre établir une géographie officielle.</x:v>
      </x:c>
      <x:c r="G14" s="7" t="str">
        <x:v>Associer un point de départ dans Poste de signal proposé au bloc Radial — hub proposé; transit masqué lorsque les lieux sont éloignés.</x:v>
      </x:c>
      <x:c r="H14" s="7" t="str">
        <x:v>Sortie inactive pendant une interaction critique ; confirmation uniquement si le retour est temporairement fermé.</x:v>
      </x:c>
      <x:c r="I14" s="7" t="str">
        <x:v>Flèche de sortie et nom du lieu cible ; distinguer voyage spatial et porte adjacente.</x:v>
      </x:c>
      <x:c r="J14" s="7" t="str">
        <x:v>Regroupement des sprites avant fondu ; aucun personnage laissé derrière hors cadre.</x:v>
      </x:c>
      <x:c r="K14" s="7" t="str">
        <x:v>Transition d’ambiance progressive ; sous-titre de lieu affiché après chargement.</x:v>
      </x:c>
      <x:c r="L14" s="7" t="str">
        <x:v>links/ann.json : signal -&gt; radial; sauvegarde avant transit, restauration à un ancrage sûr.</x:v>
      </x:c>
      <x:c r="M14" s="7" t="str">
        <x:v>Ne pas inventer une arrivée de Ryder en réponse.</x:v>
      </x:c>
      <x:c r="N14" s="7" t="str">
        <x:v>Le groupe arrive au bon ancrage après chargement ; aller-retour ne duplique ni objet ni dialogue.</x:v>
      </x:c>
      <x:c r="O14" s="7" t="str">
        <x:v>ANN-MAP-SIGNAL, ANN-MAP-RADIAL</x:v>
      </x:c>
      <x:c r="P14" s="7" t="str"/>
      <x:c r="Q14" s="7" t="str"/>
      <x:c r="R14" s="7" t="str"/>
      <x:c r="S14" s="7" t="str">
        <x:v>Boucle de parcours de production ; la dernière liaison sert à la consultation post-module, pas à remonter le temps.</x:v>
      </x:c>
    </x:row>
  </x:sheetData>
  <x:conditionalFormatting sqref="D7:D14">
    <x:cfRule type="cellIs" dxfId="20" priority="1" operator="equal">
      <x:formula>"À vérifier"</x:formula>
    </x:cfRule>
    <x:cfRule type="cellIs" dxfId="21" priority="2" operator="equal">
      <x:formula>"Extrapolation"</x:formula>
    </x:cfRule>
  </x:conditionalFormatting>
  <x:conditionalFormatting sqref="C7:C14">
    <x:cfRule type="cellIs" dxfId="22" priority="3" operator="equal">
      <x:formula>"Validé"</x:formula>
    </x:cfRule>
  </x:conditionalFormatting>
  <x:conditionalFormatting sqref="E7:E14">
    <x:cfRule type="cellIs" dxfId="2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ab4c363c25b447aa"/>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Andromeda: Annihilation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ANN-SET-RADIAL</x:v>
      </x:c>
      <x:c r="B7" s="9" t="str">
        <x:v>Radial — hub proposé — kit de décor</x:v>
      </x:c>
      <x:c r="C7" s="15" t="str">
        <x:v>Défini</x:v>
      </x:c>
      <x:c r="D7" s="16" t="str">
        <x:v>Extrapolation</x:v>
      </x:c>
      <x:c r="E7" s="16" t="str">
        <x:v>P1</x:v>
      </x:c>
      <x:c r="F7" s="9" t="str">
        <x:v>Production originale des éléments fixes de la carte liée.</x:v>
      </x:c>
      <x:c r="G7" s="9" t="str">
        <x:v>Composition végétale centrale, signalétique multiespèce, éclairage incomplet. Construire trois profondeurs de décor avec variantes intacte et perturbée si utiles.</x:v>
      </x:c>
      <x:c r="H7" s="9" t="str">
        <x:v>Le décor signale la règle : Les informations des équipes doivent être rapprochées au hub.</x:v>
      </x:c>
      <x:c r="I7" s="9" t="str">
        <x:v>Volumes sans microdétails illisibles ; surfaces dangereuses reconnues également en niveaux de gris.</x:v>
      </x:c>
      <x:c r="J7" s="9" t="str">
        <x:v>Animer seulement les repères actifs ; ne pas déplacer un obstacle statique après le calcul du chemin.</x:v>
      </x:c>
      <x:c r="K7" s="9" t="str">
        <x:v>Boucles très courtes évitées ; matériaux sonores propres aux interactions de cette zone.</x:v>
      </x:c>
      <x:c r="L7" s="9" t="str">
        <x:v>assets/ann/sets/radial/ ; collider séparé du mesh et des ornements.</x:v>
      </x:c>
      <x:c r="M7" s="9" t="str">
        <x:v>L’architecture exacte n’est pas prétendue canonique.</x:v>
      </x:c>
      <x:c r="N7" s="9" t="str">
        <x:v>Aucun détail décoratif ne ressemble à tort à une porte ; vue complète vérifiée en petite résolution.</x:v>
      </x:c>
      <x:c r="O7" s="9" t="str">
        <x:v>ANN-MAP-RADIAL</x:v>
      </x:c>
      <x:c r="P7" s="9" t="str"/>
      <x:c r="Q7" s="9" t="str"/>
      <x:c r="R7" s="9" t="str"/>
      <x:c r="S7" s="9" t="str"/>
    </x:row>
    <x:row r="8" ht="68" customHeight="1">
      <x:c r="A8" s="19" t="str">
        <x:v>ANN-SET-PODS</x:v>
      </x:c>
      <x:c r="B8" s="7" t="str">
        <x:v>Section de capsules drell proposée — kit de décor</x:v>
      </x:c>
      <x:c r="C8" s="15" t="str">
        <x:v>Défini</x:v>
      </x:c>
      <x:c r="D8" s="17" t="str">
        <x:v>Extrapolation</x:v>
      </x:c>
      <x:c r="E8" s="17" t="str">
        <x:v>P1</x:v>
      </x:c>
      <x:c r="F8" s="7" t="str">
        <x:v>Production originale des éléments fixes de la carte liée.</x:v>
      </x:c>
      <x:c r="G8" s="7" t="str">
        <x:v>Lumière basse, écrans cohérents visuellement mais valeurs contradictoires. Construire trois profondeurs de décor avec variantes intacte et perturbée si utiles.</x:v>
      </x:c>
      <x:c r="H8" s="7" t="str">
        <x:v>Le décor signale la règle : Le statut affiché doit être confirmé par un constat distinct.</x:v>
      </x:c>
      <x:c r="I8" s="7" t="str">
        <x:v>Volumes sans microdétails illisibles ; surfaces dangereuses reconnues également en niveaux de gris.</x:v>
      </x:c>
      <x:c r="J8" s="7" t="str">
        <x:v>Animer seulement les repères actifs ; ne pas déplacer un obstacle statique après le calcul du chemin.</x:v>
      </x:c>
      <x:c r="K8" s="7" t="str">
        <x:v>Boucles très courtes évitées ; matériaux sonores propres aux interactions de cette zone.</x:v>
      </x:c>
      <x:c r="L8" s="7" t="str">
        <x:v>assets/ann/sets/pods/ ; collider séparé du mesh et des ornements.</x:v>
      </x:c>
      <x:c r="M8" s="7" t="str">
        <x:v>Éviter la mise en scène voyeuriste des corps.</x:v>
      </x:c>
      <x:c r="N8" s="7" t="str">
        <x:v>Aucun détail décoratif ne ressemble à tort à une porte ; vue complète vérifiée en petite résolution.</x:v>
      </x:c>
      <x:c r="O8" s="7" t="str">
        <x:v>ANN-MAP-PODS</x:v>
      </x:c>
      <x:c r="P8" s="7" t="str"/>
      <x:c r="Q8" s="7" t="str"/>
      <x:c r="R8" s="7" t="str"/>
      <x:c r="S8" s="7" t="str"/>
    </x:row>
    <x:row r="9" ht="54" customHeight="1">
      <x:c r="A9" s="18" t="str">
        <x:v>ANN-SET-MED</x:v>
      </x:c>
      <x:c r="B9" s="9" t="str">
        <x:v>Unité de soin proposée — kit de décor</x:v>
      </x:c>
      <x:c r="C9" s="15" t="str">
        <x:v>Défini</x:v>
      </x:c>
      <x:c r="D9" s="16" t="str">
        <x:v>Extrapolation</x:v>
      </x:c>
      <x:c r="E9" s="16" t="str">
        <x:v>P1</x:v>
      </x:c>
      <x:c r="F9" s="9" t="str">
        <x:v>Production originale des éléments fixes de la carte liée.</x:v>
      </x:c>
      <x:c r="G9" s="9" t="str">
        <x:v>Équipement adapté aux corps différents, espaces larges pour Yorrik. Construire trois profondeurs de décor avec variantes intacte et perturbée si utiles.</x:v>
      </x:c>
      <x:c r="H9" s="9" t="str">
        <x:v>Le décor signale la règle : Les appareils indisponibles obligent à trouver un autre moyen abstrait de mesure.</x:v>
      </x:c>
      <x:c r="I9" s="9" t="str">
        <x:v>Volumes sans microdétails illisibles ; surfaces dangereuses reconnues également en niveaux de gris.</x:v>
      </x:c>
      <x:c r="J9" s="9" t="str">
        <x:v>Animer seulement les repères actifs ; ne pas déplacer un obstacle statique après le calcul du chemin.</x:v>
      </x:c>
      <x:c r="K9" s="9" t="str">
        <x:v>Boucles très courtes évitées ; matériaux sonores propres aux interactions de cette zone.</x:v>
      </x:c>
      <x:c r="L9" s="9" t="str">
        <x:v>assets/ann/sets/med/ ; collider séparé du mesh et des ornements.</x:v>
      </x:c>
      <x:c r="M9" s="9" t="str">
        <x:v>Aucune recette diagnostique réelle.</x:v>
      </x:c>
      <x:c r="N9" s="9" t="str">
        <x:v>Aucun détail décoratif ne ressemble à tort à une porte ; vue complète vérifiée en petite résolution.</x:v>
      </x:c>
      <x:c r="O9" s="9" t="str">
        <x:v>ANN-MAP-MED</x:v>
      </x:c>
      <x:c r="P9" s="9" t="str"/>
      <x:c r="Q9" s="9" t="str"/>
      <x:c r="R9" s="9" t="str"/>
      <x:c r="S9" s="9" t="str"/>
    </x:row>
    <x:row r="10" ht="54" customHeight="1">
      <x:c r="A10" s="19" t="str">
        <x:v>ANN-SET-CARGO</x:v>
      </x:c>
      <x:c r="B10" s="7" t="str">
        <x:v>Réserve de bord proposée — kit de décor</x:v>
      </x:c>
      <x:c r="C10" s="15" t="str">
        <x:v>Défini</x:v>
      </x:c>
      <x:c r="D10" s="17" t="str">
        <x:v>Extrapolation</x:v>
      </x:c>
      <x:c r="E10" s="17" t="str">
        <x:v>P1</x:v>
      </x:c>
      <x:c r="F10" s="7" t="str">
        <x:v>Production originale des éléments fixes de la carte liée.</x:v>
      </x:c>
      <x:c r="G10" s="7" t="str">
        <x:v>Caisses étiquetées, objets de cultures différentes et diversité des tailles. Construire trois profondeurs de décor avec variantes intacte et perturbée si utiles.</x:v>
      </x:c>
      <x:c r="H10" s="7" t="str">
        <x:v>Le décor signale la règle : Un matériel utile peut se trouver hors de son emplacement déclaré.</x:v>
      </x:c>
      <x:c r="I10" s="7" t="str">
        <x:v>Volumes sans microdétails illisibles ; surfaces dangereuses reconnues également en niveaux de gris.</x:v>
      </x:c>
      <x:c r="J10" s="7" t="str">
        <x:v>Animer seulement les repères actifs ; ne pas déplacer un obstacle statique après le calcul du chemin.</x:v>
      </x:c>
      <x:c r="K10" s="7" t="str">
        <x:v>Boucles très courtes évitées ; matériaux sonores propres aux interactions de cette zone.</x:v>
      </x:c>
      <x:c r="L10" s="7" t="str">
        <x:v>assets/ann/sets/cargo/ ; collider séparé du mesh et des ornements.</x:v>
      </x:c>
      <x:c r="M10" s="7" t="str">
        <x:v>Les objets inventés restent des accessoires de production.</x:v>
      </x:c>
      <x:c r="N10" s="7" t="str">
        <x:v>Aucun détail décoratif ne ressemble à tort à une porte ; vue complète vérifiée en petite résolution.</x:v>
      </x:c>
      <x:c r="O10" s="7" t="str">
        <x:v>ANN-MAP-CARGO</x:v>
      </x:c>
      <x:c r="P10" s="7" t="str"/>
      <x:c r="Q10" s="7" t="str"/>
      <x:c r="R10" s="7" t="str"/>
      <x:c r="S10" s="7" t="str"/>
    </x:row>
    <x:row r="11" ht="54" customHeight="1">
      <x:c r="A11" s="18" t="str">
        <x:v>ANN-SET-ENV</x:v>
      </x:c>
      <x:c r="B11" s="9" t="str">
        <x:v>Salle des environnements proposée — kit de décor</x:v>
      </x:c>
      <x:c r="C11" s="15" t="str">
        <x:v>Défini</x:v>
      </x:c>
      <x:c r="D11" s="16" t="str">
        <x:v>Extrapolation</x:v>
      </x:c>
      <x:c r="E11" s="16" t="str">
        <x:v>P1</x:v>
      </x:c>
      <x:c r="F11" s="9" t="str">
        <x:v>Production originale des éléments fixes de la carte liée.</x:v>
      </x:c>
      <x:c r="G11" s="9" t="str">
        <x:v>Diagrammes d’air abstraits, cloisons et connecteurs distincts. Construire trois profondeurs de décor avec variantes intacte et perturbée si utiles.</x:v>
      </x:c>
      <x:c r="H11" s="9" t="str">
        <x:v>Le décor signale la règle : Une commande centrale doit être confirmée au capteur local.</x:v>
      </x:c>
      <x:c r="I11" s="9" t="str">
        <x:v>Volumes sans microdétails illisibles ; surfaces dangereuses reconnues également en niveaux de gris.</x:v>
      </x:c>
      <x:c r="J11" s="9" t="str">
        <x:v>Animer seulement les repères actifs ; ne pas déplacer un obstacle statique après le calcul du chemin.</x:v>
      </x:c>
      <x:c r="K11" s="9" t="str">
        <x:v>Boucles très courtes évitées ; matériaux sonores propres aux interactions de cette zone.</x:v>
      </x:c>
      <x:c r="L11" s="9" t="str">
        <x:v>assets/ann/sets/env/ ; collider séparé du mesh et des ornements.</x:v>
      </x:c>
      <x:c r="M11" s="9" t="str">
        <x:v>Aucune valeur de pression ou atmosphère ajoutée comme canon.</x:v>
      </x:c>
      <x:c r="N11" s="9" t="str">
        <x:v>Aucun détail décoratif ne ressemble à tort à une porte ; vue complète vérifiée en petite résolution.</x:v>
      </x:c>
      <x:c r="O11" s="9" t="str">
        <x:v>ANN-MAP-ENV</x:v>
      </x:c>
      <x:c r="P11" s="9" t="str"/>
      <x:c r="Q11" s="9" t="str"/>
      <x:c r="R11" s="9" t="str"/>
      <x:c r="S11" s="9" t="str"/>
    </x:row>
    <x:row r="12" ht="54" customHeight="1">
      <x:c r="A12" s="19" t="str">
        <x:v>ANN-SET-BRIDGE</x:v>
      </x:c>
      <x:c r="B12" s="7" t="str">
        <x:v>Pont de commandement proposé — kit de décor</x:v>
      </x:c>
      <x:c r="C12" s="15" t="str">
        <x:v>Défini</x:v>
      </x:c>
      <x:c r="D12" s="17" t="str">
        <x:v>Extrapolation</x:v>
      </x:c>
      <x:c r="E12" s="17" t="str">
        <x:v>P1</x:v>
      </x:c>
      <x:c r="F12" s="7" t="str">
        <x:v>Production originale des éléments fixes de la carte liée.</x:v>
      </x:c>
      <x:c r="G12" s="7" t="str">
        <x:v>Perspective profonde, outils accessibles aux espèces de l’équipage. Construire trois profondeurs de décor avec variantes intacte et perturbée si utiles.</x:v>
      </x:c>
      <x:c r="H12" s="7" t="str">
        <x:v>Le décor signale la règle : Une autorisation ne suffit pas si le système reste compromis.</x:v>
      </x:c>
      <x:c r="I12" s="7" t="str">
        <x:v>Volumes sans microdétails illisibles ; surfaces dangereuses reconnues également en niveaux de gris.</x:v>
      </x:c>
      <x:c r="J12" s="7" t="str">
        <x:v>Animer seulement les repères actifs ; ne pas déplacer un obstacle statique après le calcul du chemin.</x:v>
      </x:c>
      <x:c r="K12" s="7" t="str">
        <x:v>Boucles très courtes évitées ; matériaux sonores propres aux interactions de cette zone.</x:v>
      </x:c>
      <x:c r="L12" s="7" t="str">
        <x:v>assets/ann/sets/bridge/ ; collider séparé du mesh et des ornements.</x:v>
      </x:c>
      <x:c r="M12" s="7" t="str">
        <x:v>Le capitaine demeure une personne avec informations limitées.</x:v>
      </x:c>
      <x:c r="N12" s="7" t="str">
        <x:v>Aucun détail décoratif ne ressemble à tort à une porte ; vue complète vérifiée en petite résolution.</x:v>
      </x:c>
      <x:c r="O12" s="7" t="str">
        <x:v>ANN-MAP-BRIDGE</x:v>
      </x:c>
      <x:c r="P12" s="7" t="str"/>
      <x:c r="Q12" s="7" t="str"/>
      <x:c r="R12" s="7" t="str"/>
      <x:c r="S12" s="7" t="str"/>
    </x:row>
    <x:row r="13" ht="54" customHeight="1">
      <x:c r="A13" s="18" t="str">
        <x:v>ANN-SET-QUARTERS</x:v>
      </x:c>
      <x:c r="B13" s="9" t="str">
        <x:v>Couloir de quartiers proposé — kit de décor</x:v>
      </x:c>
      <x:c r="C13" s="15" t="str">
        <x:v>Défini</x:v>
      </x:c>
      <x:c r="D13" s="16" t="str">
        <x:v>Extrapolation</x:v>
      </x:c>
      <x:c r="E13" s="16" t="str">
        <x:v>P1</x:v>
      </x:c>
      <x:c r="F13" s="9" t="str">
        <x:v>Production originale des éléments fixes de la carte liée.</x:v>
      </x:c>
      <x:c r="G13" s="9" t="str">
        <x:v>Objets individuels suggérés sans exposer les détails d’une biographie. Construire trois profondeurs de décor avec variantes intacte et perturbée si utiles.</x:v>
      </x:c>
      <x:c r="H13" s="9" t="str">
        <x:v>Le décor signale la règle : Une inspection demande motif et périmètre ; pas de pillage général.</x:v>
      </x:c>
      <x:c r="I13" s="9" t="str">
        <x:v>Volumes sans microdétails illisibles ; surfaces dangereuses reconnues également en niveaux de gris.</x:v>
      </x:c>
      <x:c r="J13" s="9" t="str">
        <x:v>Animer seulement les repères actifs ; ne pas déplacer un obstacle statique après le calcul du chemin.</x:v>
      </x:c>
      <x:c r="K13" s="9" t="str">
        <x:v>Boucles très courtes évitées ; matériaux sonores propres aux interactions de cette zone.</x:v>
      </x:c>
      <x:c r="L13" s="9" t="str">
        <x:v>assets/ann/sets/quarters/ ; collider séparé du mesh et des ornements.</x:v>
      </x:c>
      <x:c r="M13" s="9" t="str">
        <x:v>Les indices ajoutés ne remplacent pas la preuve du roman.</x:v>
      </x:c>
      <x:c r="N13" s="9" t="str">
        <x:v>Aucun détail décoratif ne ressemble à tort à une porte ; vue complète vérifiée en petite résolution.</x:v>
      </x:c>
      <x:c r="O13" s="9" t="str">
        <x:v>ANN-MAP-QUARTERS</x:v>
      </x:c>
      <x:c r="P13" s="9" t="str"/>
      <x:c r="Q13" s="9" t="str"/>
      <x:c r="R13" s="9" t="str"/>
      <x:c r="S13" s="9" t="str"/>
    </x:row>
    <x:row r="14" ht="54" customHeight="1">
      <x:c r="A14" s="19" t="str">
        <x:v>ANN-SET-SIGNAL</x:v>
      </x:c>
      <x:c r="B14" s="7" t="str">
        <x:v>Poste de signal proposé — kit de décor</x:v>
      </x:c>
      <x:c r="C14" s="15" t="str">
        <x:v>Défini</x:v>
      </x:c>
      <x:c r="D14" s="17" t="str">
        <x:v>Extrapolation</x:v>
      </x:c>
      <x:c r="E14" s="17" t="str">
        <x:v>P1</x:v>
      </x:c>
      <x:c r="F14" s="7" t="str">
        <x:v>Production originale des éléments fixes de la carte liée.</x:v>
      </x:c>
      <x:c r="G14" s="7" t="str">
        <x:v>Balises et interfaces claires, ambiance stable après crise. Construire trois profondeurs de décor avec variantes intacte et perturbée si utiles.</x:v>
      </x:c>
      <x:c r="H14" s="7" t="str">
        <x:v>Le décor signale la règle : Confirmer l’état du vaisseau avant émission d’un message original.</x:v>
      </x:c>
      <x:c r="I14" s="7" t="str">
        <x:v>Volumes sans microdétails illisibles ; surfaces dangereuses reconnues également en niveaux de gris.</x:v>
      </x:c>
      <x:c r="J14" s="7" t="str">
        <x:v>Animer seulement les repères actifs ; ne pas déplacer un obstacle statique après le calcul du chemin.</x:v>
      </x:c>
      <x:c r="K14" s="7" t="str">
        <x:v>Boucles très courtes évitées ; matériaux sonores propres aux interactions de cette zone.</x:v>
      </x:c>
      <x:c r="L14" s="7" t="str">
        <x:v>assets/ann/sets/signal/ ; collider séparé du mesh et des ornements.</x:v>
      </x:c>
      <x:c r="M14" s="7" t="str">
        <x:v>Ne pas inventer une arrivée de Ryder en réponse.</x:v>
      </x:c>
      <x:c r="N14" s="7" t="str">
        <x:v>Aucun détail décoratif ne ressemble à tort à une porte ; vue complète vérifiée en petite résolution.</x:v>
      </x:c>
      <x:c r="O14" s="7" t="str">
        <x:v>ANN-MAP-SIGNAL</x:v>
      </x:c>
      <x:c r="P14" s="7" t="str"/>
      <x:c r="Q14" s="7" t="str"/>
      <x:c r="R14" s="7" t="str"/>
      <x:c r="S14" s="7" t="str"/>
    </x:row>
  </x:sheetData>
  <x:conditionalFormatting sqref="D7:D14">
    <x:cfRule type="cellIs" dxfId="24" priority="1" operator="equal">
      <x:formula>"À vérifier"</x:formula>
    </x:cfRule>
    <x:cfRule type="cellIs" dxfId="25" priority="2" operator="equal">
      <x:formula>"Extrapolation"</x:formula>
    </x:cfRule>
  </x:conditionalFormatting>
  <x:conditionalFormatting sqref="C7:C14">
    <x:cfRule type="cellIs" dxfId="26" priority="3" operator="equal">
      <x:formula>"Validé"</x:formula>
    </x:cfRule>
  </x:conditionalFormatting>
  <x:conditionalFormatting sqref="E7:E14">
    <x:cfRule type="cellIs" dxfId="2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e73f4fe2a4a14079"/>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Andromeda: Annihilation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ANN-REF-FLOWERS</x:v>
      </x:c>
      <x:c r="B7" s="9" t="str">
        <x:v>Arrangement végétal du Radial</x:v>
      </x:c>
      <x:c r="C7" s="15" t="str">
        <x:v>Défini</x:v>
      </x:c>
      <x:c r="D7" s="16" t="str">
        <x:v>Établi</x:v>
      </x:c>
      <x:c r="E7" s="16" t="str">
        <x:v>P1</x:v>
      </x:c>
      <x:c r="F7" s="9" t="str">
        <x:v>La décoration commune cristallise une discussion entre espèces avant le voyage.</x:v>
      </x:c>
      <x:c r="G7" s="9" t="str">
        <x:v>Ancrage documentaire du module ; aucune statistique officielle inférée.</x:v>
      </x:c>
      <x:c r="H7" s="9" t="str"/>
      <x:c r="I7" s="9" t="str"/>
      <x:c r="J7" s="9" t="str"/>
      <x:c r="K7" s="9" t="str"/>
      <x:c r="L7" s="9" t="str">
        <x:v>Codex ref.ann.flowers ; affichage bref avec source.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ANN-SRC-SHIP</x:v>
      </x:c>
      <x:c r="R7" s="9" t="str">
        <x:v>https://masseffect.fandom.com/wiki/Keelah_Si%27yah</x:v>
      </x:c>
      <x:c r="S7" s="9" t="str">
        <x:v>Ce relevé n’est ni un inventaire exhaustif ni un résumé scène par scène.</x:v>
      </x:c>
    </x:row>
  </x:sheetData>
  <x:conditionalFormatting sqref="D7:D7">
    <x:cfRule type="cellIs" dxfId="28" priority="1" operator="equal">
      <x:formula>"À vérifier"</x:formula>
    </x:cfRule>
    <x:cfRule type="cellIs" dxfId="29" priority="2" operator="equal">
      <x:formula>"Extrapolation"</x:formula>
    </x:cfRule>
  </x:conditionalFormatting>
  <x:conditionalFormatting sqref="C7:C7">
    <x:cfRule type="cellIs" dxfId="30" priority="3" operator="equal">
      <x:formula>"Validé"</x:formula>
    </x:cfRule>
  </x:conditionalFormatting>
  <x:conditionalFormatting sqref="E7:E7">
    <x:cfRule type="cellIs" dxfId="3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c881b3e942241bb"/>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Andromeda: Annihilation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ANN-ENC-SENSOR</x:v>
      </x:c>
      <x:c r="B7" s="9" t="str">
        <x:v>Capteur mensonger</x:v>
      </x:c>
      <x:c r="C7" s="15" t="str">
        <x:v>Défini</x:v>
      </x:c>
      <x:c r="D7" s="16" t="str">
        <x:v>Extrapolation</x:v>
      </x:c>
      <x:c r="E7" s="16" t="str">
        <x:v>P1</x:v>
      </x:c>
      <x:c r="F7" s="9" t="str">
        <x:v>Rencontre originale proposée : Boss de diagnostic original inspiré des systèmes défaillants.</x:v>
      </x:c>
      <x:c r="G7" s="9" t="str">
        <x:v>Opposition ou crise scénarisée pour le groupe ; ne pas attribuer au roman une barre de vie ou un rang de boss.</x:v>
      </x:c>
      <x:c r="H7" s="9" t="str">
        <x:v>Affiche un état sûr alors qu’un accès local signale le contraire. Réponse du joueur : Vérifier depuis le secteur avant d’ouvrir le passage.</x:v>
      </x:c>
      <x:c r="I7" s="9" t="str">
        <x:v>Double indicateur et étiquette source distincte.</x:v>
      </x:c>
      <x:c r="J7" s="9" t="str">
        <x:v>Anticipation identifiable, action, récupération exploitable ; variante de sortie non létale lorsque pertinente.</x:v>
      </x:c>
      <x:c r="K7" s="9" t="str">
        <x:v>Motif de danger spécifique, sous-titre bref et avertissement visuel.</x:v>
      </x:c>
      <x:c r="L7" s="9" t="str">
        <x:v>encounters/ann/sensor.json ; activer seulement dans les zones prévues.</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Un joueur découvre la contre-mesure par le télégraphe ; la résolution ne modifie aucun destin établi.</x:v>
      </x:c>
      <x:c r="O7" s="9" t="str"/>
      <x:c r="P7" s="9" t="str"/>
      <x:c r="Q7" s="9" t="str"/>
      <x:c r="R7" s="9" t="str"/>
      <x:c r="S7" s="9" t="str">
        <x:v>Tous comportements et réglages de combat sont du design original.</x:v>
      </x:c>
    </x:row>
    <x:row r="8" ht="82" customHeight="1">
      <x:c r="A8" s="19" t="str">
        <x:v>ANN-ENC-PANIC</x:v>
      </x:c>
      <x:c r="B8" s="7" t="str">
        <x:v>Couloir encombré</x:v>
      </x:c>
      <x:c r="C8" s="15" t="str">
        <x:v>Défini</x:v>
      </x:c>
      <x:c r="D8" s="17" t="str">
        <x:v>Extrapolation</x:v>
      </x:c>
      <x:c r="E8" s="17" t="str">
        <x:v>P1</x:v>
      </x:c>
      <x:c r="F8" s="7" t="str">
        <x:v>Rencontre originale proposée : Rencontre sociale originale avec passagers en détresse.</x:v>
      </x:c>
      <x:c r="G8" s="7" t="str">
        <x:v>Opposition ou crise scénarisée pour le groupe ; ne pas attribuer au roman une barre de vie ou un rang de boss.</x:v>
      </x:c>
      <x:c r="H8" s="7" t="str">
        <x:v>Ferme progressivement la circulation lorsque les consignes se contredisent. Réponse du joueur : Clarifier, ouvrir une zone de repos et déplacer le groupe lentement.</x:v>
      </x:c>
      <x:c r="I8" s="7" t="str">
        <x:v>Flux de silhouettes et bulles d’incompréhension.</x:v>
      </x:c>
      <x:c r="J8" s="7" t="str">
        <x:v>Anticipation identifiable, action, récupération exploitable ; variante de sortie non létale lorsque pertinente.</x:v>
      </x:c>
      <x:c r="K8" s="7" t="str">
        <x:v>Motif de danger spécifique, sous-titre bref et avertissement visuel.</x:v>
      </x:c>
      <x:c r="L8" s="7" t="str">
        <x:v>encounters/ann/panic.json ; activer seulement dans les zones prévues.</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Un joueur découvre la contre-mesure par le télégraphe ; la résolution ne modifie aucun destin établi.</x:v>
      </x:c>
      <x:c r="O8" s="7" t="str"/>
      <x:c r="P8" s="7" t="str"/>
      <x:c r="Q8" s="7" t="str"/>
      <x:c r="R8" s="7" t="str"/>
      <x:c r="S8" s="7" t="str">
        <x:v>Tous comportements et réglages de combat sont du design original.</x:v>
      </x:c>
    </x:row>
    <x:row r="9" ht="82" customHeight="1">
      <x:c r="A9" s="18" t="str">
        <x:v>ANN-ENC-MACHINE</x:v>
      </x:c>
      <x:c r="B9" s="9" t="str">
        <x:v>Bras de maintenance bloqué</x:v>
      </x:c>
      <x:c r="C9" s="15" t="str">
        <x:v>Défini</x:v>
      </x:c>
      <x:c r="D9" s="16" t="str">
        <x:v>Extrapolation</x:v>
      </x:c>
      <x:c r="E9" s="16" t="str">
        <x:v>P1</x:v>
      </x:c>
      <x:c r="F9" s="9" t="str">
        <x:v>Rencontre originale proposée : Obstacle mécanique ajouté à la réserve.</x:v>
      </x:c>
      <x:c r="G9" s="9" t="str">
        <x:v>Opposition ou crise scénarisée pour le groupe ; ne pas attribuer au roman une barre de vie ou un rang de boss.</x:v>
      </x:c>
      <x:c r="H9" s="9" t="str">
        <x:v>Balaye une portion de passage à intervalles annoncés. Réponse du joueur : Couper le circuit depuis le poste accessible.</x:v>
      </x:c>
      <x:c r="I9" s="9" t="str">
        <x:v>Lumière de bras et ombre de la zone balayée.</x:v>
      </x:c>
      <x:c r="J9" s="9" t="str">
        <x:v>Anticipation identifiable, action, récupération exploitable ; variante de sortie non létale lorsque pertinente.</x:v>
      </x:c>
      <x:c r="K9" s="9" t="str">
        <x:v>Motif de danger spécifique, sous-titre bref et avertissement visuel.</x:v>
      </x:c>
      <x:c r="L9" s="9" t="str">
        <x:v>encounters/ann/machine.json ; activer seulement dans les zones prévues.</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Un joueur découvre la contre-mesure par le télégraphe ; la résolution ne modifie aucun destin établi.</x:v>
      </x:c>
      <x:c r="O9" s="9" t="str"/>
      <x:c r="P9" s="9" t="str"/>
      <x:c r="Q9" s="9" t="str"/>
      <x:c r="R9" s="9" t="str"/>
      <x:c r="S9" s="9" t="str">
        <x:v>Tous comportements et réglages de combat sont du design original.</x:v>
      </x:c>
    </x:row>
    <x:row r="10" ht="82" customHeight="1">
      <x:c r="A10" s="19" t="str">
        <x:v>ANN-ENC-SUSPECT</x:v>
      </x:c>
      <x:c r="B10" s="7" t="str">
        <x:v>Contradiction non résolue</x:v>
      </x:c>
      <x:c r="C10" s="15" t="str">
        <x:v>Défini</x:v>
      </x:c>
      <x:c r="D10" s="17" t="str">
        <x:v>Extrapolation</x:v>
      </x:c>
      <x:c r="E10" s="17" t="str">
        <x:v>P1</x:v>
      </x:c>
      <x:c r="F10" s="7" t="str">
        <x:v>Rencontre originale proposée : Confrontation d’enquête proposée sans combat contre un suspect.</x:v>
      </x:c>
      <x:c r="G10" s="7" t="str">
        <x:v>Opposition ou crise scénarisée pour le groupe ; ne pas attribuer au roman une barre de vie ou un rang de boss.</x:v>
      </x:c>
      <x:c r="H10" s="7" t="str">
        <x:v>Rend une conclusion prématurée si les sources ne sont pas séparées. Réponse du joueur : Chercher un constat indépendant et laisser la conclusion ouverte.</x:v>
      </x:c>
      <x:c r="I10" s="7" t="str">
        <x:v>Carte de conclusion en pointillés et avertissement de preuve manquante.</x:v>
      </x:c>
      <x:c r="J10" s="7" t="str">
        <x:v>Anticipation identifiable, action, récupération exploitable ; variante de sortie non létale lorsque pertinente.</x:v>
      </x:c>
      <x:c r="K10" s="7" t="str">
        <x:v>Motif de danger spécifique, sous-titre bref et avertissement visuel.</x:v>
      </x:c>
      <x:c r="L10" s="7" t="str">
        <x:v>encounters/ann/suspect.json ; activer seulement dans les zones prévues.</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Un joueur découvre la contre-mesure par le télégraphe ; la résolution ne modifie aucun destin établi.</x:v>
      </x:c>
      <x:c r="O10" s="7" t="str"/>
      <x:c r="P10" s="7" t="str"/>
      <x:c r="Q10" s="7" t="str"/>
      <x:c r="R10" s="7" t="str"/>
      <x:c r="S10" s="7" t="str">
        <x:v>Tous comportements et réglages de combat sont du design original.</x:v>
      </x:c>
    </x:row>
  </x:sheetData>
  <x:conditionalFormatting sqref="D7:D10">
    <x:cfRule type="cellIs" dxfId="32" priority="1" operator="equal">
      <x:formula>"À vérifier"</x:formula>
    </x:cfRule>
    <x:cfRule type="cellIs" dxfId="33" priority="2" operator="equal">
      <x:formula>"Extrapolation"</x:formula>
    </x:cfRule>
  </x:conditionalFormatting>
  <x:conditionalFormatting sqref="C7:C10">
    <x:cfRule type="cellIs" dxfId="34" priority="3" operator="equal">
      <x:formula>"Validé"</x:formula>
    </x:cfRule>
  </x:conditionalFormatting>
  <x:conditionalFormatting sqref="E7:E10">
    <x:cfRule type="cellIs" dxfId="3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56d1980e1bcd4dbc"/>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Andromeda: Annihilation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ANN-MIS-WAKE</x:v>
      </x:c>
      <x:c r="B7" s="9" t="str">
        <x:v>Répartir les premières vérifications</x:v>
      </x:c>
      <x:c r="C7" s="15" t="str">
        <x:v>Défini</x:v>
      </x:c>
      <x:c r="D7" s="16" t="str">
        <x:v>Extrapolation</x:v>
      </x:c>
      <x:c r="E7" s="16" t="str">
        <x:v>P0</x:v>
      </x:c>
      <x:c r="F7" s="9" t="str">
        <x:v>Mission originale d’adaptation, inspirée d’un enjeu général de l’œuvre.</x:v>
      </x:c>
      <x:c r="G7" s="9" t="str">
        <x:v>Coordonner Blue-7 autour d’une anomalie de routine originale.</x:v>
      </x:c>
      <x:c r="H7" s="9" t="str">
        <x:v>Attribuer matériel, systèmes et témoignages à des binômes ; chaque binôme rapporte un fait et une question.</x:v>
      </x:c>
      <x:c r="I7" s="9" t="str">
        <x:v>Objectif spatial associé à Radial — hub proposé ; états non commencé/en cours/résolu distingués.</x:v>
      </x:c>
      <x:c r="J7" s="9" t="str">
        <x:v>Entrée contrôlée, actions de groupe et fin interruptible avant sauvegarde ; aucune animation ne décide seule du résultat.</x:v>
      </x:c>
      <x:c r="K7" s="9" t="str">
        <x:v>Briefing original concis ; changement de musique à la résolution d’objectif, pas après un délai arbitraire.</x:v>
      </x:c>
      <x:c r="L7" s="9" t="str">
        <x:v>quests/ann/wake.json ; états offered/active/resolved ; clés de progression propres au module.</x:v>
      </x:c>
      <x:c r="M7" s="9" t="str">
        <x:v>Ne pas révéler le responsable avant l’étape validée du récit.</x:v>
      </x:c>
      <x:c r="N7" s="9" t="str">
        <x:v>Le joueur peut accomplir « Coordonner Blue-7 autour d’une anomalie de routine originale. » et la sortie confirme le résultat ; Ne pas révéler le responsable avant l’étape validée du récit.</x:v>
      </x:c>
      <x:c r="O7" s="9" t="str">
        <x:v>ANN-MAP-RADIAL</x:v>
      </x:c>
      <x:c r="P7" s="9" t="str"/>
      <x:c r="Q7" s="9" t="str"/>
      <x:c r="R7" s="9" t="str"/>
      <x:c r="S7" s="9" t="str"/>
    </x:row>
    <x:row r="8" ht="68" customHeight="1">
      <x:c r="A8" s="19" t="str">
        <x:v>ANN-MIS-CONFIRM</x:v>
      </x:c>
      <x:c r="B8" s="7" t="str">
        <x:v>Comparer affichage et présence</x:v>
      </x:c>
      <x:c r="C8" s="15" t="str">
        <x:v>Défini</x:v>
      </x:c>
      <x:c r="D8" s="17" t="str">
        <x:v>Extrapolation</x:v>
      </x:c>
      <x:c r="E8" s="17" t="str">
        <x:v>P0</x:v>
      </x:c>
      <x:c r="F8" s="7" t="str">
        <x:v>Mission originale d’adaptation, inspirée d’un enjeu général de l’œuvre.</x:v>
      </x:c>
      <x:c r="G8" s="7" t="str">
        <x:v>Comprendre qu’une lecture système peut contredire la réalité observée.</x:v>
      </x:c>
      <x:c r="H8" s="7" t="str">
        <x:v>Consigner le statut affiché, le constat et la source ; ne pas choisir au hasard une valeur.</x:v>
      </x:c>
      <x:c r="I8" s="7" t="str">
        <x:v>Objectif spatial associé à Section de capsules drell proposée ; états non commencé/en cours/résolu distingués.</x:v>
      </x:c>
      <x:c r="J8" s="7" t="str">
        <x:v>Entrée contrôlée, actions de groupe et fin interruptible avant sauvegarde ; aucune animation ne décide seule du résultat.</x:v>
      </x:c>
      <x:c r="K8" s="7" t="str">
        <x:v>Briefing original concis ; changement de musique à la résolution d’objectif, pas après un délai arbitraire.</x:v>
      </x:c>
      <x:c r="L8" s="7" t="str">
        <x:v>quests/ann/confirm.json ; états offered/active/resolved ; clés de progression propres au module.</x:v>
      </x:c>
      <x:c r="M8" s="7" t="str">
        <x:v>Pas de simulation clinique réaliste ou récit détaillé des décès.</x:v>
      </x:c>
      <x:c r="N8" s="7" t="str">
        <x:v>Le joueur peut accomplir « Comprendre qu’une lecture système peut contredire la réalité observée. » et la sortie confirme le résultat ; Pas de simulation clinique réaliste ou récit détaillé des décès.</x:v>
      </x:c>
      <x:c r="O8" s="7" t="str">
        <x:v>ANN-MAP-PODS</x:v>
      </x:c>
      <x:c r="P8" s="7" t="str"/>
      <x:c r="Q8" s="7" t="str"/>
      <x:c r="R8" s="7" t="str"/>
      <x:c r="S8" s="7" t="str"/>
    </x:row>
    <x:row r="9" ht="68" customHeight="1">
      <x:c r="A9" s="18" t="str">
        <x:v>ANN-MIS-MEASURE</x:v>
      </x:c>
      <x:c r="B9" s="9" t="str">
        <x:v>Obtenir une mesure indépendante</x:v>
      </x:c>
      <x:c r="C9" s="15" t="str">
        <x:v>Défini</x:v>
      </x:c>
      <x:c r="D9" s="16" t="str">
        <x:v>Extrapolation</x:v>
      </x:c>
      <x:c r="E9" s="16" t="str">
        <x:v>P0</x:v>
      </x:c>
      <x:c r="F9" s="9" t="str">
        <x:v>Mission originale d’adaptation, inspirée d’un enjeu général de l’œuvre.</x:v>
      </x:c>
      <x:c r="G9" s="9" t="str">
        <x:v>Rassembler un kit d’analyse fictif quand les instruments ne suffisent plus.</x:v>
      </x:c>
      <x:c r="H9" s="9" t="str">
        <x:v>Combiner outil, alimentation et témoin neutre ; résultat qualitatif abstrait.</x:v>
      </x:c>
      <x:c r="I9" s="9" t="str">
        <x:v>Objectif spatial associé à Unité de soin proposée ; états non commencé/en cours/résolu distingués.</x:v>
      </x:c>
      <x:c r="J9" s="9" t="str">
        <x:v>Entrée contrôlée, actions de groupe et fin interruptible avant sauvegarde ; aucune animation ne décide seule du résultat.</x:v>
      </x:c>
      <x:c r="K9" s="9" t="str">
        <x:v>Briefing original concis ; changement de musique à la résolution d’objectif, pas après un délai arbitraire.</x:v>
      </x:c>
      <x:c r="L9" s="9" t="str">
        <x:v>quests/ann/measure.json ; états offered/active/resolved ; clés de progression propres au module.</x:v>
      </x:c>
      <x:c r="M9" s="9" t="str">
        <x:v>Aucun dosage, culture de pathogène ou traitement réel.</x:v>
      </x:c>
      <x:c r="N9" s="9" t="str">
        <x:v>Le joueur peut accomplir « Rassembler un kit d’analyse fictif quand les instruments ne suffisent plus. » et la sortie confirme le résultat ; Aucun dosage, culture de pathogène ou traitement réel.</x:v>
      </x:c>
      <x:c r="O9" s="9" t="str">
        <x:v>ANN-MAP-MED</x:v>
      </x:c>
      <x:c r="P9" s="9" t="str"/>
      <x:c r="Q9" s="9" t="str"/>
      <x:c r="R9" s="9" t="str"/>
      <x:c r="S9" s="9" t="str"/>
    </x:row>
    <x:row r="10" ht="68" customHeight="1">
      <x:c r="A10" s="19" t="str">
        <x:v>ANN-MIS-RECOVER</x:v>
      </x:c>
      <x:c r="B10" s="7" t="str">
        <x:v>Retrouver un matériel déplacé</x:v>
      </x:c>
      <x:c r="C10" s="15" t="str">
        <x:v>Défini</x:v>
      </x:c>
      <x:c r="D10" s="17" t="str">
        <x:v>Extrapolation</x:v>
      </x:c>
      <x:c r="E10" s="17" t="str">
        <x:v>P0</x:v>
      </x:c>
      <x:c r="F10" s="7" t="str">
        <x:v>Mission originale d’adaptation, inspirée d’un enjeu général de l’œuvre.</x:v>
      </x:c>
      <x:c r="G10" s="7" t="str">
        <x:v>Inspecter une réserve pour un outil précis et une trace administrative.</x:v>
      </x:c>
      <x:c r="H10" s="7" t="str">
        <x:v>Comparer manifeste, marque de caisse et inventaire réel.</x:v>
      </x:c>
      <x:c r="I10" s="7" t="str">
        <x:v>Objectif spatial associé à Réserve de bord proposée ; états non commencé/en cours/résolu distingués.</x:v>
      </x:c>
      <x:c r="J10" s="7" t="str">
        <x:v>Entrée contrôlée, actions de groupe et fin interruptible avant sauvegarde ; aucune animation ne décide seule du résultat.</x:v>
      </x:c>
      <x:c r="K10" s="7" t="str">
        <x:v>Briefing original concis ; changement de musique à la résolution d’objectif, pas après un délai arbitraire.</x:v>
      </x:c>
      <x:c r="L10" s="7" t="str">
        <x:v>quests/ann/recover.json ; états offered/active/resolved ; clés de progression propres au module.</x:v>
      </x:c>
      <x:c r="M10" s="7" t="str">
        <x:v>Ne pas traiter l’espèce du détenteur comme indice de culpabilité.</x:v>
      </x:c>
      <x:c r="N10" s="7" t="str">
        <x:v>Le joueur peut accomplir « Inspecter une réserve pour un outil précis et une trace administrative. » et la sortie confirme le résultat ; Ne pas traiter l’espèce du détenteur comme indice de culpabilité.</x:v>
      </x:c>
      <x:c r="O10" s="7" t="str">
        <x:v>ANN-MAP-CARGO</x:v>
      </x:c>
      <x:c r="P10" s="7" t="str"/>
      <x:c r="Q10" s="7" t="str"/>
      <x:c r="R10" s="7" t="str"/>
      <x:c r="S10" s="7" t="str"/>
    </x:row>
    <x:row r="11" ht="68" customHeight="1">
      <x:c r="A11" s="18" t="str">
        <x:v>ANN-MIS-RECONCILE</x:v>
      </x:c>
      <x:c r="B11" s="9" t="str">
        <x:v>Réconcilier deux états de système</x:v>
      </x:c>
      <x:c r="C11" s="15" t="str">
        <x:v>Défini</x:v>
      </x:c>
      <x:c r="D11" s="16" t="str">
        <x:v>Extrapolation</x:v>
      </x:c>
      <x:c r="E11" s="16" t="str">
        <x:v>P0</x:v>
      </x:c>
      <x:c r="F11" s="9" t="str">
        <x:v>Mission originale d’adaptation, inspirée d’un enjeu général de l’œuvre.</x:v>
      </x:c>
      <x:c r="G11" s="9" t="str">
        <x:v>Stabiliser une zone et comprendre pourquoi les données divergent.</x:v>
      </x:c>
      <x:c r="H11" s="9" t="str">
        <x:v>Valider une commande depuis un poste distant puis depuis le secteur concerné.</x:v>
      </x:c>
      <x:c r="I11" s="9" t="str">
        <x:v>Objectif spatial associé à Salle des environnements proposée ; états non commencé/en cours/résolu distingués.</x:v>
      </x:c>
      <x:c r="J11" s="9" t="str">
        <x:v>Entrée contrôlée, actions de groupe et fin interruptible avant sauvegarde ; aucune animation ne décide seule du résultat.</x:v>
      </x:c>
      <x:c r="K11" s="9" t="str">
        <x:v>Briefing original concis ; changement de musique à la résolution d’objectif, pas après un délai arbitraire.</x:v>
      </x:c>
      <x:c r="L11" s="9" t="str">
        <x:v>quests/ann/reconcile.json ; états offered/active/resolved ; clés de progression propres au module.</x:v>
      </x:c>
      <x:c r="M11" s="9" t="str">
        <x:v>La réparation locale ne résout pas instantanément la maladie.</x:v>
      </x:c>
      <x:c r="N11" s="9" t="str">
        <x:v>Le joueur peut accomplir « Stabiliser une zone et comprendre pourquoi les données divergent. » et la sortie confirme le résultat ; La réparation locale ne résout pas instantanément la maladie.</x:v>
      </x:c>
      <x:c r="O11" s="9" t="str">
        <x:v>ANN-MAP-ENV</x:v>
      </x:c>
      <x:c r="P11" s="9" t="str"/>
      <x:c r="Q11" s="9" t="str"/>
      <x:c r="R11" s="9" t="str"/>
      <x:c r="S11" s="9" t="str"/>
    </x:row>
    <x:row r="12" ht="68" customHeight="1">
      <x:c r="A12" s="19" t="str">
        <x:v>ANN-MIS-QUESTION</x:v>
      </x:c>
      <x:c r="B12" s="7" t="str">
        <x:v>Conduire une demande d’explication</x:v>
      </x:c>
      <x:c r="C12" s="15" t="str">
        <x:v>Défini</x:v>
      </x:c>
      <x:c r="D12" s="17" t="str">
        <x:v>Extrapolation</x:v>
      </x:c>
      <x:c r="E12" s="17" t="str">
        <x:v>P0</x:v>
      </x:c>
      <x:c r="F12" s="7" t="str">
        <x:v>Mission originale d’adaptation, inspirée d’un enjeu général de l’œuvre.</x:v>
      </x:c>
      <x:c r="G12" s="7" t="str">
        <x:v>Faire reconnaître une contradiction sans condamner un suspect par défaut.</x:v>
      </x:c>
      <x:c r="H12" s="7" t="str">
        <x:v>Présenter un constat précis, demander sa source et laisser une réponse être contestée.</x:v>
      </x:c>
      <x:c r="I12" s="7" t="str">
        <x:v>Objectif spatial associé à Pont de commandement proposé ; états non commencé/en cours/résolu distingués.</x:v>
      </x:c>
      <x:c r="J12" s="7" t="str">
        <x:v>Entrée contrôlée, actions de groupe et fin interruptible avant sauvegarde ; aucune animation ne décide seule du résultat.</x:v>
      </x:c>
      <x:c r="K12" s="7" t="str">
        <x:v>Briefing original concis ; changement de musique à la résolution d’objectif, pas après un délai arbitraire.</x:v>
      </x:c>
      <x:c r="L12" s="7" t="str">
        <x:v>quests/ann/question.json ; états offered/active/resolved ; clés de progression propres au module.</x:v>
      </x:c>
      <x:c r="M12" s="7" t="str">
        <x:v>Les responsabilités et sanctions du livre restent à relire avant intégration.</x:v>
      </x:c>
      <x:c r="N12" s="7" t="str">
        <x:v>Le joueur peut accomplir « Faire reconnaître une contradiction sans condamner un suspect par défaut. » et la sortie confirme le résultat ; Les responsabilités et sanctions du livre restent à relire avant intégration.</x:v>
      </x:c>
      <x:c r="O12" s="7" t="str">
        <x:v>ANN-MAP-BRIDGE</x:v>
      </x:c>
      <x:c r="P12" s="7" t="str"/>
      <x:c r="Q12" s="7" t="str"/>
      <x:c r="R12" s="7" t="str"/>
      <x:c r="S12" s="7" t="str"/>
    </x:row>
    <x:row r="13" ht="68" customHeight="1">
      <x:c r="A13" s="18" t="str">
        <x:v>ANN-MIS-PROTECT</x:v>
      </x:c>
      <x:c r="B13" s="9" t="str">
        <x:v>Préserver les passagers éveillés</x:v>
      </x:c>
      <x:c r="C13" s="15" t="str">
        <x:v>Défini</x:v>
      </x:c>
      <x:c r="D13" s="16" t="str">
        <x:v>Extrapolation</x:v>
      </x:c>
      <x:c r="E13" s="16" t="str">
        <x:v>P0</x:v>
      </x:c>
      <x:c r="F13" s="9" t="str">
        <x:v>Mission originale d’adaptation, inspirée d’un enjeu général de l’œuvre.</x:v>
      </x:c>
      <x:c r="G13" s="9" t="str">
        <x:v>Organiser une circulation sûre pendant une montée de confusion.</x:v>
      </x:c>
      <x:c r="H13" s="9" t="str">
        <x:v>Ouvrir chemins, calmer des points de blocage et distinguer malade et agresseur.</x:v>
      </x:c>
      <x:c r="I13" s="9" t="str">
        <x:v>Objectif spatial associé à Couloir de quartiers proposé ; états non commencé/en cours/résolu distingués.</x:v>
      </x:c>
      <x:c r="J13" s="9" t="str">
        <x:v>Entrée contrôlée, actions de groupe et fin interruptible avant sauvegarde ; aucune animation ne décide seule du résultat.</x:v>
      </x:c>
      <x:c r="K13" s="9" t="str">
        <x:v>Briefing original concis ; changement de musique à la résolution d’objectif, pas après un délai arbitraire.</x:v>
      </x:c>
      <x:c r="L13" s="9" t="str">
        <x:v>quests/ann/protect.json ; états offered/active/resolved ; clés de progression propres au module.</x:v>
      </x:c>
      <x:c r="M13" s="9" t="str">
        <x:v>Aucune faction ennemie fondée sur une espèce ou un symptôme.</x:v>
      </x:c>
      <x:c r="N13" s="9" t="str">
        <x:v>Le joueur peut accomplir « Organiser une circulation sûre pendant une montée de confusion. » et la sortie confirme le résultat ; Aucune faction ennemie fondée sur une espèce ou un symptôme.</x:v>
      </x:c>
      <x:c r="O13" s="9" t="str">
        <x:v>ANN-MAP-QUARTERS</x:v>
      </x:c>
      <x:c r="P13" s="9" t="str"/>
      <x:c r="Q13" s="9" t="str"/>
      <x:c r="R13" s="9" t="str"/>
      <x:c r="S13" s="9" t="str"/>
    </x:row>
    <x:row r="14" ht="68" customHeight="1">
      <x:c r="A14" s="19" t="str">
        <x:v>ANN-MIS-STATE</x:v>
      </x:c>
      <x:c r="B14" s="7" t="str">
        <x:v>Consigner un état de voyage</x:v>
      </x:c>
      <x:c r="C14" s="15" t="str">
        <x:v>Défini</x:v>
      </x:c>
      <x:c r="D14" s="17" t="str">
        <x:v>Extrapolation</x:v>
      </x:c>
      <x:c r="E14" s="17" t="str">
        <x:v>P0</x:v>
      </x:c>
      <x:c r="F14" s="7" t="str">
        <x:v>Mission originale d’adaptation, inspirée d’un enjeu général de l’œuvre.</x:v>
      </x:c>
      <x:c r="G14" s="7" t="str">
        <x:v>Clore le module avec un rapport limité aux faits établis.</x:v>
      </x:c>
      <x:c r="H14" s="7" t="str">
        <x:v>Valider intégrité locale, observations médicales abstraites et points encore incertains.</x:v>
      </x:c>
      <x:c r="I14" s="7" t="str">
        <x:v>Objectif spatial associé à Poste de signal proposé ; états non commencé/en cours/résolu distingués.</x:v>
      </x:c>
      <x:c r="J14" s="7" t="str">
        <x:v>Entrée contrôlée, actions de groupe et fin interruptible avant sauvegarde ; aucune animation ne décide seule du résultat.</x:v>
      </x:c>
      <x:c r="K14" s="7" t="str">
        <x:v>Briefing original concis ; changement de musique à la résolution d’objectif, pas après un délai arbitraire.</x:v>
      </x:c>
      <x:c r="L14" s="7" t="str">
        <x:v>quests/ann/state.json ; états offered/active/resolved ; clés de progression propres au module.</x:v>
      </x:c>
      <x:c r="M14" s="7" t="str">
        <x:v>La suite vers Andromède n’est pas transformée en DLC officiel inventé.</x:v>
      </x:c>
      <x:c r="N14" s="7" t="str">
        <x:v>Le joueur peut accomplir « Clore le module avec un rapport limité aux faits établis. » et la sortie confirme le résultat ; La suite vers Andromède n’est pas transformée en DLC officiel inventé.</x:v>
      </x:c>
      <x:c r="O14" s="7" t="str">
        <x:v>ANN-MAP-SIGNAL</x:v>
      </x:c>
      <x:c r="P14" s="7" t="str"/>
      <x:c r="Q14" s="7" t="str"/>
      <x:c r="R14" s="7" t="str"/>
      <x:c r="S14" s="7" t="str"/>
    </x:row>
  </x:sheetData>
  <x:conditionalFormatting sqref="D7:D14">
    <x:cfRule type="cellIs" dxfId="36" priority="1" operator="equal">
      <x:formula>"À vérifier"</x:formula>
    </x:cfRule>
    <x:cfRule type="cellIs" dxfId="37" priority="2" operator="equal">
      <x:formula>"Extrapolation"</x:formula>
    </x:cfRule>
  </x:conditionalFormatting>
  <x:conditionalFormatting sqref="C7:C14">
    <x:cfRule type="cellIs" dxfId="38" priority="3" operator="equal">
      <x:formula>"Validé"</x:formula>
    </x:cfRule>
  </x:conditionalFormatting>
  <x:conditionalFormatting sqref="E7:E14">
    <x:cfRule type="cellIs" dxfId="3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6d71d106bdcb495c"/>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Andromeda: Annihilation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ANN-OPT-WAKE</x:v>
      </x:c>
      <x:c r="B7" s="9" t="str">
        <x:v>Répartir les premières vérifications — tâche annexe</x:v>
      </x:c>
      <x:c r="C7" s="15" t="str">
        <x:v>Défini</x:v>
      </x:c>
      <x:c r="D7" s="16" t="str">
        <x:v>Extrapolation</x:v>
      </x:c>
      <x:c r="E7" s="16" t="str">
        <x:v>P1</x:v>
      </x:c>
      <x:c r="F7" s="9" t="str">
        <x:v>Objectif annexe créé pour l’adaptation.</x:v>
      </x:c>
      <x:c r="G7" s="9" t="str">
        <x:v>Vérifier l’arrosage de la composition végétale comme geste de vie commune.</x:v>
      </x:c>
      <x:c r="H7" s="9" t="str">
        <x:v>Récompense proposée : renseignement de terrain, raccourci ou consommable local. Ne débloque aucun savoir anticipé sur la saga.</x:v>
      </x:c>
      <x:c r="I7" s="9" t="str">
        <x:v>Marqueur secondaire distinct du chemin critique et objet d’intérêt cadré lisiblement.</x:v>
      </x:c>
      <x:c r="J7" s="9" t="str">
        <x:v>Interaction brève réutilisant les poses du métier concerné, avec interruption possible.</x:v>
      </x:c>
      <x:c r="K7" s="9" t="str">
        <x:v>Petit signal de découverte ; résultat textuel consultable sans audio.</x:v>
      </x:c>
      <x:c r="L7" s="9" t="str">
        <x:v>optional.ann.wake ; persister done/skipped, récompenser une seule fois.</x:v>
      </x:c>
      <x:c r="M7" s="9" t="str">
        <x:v>Facultatif ; peut être ignoré sans bloquer la mission. Ne pas révéler le responsable avant l’étape validée du récit.</x:v>
      </x:c>
      <x:c r="N7" s="9" t="str">
        <x:v>Ignorer puis terminer la mission fonctionne ; compléter ne verse la récompense qu’une fois.</x:v>
      </x:c>
      <x:c r="O7" s="9" t="str">
        <x:v>ANN-MIS-WAKE</x:v>
      </x:c>
      <x:c r="P7" s="9" t="str"/>
      <x:c r="Q7" s="9" t="str"/>
      <x:c r="R7" s="9" t="str"/>
      <x:c r="S7" s="9" t="str"/>
    </x:row>
    <x:row r="8" ht="54" customHeight="1">
      <x:c r="A8" s="19" t="str">
        <x:v>ANN-OPT-CONFIRM</x:v>
      </x:c>
      <x:c r="B8" s="7" t="str">
        <x:v>Comparer affichage et présence — tâche annexe</x:v>
      </x:c>
      <x:c r="C8" s="15" t="str">
        <x:v>Défini</x:v>
      </x:c>
      <x:c r="D8" s="17" t="str">
        <x:v>Extrapolation</x:v>
      </x:c>
      <x:c r="E8" s="17" t="str">
        <x:v>P1</x:v>
      </x:c>
      <x:c r="F8" s="7" t="str">
        <x:v>Objectif annexe créé pour l’adaptation.</x:v>
      </x:c>
      <x:c r="G8" s="7" t="str">
        <x:v>Rétablir un éclairage local pour faciliter le passage des équipes.</x:v>
      </x:c>
      <x:c r="H8" s="7" t="str">
        <x:v>Récompense proposée : renseignement de terrain, raccourci ou consommable local. Ne débloque aucun savoir anticipé sur la saga.</x:v>
      </x:c>
      <x:c r="I8" s="7" t="str">
        <x:v>Marqueur secondaire distinct du chemin critique et objet d’intérêt cadré lisiblement.</x:v>
      </x:c>
      <x:c r="J8" s="7" t="str">
        <x:v>Interaction brève réutilisant les poses du métier concerné, avec interruption possible.</x:v>
      </x:c>
      <x:c r="K8" s="7" t="str">
        <x:v>Petit signal de découverte ; résultat textuel consultable sans audio.</x:v>
      </x:c>
      <x:c r="L8" s="7" t="str">
        <x:v>optional.ann.confirm ; persister done/skipped, récompenser une seule fois.</x:v>
      </x:c>
      <x:c r="M8" s="7" t="str">
        <x:v>Facultatif ; peut être ignoré sans bloquer la mission. Pas de simulation clinique réaliste ou récit détaillé des décès.</x:v>
      </x:c>
      <x:c r="N8" s="7" t="str">
        <x:v>Ignorer puis terminer la mission fonctionne ; compléter ne verse la récompense qu’une fois.</x:v>
      </x:c>
      <x:c r="O8" s="7" t="str">
        <x:v>ANN-MIS-CONFIRM</x:v>
      </x:c>
      <x:c r="P8" s="7" t="str"/>
      <x:c r="Q8" s="7" t="str"/>
      <x:c r="R8" s="7" t="str"/>
      <x:c r="S8" s="7" t="str"/>
    </x:row>
    <x:row r="9" ht="54" customHeight="1">
      <x:c r="A9" s="18" t="str">
        <x:v>ANN-OPT-MEASURE</x:v>
      </x:c>
      <x:c r="B9" s="9" t="str">
        <x:v>Obtenir une mesure indépendante — tâche annexe</x:v>
      </x:c>
      <x:c r="C9" s="15" t="str">
        <x:v>Défini</x:v>
      </x:c>
      <x:c r="D9" s="16" t="str">
        <x:v>Extrapolation</x:v>
      </x:c>
      <x:c r="E9" s="16" t="str">
        <x:v>P1</x:v>
      </x:c>
      <x:c r="F9" s="9" t="str">
        <x:v>Objectif annexe créé pour l’adaptation.</x:v>
      </x:c>
      <x:c r="G9" s="9" t="str">
        <x:v>Aider à aménager un espace de repos pour une espèce peu représentée.</x:v>
      </x:c>
      <x:c r="H9" s="9" t="str">
        <x:v>Récompense proposée : renseignement de terrain, raccourci ou consommable local. Ne débloque aucun savoir anticipé sur la saga.</x:v>
      </x:c>
      <x:c r="I9" s="9" t="str">
        <x:v>Marqueur secondaire distinct du chemin critique et objet d’intérêt cadré lisiblement.</x:v>
      </x:c>
      <x:c r="J9" s="9" t="str">
        <x:v>Interaction brève réutilisant les poses du métier concerné, avec interruption possible.</x:v>
      </x:c>
      <x:c r="K9" s="9" t="str">
        <x:v>Petit signal de découverte ; résultat textuel consultable sans audio.</x:v>
      </x:c>
      <x:c r="L9" s="9" t="str">
        <x:v>optional.ann.measure ; persister done/skipped, récompenser une seule fois.</x:v>
      </x:c>
      <x:c r="M9" s="9" t="str">
        <x:v>Facultatif ; peut être ignoré sans bloquer la mission. Aucun dosage, culture de pathogène ou traitement réel.</x:v>
      </x:c>
      <x:c r="N9" s="9" t="str">
        <x:v>Ignorer puis terminer la mission fonctionne ; compléter ne verse la récompense qu’une fois.</x:v>
      </x:c>
      <x:c r="O9" s="9" t="str">
        <x:v>ANN-MIS-MEASURE</x:v>
      </x:c>
      <x:c r="P9" s="9" t="str"/>
      <x:c r="Q9" s="9" t="str"/>
      <x:c r="R9" s="9" t="str"/>
      <x:c r="S9" s="9" t="str"/>
    </x:row>
    <x:row r="10" ht="54" customHeight="1">
      <x:c r="A10" s="19" t="str">
        <x:v>ANN-OPT-RECOVER</x:v>
      </x:c>
      <x:c r="B10" s="7" t="str">
        <x:v>Retrouver un matériel déplacé — tâche annexe</x:v>
      </x:c>
      <x:c r="C10" s="15" t="str">
        <x:v>Défini</x:v>
      </x:c>
      <x:c r="D10" s="17" t="str">
        <x:v>Extrapolation</x:v>
      </x:c>
      <x:c r="E10" s="17" t="str">
        <x:v>P1</x:v>
      </x:c>
      <x:c r="F10" s="7" t="str">
        <x:v>Objectif annexe créé pour l’adaptation.</x:v>
      </x:c>
      <x:c r="G10" s="7" t="str">
        <x:v>Restituer un objet culturel trouvé pendant la recherche.</x:v>
      </x:c>
      <x:c r="H10" s="7" t="str">
        <x:v>Récompense proposée : renseignement de terrain, raccourci ou consommable local. Ne débloque aucun savoir anticipé sur la saga.</x:v>
      </x:c>
      <x:c r="I10" s="7" t="str">
        <x:v>Marqueur secondaire distinct du chemin critique et objet d’intérêt cadré lisiblement.</x:v>
      </x:c>
      <x:c r="J10" s="7" t="str">
        <x:v>Interaction brève réutilisant les poses du métier concerné, avec interruption possible.</x:v>
      </x:c>
      <x:c r="K10" s="7" t="str">
        <x:v>Petit signal de découverte ; résultat textuel consultable sans audio.</x:v>
      </x:c>
      <x:c r="L10" s="7" t="str">
        <x:v>optional.ann.recover ; persister done/skipped, récompenser une seule fois.</x:v>
      </x:c>
      <x:c r="M10" s="7" t="str">
        <x:v>Facultatif ; peut être ignoré sans bloquer la mission. Ne pas traiter l’espèce du détenteur comme indice de culpabilité.</x:v>
      </x:c>
      <x:c r="N10" s="7" t="str">
        <x:v>Ignorer puis terminer la mission fonctionne ; compléter ne verse la récompense qu’une fois.</x:v>
      </x:c>
      <x:c r="O10" s="7" t="str">
        <x:v>ANN-MIS-RECOVER</x:v>
      </x:c>
      <x:c r="P10" s="7" t="str"/>
      <x:c r="Q10" s="7" t="str"/>
      <x:c r="R10" s="7" t="str"/>
      <x:c r="S10" s="7" t="str"/>
    </x:row>
    <x:row r="11" ht="54" customHeight="1">
      <x:c r="A11" s="18" t="str">
        <x:v>ANN-OPT-RECONCILE</x:v>
      </x:c>
      <x:c r="B11" s="9" t="str">
        <x:v>Réconcilier deux états de système — tâche annexe</x:v>
      </x:c>
      <x:c r="C11" s="15" t="str">
        <x:v>Défini</x:v>
      </x:c>
      <x:c r="D11" s="16" t="str">
        <x:v>Extrapolation</x:v>
      </x:c>
      <x:c r="E11" s="16" t="str">
        <x:v>P1</x:v>
      </x:c>
      <x:c r="F11" s="9" t="str">
        <x:v>Objectif annexe créé pour l’adaptation.</x:v>
      </x:c>
      <x:c r="G11" s="9" t="str">
        <x:v>Installer une signalétique qui distingue zones ouvertes et zones à attendre.</x:v>
      </x:c>
      <x:c r="H11" s="9" t="str">
        <x:v>Récompense proposée : renseignement de terrain, raccourci ou consommable local. Ne débloque aucun savoir anticipé sur la saga.</x:v>
      </x:c>
      <x:c r="I11" s="9" t="str">
        <x:v>Marqueur secondaire distinct du chemin critique et objet d’intérêt cadré lisiblement.</x:v>
      </x:c>
      <x:c r="J11" s="9" t="str">
        <x:v>Interaction brève réutilisant les poses du métier concerné, avec interruption possible.</x:v>
      </x:c>
      <x:c r="K11" s="9" t="str">
        <x:v>Petit signal de découverte ; résultat textuel consultable sans audio.</x:v>
      </x:c>
      <x:c r="L11" s="9" t="str">
        <x:v>optional.ann.reconcile ; persister done/skipped, récompenser une seule fois.</x:v>
      </x:c>
      <x:c r="M11" s="9" t="str">
        <x:v>Facultatif ; peut être ignoré sans bloquer la mission. La réparation locale ne résout pas instantanément la maladie.</x:v>
      </x:c>
      <x:c r="N11" s="9" t="str">
        <x:v>Ignorer puis terminer la mission fonctionne ; compléter ne verse la récompense qu’une fois.</x:v>
      </x:c>
      <x:c r="O11" s="9" t="str">
        <x:v>ANN-MIS-RECONCILE</x:v>
      </x:c>
      <x:c r="P11" s="9" t="str"/>
      <x:c r="Q11" s="9" t="str"/>
      <x:c r="R11" s="9" t="str"/>
      <x:c r="S11" s="9" t="str"/>
    </x:row>
    <x:row r="12" ht="54" customHeight="1">
      <x:c r="A12" s="19" t="str">
        <x:v>ANN-OPT-QUESTION</x:v>
      </x:c>
      <x:c r="B12" s="7" t="str">
        <x:v>Conduire une demande d’explication — tâche annexe</x:v>
      </x:c>
      <x:c r="C12" s="15" t="str">
        <x:v>Défini</x:v>
      </x:c>
      <x:c r="D12" s="17" t="str">
        <x:v>Extrapolation</x:v>
      </x:c>
      <x:c r="E12" s="17" t="str">
        <x:v>P1</x:v>
      </x:c>
      <x:c r="F12" s="7" t="str">
        <x:v>Objectif annexe créé pour l’adaptation.</x:v>
      </x:c>
      <x:c r="G12" s="7" t="str">
        <x:v>Comparer deux horaires fictifs sans conclure à une causalité automatique.</x:v>
      </x:c>
      <x:c r="H12" s="7" t="str">
        <x:v>Récompense proposée : renseignement de terrain, raccourci ou consommable local. Ne débloque aucun savoir anticipé sur la saga.</x:v>
      </x:c>
      <x:c r="I12" s="7" t="str">
        <x:v>Marqueur secondaire distinct du chemin critique et objet d’intérêt cadré lisiblement.</x:v>
      </x:c>
      <x:c r="J12" s="7" t="str">
        <x:v>Interaction brève réutilisant les poses du métier concerné, avec interruption possible.</x:v>
      </x:c>
      <x:c r="K12" s="7" t="str">
        <x:v>Petit signal de découverte ; résultat textuel consultable sans audio.</x:v>
      </x:c>
      <x:c r="L12" s="7" t="str">
        <x:v>optional.ann.question ; persister done/skipped, récompenser une seule fois.</x:v>
      </x:c>
      <x:c r="M12" s="7" t="str">
        <x:v>Facultatif ; peut être ignoré sans bloquer la mission. Les responsabilités et sanctions du livre restent à relire avant intégration.</x:v>
      </x:c>
      <x:c r="N12" s="7" t="str">
        <x:v>Ignorer puis terminer la mission fonctionne ; compléter ne verse la récompense qu’une fois.</x:v>
      </x:c>
      <x:c r="O12" s="7" t="str">
        <x:v>ANN-MIS-QUESTION</x:v>
      </x:c>
      <x:c r="P12" s="7" t="str"/>
      <x:c r="Q12" s="7" t="str"/>
      <x:c r="R12" s="7" t="str"/>
      <x:c r="S12" s="7" t="str"/>
    </x:row>
    <x:row r="13" ht="54" customHeight="1">
      <x:c r="A13" s="18" t="str">
        <x:v>ANN-OPT-PROTECT</x:v>
      </x:c>
      <x:c r="B13" s="9" t="str">
        <x:v>Préserver les passagers éveillés — tâche annexe</x:v>
      </x:c>
      <x:c r="C13" s="15" t="str">
        <x:v>Défini</x:v>
      </x:c>
      <x:c r="D13" s="16" t="str">
        <x:v>Extrapolation</x:v>
      </x:c>
      <x:c r="E13" s="16" t="str">
        <x:v>P1</x:v>
      </x:c>
      <x:c r="F13" s="9" t="str">
        <x:v>Objectif annexe créé pour l’adaptation.</x:v>
      </x:c>
      <x:c r="G13" s="9" t="str">
        <x:v>Aider un passager à retrouver un proche dans une scène originale.</x:v>
      </x:c>
      <x:c r="H13" s="9" t="str">
        <x:v>Récompense proposée : renseignement de terrain, raccourci ou consommable local. Ne débloque aucun savoir anticipé sur la saga.</x:v>
      </x:c>
      <x:c r="I13" s="9" t="str">
        <x:v>Marqueur secondaire distinct du chemin critique et objet d’intérêt cadré lisiblement.</x:v>
      </x:c>
      <x:c r="J13" s="9" t="str">
        <x:v>Interaction brève réutilisant les poses du métier concerné, avec interruption possible.</x:v>
      </x:c>
      <x:c r="K13" s="9" t="str">
        <x:v>Petit signal de découverte ; résultat textuel consultable sans audio.</x:v>
      </x:c>
      <x:c r="L13" s="9" t="str">
        <x:v>optional.ann.protect ; persister done/skipped, récompenser une seule fois.</x:v>
      </x:c>
      <x:c r="M13" s="9" t="str">
        <x:v>Facultatif ; peut être ignoré sans bloquer la mission. Aucune faction ennemie fondée sur une espèce ou un symptôme.</x:v>
      </x:c>
      <x:c r="N13" s="9" t="str">
        <x:v>Ignorer puis terminer la mission fonctionne ; compléter ne verse la récompense qu’une fois.</x:v>
      </x:c>
      <x:c r="O13" s="9" t="str">
        <x:v>ANN-MIS-PROTECT</x:v>
      </x:c>
      <x:c r="P13" s="9" t="str"/>
      <x:c r="Q13" s="9" t="str"/>
      <x:c r="R13" s="9" t="str"/>
      <x:c r="S13" s="9" t="str"/>
    </x:row>
    <x:row r="14" ht="54" customHeight="1">
      <x:c r="A14" s="19" t="str">
        <x:v>ANN-OPT-STATE</x:v>
      </x:c>
      <x:c r="B14" s="7" t="str">
        <x:v>Consigner un état de voyage — tâche annexe</x:v>
      </x:c>
      <x:c r="C14" s="15" t="str">
        <x:v>Défini</x:v>
      </x:c>
      <x:c r="D14" s="17" t="str">
        <x:v>Extrapolation</x:v>
      </x:c>
      <x:c r="E14" s="17" t="str">
        <x:v>P1</x:v>
      </x:c>
      <x:c r="F14" s="7" t="str">
        <x:v>Objectif annexe créé pour l’adaptation.</x:v>
      </x:c>
      <x:c r="G14" s="7" t="str">
        <x:v>Remettre en place une contribution symbolique à la vie commune.</x:v>
      </x:c>
      <x:c r="H14" s="7" t="str">
        <x:v>Récompense proposée : renseignement de terrain, raccourci ou consommable local. Ne débloque aucun savoir anticipé sur la saga.</x:v>
      </x:c>
      <x:c r="I14" s="7" t="str">
        <x:v>Marqueur secondaire distinct du chemin critique et objet d’intérêt cadré lisiblement.</x:v>
      </x:c>
      <x:c r="J14" s="7" t="str">
        <x:v>Interaction brève réutilisant les poses du métier concerné, avec interruption possible.</x:v>
      </x:c>
      <x:c r="K14" s="7" t="str">
        <x:v>Petit signal de découverte ; résultat textuel consultable sans audio.</x:v>
      </x:c>
      <x:c r="L14" s="7" t="str">
        <x:v>optional.ann.state ; persister done/skipped, récompenser une seule fois.</x:v>
      </x:c>
      <x:c r="M14" s="7" t="str">
        <x:v>Facultatif ; peut être ignoré sans bloquer la mission. La suite vers Andromède n’est pas transformée en DLC officiel inventé.</x:v>
      </x:c>
      <x:c r="N14" s="7" t="str">
        <x:v>Ignorer puis terminer la mission fonctionne ; compléter ne verse la récompense qu’une fois.</x:v>
      </x:c>
      <x:c r="O14" s="7" t="str">
        <x:v>ANN-MIS-STATE</x:v>
      </x:c>
      <x:c r="P14" s="7" t="str"/>
      <x:c r="Q14" s="7" t="str"/>
      <x:c r="R14" s="7" t="str"/>
      <x:c r="S14" s="7" t="str"/>
    </x:row>
  </x:sheetData>
  <x:conditionalFormatting sqref="D7:D14">
    <x:cfRule type="cellIs" dxfId="40" priority="1" operator="equal">
      <x:formula>"À vérifier"</x:formula>
    </x:cfRule>
    <x:cfRule type="cellIs" dxfId="41" priority="2" operator="equal">
      <x:formula>"Extrapolation"</x:formula>
    </x:cfRule>
  </x:conditionalFormatting>
  <x:conditionalFormatting sqref="C7:C14">
    <x:cfRule type="cellIs" dxfId="42" priority="3" operator="equal">
      <x:formula>"Validé"</x:formula>
    </x:cfRule>
  </x:conditionalFormatting>
  <x:conditionalFormatting sqref="E7:E14">
    <x:cfRule type="cellIs" dxfId="4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be257a42887c4836"/>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Andromeda: Annihilation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ANN-CHO-WAKE</x:v>
      </x:c>
      <x:c r="B7" s="9" t="str">
        <x:v>Répartir les premières vérifications — méthode optionnelle</x:v>
      </x:c>
      <x:c r="C7" s="15" t="str">
        <x:v>Défini</x:v>
      </x:c>
      <x:c r="D7" s="16" t="str">
        <x:v>Extrapolation</x:v>
      </x:c>
      <x:c r="E7" s="16" t="str">
        <x:v>P1</x:v>
      </x:c>
      <x:c r="F7" s="9" t="str">
        <x:v>Bifurcation locale originale ; elle ne crée pas une autre fin officielle.</x:v>
      </x:c>
      <x:c r="G7" s="9" t="str">
        <x:v>Commencer par les capteurs ou les témoignages ; mêmes indices finaux.</x:v>
      </x:c>
      <x:c r="H7" s="9" t="str">
        <x:v>Afficher coût, bénéfice local et condition de retour avant validation ; deux méthodes rejoignent le même verrou de continuité.</x:v>
      </x:c>
      <x:c r="I7" s="9" t="str">
        <x:v>Libellés d’action concrets ; symbole d’effet local ; aucune option désactivée sans motif.</x:v>
      </x:c>
      <x:c r="J7" s="9" t="str">
        <x:v>Réaction courte du groupe ; reprise immédiate des contrôles après résultat.</x:v>
      </x:c>
      <x:c r="K7" s="9" t="str">
        <x:v>Confirmation discrète ; lecture du résultat disponible dans le journal.</x:v>
      </x:c>
      <x:c r="L7" s="9" t="str">
        <x:v>choice.ann.wake ; stocker la méthode et le coût, jamais une réécriture d’événement source.</x:v>
      </x:c>
      <x:c r="M7" s="9" t="str">
        <x:v>Ne pas révéler le responsable avant l’étape validée du récit.</x:v>
      </x:c>
      <x:c r="N7" s="9" t="str">
        <x:v>Les deux branches sont atteignables ; l’état canonique final du module est identique.</x:v>
      </x:c>
      <x:c r="O7" s="9" t="str">
        <x:v>ANN-MIS-WAKE</x:v>
      </x:c>
      <x:c r="P7" s="9" t="str"/>
      <x:c r="Q7" s="9" t="str"/>
      <x:c r="R7" s="9" t="str"/>
      <x:c r="S7" s="9" t="str"/>
    </x:row>
    <x:row r="8" ht="54" customHeight="1">
      <x:c r="A8" s="19" t="str">
        <x:v>ANN-CHO-CONFIRM</x:v>
      </x:c>
      <x:c r="B8" s="7" t="str">
        <x:v>Comparer affichage et présence — méthode optionnelle</x:v>
      </x:c>
      <x:c r="C8" s="15" t="str">
        <x:v>Défini</x:v>
      </x:c>
      <x:c r="D8" s="17" t="str">
        <x:v>Extrapolation</x:v>
      </x:c>
      <x:c r="E8" s="17" t="str">
        <x:v>P1</x:v>
      </x:c>
      <x:c r="F8" s="7" t="str">
        <x:v>Bifurcation locale originale ; elle ne crée pas une autre fin officielle.</x:v>
      </x:c>
      <x:c r="G8" s="7" t="str">
        <x:v>Inspection assistée ou contrôle croisé de capteur.</x:v>
      </x:c>
      <x:c r="H8" s="7" t="str">
        <x:v>Afficher coût, bénéfice local et condition de retour avant validation ; deux méthodes rejoignent le même verrou de continuité.</x:v>
      </x:c>
      <x:c r="I8" s="7" t="str">
        <x:v>Libellés d’action concrets ; symbole d’effet local ; aucune option désactivée sans motif.</x:v>
      </x:c>
      <x:c r="J8" s="7" t="str">
        <x:v>Réaction courte du groupe ; reprise immédiate des contrôles après résultat.</x:v>
      </x:c>
      <x:c r="K8" s="7" t="str">
        <x:v>Confirmation discrète ; lecture du résultat disponible dans le journal.</x:v>
      </x:c>
      <x:c r="L8" s="7" t="str">
        <x:v>choice.ann.confirm ; stocker la méthode et le coût, jamais une réécriture d’événement source.</x:v>
      </x:c>
      <x:c r="M8" s="7" t="str">
        <x:v>Pas de simulation clinique réaliste ou récit détaillé des décès.</x:v>
      </x:c>
      <x:c r="N8" s="7" t="str">
        <x:v>Les deux branches sont atteignables ; l’état canonique final du module est identique.</x:v>
      </x:c>
      <x:c r="O8" s="7" t="str">
        <x:v>ANN-MIS-CONFIRM</x:v>
      </x:c>
      <x:c r="P8" s="7" t="str"/>
      <x:c r="Q8" s="7" t="str"/>
      <x:c r="R8" s="7" t="str"/>
      <x:c r="S8" s="7" t="str"/>
    </x:row>
    <x:row r="9" ht="54" customHeight="1">
      <x:c r="A9" s="18" t="str">
        <x:v>ANN-CHO-MEASURE</x:v>
      </x:c>
      <x:c r="B9" s="9" t="str">
        <x:v>Obtenir une mesure indépendante — méthode optionnelle</x:v>
      </x:c>
      <x:c r="C9" s="15" t="str">
        <x:v>Défini</x:v>
      </x:c>
      <x:c r="D9" s="16" t="str">
        <x:v>Extrapolation</x:v>
      </x:c>
      <x:c r="E9" s="16" t="str">
        <x:v>P1</x:v>
      </x:c>
      <x:c r="F9" s="9" t="str">
        <x:v>Bifurcation locale originale ; elle ne crée pas une autre fin officielle.</x:v>
      </x:c>
      <x:c r="G9" s="9" t="str">
        <x:v>Réparer un appareil ou adapter un outil compatible.</x:v>
      </x:c>
      <x:c r="H9" s="9" t="str">
        <x:v>Afficher coût, bénéfice local et condition de retour avant validation ; deux méthodes rejoignent le même verrou de continuité.</x:v>
      </x:c>
      <x:c r="I9" s="9" t="str">
        <x:v>Libellés d’action concrets ; symbole d’effet local ; aucune option désactivée sans motif.</x:v>
      </x:c>
      <x:c r="J9" s="9" t="str">
        <x:v>Réaction courte du groupe ; reprise immédiate des contrôles après résultat.</x:v>
      </x:c>
      <x:c r="K9" s="9" t="str">
        <x:v>Confirmation discrète ; lecture du résultat disponible dans le journal.</x:v>
      </x:c>
      <x:c r="L9" s="9" t="str">
        <x:v>choice.ann.measure ; stocker la méthode et le coût, jamais une réécriture d’événement source.</x:v>
      </x:c>
      <x:c r="M9" s="9" t="str">
        <x:v>Aucun dosage, culture de pathogène ou traitement réel.</x:v>
      </x:c>
      <x:c r="N9" s="9" t="str">
        <x:v>Les deux branches sont atteignables ; l’état canonique final du module est identique.</x:v>
      </x:c>
      <x:c r="O9" s="9" t="str">
        <x:v>ANN-MIS-MEASURE</x:v>
      </x:c>
      <x:c r="P9" s="9" t="str"/>
      <x:c r="Q9" s="9" t="str"/>
      <x:c r="R9" s="9" t="str"/>
      <x:c r="S9" s="9" t="str"/>
    </x:row>
    <x:row r="10" ht="54" customHeight="1">
      <x:c r="A10" s="19" t="str">
        <x:v>ANN-CHO-RECOVER</x:v>
      </x:c>
      <x:c r="B10" s="7" t="str">
        <x:v>Retrouver un matériel déplacé — méthode optionnelle</x:v>
      </x:c>
      <x:c r="C10" s="15" t="str">
        <x:v>Défini</x:v>
      </x:c>
      <x:c r="D10" s="17" t="str">
        <x:v>Extrapolation</x:v>
      </x:c>
      <x:c r="E10" s="17" t="str">
        <x:v>P1</x:v>
      </x:c>
      <x:c r="F10" s="7" t="str">
        <x:v>Bifurcation locale originale ; elle ne crée pas une autre fin officielle.</x:v>
      </x:c>
      <x:c r="G10" s="7" t="str">
        <x:v>Faire coopérer un détenteur ou échanger un service de manutention.</x:v>
      </x:c>
      <x:c r="H10" s="7" t="str">
        <x:v>Afficher coût, bénéfice local et condition de retour avant validation ; deux méthodes rejoignent le même verrou de continuité.</x:v>
      </x:c>
      <x:c r="I10" s="7" t="str">
        <x:v>Libellés d’action concrets ; symbole d’effet local ; aucune option désactivée sans motif.</x:v>
      </x:c>
      <x:c r="J10" s="7" t="str">
        <x:v>Réaction courte du groupe ; reprise immédiate des contrôles après résultat.</x:v>
      </x:c>
      <x:c r="K10" s="7" t="str">
        <x:v>Confirmation discrète ; lecture du résultat disponible dans le journal.</x:v>
      </x:c>
      <x:c r="L10" s="7" t="str">
        <x:v>choice.ann.recover ; stocker la méthode et le coût, jamais une réécriture d’événement source.</x:v>
      </x:c>
      <x:c r="M10" s="7" t="str">
        <x:v>Ne pas traiter l’espèce du détenteur comme indice de culpabilité.</x:v>
      </x:c>
      <x:c r="N10" s="7" t="str">
        <x:v>Les deux branches sont atteignables ; l’état canonique final du module est identique.</x:v>
      </x:c>
      <x:c r="O10" s="7" t="str">
        <x:v>ANN-MIS-RECOVER</x:v>
      </x:c>
      <x:c r="P10" s="7" t="str"/>
      <x:c r="Q10" s="7" t="str"/>
      <x:c r="R10" s="7" t="str"/>
      <x:c r="S10" s="7" t="str"/>
    </x:row>
    <x:row r="11" ht="54" customHeight="1">
      <x:c r="A11" s="18" t="str">
        <x:v>ANN-CHO-RECONCILE</x:v>
      </x:c>
      <x:c r="B11" s="9" t="str">
        <x:v>Réconcilier deux états de système — méthode optionnelle</x:v>
      </x:c>
      <x:c r="C11" s="15" t="str">
        <x:v>Défini</x:v>
      </x:c>
      <x:c r="D11" s="16" t="str">
        <x:v>Extrapolation</x:v>
      </x:c>
      <x:c r="E11" s="16" t="str">
        <x:v>P1</x:v>
      </x:c>
      <x:c r="F11" s="9" t="str">
        <x:v>Bifurcation locale originale ; elle ne crée pas une autre fin officielle.</x:v>
      </x:c>
      <x:c r="G11" s="9" t="str">
        <x:v>Contourner un relais ou travailler sur le panneau local.</x:v>
      </x:c>
      <x:c r="H11" s="9" t="str">
        <x:v>Afficher coût, bénéfice local et condition de retour avant validation ; deux méthodes rejoignent le même verrou de continuité.</x:v>
      </x:c>
      <x:c r="I11" s="9" t="str">
        <x:v>Libellés d’action concrets ; symbole d’effet local ; aucune option désactivée sans motif.</x:v>
      </x:c>
      <x:c r="J11" s="9" t="str">
        <x:v>Réaction courte du groupe ; reprise immédiate des contrôles après résultat.</x:v>
      </x:c>
      <x:c r="K11" s="9" t="str">
        <x:v>Confirmation discrète ; lecture du résultat disponible dans le journal.</x:v>
      </x:c>
      <x:c r="L11" s="9" t="str">
        <x:v>choice.ann.reconcile ; stocker la méthode et le coût, jamais une réécriture d’événement source.</x:v>
      </x:c>
      <x:c r="M11" s="9" t="str">
        <x:v>La réparation locale ne résout pas instantanément la maladie.</x:v>
      </x:c>
      <x:c r="N11" s="9" t="str">
        <x:v>Les deux branches sont atteignables ; l’état canonique final du module est identique.</x:v>
      </x:c>
      <x:c r="O11" s="9" t="str">
        <x:v>ANN-MIS-RECONCILE</x:v>
      </x:c>
      <x:c r="P11" s="9" t="str"/>
      <x:c r="Q11" s="9" t="str"/>
      <x:c r="R11" s="9" t="str"/>
      <x:c r="S11" s="9" t="str"/>
    </x:row>
    <x:row r="12" ht="54" customHeight="1">
      <x:c r="A12" s="19" t="str">
        <x:v>ANN-CHO-QUESTION</x:v>
      </x:c>
      <x:c r="B12" s="7" t="str">
        <x:v>Conduire une demande d’explication — méthode optionnelle</x:v>
      </x:c>
      <x:c r="C12" s="15" t="str">
        <x:v>Défini</x:v>
      </x:c>
      <x:c r="D12" s="17" t="str">
        <x:v>Extrapolation</x:v>
      </x:c>
      <x:c r="E12" s="17" t="str">
        <x:v>P1</x:v>
      </x:c>
      <x:c r="F12" s="7" t="str">
        <x:v>Bifurcation locale originale ; elle ne crée pas une autre fin officielle.</x:v>
      </x:c>
      <x:c r="G12" s="7" t="str">
        <x:v>Entretien privé ou compte rendu contradictoire au groupe.</x:v>
      </x:c>
      <x:c r="H12" s="7" t="str">
        <x:v>Afficher coût, bénéfice local et condition de retour avant validation ; deux méthodes rejoignent le même verrou de continuité.</x:v>
      </x:c>
      <x:c r="I12" s="7" t="str">
        <x:v>Libellés d’action concrets ; symbole d’effet local ; aucune option désactivée sans motif.</x:v>
      </x:c>
      <x:c r="J12" s="7" t="str">
        <x:v>Réaction courte du groupe ; reprise immédiate des contrôles après résultat.</x:v>
      </x:c>
      <x:c r="K12" s="7" t="str">
        <x:v>Confirmation discrète ; lecture du résultat disponible dans le journal.</x:v>
      </x:c>
      <x:c r="L12" s="7" t="str">
        <x:v>choice.ann.question ; stocker la méthode et le coût, jamais une réécriture d’événement source.</x:v>
      </x:c>
      <x:c r="M12" s="7" t="str">
        <x:v>Les responsabilités et sanctions du livre restent à relire avant intégration.</x:v>
      </x:c>
      <x:c r="N12" s="7" t="str">
        <x:v>Les deux branches sont atteignables ; l’état canonique final du module est identique.</x:v>
      </x:c>
      <x:c r="O12" s="7" t="str">
        <x:v>ANN-MIS-QUESTION</x:v>
      </x:c>
      <x:c r="P12" s="7" t="str"/>
      <x:c r="Q12" s="7" t="str"/>
      <x:c r="R12" s="7" t="str"/>
      <x:c r="S12" s="7" t="str"/>
    </x:row>
    <x:row r="13" ht="54" customHeight="1">
      <x:c r="A13" s="18" t="str">
        <x:v>ANN-CHO-PROTECT</x:v>
      </x:c>
      <x:c r="B13" s="9" t="str">
        <x:v>Préserver les passagers éveillés — méthode optionnelle</x:v>
      </x:c>
      <x:c r="C13" s="15" t="str">
        <x:v>Défini</x:v>
      </x:c>
      <x:c r="D13" s="16" t="str">
        <x:v>Extrapolation</x:v>
      </x:c>
      <x:c r="E13" s="16" t="str">
        <x:v>P1</x:v>
      </x:c>
      <x:c r="F13" s="9" t="str">
        <x:v>Bifurcation locale originale ; elle ne crée pas une autre fin officielle.</x:v>
      </x:c>
      <x:c r="G13" s="9" t="str">
        <x:v>Accès répartis par secteur ou zones de repos temporaires.</x:v>
      </x:c>
      <x:c r="H13" s="9" t="str">
        <x:v>Afficher coût, bénéfice local et condition de retour avant validation ; deux méthodes rejoignent le même verrou de continuité.</x:v>
      </x:c>
      <x:c r="I13" s="9" t="str">
        <x:v>Libellés d’action concrets ; symbole d’effet local ; aucune option désactivée sans motif.</x:v>
      </x:c>
      <x:c r="J13" s="9" t="str">
        <x:v>Réaction courte du groupe ; reprise immédiate des contrôles après résultat.</x:v>
      </x:c>
      <x:c r="K13" s="9" t="str">
        <x:v>Confirmation discrète ; lecture du résultat disponible dans le journal.</x:v>
      </x:c>
      <x:c r="L13" s="9" t="str">
        <x:v>choice.ann.protect ; stocker la méthode et le coût, jamais une réécriture d’événement source.</x:v>
      </x:c>
      <x:c r="M13" s="9" t="str">
        <x:v>Aucune faction ennemie fondée sur une espèce ou un symptôme.</x:v>
      </x:c>
      <x:c r="N13" s="9" t="str">
        <x:v>Les deux branches sont atteignables ; l’état canonique final du module est identique.</x:v>
      </x:c>
      <x:c r="O13" s="9" t="str">
        <x:v>ANN-MIS-PROTECT</x:v>
      </x:c>
      <x:c r="P13" s="9" t="str"/>
      <x:c r="Q13" s="9" t="str"/>
      <x:c r="R13" s="9" t="str"/>
      <x:c r="S13" s="9" t="str"/>
    </x:row>
    <x:row r="14" ht="54" customHeight="1">
      <x:c r="A14" s="19" t="str">
        <x:v>ANN-CHO-STATE</x:v>
      </x:c>
      <x:c r="B14" s="7" t="str">
        <x:v>Consigner un état de voyage — méthode optionnelle</x:v>
      </x:c>
      <x:c r="C14" s="15" t="str">
        <x:v>Défini</x:v>
      </x:c>
      <x:c r="D14" s="17" t="str">
        <x:v>Extrapolation</x:v>
      </x:c>
      <x:c r="E14" s="17" t="str">
        <x:v>P1</x:v>
      </x:c>
      <x:c r="F14" s="7" t="str">
        <x:v>Bifurcation locale originale ; elle ne crée pas une autre fin officielle.</x:v>
      </x:c>
      <x:c r="G14" s="7" t="str">
        <x:v>Rapport technique ou message destiné aux proches ; mêmes données vérifiées.</x:v>
      </x:c>
      <x:c r="H14" s="7" t="str">
        <x:v>Afficher coût, bénéfice local et condition de retour avant validation ; deux méthodes rejoignent le même verrou de continuité.</x:v>
      </x:c>
      <x:c r="I14" s="7" t="str">
        <x:v>Libellés d’action concrets ; symbole d’effet local ; aucune option désactivée sans motif.</x:v>
      </x:c>
      <x:c r="J14" s="7" t="str">
        <x:v>Réaction courte du groupe ; reprise immédiate des contrôles après résultat.</x:v>
      </x:c>
      <x:c r="K14" s="7" t="str">
        <x:v>Confirmation discrète ; lecture du résultat disponible dans le journal.</x:v>
      </x:c>
      <x:c r="L14" s="7" t="str">
        <x:v>choice.ann.state ; stocker la méthode et le coût, jamais une réécriture d’événement source.</x:v>
      </x:c>
      <x:c r="M14" s="7" t="str">
        <x:v>La suite vers Andromède n’est pas transformée en DLC officiel inventé.</x:v>
      </x:c>
      <x:c r="N14" s="7" t="str">
        <x:v>Les deux branches sont atteignables ; l’état canonique final du module est identique.</x:v>
      </x:c>
      <x:c r="O14" s="7" t="str">
        <x:v>ANN-MIS-STATE</x:v>
      </x:c>
      <x:c r="P14" s="7" t="str"/>
      <x:c r="Q14" s="7" t="str"/>
      <x:c r="R14" s="7" t="str"/>
      <x:c r="S14" s="7" t="str"/>
    </x:row>
  </x:sheetData>
  <x:conditionalFormatting sqref="D7:D14">
    <x:cfRule type="cellIs" dxfId="44" priority="1" operator="equal">
      <x:formula>"À vérifier"</x:formula>
    </x:cfRule>
    <x:cfRule type="cellIs" dxfId="45" priority="2" operator="equal">
      <x:formula>"Extrapolation"</x:formula>
    </x:cfRule>
  </x:conditionalFormatting>
  <x:conditionalFormatting sqref="C7:C14">
    <x:cfRule type="cellIs" dxfId="46" priority="3" operator="equal">
      <x:formula>"Validé"</x:formula>
    </x:cfRule>
  </x:conditionalFormatting>
  <x:conditionalFormatting sqref="E7:E14">
    <x:cfRule type="cellIs" dxfId="4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aefa5b2d10bf4c54"/>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Andromeda: Annihilation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ANN-DIA-SENNA</x:v>
      </x:c>
      <x:c r="B7" s="9" t="str">
        <x:v>Senna’Nir vas Keelah Si’yah — échange : devoir collectif et limites personnelles</x:v>
      </x:c>
      <x:c r="C7" s="15" t="str">
        <x:v>Défini</x:v>
      </x:c>
      <x:c r="D7" s="16" t="str">
        <x:v>Extrapolation</x:v>
      </x:c>
      <x:c r="E7" s="16" t="str">
        <x:v>P1</x:v>
      </x:c>
      <x:c r="F7" s="9" t="str">
        <x:v>Dialogue original à écrire, sans reproduire les répliques de la publication.</x:v>
      </x:c>
      <x:c r="G7" s="9" t="str">
        <x:v>Intentions : aborder devoir collectif et limites personnelles, poser une question de clarification, puis revenir à l’objectif local.</x:v>
      </x:c>
      <x:c r="H7" s="9" t="str">
        <x:v>Trois intentions proposées : demander un fait, exprimer une réserve, clore. Débloquer un indice local sans imposer une opinion au joueur.</x:v>
      </x:c>
      <x:c r="I7" s="9" t="str">
        <x:v>Portrait Senna’Nir vas Keelah Si’yah, interlocuteur actif et indication de la personne qui connaît le fait.</x:v>
      </x:c>
      <x:c r="J7" s="9" t="str">
        <x:v>Pose d’écoute puis réaction sobre ; ne pas boucler une émotion pendant une pause de lecture.</x:v>
      </x:c>
      <x:c r="K7" s="9" t="str">
        <x:v>Texte intégral affiché ; éventuelle voix originale avec débit réglable, sans imitation du casting.</x:v>
      </x:c>
      <x:c r="L7" s="9" t="str">
        <x:v>Dialogue graph ann.senna.devoir-collectif-et-limites-personnelles ; drapeaux de connaissance locaux.</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Aucune option ne révèle un savoir futur ; quitter puis reprendre conserve les sujets déjà abordés.</x:v>
      </x:c>
      <x:c r="O7" s="9" t="str">
        <x:v>ANN-CHR-SENNA</x:v>
      </x:c>
      <x:c r="P7" s="9" t="str"/>
      <x:c r="Q7" s="9" t="str"/>
      <x:c r="R7" s="9" t="str"/>
      <x:c r="S7" s="9" t="str">
        <x:v>Sujet et intentions sont du design original, pas une transcription.</x:v>
      </x:c>
    </x:row>
    <x:row r="8" ht="82" customHeight="1">
      <x:c r="A8" s="19" t="str">
        <x:v>ANN-DIA-ANAX</x:v>
      </x:c>
      <x:c r="B8" s="7" t="str">
        <x:v>Anax Therion — échange : confiance et interprétation</x:v>
      </x:c>
      <x:c r="C8" s="15" t="str">
        <x:v>Défini</x:v>
      </x:c>
      <x:c r="D8" s="17" t="str">
        <x:v>Extrapolation</x:v>
      </x:c>
      <x:c r="E8" s="17" t="str">
        <x:v>P1</x:v>
      </x:c>
      <x:c r="F8" s="7" t="str">
        <x:v>Dialogue original à écrire, sans reproduire les répliques de la publication.</x:v>
      </x:c>
      <x:c r="G8" s="7" t="str">
        <x:v>Intentions : aborder confiance et interprétation, poser une question de clarification, puis revenir à l’objectif local.</x:v>
      </x:c>
      <x:c r="H8" s="7" t="str">
        <x:v>Trois intentions proposées : demander un fait, exprimer une réserve, clore. Débloquer un indice local sans imposer une opinion au joueur.</x:v>
      </x:c>
      <x:c r="I8" s="7" t="str">
        <x:v>Portrait Anax Therion, interlocuteur actif et indication de la personne qui connaît le fait.</x:v>
      </x:c>
      <x:c r="J8" s="7" t="str">
        <x:v>Pose d’écoute puis réaction sobre ; ne pas boucler une émotion pendant une pause de lecture.</x:v>
      </x:c>
      <x:c r="K8" s="7" t="str">
        <x:v>Texte intégral affiché ; éventuelle voix originale avec débit réglable, sans imitation du casting.</x:v>
      </x:c>
      <x:c r="L8" s="7" t="str">
        <x:v>Dialogue graph ann.anax.confiance-et-interpretation ; drapeaux de connaissance locaux.</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Aucune option ne révèle un savoir futur ; quitter puis reprendre conserve les sujets déjà abordés.</x:v>
      </x:c>
      <x:c r="O8" s="7" t="str">
        <x:v>ANN-CHR-ANAX</x:v>
      </x:c>
      <x:c r="P8" s="7" t="str"/>
      <x:c r="Q8" s="7" t="str"/>
      <x:c r="R8" s="7" t="str"/>
      <x:c r="S8" s="7" t="str">
        <x:v>Sujet et intentions sont du design original, pas une transcription.</x:v>
      </x:c>
    </x:row>
    <x:row r="9" ht="82" customHeight="1">
      <x:c r="A9" s="18" t="str">
        <x:v>ANN-DIA-YORRIK</x:v>
      </x:c>
      <x:c r="B9" s="9" t="str">
        <x:v>Yorrik — échange : soin, incertitude et dignité</x:v>
      </x:c>
      <x:c r="C9" s="15" t="str">
        <x:v>Défini</x:v>
      </x:c>
      <x:c r="D9" s="16" t="str">
        <x:v>Extrapolation</x:v>
      </x:c>
      <x:c r="E9" s="16" t="str">
        <x:v>P1</x:v>
      </x:c>
      <x:c r="F9" s="9" t="str">
        <x:v>Dialogue original à écrire, sans reproduire les répliques de la publication.</x:v>
      </x:c>
      <x:c r="G9" s="9" t="str">
        <x:v>Intentions : aborder soin, incertitude et dignité, poser une question de clarification, puis revenir à l’objectif local.</x:v>
      </x:c>
      <x:c r="H9" s="9" t="str">
        <x:v>Trois intentions proposées : demander un fait, exprimer une réserve, clore. Débloquer un indice local sans imposer une opinion au joueur.</x:v>
      </x:c>
      <x:c r="I9" s="9" t="str">
        <x:v>Portrait Yorrik, interlocuteur actif et indication de la personne qui connaît le fait.</x:v>
      </x:c>
      <x:c r="J9" s="9" t="str">
        <x:v>Pose d’écoute puis réaction sobre ; ne pas boucler une émotion pendant une pause de lecture.</x:v>
      </x:c>
      <x:c r="K9" s="9" t="str">
        <x:v>Texte intégral affiché ; éventuelle voix originale avec débit réglable, sans imitation du casting.</x:v>
      </x:c>
      <x:c r="L9" s="9" t="str">
        <x:v>Dialogue graph ann.yorrik.soin-incertitude-et-dignite ; drapeaux de connaissance locaux.</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Aucune option ne révèle un savoir futur ; quitter puis reprendre conserve les sujets déjà abordés.</x:v>
      </x:c>
      <x:c r="O9" s="9" t="str">
        <x:v>ANN-CHR-YORRIK</x:v>
      </x:c>
      <x:c r="P9" s="9" t="str"/>
      <x:c r="Q9" s="9" t="str"/>
      <x:c r="R9" s="9" t="str"/>
      <x:c r="S9" s="9" t="str">
        <x:v>Sujet et intentions sont du design original, pas une transcription.</x:v>
      </x:c>
    </x:row>
    <x:row r="10" ht="82" customHeight="1">
      <x:c r="A10" s="19" t="str">
        <x:v>ANN-DIA-BORBALA</x:v>
      </x:c>
      <x:c r="B10" s="7" t="str">
        <x:v>Borbala Ferank — échange : passé personnel et nécessité collective</x:v>
      </x:c>
      <x:c r="C10" s="15" t="str">
        <x:v>Défini</x:v>
      </x:c>
      <x:c r="D10" s="17" t="str">
        <x:v>Extrapolation</x:v>
      </x:c>
      <x:c r="E10" s="17" t="str">
        <x:v>P1</x:v>
      </x:c>
      <x:c r="F10" s="7" t="str">
        <x:v>Dialogue original à écrire, sans reproduire les répliques de la publication.</x:v>
      </x:c>
      <x:c r="G10" s="7" t="str">
        <x:v>Intentions : aborder passé personnel et nécessité collective, poser une question de clarification, puis revenir à l’objectif local.</x:v>
      </x:c>
      <x:c r="H10" s="7" t="str">
        <x:v>Trois intentions proposées : demander un fait, exprimer une réserve, clore. Débloquer un indice local sans imposer une opinion au joueur.</x:v>
      </x:c>
      <x:c r="I10" s="7" t="str">
        <x:v>Portrait Borbala Ferank, interlocuteur actif et indication de la personne qui connaît le fait.</x:v>
      </x:c>
      <x:c r="J10" s="7" t="str">
        <x:v>Pose d’écoute puis réaction sobre ; ne pas boucler une émotion pendant une pause de lecture.</x:v>
      </x:c>
      <x:c r="K10" s="7" t="str">
        <x:v>Texte intégral affiché ; éventuelle voix originale avec débit réglable, sans imitation du casting.</x:v>
      </x:c>
      <x:c r="L10" s="7" t="str">
        <x:v>Dialogue graph ann.borbala.passe-personnel-et-necessite-collective ; drapeaux de connaissance locaux.</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Aucune option ne révèle un savoir futur ; quitter puis reprendre conserve les sujets déjà abordés.</x:v>
      </x:c>
      <x:c r="O10" s="7" t="str">
        <x:v>ANN-CHR-BORBALA</x:v>
      </x:c>
      <x:c r="P10" s="7" t="str"/>
      <x:c r="Q10" s="7" t="str"/>
      <x:c r="R10" s="7" t="str"/>
      <x:c r="S10" s="7" t="str">
        <x:v>Sujet et intentions sont du design original, pas une transcription.</x:v>
      </x:c>
    </x:row>
    <x:row r="11" ht="82" customHeight="1">
      <x:c r="A11" s="18" t="str">
        <x:v>ANN-DIA-IRIT</x:v>
      </x:c>
      <x:c r="B11" s="9" t="str">
        <x:v>Irit Non — échange : valeur d’un constat contradictoire</x:v>
      </x:c>
      <x:c r="C11" s="15" t="str">
        <x:v>Défini</x:v>
      </x:c>
      <x:c r="D11" s="16" t="str">
        <x:v>Extrapolation</x:v>
      </x:c>
      <x:c r="E11" s="16" t="str">
        <x:v>P1</x:v>
      </x:c>
      <x:c r="F11" s="9" t="str">
        <x:v>Dialogue original à écrire, sans reproduire les répliques de la publication.</x:v>
      </x:c>
      <x:c r="G11" s="9" t="str">
        <x:v>Intentions : aborder valeur d’un constat contradictoire, poser une question de clarification, puis revenir à l’objectif local.</x:v>
      </x:c>
      <x:c r="H11" s="9" t="str">
        <x:v>Trois intentions proposées : demander un fait, exprimer une réserve, clore. Débloquer un indice local sans imposer une opinion au joueur.</x:v>
      </x:c>
      <x:c r="I11" s="9" t="str">
        <x:v>Portrait Irit Non, interlocuteur actif et indication de la personne qui connaît le fait.</x:v>
      </x:c>
      <x:c r="J11" s="9" t="str">
        <x:v>Pose d’écoute puis réaction sobre ; ne pas boucler une émotion pendant une pause de lecture.</x:v>
      </x:c>
      <x:c r="K11" s="9" t="str">
        <x:v>Texte intégral affiché ; éventuelle voix originale avec débit réglable, sans imitation du casting.</x:v>
      </x:c>
      <x:c r="L11" s="9" t="str">
        <x:v>Dialogue graph ann.irit.valeur-dun-constat-contradictoire ; drapeaux de connaissance locaux.</x:v>
      </x:c>
      <x:c r="M11" s="9" t="str">
        <x:v>Préserver le mystère et l’issue du roman. La maladie ne transforme pas les espèces en bestiaire de zombies ; les procédures médicales restent fictives et abstraites. Aucun sauvetage par Ryder ni prolongement officiel de MEA n’est inventé.</x:v>
      </x:c>
      <x:c r="N11" s="9" t="str">
        <x:v>Aucune option ne révèle un savoir futur ; quitter puis reprendre conserve les sujets déjà abordés.</x:v>
      </x:c>
      <x:c r="O11" s="9" t="str">
        <x:v>ANN-CHR-IRIT</x:v>
      </x:c>
      <x:c r="P11" s="9" t="str"/>
      <x:c r="Q11" s="9" t="str"/>
      <x:c r="R11" s="9" t="str"/>
      <x:c r="S11" s="9" t="str">
        <x:v>Sujet et intentions sont du design original, pas une transcription.</x:v>
      </x:c>
    </x:row>
    <x:row r="12" ht="82" customHeight="1">
      <x:c r="A12" s="19" t="str">
        <x:v>ANN-DIA-YSSES</x:v>
      </x:c>
      <x:c r="B12" s="7" t="str">
        <x:v>Ysses — échange : convictions personnelles et service de l’équipage</x:v>
      </x:c>
      <x:c r="C12" s="15" t="str">
        <x:v>Défini</x:v>
      </x:c>
      <x:c r="D12" s="17" t="str">
        <x:v>Extrapolation</x:v>
      </x:c>
      <x:c r="E12" s="17" t="str">
        <x:v>P1</x:v>
      </x:c>
      <x:c r="F12" s="7" t="str">
        <x:v>Dialogue original à écrire, sans reproduire les répliques de la publication.</x:v>
      </x:c>
      <x:c r="G12" s="7" t="str">
        <x:v>Intentions : aborder convictions personnelles et service de l’équipage, poser une question de clarification, puis revenir à l’objectif local.</x:v>
      </x:c>
      <x:c r="H12" s="7" t="str">
        <x:v>Trois intentions proposées : demander un fait, exprimer une réserve, clore. Débloquer un indice local sans imposer une opinion au joueur.</x:v>
      </x:c>
      <x:c r="I12" s="7" t="str">
        <x:v>Portrait Ysses, interlocuteur actif et indication de la personne qui connaît le fait.</x:v>
      </x:c>
      <x:c r="J12" s="7" t="str">
        <x:v>Pose d’écoute puis réaction sobre ; ne pas boucler une émotion pendant une pause de lecture.</x:v>
      </x:c>
      <x:c r="K12" s="7" t="str">
        <x:v>Texte intégral affiché ; éventuelle voix originale avec débit réglable, sans imitation du casting.</x:v>
      </x:c>
      <x:c r="L12" s="7" t="str">
        <x:v>Dialogue graph ann.ysses.convictions-personnelles-et-service-de-lequipage ; drapeaux de connaissance locaux.</x:v>
      </x:c>
      <x:c r="M12" s="7" t="str">
        <x:v>Préserver le mystère et l’issue du roman. La maladie ne transforme pas les espèces en bestiaire de zombies ; les procédures médicales restent fictives et abstraites. Aucun sauvetage par Ryder ni prolongement officiel de MEA n’est inventé.</x:v>
      </x:c>
      <x:c r="N12" s="7" t="str">
        <x:v>Aucune option ne révèle un savoir futur ; quitter puis reprendre conserve les sujets déjà abordés.</x:v>
      </x:c>
      <x:c r="O12" s="7" t="str">
        <x:v>ANN-CHR-YSSES</x:v>
      </x:c>
      <x:c r="P12" s="7" t="str"/>
      <x:c r="Q12" s="7" t="str"/>
      <x:c r="R12" s="7" t="str"/>
      <x:c r="S12" s="7" t="str">
        <x:v>Sujet et intentions sont du design original, pas une transcription.</x:v>
      </x:c>
    </x:row>
    <x:row r="13" ht="82" customHeight="1">
      <x:c r="A13" s="18" t="str">
        <x:v>ANN-DIA-QETSI</x:v>
      </x:c>
      <x:c r="B13" s="9" t="str">
        <x:v>Qetsi’Olam vas Keelah Si’yah — échange : autorité et preuve</x:v>
      </x:c>
      <x:c r="C13" s="15" t="str">
        <x:v>Défini</x:v>
      </x:c>
      <x:c r="D13" s="16" t="str">
        <x:v>Extrapolation</x:v>
      </x:c>
      <x:c r="E13" s="16" t="str">
        <x:v>P1</x:v>
      </x:c>
      <x:c r="F13" s="9" t="str">
        <x:v>Dialogue original à écrire, sans reproduire les répliques de la publication.</x:v>
      </x:c>
      <x:c r="G13" s="9" t="str">
        <x:v>Intentions : aborder autorité et preuve, poser une question de clarification, puis revenir à l’objectif local.</x:v>
      </x:c>
      <x:c r="H13" s="9" t="str">
        <x:v>Trois intentions proposées : demander un fait, exprimer une réserve, clore. Débloquer un indice local sans imposer une opinion au joueur.</x:v>
      </x:c>
      <x:c r="I13" s="9" t="str">
        <x:v>Portrait Qetsi’Olam vas Keelah Si’yah, interlocuteur actif et indication de la personne qui connaît le fait.</x:v>
      </x:c>
      <x:c r="J13" s="9" t="str">
        <x:v>Pose d’écoute puis réaction sobre ; ne pas boucler une émotion pendant une pause de lecture.</x:v>
      </x:c>
      <x:c r="K13" s="9" t="str">
        <x:v>Texte intégral affiché ; éventuelle voix originale avec débit réglable, sans imitation du casting.</x:v>
      </x:c>
      <x:c r="L13" s="9" t="str">
        <x:v>Dialogue graph ann.qetsi.autorite-et-preuve ; drapeaux de connaissance locaux.</x:v>
      </x:c>
      <x:c r="M13" s="9" t="str">
        <x:v>Préserver le mystère et l’issue du roman. La maladie ne transforme pas les espèces en bestiaire de zombies ; les procédures médicales restent fictives et abstraites. Aucun sauvetage par Ryder ni prolongement officiel de MEA n’est inventé.</x:v>
      </x:c>
      <x:c r="N13" s="9" t="str">
        <x:v>Aucune option ne révèle un savoir futur ; quitter puis reprendre conserve les sujets déjà abordés.</x:v>
      </x:c>
      <x:c r="O13" s="9" t="str">
        <x:v>ANN-CHR-QETSI</x:v>
      </x:c>
      <x:c r="P13" s="9" t="str"/>
      <x:c r="Q13" s="9" t="str"/>
      <x:c r="R13" s="9" t="str"/>
      <x:c r="S13" s="9" t="str">
        <x:v>Sujet et intentions sont du design original, pas une transcription.</x:v>
      </x:c>
    </x:row>
    <x:row r="14" ht="82" customHeight="1">
      <x:c r="A14" s="19" t="str">
        <x:v>ANN-DIA-MALAK</x:v>
      </x:c>
      <x:c r="B14" s="7" t="str">
        <x:v>Malak’Rafa vas Keelah Si’yah — échange : mémoire d’un projet commun</x:v>
      </x:c>
      <x:c r="C14" s="15" t="str">
        <x:v>Défini</x:v>
      </x:c>
      <x:c r="D14" s="17" t="str">
        <x:v>Extrapolation</x:v>
      </x:c>
      <x:c r="E14" s="17" t="str">
        <x:v>P1</x:v>
      </x:c>
      <x:c r="F14" s="7" t="str">
        <x:v>Dialogue original à écrire, sans reproduire les répliques de la publication.</x:v>
      </x:c>
      <x:c r="G14" s="7" t="str">
        <x:v>Intentions : aborder mémoire d’un projet commun, poser une question de clarification, puis revenir à l’objectif local.</x:v>
      </x:c>
      <x:c r="H14" s="7" t="str">
        <x:v>Trois intentions proposées : demander un fait, exprimer une réserve, clore. Débloquer un indice local sans imposer une opinion au joueur.</x:v>
      </x:c>
      <x:c r="I14" s="7" t="str">
        <x:v>Portrait Malak’Rafa vas Keelah Si’yah, interlocuteur actif et indication de la personne qui connaît le fait.</x:v>
      </x:c>
      <x:c r="J14" s="7" t="str">
        <x:v>Pose d’écoute puis réaction sobre ; ne pas boucler une émotion pendant une pause de lecture.</x:v>
      </x:c>
      <x:c r="K14" s="7" t="str">
        <x:v>Texte intégral affiché ; éventuelle voix originale avec débit réglable, sans imitation du casting.</x:v>
      </x:c>
      <x:c r="L14" s="7" t="str">
        <x:v>Dialogue graph ann.malak.memoire-dun-projet-commun ; drapeaux de connaissance locaux.</x:v>
      </x:c>
      <x:c r="M14" s="7" t="str">
        <x:v>Préserver le mystère et l’issue du roman. La maladie ne transforme pas les espèces en bestiaire de zombies ; les procédures médicales restent fictives et abstraites. Aucun sauvetage par Ryder ni prolongement officiel de MEA n’est inventé.</x:v>
      </x:c>
      <x:c r="N14" s="7" t="str">
        <x:v>Aucune option ne révèle un savoir futur ; quitter puis reprendre conserve les sujets déjà abordés.</x:v>
      </x:c>
      <x:c r="O14" s="7" t="str">
        <x:v>ANN-CHR-MALAK</x:v>
      </x:c>
      <x:c r="P14" s="7" t="str"/>
      <x:c r="Q14" s="7" t="str"/>
      <x:c r="R14" s="7" t="str"/>
      <x:c r="S14" s="7" t="str">
        <x:v>Sujet et intentions sont du design original, pas une transcription.</x:v>
      </x:c>
    </x:row>
    <x:row r="15" ht="82" customHeight="1">
      <x:c r="A15" s="18" t="str">
        <x:v>ANN-DIA-SOVAL</x:v>
      </x:c>
      <x:c r="B15" s="9" t="str">
        <x:v>Soval Raxios — consultation d’archive</x:v>
      </x:c>
      <x:c r="C15" s="15" t="str">
        <x:v>Défini</x:v>
      </x:c>
      <x:c r="D15" s="16" t="str">
        <x:v>Extrapolation</x:v>
      </x:c>
      <x:c r="E15" s="16" t="str">
        <x:v>P1</x:v>
      </x:c>
      <x:c r="F15" s="9" t="str">
        <x:v>Interaction originale de consultation et annotation d’un dossier, sans conversation physique ajoutée.</x:v>
      </x:c>
      <x:c r="G15" s="9" t="str">
        <x:v>Lire une notice originale brève, demander sa provenance dans l’interface, puis revenir à l’objectif. Aucune parole nouvelle attribuée à la personne archivée.</x:v>
      </x:c>
      <x:c r="H15" s="9" t="str">
        <x:v>Trois commandes proposées : consulter, afficher la source, fermer. Un doute peut être ajouté au journal sans créer de témoignage.</x:v>
      </x:c>
      <x:c r="I15" s="9" t="str">
        <x:v>Portrait Soval Raxios, interlocuteur actif et indication de la personne qui connaît le fait.</x:v>
      </x:c>
      <x:c r="J15" s="9" t="str">
        <x:v>Portrait d’archive fixe ; surlignage facultatif de la pièce consultée.</x:v>
      </x:c>
      <x:c r="K15" s="9" t="str">
        <x:v>Aucune voix enregistrée fictivement attribuée au personnage ; signal UI discret et texte intégral.</x:v>
      </x:c>
      <x:c r="L15" s="9" t="str">
        <x:v>archive.ann.soval ; entrée de dossier et provenance, sans graphe de conversation avec un acteur présent.</x:v>
      </x:c>
      <x:c r="M15" s="9" t="str">
        <x:v>Préserver le mystère et l’issue du roman. La maladie ne transforme pas les espèces en bestiaire de zombies ; les procédures médicales restent fictives et abstraites. Aucun sauvetage par Ryder ni prolongement officiel de MEA n’est inventé.</x:v>
      </x:c>
      <x:c r="N15" s="9" t="str">
        <x:v>La personne reste absente du groupe physique ; aucun nouveau savoir n’est débloqué sans source ou annotation Extrapolation.</x:v>
      </x:c>
      <x:c r="O15" s="9" t="str">
        <x:v>ANN-CHR-SOVAL</x:v>
      </x:c>
      <x:c r="P15" s="9" t="str"/>
      <x:c r="Q15" s="9" t="str"/>
      <x:c r="R15" s="9" t="str"/>
      <x:c r="S15" s="9" t="str">
        <x:v>Sujet et intentions sont du design original, pas une transcription.</x:v>
      </x:c>
    </x:row>
    <x:row r="16" ht="82" customHeight="1">
      <x:c r="A16" s="19" t="str">
        <x:v>ANN-DIA-KHOLAI</x:v>
      </x:c>
      <x:c r="B16" s="7" t="str">
        <x:v>Kholai — échange : coexistence de convictions à bord</x:v>
      </x:c>
      <x:c r="C16" s="15" t="str">
        <x:v>Défini</x:v>
      </x:c>
      <x:c r="D16" s="17" t="str">
        <x:v>Extrapolation</x:v>
      </x:c>
      <x:c r="E16" s="17" t="str">
        <x:v>P1</x:v>
      </x:c>
      <x:c r="F16" s="7" t="str">
        <x:v>Dialogue original à écrire, sans reproduire les répliques de la publication.</x:v>
      </x:c>
      <x:c r="G16" s="7" t="str">
        <x:v>Intentions : aborder coexistence de convictions à bord, poser une question de clarification, puis revenir à l’objectif local.</x:v>
      </x:c>
      <x:c r="H16" s="7" t="str">
        <x:v>Trois intentions proposées : demander un fait, exprimer une réserve, clore. Débloquer un indice local sans imposer une opinion au joueur.</x:v>
      </x:c>
      <x:c r="I16" s="7" t="str">
        <x:v>Portrait Kholai, interlocuteur actif et indication de la personne qui connaît le fait.</x:v>
      </x:c>
      <x:c r="J16" s="7" t="str">
        <x:v>Pose d’écoute puis réaction sobre ; ne pas boucler une émotion pendant une pause de lecture.</x:v>
      </x:c>
      <x:c r="K16" s="7" t="str">
        <x:v>Texte intégral affiché ; éventuelle voix originale avec débit réglable, sans imitation du casting.</x:v>
      </x:c>
      <x:c r="L16" s="7" t="str">
        <x:v>Dialogue graph ann.kholai.coexistence-de-convictions-a-bord ; drapeaux de connaissance locaux.</x:v>
      </x:c>
      <x:c r="M16" s="7" t="str">
        <x:v>Préserver le mystère et l’issue du roman. La maladie ne transforme pas les espèces en bestiaire de zombies ; les procédures médicales restent fictives et abstraites. Aucun sauvetage par Ryder ni prolongement officiel de MEA n’est inventé.</x:v>
      </x:c>
      <x:c r="N16" s="7" t="str">
        <x:v>Aucune option ne révèle un savoir futur ; quitter puis reprendre conserve les sujets déjà abordés.</x:v>
      </x:c>
      <x:c r="O16" s="7" t="str">
        <x:v>ANN-CHR-KHOLAI</x:v>
      </x:c>
      <x:c r="P16" s="7" t="str"/>
      <x:c r="Q16" s="7" t="str"/>
      <x:c r="R16" s="7" t="str"/>
      <x:c r="S16" s="7" t="str">
        <x:v>Sujet et intentions sont du design original, pas une transcription.</x:v>
      </x:c>
    </x:row>
  </x:sheetData>
  <x:conditionalFormatting sqref="D7:D16">
    <x:cfRule type="cellIs" dxfId="48" priority="1" operator="equal">
      <x:formula>"À vérifier"</x:formula>
    </x:cfRule>
    <x:cfRule type="cellIs" dxfId="49" priority="2" operator="equal">
      <x:formula>"Extrapolation"</x:formula>
    </x:cfRule>
  </x:conditionalFormatting>
  <x:conditionalFormatting sqref="C7:C16">
    <x:cfRule type="cellIs" dxfId="50" priority="3" operator="equal">
      <x:formula>"Validé"</x:formula>
    </x:cfRule>
  </x:conditionalFormatting>
  <x:conditionalFormatting sqref="E7:E16">
    <x:cfRule type="cellIs" dxfId="5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0676d42ab8cb450a"/>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Andromeda: Annihilation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ANN-CIN-WAKE</x:v>
      </x:c>
      <x:c r="B7" s="9" t="str">
        <x:v>Répartir les premières vérifications — transition narrative</x:v>
      </x:c>
      <x:c r="C7" s="15" t="str">
        <x:v>Défini</x:v>
      </x:c>
      <x:c r="D7" s="16" t="str">
        <x:v>Extrapolation</x:v>
      </x:c>
      <x:c r="E7" s="16" t="str">
        <x:v>P1</x:v>
      </x:c>
      <x:c r="F7" s="9" t="str">
        <x:v>Mise en scène originale compacte, sans reconstituer les dialogues de l’œuvre.</x:v>
      </x:c>
      <x:c r="G7" s="9" t="str">
        <x:v>Plan circulaire du hub avec plusieurs silhouettes non humaines.</x:v>
      </x:c>
      <x:c r="H7" s="9" t="str">
        <x:v>Caméra et texte uniquement ; aucune commande de combat pendant la transition ; reprise au même état en cas de saut.</x:v>
      </x:c>
      <x:c r="I7" s="9" t="str">
        <x:v>Composition 3D sobre, silhouettes 2D au premier plan ; contrôler l’échelle des personnages.</x:v>
      </x:c>
      <x:c r="J7" s="9" t="str">
        <x:v>Deux ou trois plans courts proposés ; sortie anticipée applique les mêmes drapeaux que lecture complète.</x:v>
      </x:c>
      <x:c r="K7" s="9" t="str">
        <x:v>Musique originale sous les sous-titres ; aucun extrait de bande sonore officielle.</x:v>
      </x:c>
      <x:c r="L7" s="9" t="str">
        <x:v>cinematics/ann/wake.timeline ; événements idempotents.</x:v>
      </x:c>
      <x:c r="M7" s="9" t="str">
        <x:v>Ne pas révéler le responsable avant l’étape validée du récit.</x:v>
      </x:c>
      <x:c r="N7" s="9" t="str">
        <x:v>Version regardée et version sautée donnent les mêmes inventaire, équipe, carte et objectifs.</x:v>
      </x:c>
      <x:c r="O7" s="9" t="str">
        <x:v>ANN-MIS-WAKE</x:v>
      </x:c>
      <x:c r="P7" s="9" t="str"/>
      <x:c r="Q7" s="9" t="str"/>
      <x:c r="R7" s="9" t="str"/>
      <x:c r="S7" s="9" t="str"/>
    </x:row>
    <x:row r="8" ht="54" customHeight="1">
      <x:c r="A8" s="19" t="str">
        <x:v>ANN-CIN-CONFIRM</x:v>
      </x:c>
      <x:c r="B8" s="7" t="str">
        <x:v>Comparer affichage et présence — transition narrative</x:v>
      </x:c>
      <x:c r="C8" s="15" t="str">
        <x:v>Défini</x:v>
      </x:c>
      <x:c r="D8" s="17" t="str">
        <x:v>Extrapolation</x:v>
      </x:c>
      <x:c r="E8" s="17" t="str">
        <x:v>P1</x:v>
      </x:c>
      <x:c r="F8" s="7" t="str">
        <x:v>Mise en scène originale compacte, sans reconstituer les dialogues de l’œuvre.</x:v>
      </x:c>
      <x:c r="G8" s="7" t="str">
        <x:v>Deux panneaux contradictoires restent visibles à l’écran.</x:v>
      </x:c>
      <x:c r="H8" s="7" t="str">
        <x:v>Caméra et texte uniquement ; aucune commande de combat pendant la transition ; reprise au même état en cas de saut.</x:v>
      </x:c>
      <x:c r="I8" s="7" t="str">
        <x:v>Composition 3D sobre, silhouettes 2D au premier plan ; contrôler l’échelle des personnages.</x:v>
      </x:c>
      <x:c r="J8" s="7" t="str">
        <x:v>Deux ou trois plans courts proposés ; sortie anticipée applique les mêmes drapeaux que lecture complète.</x:v>
      </x:c>
      <x:c r="K8" s="7" t="str">
        <x:v>Musique originale sous les sous-titres ; aucun extrait de bande sonore officielle.</x:v>
      </x:c>
      <x:c r="L8" s="7" t="str">
        <x:v>cinematics/ann/confirm.timeline ; événements idempotents.</x:v>
      </x:c>
      <x:c r="M8" s="7" t="str">
        <x:v>Pas de simulation clinique réaliste ou récit détaillé des décès.</x:v>
      </x:c>
      <x:c r="N8" s="7" t="str">
        <x:v>Version regardée et version sautée donnent les mêmes inventaire, équipe, carte et objectifs.</x:v>
      </x:c>
      <x:c r="O8" s="7" t="str">
        <x:v>ANN-MIS-CONFIRM</x:v>
      </x:c>
      <x:c r="P8" s="7" t="str"/>
      <x:c r="Q8" s="7" t="str"/>
      <x:c r="R8" s="7" t="str"/>
      <x:c r="S8" s="7" t="str"/>
    </x:row>
    <x:row r="9" ht="54" customHeight="1">
      <x:c r="A9" s="18" t="str">
        <x:v>ANN-CIN-MEASURE</x:v>
      </x:c>
      <x:c r="B9" s="9" t="str">
        <x:v>Obtenir une mesure indépendante — transition narrative</x:v>
      </x:c>
      <x:c r="C9" s="15" t="str">
        <x:v>Défini</x:v>
      </x:c>
      <x:c r="D9" s="16" t="str">
        <x:v>Extrapolation</x:v>
      </x:c>
      <x:c r="E9" s="16" t="str">
        <x:v>P1</x:v>
      </x:c>
      <x:c r="F9" s="9" t="str">
        <x:v>Mise en scène originale compacte, sans reconstituer les dialogues de l’œuvre.</x:v>
      </x:c>
      <x:c r="G9" s="9" t="str">
        <x:v>Les silhouettes travaillent côte à côte autour d’un résultat incomplet.</x:v>
      </x:c>
      <x:c r="H9" s="9" t="str">
        <x:v>Caméra et texte uniquement ; aucune commande de combat pendant la transition ; reprise au même état en cas de saut.</x:v>
      </x:c>
      <x:c r="I9" s="9" t="str">
        <x:v>Composition 3D sobre, silhouettes 2D au premier plan ; contrôler l’échelle des personnages.</x:v>
      </x:c>
      <x:c r="J9" s="9" t="str">
        <x:v>Deux ou trois plans courts proposés ; sortie anticipée applique les mêmes drapeaux que lecture complète.</x:v>
      </x:c>
      <x:c r="K9" s="9" t="str">
        <x:v>Musique originale sous les sous-titres ; aucun extrait de bande sonore officielle.</x:v>
      </x:c>
      <x:c r="L9" s="9" t="str">
        <x:v>cinematics/ann/measure.timeline ; événements idempotents.</x:v>
      </x:c>
      <x:c r="M9" s="9" t="str">
        <x:v>Aucun dosage, culture de pathogène ou traitement réel.</x:v>
      </x:c>
      <x:c r="N9" s="9" t="str">
        <x:v>Version regardée et version sautée donnent les mêmes inventaire, équipe, carte et objectifs.</x:v>
      </x:c>
      <x:c r="O9" s="9" t="str">
        <x:v>ANN-MIS-MEASURE</x:v>
      </x:c>
      <x:c r="P9" s="9" t="str"/>
      <x:c r="Q9" s="9" t="str"/>
      <x:c r="R9" s="9" t="str"/>
      <x:c r="S9" s="9" t="str"/>
    </x:row>
    <x:row r="10" ht="54" customHeight="1">
      <x:c r="A10" s="19" t="str">
        <x:v>ANN-CIN-RECOVER</x:v>
      </x:c>
      <x:c r="B10" s="7" t="str">
        <x:v>Retrouver un matériel déplacé — transition narrative</x:v>
      </x:c>
      <x:c r="C10" s="15" t="str">
        <x:v>Défini</x:v>
      </x:c>
      <x:c r="D10" s="17" t="str">
        <x:v>Extrapolation</x:v>
      </x:c>
      <x:c r="E10" s="17" t="str">
        <x:v>P1</x:v>
      </x:c>
      <x:c r="F10" s="7" t="str">
        <x:v>Mise en scène originale compacte, sans reconstituer les dialogues de l’œuvre.</x:v>
      </x:c>
      <x:c r="G10" s="7" t="str">
        <x:v>Un objet utile quitte la réserve sans vider tous les casiers.</x:v>
      </x:c>
      <x:c r="H10" s="7" t="str">
        <x:v>Caméra et texte uniquement ; aucune commande de combat pendant la transition ; reprise au même état en cas de saut.</x:v>
      </x:c>
      <x:c r="I10" s="7" t="str">
        <x:v>Composition 3D sobre, silhouettes 2D au premier plan ; contrôler l’échelle des personnages.</x:v>
      </x:c>
      <x:c r="J10" s="7" t="str">
        <x:v>Deux ou trois plans courts proposés ; sortie anticipée applique les mêmes drapeaux que lecture complète.</x:v>
      </x:c>
      <x:c r="K10" s="7" t="str">
        <x:v>Musique originale sous les sous-titres ; aucun extrait de bande sonore officielle.</x:v>
      </x:c>
      <x:c r="L10" s="7" t="str">
        <x:v>cinematics/ann/recover.timeline ; événements idempotents.</x:v>
      </x:c>
      <x:c r="M10" s="7" t="str">
        <x:v>Ne pas traiter l’espèce du détenteur comme indice de culpabilité.</x:v>
      </x:c>
      <x:c r="N10" s="7" t="str">
        <x:v>Version regardée et version sautée donnent les mêmes inventaire, équipe, carte et objectifs.</x:v>
      </x:c>
      <x:c r="O10" s="7" t="str">
        <x:v>ANN-MIS-RECOVER</x:v>
      </x:c>
      <x:c r="P10" s="7" t="str"/>
      <x:c r="Q10" s="7" t="str"/>
      <x:c r="R10" s="7" t="str"/>
      <x:c r="S10" s="7" t="str"/>
    </x:row>
    <x:row r="11" ht="54" customHeight="1">
      <x:c r="A11" s="18" t="str">
        <x:v>ANN-CIN-RECONCILE</x:v>
      </x:c>
      <x:c r="B11" s="9" t="str">
        <x:v>Réconcilier deux états de système — transition narrative</x:v>
      </x:c>
      <x:c r="C11" s="15" t="str">
        <x:v>Défini</x:v>
      </x:c>
      <x:c r="D11" s="16" t="str">
        <x:v>Extrapolation</x:v>
      </x:c>
      <x:c r="E11" s="16" t="str">
        <x:v>P1</x:v>
      </x:c>
      <x:c r="F11" s="9" t="str">
        <x:v>Mise en scène originale compacte, sans reconstituer les dialogues de l’œuvre.</x:v>
      </x:c>
      <x:c r="G11" s="9" t="str">
        <x:v>Le plan de secteur se corrige progressivement.</x:v>
      </x:c>
      <x:c r="H11" s="9" t="str">
        <x:v>Caméra et texte uniquement ; aucune commande de combat pendant la transition ; reprise au même état en cas de saut.</x:v>
      </x:c>
      <x:c r="I11" s="9" t="str">
        <x:v>Composition 3D sobre, silhouettes 2D au premier plan ; contrôler l’échelle des personnages.</x:v>
      </x:c>
      <x:c r="J11" s="9" t="str">
        <x:v>Deux ou trois plans courts proposés ; sortie anticipée applique les mêmes drapeaux que lecture complète.</x:v>
      </x:c>
      <x:c r="K11" s="9" t="str">
        <x:v>Musique originale sous les sous-titres ; aucun extrait de bande sonore officielle.</x:v>
      </x:c>
      <x:c r="L11" s="9" t="str">
        <x:v>cinematics/ann/reconcile.timeline ; événements idempotents.</x:v>
      </x:c>
      <x:c r="M11" s="9" t="str">
        <x:v>La réparation locale ne résout pas instantanément la maladie.</x:v>
      </x:c>
      <x:c r="N11" s="9" t="str">
        <x:v>Version regardée et version sautée donnent les mêmes inventaire, équipe, carte et objectifs.</x:v>
      </x:c>
      <x:c r="O11" s="9" t="str">
        <x:v>ANN-MIS-RECONCILE</x:v>
      </x:c>
      <x:c r="P11" s="9" t="str"/>
      <x:c r="Q11" s="9" t="str"/>
      <x:c r="R11" s="9" t="str"/>
      <x:c r="S11" s="9" t="str"/>
    </x:row>
    <x:row r="12" ht="54" customHeight="1">
      <x:c r="A12" s="19" t="str">
        <x:v>ANN-CIN-QUESTION</x:v>
      </x:c>
      <x:c r="B12" s="7" t="str">
        <x:v>Conduire une demande d’explication — transition narrative</x:v>
      </x:c>
      <x:c r="C12" s="15" t="str">
        <x:v>Défini</x:v>
      </x:c>
      <x:c r="D12" s="17" t="str">
        <x:v>Extrapolation</x:v>
      </x:c>
      <x:c r="E12" s="17" t="str">
        <x:v>P1</x:v>
      </x:c>
      <x:c r="F12" s="7" t="str">
        <x:v>Mise en scène originale compacte, sans reconstituer les dialogues de l’œuvre.</x:v>
      </x:c>
      <x:c r="G12" s="7" t="str">
        <x:v>Portraits silencieux et tableau de faits, sans scène de procès copiée.</x:v>
      </x:c>
      <x:c r="H12" s="7" t="str">
        <x:v>Caméra et texte uniquement ; aucune commande de combat pendant la transition ; reprise au même état en cas de saut.</x:v>
      </x:c>
      <x:c r="I12" s="7" t="str">
        <x:v>Composition 3D sobre, silhouettes 2D au premier plan ; contrôler l’échelle des personnages.</x:v>
      </x:c>
      <x:c r="J12" s="7" t="str">
        <x:v>Deux ou trois plans courts proposés ; sortie anticipée applique les mêmes drapeaux que lecture complète.</x:v>
      </x:c>
      <x:c r="K12" s="7" t="str">
        <x:v>Musique originale sous les sous-titres ; aucun extrait de bande sonore officielle.</x:v>
      </x:c>
      <x:c r="L12" s="7" t="str">
        <x:v>cinematics/ann/question.timeline ; événements idempotents.</x:v>
      </x:c>
      <x:c r="M12" s="7" t="str">
        <x:v>Les responsabilités et sanctions du livre restent à relire avant intégration.</x:v>
      </x:c>
      <x:c r="N12" s="7" t="str">
        <x:v>Version regardée et version sautée donnent les mêmes inventaire, équipe, carte et objectifs.</x:v>
      </x:c>
      <x:c r="O12" s="7" t="str">
        <x:v>ANN-MIS-QUESTION</x:v>
      </x:c>
      <x:c r="P12" s="7" t="str"/>
      <x:c r="Q12" s="7" t="str"/>
      <x:c r="R12" s="7" t="str"/>
      <x:c r="S12" s="7" t="str"/>
    </x:row>
    <x:row r="13" ht="54" customHeight="1">
      <x:c r="A13" s="18" t="str">
        <x:v>ANN-CIN-PROTECT</x:v>
      </x:c>
      <x:c r="B13" s="9" t="str">
        <x:v>Préserver les passagers éveillés — transition narrative</x:v>
      </x:c>
      <x:c r="C13" s="15" t="str">
        <x:v>Défini</x:v>
      </x:c>
      <x:c r="D13" s="16" t="str">
        <x:v>Extrapolation</x:v>
      </x:c>
      <x:c r="E13" s="16" t="str">
        <x:v>P1</x:v>
      </x:c>
      <x:c r="F13" s="9" t="str">
        <x:v>Mise en scène originale compacte, sans reconstituer les dialogues de l’œuvre.</x:v>
      </x:c>
      <x:c r="G13" s="9" t="str">
        <x:v>Vue large sur plusieurs espèces aidant au passage.</x:v>
      </x:c>
      <x:c r="H13" s="9" t="str">
        <x:v>Caméra et texte uniquement ; aucune commande de combat pendant la transition ; reprise au même état en cas de saut.</x:v>
      </x:c>
      <x:c r="I13" s="9" t="str">
        <x:v>Composition 3D sobre, silhouettes 2D au premier plan ; contrôler l’échelle des personnages.</x:v>
      </x:c>
      <x:c r="J13" s="9" t="str">
        <x:v>Deux ou trois plans courts proposés ; sortie anticipée applique les mêmes drapeaux que lecture complète.</x:v>
      </x:c>
      <x:c r="K13" s="9" t="str">
        <x:v>Musique originale sous les sous-titres ; aucun extrait de bande sonore officielle.</x:v>
      </x:c>
      <x:c r="L13" s="9" t="str">
        <x:v>cinematics/ann/protect.timeline ; événements idempotents.</x:v>
      </x:c>
      <x:c r="M13" s="9" t="str">
        <x:v>Aucune faction ennemie fondée sur une espèce ou un symptôme.</x:v>
      </x:c>
      <x:c r="N13" s="9" t="str">
        <x:v>Version regardée et version sautée donnent les mêmes inventaire, équipe, carte et objectifs.</x:v>
      </x:c>
      <x:c r="O13" s="9" t="str">
        <x:v>ANN-MIS-PROTECT</x:v>
      </x:c>
      <x:c r="P13" s="9" t="str"/>
      <x:c r="Q13" s="9" t="str"/>
      <x:c r="R13" s="9" t="str"/>
      <x:c r="S13" s="9" t="str"/>
    </x:row>
    <x:row r="14" ht="54" customHeight="1">
      <x:c r="A14" s="19" t="str">
        <x:v>ANN-CIN-STATE</x:v>
      </x:c>
      <x:c r="B14" s="7" t="str">
        <x:v>Consigner un état de voyage — transition narrative</x:v>
      </x:c>
      <x:c r="C14" s="15" t="str">
        <x:v>Défini</x:v>
      </x:c>
      <x:c r="D14" s="17" t="str">
        <x:v>Extrapolation</x:v>
      </x:c>
      <x:c r="E14" s="17" t="str">
        <x:v>P1</x:v>
      </x:c>
      <x:c r="F14" s="7" t="str">
        <x:v>Mise en scène originale compacte, sans reconstituer les dialogues de l’œuvre.</x:v>
      </x:c>
      <x:c r="G14" s="7" t="str">
        <x:v>Le Radial retrouve une lumière partielle, sans promettre une arrivée.</x:v>
      </x:c>
      <x:c r="H14" s="7" t="str">
        <x:v>Caméra et texte uniquement ; aucune commande de combat pendant la transition ; reprise au même état en cas de saut.</x:v>
      </x:c>
      <x:c r="I14" s="7" t="str">
        <x:v>Composition 3D sobre, silhouettes 2D au premier plan ; contrôler l’échelle des personnages.</x:v>
      </x:c>
      <x:c r="J14" s="7" t="str">
        <x:v>Deux ou trois plans courts proposés ; sortie anticipée applique les mêmes drapeaux que lecture complète.</x:v>
      </x:c>
      <x:c r="K14" s="7" t="str">
        <x:v>Musique originale sous les sous-titres ; aucun extrait de bande sonore officielle.</x:v>
      </x:c>
      <x:c r="L14" s="7" t="str">
        <x:v>cinematics/ann/state.timeline ; événements idempotents.</x:v>
      </x:c>
      <x:c r="M14" s="7" t="str">
        <x:v>La suite vers Andromède n’est pas transformée en DLC officiel inventé.</x:v>
      </x:c>
      <x:c r="N14" s="7" t="str">
        <x:v>Version regardée et version sautée donnent les mêmes inventaire, équipe, carte et objectifs.</x:v>
      </x:c>
      <x:c r="O14" s="7" t="str">
        <x:v>ANN-MIS-STATE</x:v>
      </x:c>
      <x:c r="P14" s="7" t="str"/>
      <x:c r="Q14" s="7" t="str"/>
      <x:c r="R14" s="7" t="str"/>
      <x:c r="S14" s="7" t="str"/>
    </x:row>
  </x:sheetData>
  <x:conditionalFormatting sqref="D7:D14">
    <x:cfRule type="cellIs" dxfId="52" priority="1" operator="equal">
      <x:formula>"À vérifier"</x:formula>
    </x:cfRule>
    <x:cfRule type="cellIs" dxfId="53" priority="2" operator="equal">
      <x:formula>"Extrapolation"</x:formula>
    </x:cfRule>
  </x:conditionalFormatting>
  <x:conditionalFormatting sqref="C7:C14">
    <x:cfRule type="cellIs" dxfId="54" priority="3" operator="equal">
      <x:formula>"Validé"</x:formula>
    </x:cfRule>
  </x:conditionalFormatting>
  <x:conditionalFormatting sqref="E7:E14">
    <x:cfRule type="cellIs" dxfId="5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83eef6079778470f"/>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Andromeda: Annihilation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ANN-REF-LOCKER</x:v>
      </x:c>
      <x:c r="B7" s="9" t="str">
        <x:v>Armes de l’armoire de sécurité</x:v>
      </x:c>
      <x:c r="C7" s="15" t="str">
        <x:v>Défini</x:v>
      </x:c>
      <x:c r="D7" s="16" t="str">
        <x:v>Établi</x:v>
      </x:c>
      <x:c r="E7" s="16" t="str">
        <x:v>P1</x:v>
      </x:c>
      <x:c r="F7" s="9" t="str">
        <x:v>Une armoire d’armes est accessible sur le pont ; les modèles précis restent à vérifier.</x:v>
      </x:c>
      <x:c r="G7" s="9" t="str">
        <x:v>Ancrage documentaire du module ; aucune statistique officielle inférée.</x:v>
      </x:c>
      <x:c r="H7" s="9" t="str"/>
      <x:c r="I7" s="9" t="str"/>
      <x:c r="J7" s="9" t="str"/>
      <x:c r="K7" s="9" t="str"/>
      <x:c r="L7" s="9" t="str">
        <x:v>Codex ref.ann.locker ; affichage bref avec source.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ANN-SRC-ANAX</x:v>
      </x:c>
      <x:c r="R7" s="9" t="str">
        <x:v>https://masseffect.fandom.com/wiki/Anax_Therion</x:v>
      </x:c>
      <x:c r="S7" s="9" t="str">
        <x:v>Ce relevé n’est ni un inventaire exhaustif ni un résumé scène par scène.</x:v>
      </x:c>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2f9dce130174012"/>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Andromeda: Annihilation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ANN-REF-CRYO</x:v>
      </x:c>
      <x:c r="B7" s="9" t="str">
        <x:v>Cryostase</x:v>
      </x:c>
      <x:c r="C7" s="15" t="str">
        <x:v>Défini</x:v>
      </x:c>
      <x:c r="D7" s="16" t="str">
        <x:v>Établi</x:v>
      </x:c>
      <x:c r="E7" s="16" t="str">
        <x:v>P1</x:v>
      </x:c>
      <x:c r="F7" s="9" t="str">
        <x:v>Les passagers voyagent dans des capsules cryogéniques.</x:v>
      </x:c>
      <x:c r="G7" s="9" t="str">
        <x:v>Ancrage documentaire du module ; aucune statistique officielle inférée.</x:v>
      </x:c>
      <x:c r="H7" s="9" t="str"/>
      <x:c r="I7" s="9" t="str"/>
      <x:c r="J7" s="9" t="str"/>
      <x:c r="K7" s="9" t="str"/>
      <x:c r="L7" s="9" t="str">
        <x:v>Codex ref.ann.cryo ; affichage bref avec source.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ANN-SRC-BW</x:v>
      </x:c>
      <x:c r="R7" s="9" t="str">
        <x:v>https://blog.bioware.com/2017/10/25/mass-effect-anihilation/</x:v>
      </x:c>
      <x:c r="S7" s="9" t="str">
        <x:v>Ce relevé n’est ni un inventaire exhaustif ni un résumé scène par scène.</x:v>
      </x:c>
    </x:row>
    <x:row r="8" ht="82" customHeight="1">
      <x:c r="A8" s="19" t="str">
        <x:v>ANN-REF-MICROSCOPE</x:v>
      </x:c>
      <x:c r="B8" s="7" t="str">
        <x:v>Microscope et matériel d’analyse</x:v>
      </x:c>
      <x:c r="C8" s="15" t="str">
        <x:v>Défini</x:v>
      </x:c>
      <x:c r="D8" s="17" t="str">
        <x:v>Établi</x:v>
      </x:c>
      <x:c r="E8" s="17" t="str">
        <x:v>P1</x:v>
      </x:c>
      <x:c r="F8" s="7" t="str">
        <x:v>Anax recherche du matériel pour examiner la cause de la crise.</x:v>
      </x:c>
      <x:c r="G8" s="7" t="str">
        <x:v>Ancrage documentaire du module ; aucune statistique officielle inférée.</x:v>
      </x:c>
      <x:c r="H8" s="7" t="str"/>
      <x:c r="I8" s="7" t="str"/>
      <x:c r="J8" s="7" t="str"/>
      <x:c r="K8" s="7" t="str"/>
      <x:c r="L8" s="7" t="str">
        <x:v>Codex ref.ann.microscope ; affichage bref avec source.</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ANN-SRC-ANAX</x:v>
      </x:c>
      <x:c r="R8" s="7" t="str">
        <x:v>https://masseffect.fandom.com/wiki/Anax_Therion</x:v>
      </x:c>
      <x:c r="S8" s="7" t="str">
        <x:v>Ce relevé n’est ni un inventaire exhaustif ni un résumé scène par scène.</x:v>
      </x:c>
    </x:row>
  </x:sheetData>
  <x:conditionalFormatting sqref="D7:D8">
    <x:cfRule type="cellIs" dxfId="60" priority="1" operator="equal">
      <x:formula>"À vérifier"</x:formula>
    </x:cfRule>
    <x:cfRule type="cellIs" dxfId="61" priority="2" operator="equal">
      <x:formula>"Extrapolation"</x:formula>
    </x:cfRule>
  </x:conditionalFormatting>
  <x:conditionalFormatting sqref="C7:C8">
    <x:cfRule type="cellIs" dxfId="62" priority="3" operator="equal">
      <x:formula>"Validé"</x:formula>
    </x:cfRule>
  </x:conditionalFormatting>
  <x:conditionalFormatting sqref="E7:E8">
    <x:cfRule type="cellIs" dxfId="6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de6234caa9664674"/>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Andromeda: Annihilation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ANN-REF-BIO</x:v>
      </x:c>
      <x:c r="B7" s="9" t="str">
        <x:v>Biotique d’Anax</x:v>
      </x:c>
      <x:c r="C7" s="15" t="str">
        <x:v>Défini</x:v>
      </x:c>
      <x:c r="D7" s="16" t="str">
        <x:v>Établi</x:v>
      </x:c>
      <x:c r="E7" s="16" t="str">
        <x:v>P1</x:v>
      </x:c>
      <x:c r="F7" s="9" t="str">
        <x:v>Anax peut employer la biotique ; aucun arbre de pouvoirs officiel n’est fourni.</x:v>
      </x:c>
      <x:c r="G7" s="9" t="str">
        <x:v>Ancrage documentaire du module ; aucune statistique officielle inférée.</x:v>
      </x:c>
      <x:c r="H7" s="9" t="str"/>
      <x:c r="I7" s="9" t="str"/>
      <x:c r="J7" s="9" t="str"/>
      <x:c r="K7" s="9" t="str"/>
      <x:c r="L7" s="9" t="str">
        <x:v>Codex ref.ann.bio ; affichage bref avec source.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ANN-SRC-ANAX</x:v>
      </x:c>
      <x:c r="R7" s="9" t="str">
        <x:v>https://masseffect.fandom.com/wiki/Anax_Therion</x:v>
      </x:c>
      <x:c r="S7" s="9" t="str">
        <x:v>Ce relevé n’est ni un inventaire exhaustif ni un résumé scène par scène.</x:v>
      </x:c>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7f0820c48d8d4b9e"/>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Andromeda: Annihilation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ANN-MOV-COORD</x:v>
      </x:c>
      <x:c r="B7" s="9" t="str">
        <x:v>Répartition de binômes</x:v>
      </x:c>
      <x:c r="C7" s="15" t="str">
        <x:v>Défini</x:v>
      </x:c>
      <x:c r="D7" s="16" t="str">
        <x:v>Extrapolation</x:v>
      </x:c>
      <x:c r="E7" s="16" t="str">
        <x:v>P1</x:v>
      </x:c>
      <x:c r="F7" s="9" t="str">
        <x:v>Action de groupe originale ; elle n’est pas une compétence officielle de cette œuvre.</x:v>
      </x:c>
      <x:c r="G7" s="9" t="str">
        <x:v>Senna : Affecter deux spécialistes à un problème local ; compétences complémentaires requises.</x:v>
      </x:c>
      <x:c r="H7" s="9" t="str">
        <x:v>Affecter deux spécialistes à un problème local ; compétences complémentaires requises. Coût initial proposé : une action ATB ; coût et délai restent des paramètres de prototype.</x:v>
      </x:c>
      <x:c r="I7" s="9" t="str">
        <x:v>Deux portraits reliés à un objectif.</x:v>
      </x:c>
      <x:c r="J7" s="9" t="str">
        <x:v>Préparation, validation de cible, engagement et récupération ; prévoir animation de refus avec motif.</x:v>
      </x:c>
      <x:c r="K7" s="9" t="str">
        <x:v>Confirmation et refus distingués ; texte d’état accessible au clavier.</x:v>
      </x:c>
      <x:c r="L7" s="9" t="str">
        <x:v>actions/ann/coord.json ; commande, cibles autorisées, coût, effets, nettoyage.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Une cible incompatible ne consomme rien ; l’effet est réversible au rechargement du point de contrôle.</x:v>
      </x:c>
      <x:c r="O7" s="9" t="str"/>
      <x:c r="P7" s="9" t="str"/>
      <x:c r="Q7" s="9" t="str"/>
      <x:c r="R7" s="9" t="str"/>
      <x:c r="S7" s="9" t="str"/>
    </x:row>
    <x:row r="8" ht="82" customHeight="1">
      <x:c r="A8" s="19" t="str">
        <x:v>ANN-MOV-INFER</x:v>
      </x:c>
      <x:c r="B8" s="7" t="str">
        <x:v>Comparaison clinique des faits</x:v>
      </x:c>
      <x:c r="C8" s="15" t="str">
        <x:v>Défini</x:v>
      </x:c>
      <x:c r="D8" s="17" t="str">
        <x:v>Extrapolation</x:v>
      </x:c>
      <x:c r="E8" s="17" t="str">
        <x:v>P1</x:v>
      </x:c>
      <x:c r="F8" s="7" t="str">
        <x:v>Action de groupe originale ; elle n’est pas une compétence officielle de cette œuvre.</x:v>
      </x:c>
      <x:c r="G8" s="7" t="str">
        <x:v>Anax : Relier un indice matériel à un témoignage sans déclarer un coupable automatiquement.</x:v>
      </x:c>
      <x:c r="H8" s="7" t="str">
        <x:v>Relier un indice matériel à un témoignage sans déclarer un coupable automatiquement. Coût initial proposé : une action ATB ; coût et délai restent des paramètres de prototype.</x:v>
      </x:c>
      <x:c r="I8" s="7" t="str">
        <x:v>Lien annoté avec degré de certitude.</x:v>
      </x:c>
      <x:c r="J8" s="7" t="str">
        <x:v>Préparation, validation de cible, engagement et récupération ; prévoir animation de refus avec motif.</x:v>
      </x:c>
      <x:c r="K8" s="7" t="str">
        <x:v>Confirmation et refus distingués ; texte d’état accessible au clavier.</x:v>
      </x:c>
      <x:c r="L8" s="7" t="str">
        <x:v>actions/ann/infer.json ; commande, cibles autorisées, coût, effets, nettoyage.</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Une cible incompatible ne consomme rien ; l’effet est réversible au rechargement du point de contrôle.</x:v>
      </x:c>
      <x:c r="O8" s="7" t="str"/>
      <x:c r="P8" s="7" t="str"/>
      <x:c r="Q8" s="7" t="str"/>
      <x:c r="R8" s="7" t="str"/>
      <x:c r="S8" s="7" t="str"/>
    </x:row>
    <x:row r="9" ht="82" customHeight="1">
      <x:c r="A9" s="18" t="str">
        <x:v>ANN-MOV-MED</x:v>
      </x:c>
      <x:c r="B9" s="9" t="str">
        <x:v>Évaluation abstraite</x:v>
      </x:c>
      <x:c r="C9" s="15" t="str">
        <x:v>Défini</x:v>
      </x:c>
      <x:c r="D9" s="16" t="str">
        <x:v>Extrapolation</x:v>
      </x:c>
      <x:c r="E9" s="16" t="str">
        <x:v>P1</x:v>
      </x:c>
      <x:c r="F9" s="9" t="str">
        <x:v>Action de groupe originale ; elle n’est pas une compétence officielle de cette œuvre.</x:v>
      </x:c>
      <x:c r="G9" s="9" t="str">
        <x:v>Yorrik : Transformer une observation de jeu en besoin de repos ou de vérification ; aucune médecine réelle.</x:v>
      </x:c>
      <x:c r="H9" s="9" t="str">
        <x:v>Transformer une observation de jeu en besoin de repos ou de vérification ; aucune médecine réelle. Coût initial proposé : une action ATB ; coût et délai restent des paramètres de prototype.</x:v>
      </x:c>
      <x:c r="I9" s="9" t="str">
        <x:v>Icône de besoin lisible pour toutes les espèces.</x:v>
      </x:c>
      <x:c r="J9" s="9" t="str">
        <x:v>Préparation, validation de cible, engagement et récupération ; prévoir animation de refus avec motif.</x:v>
      </x:c>
      <x:c r="K9" s="9" t="str">
        <x:v>Confirmation et refus distingués ; texte d’état accessible au clavier.</x:v>
      </x:c>
      <x:c r="L9" s="9" t="str">
        <x:v>actions/ann/med.json ; commande, cibles autorisées, coût, effets, nettoyage.</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Une cible incompatible ne consomme rien ; l’effet est réversible au rechargement du point de contrôle.</x:v>
      </x:c>
      <x:c r="O9" s="9" t="str"/>
      <x:c r="P9" s="9" t="str"/>
      <x:c r="Q9" s="9" t="str"/>
      <x:c r="R9" s="9" t="str"/>
      <x:c r="S9" s="9" t="str"/>
    </x:row>
    <x:row r="10" ht="82" customHeight="1">
      <x:c r="A10" s="19" t="str">
        <x:v>ANN-MOV-REPAIR</x:v>
      </x:c>
      <x:c r="B10" s="7" t="str">
        <x:v>Validation de capteur</x:v>
      </x:c>
      <x:c r="C10" s="15" t="str">
        <x:v>Défini</x:v>
      </x:c>
      <x:c r="D10" s="17" t="str">
        <x:v>Extrapolation</x:v>
      </x:c>
      <x:c r="E10" s="17" t="str">
        <x:v>P1</x:v>
      </x:c>
      <x:c r="F10" s="7" t="str">
        <x:v>Action de groupe originale ; elle n’est pas une compétence officielle de cette œuvre.</x:v>
      </x:c>
      <x:c r="G10" s="7" t="str">
        <x:v>Irit : Confirmer un relevé par un second dispositif puis marquer la source fiable.</x:v>
      </x:c>
      <x:c r="H10" s="7" t="str">
        <x:v>Confirmer un relevé par un second dispositif puis marquer la source fiable. Coût initial proposé : une action ATB ; coût et délai restent des paramètres de prototype.</x:v>
      </x:c>
      <x:c r="I10" s="7" t="str">
        <x:v>Deux témoins d’état concordants.</x:v>
      </x:c>
      <x:c r="J10" s="7" t="str">
        <x:v>Préparation, validation de cible, engagement et récupération ; prévoir animation de refus avec motif.</x:v>
      </x:c>
      <x:c r="K10" s="7" t="str">
        <x:v>Confirmation et refus distingués ; texte d’état accessible au clavier.</x:v>
      </x:c>
      <x:c r="L10" s="7" t="str">
        <x:v>actions/ann/repair.json ; commande, cibles autorisées, coût, effets, nettoyage.</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Une cible incompatible ne consomme rien ; l’effet est réversible au rechargement du point de contrôle.</x:v>
      </x:c>
      <x:c r="O10" s="7" t="str"/>
      <x:c r="P10" s="7" t="str"/>
      <x:c r="Q10" s="7" t="str"/>
      <x:c r="R10" s="7" t="str"/>
      <x:c r="S10" s="7" t="str"/>
    </x:row>
    <x:row r="11" ht="82" customHeight="1">
      <x:c r="A11" s="18" t="str">
        <x:v>ANN-MOV-SALVAGE</x:v>
      </x:c>
      <x:c r="B11" s="9" t="str">
        <x:v>Ressource inattendue</x:v>
      </x:c>
      <x:c r="C11" s="15" t="str">
        <x:v>Défini</x:v>
      </x:c>
      <x:c r="D11" s="16" t="str">
        <x:v>Extrapolation</x:v>
      </x:c>
      <x:c r="E11" s="16" t="str">
        <x:v>P1</x:v>
      </x:c>
      <x:c r="F11" s="9" t="str">
        <x:v>Action de groupe originale ; elle n’est pas une compétence officielle de cette œuvre.</x:v>
      </x:c>
      <x:c r="G11" s="9" t="str">
        <x:v>Borbala : Révéler un objet utile déjà placé dans la carte, au prix d’une négociation locale.</x:v>
      </x:c>
      <x:c r="H11" s="9" t="str">
        <x:v>Révéler un objet utile déjà placé dans la carte, au prix d’une négociation locale. Coût initial proposé : une action ATB ; coût et délai restent des paramètres de prototype.</x:v>
      </x:c>
      <x:c r="I11" s="9" t="str">
        <x:v>Marqueur de caisse avec nouvelle annotation.</x:v>
      </x:c>
      <x:c r="J11" s="9" t="str">
        <x:v>Préparation, validation de cible, engagement et récupération ; prévoir animation de refus avec motif.</x:v>
      </x:c>
      <x:c r="K11" s="9" t="str">
        <x:v>Confirmation et refus distingués ; texte d’état accessible au clavier.</x:v>
      </x:c>
      <x:c r="L11" s="9" t="str">
        <x:v>actions/ann/salvage.json ; commande, cibles autorisées, coût, effets, nettoyage.</x:v>
      </x:c>
      <x:c r="M11" s="9" t="str">
        <x:v>Préserver le mystère et l’issue du roman. La maladie ne transforme pas les espèces en bestiaire de zombies ; les procédures médicales restent fictives et abstraites. Aucun sauvetage par Ryder ni prolongement officiel de MEA n’est inventé.</x:v>
      </x:c>
      <x:c r="N11" s="9" t="str">
        <x:v>Une cible incompatible ne consomme rien ; l’effet est réversible au rechargement du point de contrôle.</x:v>
      </x:c>
      <x:c r="O11" s="9" t="str"/>
      <x:c r="P11" s="9" t="str"/>
      <x:c r="Q11" s="9" t="str"/>
      <x:c r="R11" s="9" t="str"/>
      <x:c r="S11" s="9" t="str"/>
    </x:row>
    <x:row r="12" ht="82" customHeight="1">
      <x:c r="A12" s="19" t="str">
        <x:v>ANN-MOV-HANDLE</x:v>
      </x:c>
      <x:c r="B12" s="7" t="str">
        <x:v>Manipulation adaptée</x:v>
      </x:c>
      <x:c r="C12" s="15" t="str">
        <x:v>Défini</x:v>
      </x:c>
      <x:c r="D12" s="17" t="str">
        <x:v>Extrapolation</x:v>
      </x:c>
      <x:c r="E12" s="17" t="str">
        <x:v>P1</x:v>
      </x:c>
      <x:c r="F12" s="7" t="str">
        <x:v>Action de groupe originale ; elle n’est pas une compétence officielle de cette œuvre.</x:v>
      </x:c>
      <x:c r="G12" s="7" t="str">
        <x:v>Ysses : Déplacer un objet fictif fragile à travers un passage sans le détruire.</x:v>
      </x:c>
      <x:c r="H12" s="7" t="str">
        <x:v>Déplacer un objet fictif fragile à travers un passage sans le détruire. Coût initial proposé : une action ATB ; coût et délai restent des paramètres de prototype.</x:v>
      </x:c>
      <x:c r="I12" s="7" t="str">
        <x:v>Tentacules animés et zone de dépôt explicite.</x:v>
      </x:c>
      <x:c r="J12" s="7" t="str">
        <x:v>Préparation, validation de cible, engagement et récupération ; prévoir animation de refus avec motif.</x:v>
      </x:c>
      <x:c r="K12" s="7" t="str">
        <x:v>Confirmation et refus distingués ; texte d’état accessible au clavier.</x:v>
      </x:c>
      <x:c r="L12" s="7" t="str">
        <x:v>actions/ann/handle.json ; commande, cibles autorisées, coût, effets, nettoyage.</x:v>
      </x:c>
      <x:c r="M12" s="7" t="str">
        <x:v>Préserver le mystère et l’issue du roman. La maladie ne transforme pas les espèces en bestiaire de zombies ; les procédures médicales restent fictives et abstraites. Aucun sauvetage par Ryder ni prolongement officiel de MEA n’est inventé.</x:v>
      </x:c>
      <x:c r="N12" s="7" t="str">
        <x:v>Une cible incompatible ne consomme rien ; l’effet est réversible au rechargement du point de contrôle.</x:v>
      </x:c>
      <x:c r="O12" s="7" t="str"/>
      <x:c r="P12" s="7" t="str"/>
      <x:c r="Q12" s="7" t="str"/>
      <x:c r="R12" s="7" t="str"/>
      <x:c r="S12" s="7" t="str"/>
    </x:row>
  </x:sheetData>
  <x:conditionalFormatting sqref="D7:D12">
    <x:cfRule type="cellIs" dxfId="68" priority="1" operator="equal">
      <x:formula>"À vérifier"</x:formula>
    </x:cfRule>
    <x:cfRule type="cellIs" dxfId="69" priority="2" operator="equal">
      <x:formula>"Extrapolation"</x:formula>
    </x:cfRule>
  </x:conditionalFormatting>
  <x:conditionalFormatting sqref="C7:C12">
    <x:cfRule type="cellIs" dxfId="70" priority="3" operator="equal">
      <x:formula>"Validé"</x:formula>
    </x:cfRule>
  </x:conditionalFormatting>
  <x:conditionalFormatting sqref="E7:E12">
    <x:cfRule type="cellIs" dxfId="7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463fab4a03214fc2"/>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Andromeda: Annihilation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ANN-EMV-SENSOR</x:v>
      </x:c>
      <x:c r="B7" s="9" t="str">
        <x:v>Capteur mensonger — comportement principal</x:v>
      </x:c>
      <x:c r="C7" s="15" t="str">
        <x:v>Défini</x:v>
      </x:c>
      <x:c r="D7" s="16" t="str">
        <x:v>Extrapolation</x:v>
      </x:c>
      <x:c r="E7" s="16" t="str">
        <x:v>P1</x:v>
      </x:c>
      <x:c r="F7" s="9" t="str">
        <x:v>Comportement proposé pour la rencontre liée.</x:v>
      </x:c>
      <x:c r="G7" s="9" t="str">
        <x:v>Affiche un état sûr alors qu’un accès local signale le contraire.</x:v>
      </x:c>
      <x:c r="H7" s="9" t="str">
        <x:v>Télégraphe : Double indicateur et étiquette source distincte. Contre-mesure : Vérifier depuis le secteur avant d’ouvrir le passage. Consommer une action ATB à l’engagement ; équilibrage à mesurer au prototype.</x:v>
      </x:c>
      <x:c r="I7" s="9" t="str">
        <x:v>Rendre l’aire touchée lisible au sol et sur le HUD ; ne jamais dépendre seulement de la couleur.</x:v>
      </x:c>
      <x:c r="J7" s="9" t="str">
        <x:v>Bloquer la cible au début de l’engagement ; annuler proprement si les préconditions disparaissent.</x:v>
      </x:c>
      <x:c r="K7" s="9" t="str">
        <x:v>Signal préalable distinct du son d’impact ; option pour réduire les sons agressifs.</x:v>
      </x:c>
      <x:c r="L7" s="9" t="str">
        <x:v>behaviors/ann/sensor : prepare/commit/recover ; paramètres séparés du code.</x:v>
      </x:c>
      <x:c r="M7" s="9" t="str">
        <x:v>Uniquement quand la rencontre correspondante est active.</x:v>
      </x:c>
      <x:c r="N7" s="9" t="str">
        <x:v>L’indicateur apparaît avant la conséquence ; la contre-mesure fonctionne en pause et à vitesse normale.</x:v>
      </x:c>
      <x:c r="O7" s="9" t="str">
        <x:v>ANN-ENC-SENSOR</x:v>
      </x:c>
      <x:c r="P7" s="9" t="str"/>
      <x:c r="Q7" s="9" t="str"/>
      <x:c r="R7" s="9" t="str"/>
      <x:c r="S7" s="9" t="str"/>
    </x:row>
    <x:row r="8" ht="82" customHeight="1">
      <x:c r="A8" s="19" t="str">
        <x:v>ANN-EMV-PANIC</x:v>
      </x:c>
      <x:c r="B8" s="7" t="str">
        <x:v>Couloir encombré — comportement principal</x:v>
      </x:c>
      <x:c r="C8" s="15" t="str">
        <x:v>Défini</x:v>
      </x:c>
      <x:c r="D8" s="17" t="str">
        <x:v>Extrapolation</x:v>
      </x:c>
      <x:c r="E8" s="17" t="str">
        <x:v>P1</x:v>
      </x:c>
      <x:c r="F8" s="7" t="str">
        <x:v>Comportement proposé pour la rencontre liée.</x:v>
      </x:c>
      <x:c r="G8" s="7" t="str">
        <x:v>Ferme progressivement la circulation lorsque les consignes se contredisent.</x:v>
      </x:c>
      <x:c r="H8" s="7" t="str">
        <x:v>Télégraphe : Flux de silhouettes et bulles d’incompréhension. Contre-mesure : Clarifier, ouvrir une zone de repos et déplacer le groupe lentement. Consommer une action ATB à l’engagement ; équilibrage à mesurer au prototype.</x:v>
      </x:c>
      <x:c r="I8" s="7" t="str">
        <x:v>Rendre l’aire touchée lisible au sol et sur le HUD ; ne jamais dépendre seulement de la couleur.</x:v>
      </x:c>
      <x:c r="J8" s="7" t="str">
        <x:v>Bloquer la cible au début de l’engagement ; annuler proprement si les préconditions disparaissent.</x:v>
      </x:c>
      <x:c r="K8" s="7" t="str">
        <x:v>Signal préalable distinct du son d’impact ; option pour réduire les sons agressifs.</x:v>
      </x:c>
      <x:c r="L8" s="7" t="str">
        <x:v>behaviors/ann/panic : prepare/commit/recover ; paramètres séparés du code.</x:v>
      </x:c>
      <x:c r="M8" s="7" t="str">
        <x:v>Uniquement quand la rencontre correspondante est active.</x:v>
      </x:c>
      <x:c r="N8" s="7" t="str">
        <x:v>L’indicateur apparaît avant la conséquence ; la contre-mesure fonctionne en pause et à vitesse normale.</x:v>
      </x:c>
      <x:c r="O8" s="7" t="str">
        <x:v>ANN-ENC-PANIC</x:v>
      </x:c>
      <x:c r="P8" s="7" t="str"/>
      <x:c r="Q8" s="7" t="str"/>
      <x:c r="R8" s="7" t="str"/>
      <x:c r="S8" s="7" t="str"/>
    </x:row>
    <x:row r="9" ht="68" customHeight="1">
      <x:c r="A9" s="18" t="str">
        <x:v>ANN-EMV-MACHINE</x:v>
      </x:c>
      <x:c r="B9" s="9" t="str">
        <x:v>Bras de maintenance bloqué — comportement principal</x:v>
      </x:c>
      <x:c r="C9" s="15" t="str">
        <x:v>Défini</x:v>
      </x:c>
      <x:c r="D9" s="16" t="str">
        <x:v>Extrapolation</x:v>
      </x:c>
      <x:c r="E9" s="16" t="str">
        <x:v>P1</x:v>
      </x:c>
      <x:c r="F9" s="9" t="str">
        <x:v>Comportement proposé pour la rencontre liée.</x:v>
      </x:c>
      <x:c r="G9" s="9" t="str">
        <x:v>Balaye une portion de passage à intervalles annoncés.</x:v>
      </x:c>
      <x:c r="H9" s="9" t="str">
        <x:v>Télégraphe : Lumière de bras et ombre de la zone balayée. Contre-mesure : Couper le circuit depuis le poste accessible. Consommer une action ATB à l’engagement ; équilibrage à mesurer au prototype.</x:v>
      </x:c>
      <x:c r="I9" s="9" t="str">
        <x:v>Rendre l’aire touchée lisible au sol et sur le HUD ; ne jamais dépendre seulement de la couleur.</x:v>
      </x:c>
      <x:c r="J9" s="9" t="str">
        <x:v>Bloquer la cible au début de l’engagement ; annuler proprement si les préconditions disparaissent.</x:v>
      </x:c>
      <x:c r="K9" s="9" t="str">
        <x:v>Signal préalable distinct du son d’impact ; option pour réduire les sons agressifs.</x:v>
      </x:c>
      <x:c r="L9" s="9" t="str">
        <x:v>behaviors/ann/machine : prepare/commit/recover ; paramètres séparés du code.</x:v>
      </x:c>
      <x:c r="M9" s="9" t="str">
        <x:v>Uniquement quand la rencontre correspondante est active.</x:v>
      </x:c>
      <x:c r="N9" s="9" t="str">
        <x:v>L’indicateur apparaît avant la conséquence ; la contre-mesure fonctionne en pause et à vitesse normale.</x:v>
      </x:c>
      <x:c r="O9" s="9" t="str">
        <x:v>ANN-ENC-MACHINE</x:v>
      </x:c>
      <x:c r="P9" s="9" t="str"/>
      <x:c r="Q9" s="9" t="str"/>
      <x:c r="R9" s="9" t="str"/>
      <x:c r="S9" s="9" t="str"/>
    </x:row>
    <x:row r="10" ht="82" customHeight="1">
      <x:c r="A10" s="19" t="str">
        <x:v>ANN-EMV-SUSPECT</x:v>
      </x:c>
      <x:c r="B10" s="7" t="str">
        <x:v>Contradiction non résolue — comportement principal</x:v>
      </x:c>
      <x:c r="C10" s="15" t="str">
        <x:v>Défini</x:v>
      </x:c>
      <x:c r="D10" s="17" t="str">
        <x:v>Extrapolation</x:v>
      </x:c>
      <x:c r="E10" s="17" t="str">
        <x:v>P1</x:v>
      </x:c>
      <x:c r="F10" s="7" t="str">
        <x:v>Comportement proposé pour la rencontre liée.</x:v>
      </x:c>
      <x:c r="G10" s="7" t="str">
        <x:v>Rend une conclusion prématurée si les sources ne sont pas séparées.</x:v>
      </x:c>
      <x:c r="H10" s="7" t="str">
        <x:v>Télégraphe : Carte de conclusion en pointillés et avertissement de preuve manquante. Contre-mesure : Chercher un constat indépendant et laisser la conclusion ouverte. Consommer une action ATB à l’engagement ; équilibrage à mesurer au prototype.</x:v>
      </x:c>
      <x:c r="I10" s="7" t="str">
        <x:v>Rendre l’aire touchée lisible au sol et sur le HUD ; ne jamais dépendre seulement de la couleur.</x:v>
      </x:c>
      <x:c r="J10" s="7" t="str">
        <x:v>Bloquer la cible au début de l’engagement ; annuler proprement si les préconditions disparaissent.</x:v>
      </x:c>
      <x:c r="K10" s="7" t="str">
        <x:v>Signal préalable distinct du son d’impact ; option pour réduire les sons agressifs.</x:v>
      </x:c>
      <x:c r="L10" s="7" t="str">
        <x:v>behaviors/ann/suspect : prepare/commit/recover ; paramètres séparés du code.</x:v>
      </x:c>
      <x:c r="M10" s="7" t="str">
        <x:v>Uniquement quand la rencontre correspondante est active.</x:v>
      </x:c>
      <x:c r="N10" s="7" t="str">
        <x:v>L’indicateur apparaît avant la conséquence ; la contre-mesure fonctionne en pause et à vitesse normale.</x:v>
      </x:c>
      <x:c r="O10" s="7" t="str">
        <x:v>ANN-ENC-SUSPECT</x:v>
      </x:c>
      <x:c r="P10" s="7" t="str"/>
      <x:c r="Q10" s="7" t="str"/>
      <x:c r="R10" s="7" t="str"/>
      <x:c r="S10" s="7" t="str"/>
    </x:row>
  </x:sheetData>
  <x:conditionalFormatting sqref="D7:D10">
    <x:cfRule type="cellIs" dxfId="72" priority="1" operator="equal">
      <x:formula>"À vérifier"</x:formula>
    </x:cfRule>
    <x:cfRule type="cellIs" dxfId="73" priority="2" operator="equal">
      <x:formula>"Extrapolation"</x:formula>
    </x:cfRule>
  </x:conditionalFormatting>
  <x:conditionalFormatting sqref="C7:C10">
    <x:cfRule type="cellIs" dxfId="74" priority="3" operator="equal">
      <x:formula>"Validé"</x:formula>
    </x:cfRule>
  </x:conditionalFormatting>
  <x:conditionalFormatting sqref="E7:E10">
    <x:cfRule type="cellIs" dxfId="7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b810e8d5ab0e46b6"/>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Andromeda: Annihilation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ANN-ANI-SENNA</x:v>
      </x:c>
      <x:c r="B7" s="9" t="str">
        <x:v>Senna’Nir vas Keelah Si’yah — jeu de poses contextuelles</x:v>
      </x:c>
      <x:c r="C7" s="15" t="str">
        <x:v>Défini</x:v>
      </x:c>
      <x:c r="D7" s="16" t="str">
        <x:v>Extrapolation</x:v>
      </x:c>
      <x:c r="E7" s="16" t="str">
        <x:v>P1</x:v>
      </x:c>
      <x:c r="F7" s="9" t="str">
        <x:v>Création proposée : poses nécessaires à l’interaction « Distribuer les tâches sans prétendre tout savoir de l’arche. ».</x:v>
      </x:c>
      <x:c r="G7" s="9" t="str">
        <x:v>Blocage animé de Senna’Nir vas Keelah Si’yah : anticipation, action, récupération, retour au repos ; prévoir une interruption propre.</x:v>
      </x:c>
      <x:c r="H7" s="9" t="str">
        <x:v>Distribuer les tâches sans prétendre tout savoir de l’arche. L’effet logique ne dépend jamais de la cadence du rendu.</x:v>
      </x:c>
      <x:c r="I7" s="9" t="str">
        <x:v>Conserver les repères de silhouette : Combinaison close de technicien, outil et posture de coordination.</x:v>
      </x:c>
      <x:c r="J7" s="9" t="str">
        <x:v>Repos, déplacement, interaction et réaction ; nombre d’images ajusté après essai sur écran ; ne pas ajouter une attaque aux personnages civils.</x:v>
      </x:c>
      <x:c r="K7" s="9" t="str">
        <x:v>Marqueurs animation distincts du fichier audio ; sous-titre court si l’action porte une information.</x:v>
      </x:c>
      <x:c r="L7" s="9" t="str">
        <x:v>Animator actor.ann.senna ; événements start/commit/recover ; annulation avant commit sans effet.</x:v>
      </x:c>
      <x:c r="M7" s="9" t="str">
        <x:v>Animation de blessure ou de décès uniquement si le contexte la justifie ; pas de mort libre d’un personnage établi.</x:v>
      </x:c>
      <x:c r="N7" s="9" t="str">
        <x:v>Une interruption avant commit ne dépense pas la ressource ; aucune pose résiduelle après changement de carte.</x:v>
      </x:c>
      <x:c r="O7" s="9" t="str">
        <x:v>ANN-SPR-SENNA</x:v>
      </x:c>
      <x:c r="P7" s="9" t="str"/>
      <x:c r="Q7" s="9" t="str"/>
      <x:c r="R7" s="9" t="str"/>
      <x:c r="S7" s="9" t="str"/>
    </x:row>
    <x:row r="8" ht="54" customHeight="1">
      <x:c r="A8" s="19" t="str">
        <x:v>ANN-ANI-ANAX</x:v>
      </x:c>
      <x:c r="B8" s="7" t="str">
        <x:v>Anax Therion — jeu de poses contextuelles</x:v>
      </x:c>
      <x:c r="C8" s="15" t="str">
        <x:v>Défini</x:v>
      </x:c>
      <x:c r="D8" s="17" t="str">
        <x:v>Extrapolation</x:v>
      </x:c>
      <x:c r="E8" s="17" t="str">
        <x:v>P1</x:v>
      </x:c>
      <x:c r="F8" s="7" t="str">
        <x:v>Création proposée : poses nécessaires à l’interaction « Comparer indices matériels et témoignages à partir de leurs sources. ».</x:v>
      </x:c>
      <x:c r="G8" s="7" t="str">
        <x:v>Blocage animé de Anax Therion : anticipation, action, récupération, retour au repos ; prévoir une interruption propre.</x:v>
      </x:c>
      <x:c r="H8" s="7" t="str">
        <x:v>Comparer indices matériels et témoignages à partir de leurs sources. L’effet logique ne dépend jamais de la cadence du rendu.</x:v>
      </x:c>
      <x:c r="I8" s="7" t="str">
        <x:v>Conserver les repères de silhouette : Silhouette drell, tenue fonctionnelle, regard attentif sans archétype d’assassin imposé.</x:v>
      </x:c>
      <x:c r="J8" s="7" t="str">
        <x:v>Repos, déplacement, interaction et réaction ; nombre d’images ajusté après essai sur écran ; ne pas ajouter une attaque aux personnages civils.</x:v>
      </x:c>
      <x:c r="K8" s="7" t="str">
        <x:v>Marqueurs animation distincts du fichier audio ; sous-titre court si l’action porte une information.</x:v>
      </x:c>
      <x:c r="L8" s="7" t="str">
        <x:v>Animator actor.ann.anax ; événements start/commit/recover ; annulation avant commit sans effet.</x:v>
      </x:c>
      <x:c r="M8" s="7" t="str">
        <x:v>Animation de blessure ou de décès uniquement si le contexte la justifie ; pas de mort libre d’un personnage établi.</x:v>
      </x:c>
      <x:c r="N8" s="7" t="str">
        <x:v>Une interruption avant commit ne dépense pas la ressource ; aucune pose résiduelle après changement de carte.</x:v>
      </x:c>
      <x:c r="O8" s="7" t="str">
        <x:v>ANN-SPR-ANAX</x:v>
      </x:c>
      <x:c r="P8" s="7" t="str"/>
      <x:c r="Q8" s="7" t="str"/>
      <x:c r="R8" s="7" t="str"/>
      <x:c r="S8" s="7" t="str"/>
    </x:row>
    <x:row r="9" ht="54" customHeight="1">
      <x:c r="A9" s="18" t="str">
        <x:v>ANN-ANI-YORRIK</x:v>
      </x:c>
      <x:c r="B9" s="9" t="str">
        <x:v>Yorrik — jeu de poses contextuelles</x:v>
      </x:c>
      <x:c r="C9" s="15" t="str">
        <x:v>Défini</x:v>
      </x:c>
      <x:c r="D9" s="16" t="str">
        <x:v>Extrapolation</x:v>
      </x:c>
      <x:c r="E9" s="16" t="str">
        <x:v>P1</x:v>
      </x:c>
      <x:c r="F9" s="9" t="str">
        <x:v>Création proposée : poses nécessaires à l’interaction « Examiner une mesure abstraite et demander confirmation instrumentale. ».</x:v>
      </x:c>
      <x:c r="G9" s="9" t="str">
        <x:v>Blocage animé de Yorrik : anticipation, action, récupération, retour au repos ; prévoir une interruption propre.</x:v>
      </x:c>
      <x:c r="H9" s="9" t="str">
        <x:v>Examiner une mesure abstraite et demander confirmation instrumentale. L’effet logique ne dépend jamais de la cadence du rendu.</x:v>
      </x:c>
      <x:c r="I9" s="9" t="str">
        <x:v>Conserver les repères de silhouette : Masse quadrupède et équipement de soin adapté ; largeur de passage à prévoir.</x:v>
      </x:c>
      <x:c r="J9" s="9" t="str">
        <x:v>Repos, déplacement, interaction et réaction ; nombre d’images ajusté après essai sur écran ; ne pas ajouter une attaque aux personnages civils.</x:v>
      </x:c>
      <x:c r="K9" s="9" t="str">
        <x:v>Marqueurs animation distincts du fichier audio ; sous-titre court si l’action porte une information.</x:v>
      </x:c>
      <x:c r="L9" s="9" t="str">
        <x:v>Animator actor.ann.yorrik ; événements start/commit/recover ; annulation avant commit sans effet.</x:v>
      </x:c>
      <x:c r="M9" s="9" t="str">
        <x:v>Animation de blessure ou de décès uniquement si le contexte la justifie ; pas de mort libre d’un personnage établi.</x:v>
      </x:c>
      <x:c r="N9" s="9" t="str">
        <x:v>Une interruption avant commit ne dépense pas la ressource ; aucune pose résiduelle après changement de carte.</x:v>
      </x:c>
      <x:c r="O9" s="9" t="str">
        <x:v>ANN-SPR-YORRIK</x:v>
      </x:c>
      <x:c r="P9" s="9" t="str"/>
      <x:c r="Q9" s="9" t="str"/>
      <x:c r="R9" s="9" t="str"/>
      <x:c r="S9" s="9" t="str"/>
    </x:row>
    <x:row r="10" ht="54" customHeight="1">
      <x:c r="A10" s="19" t="str">
        <x:v>ANN-ANI-BORBALA</x:v>
      </x:c>
      <x:c r="B10" s="7" t="str">
        <x:v>Borbala Ferank — jeu de poses contextuelles</x:v>
      </x:c>
      <x:c r="C10" s="15" t="str">
        <x:v>Défini</x:v>
      </x:c>
      <x:c r="D10" s="17" t="str">
        <x:v>Extrapolation</x:v>
      </x:c>
      <x:c r="E10" s="17" t="str">
        <x:v>P1</x:v>
      </x:c>
      <x:c r="F10" s="7" t="str">
        <x:v>Création proposée : poses nécessaires à l’interaction « Trouver une ressource détournée et négocier son usage. ».</x:v>
      </x:c>
      <x:c r="G10" s="7" t="str">
        <x:v>Blocage animé de Borbala Ferank : anticipation, action, récupération, retour au repos ; prévoir une interruption propre.</x:v>
      </x:c>
      <x:c r="H10" s="7" t="str">
        <x:v>Trouver une ressource détournée et négocier son usage. L’effet logique ne dépend jamais de la cadence du rendu.</x:v>
      </x:c>
      <x:c r="I10" s="7" t="str">
        <x:v>Conserver les repères de silhouette : Silhouette âgée robuste, quatre yeux lisibles, accessoires de manutention.</x:v>
      </x:c>
      <x:c r="J10" s="7" t="str">
        <x:v>Repos, déplacement, interaction et réaction ; nombre d’images ajusté après essai sur écran ; ne pas ajouter une attaque aux personnages civils.</x:v>
      </x:c>
      <x:c r="K10" s="7" t="str">
        <x:v>Marqueurs animation distincts du fichier audio ; sous-titre court si l’action porte une information.</x:v>
      </x:c>
      <x:c r="L10" s="7" t="str">
        <x:v>Animator actor.ann.borbala ; événements start/commit/recover ; annulation avant commit sans effet.</x:v>
      </x:c>
      <x:c r="M10" s="7" t="str">
        <x:v>Animation de blessure ou de décès uniquement si le contexte la justifie ; pas de mort libre d’un personnage établi.</x:v>
      </x:c>
      <x:c r="N10" s="7" t="str">
        <x:v>Une interruption avant commit ne dépense pas la ressource ; aucune pose résiduelle après changement de carte.</x:v>
      </x:c>
      <x:c r="O10" s="7" t="str">
        <x:v>ANN-SPR-BORBALA</x:v>
      </x:c>
      <x:c r="P10" s="7" t="str"/>
      <x:c r="Q10" s="7" t="str"/>
      <x:c r="R10" s="7" t="str"/>
      <x:c r="S10" s="7" t="str"/>
    </x:row>
    <x:row r="11" ht="54" customHeight="1">
      <x:c r="A11" s="18" t="str">
        <x:v>ANN-ANI-IRIT</x:v>
      </x:c>
      <x:c r="B11" s="9" t="str">
        <x:v>Irit Non — jeu de poses contextuelles</x:v>
      </x:c>
      <x:c r="C11" s="15" t="str">
        <x:v>Défini</x:v>
      </x:c>
      <x:c r="D11" s="16" t="str">
        <x:v>Extrapolation</x:v>
      </x:c>
      <x:c r="E11" s="16" t="str">
        <x:v>P1</x:v>
      </x:c>
      <x:c r="F11" s="9" t="str">
        <x:v>Création proposée : poses nécessaires à l’interaction « Vérifier un capteur contre un autre dispositif. ».</x:v>
      </x:c>
      <x:c r="G11" s="9" t="str">
        <x:v>Blocage animé de Irit Non : anticipation, action, récupération, retour au repos ; prévoir une interruption propre.</x:v>
      </x:c>
      <x:c r="H11" s="9" t="str">
        <x:v>Vérifier un capteur contre un autre dispositif. L’effet logique ne dépend jamais de la cadence du rendu.</x:v>
      </x:c>
      <x:c r="I11" s="9" t="str">
        <x:v>Conserver les repères de silhouette : Combinaison pressurisée compacte, outillage et bras courts adaptés.</x:v>
      </x:c>
      <x:c r="J11" s="9" t="str">
        <x:v>Repos, déplacement, interaction et réaction ; nombre d’images ajusté après essai sur écran ; ne pas ajouter une attaque aux personnages civils.</x:v>
      </x:c>
      <x:c r="K11" s="9" t="str">
        <x:v>Marqueurs animation distincts du fichier audio ; sous-titre court si l’action porte une information.</x:v>
      </x:c>
      <x:c r="L11" s="9" t="str">
        <x:v>Animator actor.ann.irit ; événements start/commit/recover ; annulation avant commit sans effet.</x:v>
      </x:c>
      <x:c r="M11" s="9" t="str">
        <x:v>Animation de blessure ou de décès uniquement si le contexte la justifie ; pas de mort libre d’un personnage établi.</x:v>
      </x:c>
      <x:c r="N11" s="9" t="str">
        <x:v>Une interruption avant commit ne dépense pas la ressource ; aucune pose résiduelle après changement de carte.</x:v>
      </x:c>
      <x:c r="O11" s="9" t="str">
        <x:v>ANN-SPR-IRIT</x:v>
      </x:c>
      <x:c r="P11" s="9" t="str"/>
      <x:c r="Q11" s="9" t="str"/>
      <x:c r="R11" s="9" t="str"/>
      <x:c r="S11" s="9" t="str"/>
    </x:row>
    <x:row r="12" ht="54" customHeight="1">
      <x:c r="A12" s="19" t="str">
        <x:v>ANN-ANI-YSSES</x:v>
      </x:c>
      <x:c r="B12" s="7" t="str">
        <x:v>Ysses — jeu de poses contextuelles</x:v>
      </x:c>
      <x:c r="C12" s="15" t="str">
        <x:v>Défini</x:v>
      </x:c>
      <x:c r="D12" s="17" t="str">
        <x:v>Extrapolation</x:v>
      </x:c>
      <x:c r="E12" s="17" t="str">
        <x:v>P1</x:v>
      </x:c>
      <x:c r="F12" s="7" t="str">
        <x:v>Création proposée : poses nécessaires à l’interaction « Manipuler un échantillon fictif dans une procédure abstraite. ».</x:v>
      </x:c>
      <x:c r="G12" s="7" t="str">
        <x:v>Blocage animé de Ysses : anticipation, action, récupération, retour au repos ; prévoir une interruption propre.</x:v>
      </x:c>
      <x:c r="H12" s="7" t="str">
        <x:v>Manipuler un échantillon fictif dans une procédure abstraite. L’effet logique ne dépend jamais de la cadence du rendu.</x:v>
      </x:c>
      <x:c r="I12" s="7" t="str">
        <x:v>Conserver les repères de silhouette : Volume flottant, tentacules lisibles et interface d’outils adaptée.</x:v>
      </x:c>
      <x:c r="J12" s="7" t="str">
        <x:v>Repos, déplacement, interaction et réaction ; nombre d’images ajusté après essai sur écran ; ne pas ajouter une attaque aux personnages civils.</x:v>
      </x:c>
      <x:c r="K12" s="7" t="str">
        <x:v>Marqueurs animation distincts du fichier audio ; sous-titre court si l’action porte une information.</x:v>
      </x:c>
      <x:c r="L12" s="7" t="str">
        <x:v>Animator actor.ann.ysses ; événements start/commit/recover ; annulation avant commit sans effet.</x:v>
      </x:c>
      <x:c r="M12" s="7" t="str">
        <x:v>Animation de blessure ou de décès uniquement si le contexte la justifie ; pas de mort libre d’un personnage établi.</x:v>
      </x:c>
      <x:c r="N12" s="7" t="str">
        <x:v>Une interruption avant commit ne dépense pas la ressource ; aucune pose résiduelle après changement de carte.</x:v>
      </x:c>
      <x:c r="O12" s="7" t="str">
        <x:v>ANN-SPR-YSSES</x:v>
      </x:c>
      <x:c r="P12" s="7" t="str"/>
      <x:c r="Q12" s="7" t="str"/>
      <x:c r="R12" s="7" t="str"/>
      <x:c r="S12" s="7" t="str"/>
    </x:row>
    <x:row r="13" ht="68" customHeight="1">
      <x:c r="A13" s="18" t="str">
        <x:v>ANN-ANI-QETSI</x:v>
      </x:c>
      <x:c r="B13" s="9" t="str">
        <x:v>Qetsi’Olam vas Keelah Si’yah — jeu de poses contextuelles</x:v>
      </x:c>
      <x:c r="C13" s="15" t="str">
        <x:v>Défini</x:v>
      </x:c>
      <x:c r="D13" s="16" t="str">
        <x:v>Extrapolation</x:v>
      </x:c>
      <x:c r="E13" s="16" t="str">
        <x:v>P1</x:v>
      </x:c>
      <x:c r="F13" s="9" t="str">
        <x:v>Création proposée : poses nécessaires à l’interaction « Répondre à une demande d’autorisation tout en restant sujet d’enquête. ».</x:v>
      </x:c>
      <x:c r="G13" s="9" t="str">
        <x:v>Blocage animé de Qetsi’Olam vas Keelah Si’yah : anticipation, action, récupération, retour au repos ; prévoir une interruption propre.</x:v>
      </x:c>
      <x:c r="H13" s="9" t="str">
        <x:v>Répondre à une demande d’autorisation tout en restant sujet d’enquête. L’effet logique ne dépend jamais de la cadence du rendu.</x:v>
      </x:c>
      <x:c r="I13" s="9" t="str">
        <x:v>Conserver les repères de silhouette : Combinaison de commandement proposée, repère de grade non officiel.</x:v>
      </x:c>
      <x:c r="J13" s="9" t="str">
        <x:v>Repos, déplacement, interaction et réaction ; nombre d’images ajusté après essai sur écran ; ne pas ajouter une attaque aux personnages civils.</x:v>
      </x:c>
      <x:c r="K13" s="9" t="str">
        <x:v>Marqueurs animation distincts du fichier audio ; sous-titre court si l’action porte une information.</x:v>
      </x:c>
      <x:c r="L13" s="9" t="str">
        <x:v>Animator actor.ann.qetsi ; événements start/commit/recover ; annulation avant commit sans effet.</x:v>
      </x:c>
      <x:c r="M13" s="9" t="str">
        <x:v>Animation de blessure ou de décès uniquement si le contexte la justifie ; pas de mort libre d’un personnage établi.</x:v>
      </x:c>
      <x:c r="N13" s="9" t="str">
        <x:v>Une interruption avant commit ne dépense pas la ressource ; aucune pose résiduelle après changement de carte.</x:v>
      </x:c>
      <x:c r="O13" s="9" t="str">
        <x:v>ANN-SPR-QETSI</x:v>
      </x:c>
      <x:c r="P13" s="9" t="str"/>
      <x:c r="Q13" s="9" t="str"/>
      <x:c r="R13" s="9" t="str"/>
      <x:c r="S13" s="9" t="str"/>
    </x:row>
    <x:row r="14" ht="68" customHeight="1">
      <x:c r="A14" s="19" t="str">
        <x:v>ANN-ANI-MALAK</x:v>
      </x:c>
      <x:c r="B14" s="7" t="str">
        <x:v>Malak’Rafa vas Keelah Si’yah — jeu de poses contextuelles</x:v>
      </x:c>
      <x:c r="C14" s="15" t="str">
        <x:v>Défini</x:v>
      </x:c>
      <x:c r="D14" s="17" t="str">
        <x:v>Extrapolation</x:v>
      </x:c>
      <x:c r="E14" s="17" t="str">
        <x:v>P1</x:v>
      </x:c>
      <x:c r="F14" s="7" t="str">
        <x:v>Création proposée : poses nécessaires à l’interaction « Être évoqué dans un dossier relationnel sans reconstituer son histoire entière. ».</x:v>
      </x:c>
      <x:c r="G14" s="7" t="str">
        <x:v>Blocage animé de Malak’Rafa vas Keelah Si’yah : anticipation, action, récupération, retour au repos ; prévoir une interruption propre.</x:v>
      </x:c>
      <x:c r="H14" s="7" t="str">
        <x:v>Être évoqué dans un dossier relationnel sans reconstituer son histoire entière. L’effet logique ne dépend jamais de la cadence du rendu.</x:v>
      </x:c>
      <x:c r="I14" s="7" t="str">
        <x:v>Conserver les repères de silhouette : Combinaison quarienne individualisée avec accessoire mémoriel à valider.</x:v>
      </x:c>
      <x:c r="J14" s="7" t="str">
        <x:v>Repos, déplacement, interaction et réaction ; nombre d’images ajusté après essai sur écran ; ne pas ajouter une attaque aux personnages civils.</x:v>
      </x:c>
      <x:c r="K14" s="7" t="str">
        <x:v>Marqueurs animation distincts du fichier audio ; sous-titre court si l’action porte une information.</x:v>
      </x:c>
      <x:c r="L14" s="7" t="str">
        <x:v>Animator actor.ann.malak ; événements start/commit/recover ; annulation avant commit sans effet.</x:v>
      </x:c>
      <x:c r="M14" s="7" t="str">
        <x:v>Animation de blessure ou de décès uniquement si le contexte la justifie ; pas de mort libre d’un personnage établi.</x:v>
      </x:c>
      <x:c r="N14" s="7" t="str">
        <x:v>Une interruption avant commit ne dépense pas la ressource ; aucune pose résiduelle après changement de carte.</x:v>
      </x:c>
      <x:c r="O14" s="7" t="str">
        <x:v>ANN-SPR-MALAK</x:v>
      </x:c>
      <x:c r="P14" s="7" t="str"/>
      <x:c r="Q14" s="7" t="str"/>
      <x:c r="R14" s="7" t="str"/>
      <x:c r="S14" s="7" t="str"/>
    </x:row>
    <x:row r="15" ht="54" customHeight="1">
      <x:c r="A15" s="18" t="str">
        <x:v>ANN-ANI-SOVAL</x:v>
      </x:c>
      <x:c r="B15" s="9" t="str">
        <x:v>Soval Raxios — jeu de poses contextuelles</x:v>
      </x:c>
      <x:c r="C15" s="15" t="str">
        <x:v>Défini</x:v>
      </x:c>
      <x:c r="D15" s="16" t="str">
        <x:v>Extrapolation</x:v>
      </x:c>
      <x:c r="E15" s="16" t="str">
        <x:v>P1</x:v>
      </x:c>
      <x:c r="F15" s="9" t="str">
        <x:v>Création proposée : poses nécessaires à l’interaction « Être associée à une pièce de dossier, avec contrôle des révélations. ».</x:v>
      </x:c>
      <x:c r="G15" s="9" t="str">
        <x:v>Préparer les transitions du dossier ou du portrait d’archive uniquement.</x:v>
      </x:c>
      <x:c r="H15" s="9" t="str">
        <x:v>Consulter ou fermer une archive ; aucune action physique ou nouvelle scène de vie ajoutée.</x:v>
      </x:c>
      <x:c r="I15" s="9" t="str">
        <x:v>Conserver les repères de silhouette : Portrait d’archive et marqueur de dossier ; pas de corps interactif spectaculaire.</x:v>
      </x:c>
      <x:c r="J15" s="9" t="str">
        <x:v>Apparition, mise en avant de la pièce de dossier, fermeture ; mode fixe équivalent.</x:v>
      </x:c>
      <x:c r="K15" s="9" t="str">
        <x:v>Marqueurs animation distincts du fichier audio ; sous-titre court si l’action porte une information.</x:v>
      </x:c>
      <x:c r="L15" s="9" t="str">
        <x:v>UI d’archives ; aucune entité mobile en scène.</x:v>
      </x:c>
      <x:c r="M15" s="9" t="str">
        <x:v>Animation de blessure ou de décès uniquement si le contexte la justifie ; pas de mort libre d’un personnage établi.</x:v>
      </x:c>
      <x:c r="N15" s="9" t="str">
        <x:v>Une interruption avant commit ne dépense pas la ressource ; aucune pose résiduelle après changement de carte.</x:v>
      </x:c>
      <x:c r="O15" s="9" t="str">
        <x:v>ANN-SPR-SOVAL</x:v>
      </x:c>
      <x:c r="P15" s="9" t="str"/>
      <x:c r="Q15" s="9" t="str"/>
      <x:c r="R15" s="9" t="str"/>
      <x:c r="S15" s="9" t="str"/>
    </x:row>
    <x:row r="16" ht="54" customHeight="1">
      <x:c r="A16" s="19" t="str">
        <x:v>ANN-ANI-KHOLAI</x:v>
      </x:c>
      <x:c r="B16" s="7" t="str">
        <x:v>Kholai — jeu de poses contextuelles</x:v>
      </x:c>
      <x:c r="C16" s="15" t="str">
        <x:v>Défini</x:v>
      </x:c>
      <x:c r="D16" s="17" t="str">
        <x:v>Extrapolation</x:v>
      </x:c>
      <x:c r="E16" s="17" t="str">
        <x:v>P1</x:v>
      </x:c>
      <x:c r="F16" s="7" t="str">
        <x:v>Création proposée : poses nécessaires à l’interaction « Donner un contexte culturel sans résumer toute la religion hanar. ».</x:v>
      </x:c>
      <x:c r="G16" s="7" t="str">
        <x:v>Blocage animé de Kholai : anticipation, action, récupération, retour au repos ; prévoir une interruption propre.</x:v>
      </x:c>
      <x:c r="H16" s="7" t="str">
        <x:v>Donner un contexte culturel sans résumer toute la religion hanar. L’effet logique ne dépend jamais de la cadence du rendu.</x:v>
      </x:c>
      <x:c r="I16" s="7" t="str">
        <x:v>Conserver les repères de silhouette : Silhouette hanar distincte par posture et motif lumineux proposé.</x:v>
      </x:c>
      <x:c r="J16" s="7" t="str">
        <x:v>Repos, déplacement, interaction et réaction ; nombre d’images ajusté après essai sur écran ; ne pas ajouter une attaque aux personnages civils.</x:v>
      </x:c>
      <x:c r="K16" s="7" t="str">
        <x:v>Marqueurs animation distincts du fichier audio ; sous-titre court si l’action porte une information.</x:v>
      </x:c>
      <x:c r="L16" s="7" t="str">
        <x:v>Animator actor.ann.kholai ; événements start/commit/recover ; annulation avant commit sans effet.</x:v>
      </x:c>
      <x:c r="M16" s="7" t="str">
        <x:v>Animation de blessure ou de décès uniquement si le contexte la justifie ; pas de mort libre d’un personnage établi.</x:v>
      </x:c>
      <x:c r="N16" s="7" t="str">
        <x:v>Une interruption avant commit ne dépense pas la ressource ; aucune pose résiduelle après changement de carte.</x:v>
      </x:c>
      <x:c r="O16" s="7" t="str">
        <x:v>ANN-SPR-KHOLAI</x:v>
      </x:c>
      <x:c r="P16" s="7" t="str"/>
      <x:c r="Q16" s="7" t="str"/>
      <x:c r="R16" s="7" t="str"/>
      <x:c r="S16" s="7" t="str"/>
    </x:row>
  </x:sheetData>
  <x:conditionalFormatting sqref="D7:D16">
    <x:cfRule type="cellIs" dxfId="76" priority="1" operator="equal">
      <x:formula>"À vérifier"</x:formula>
    </x:cfRule>
    <x:cfRule type="cellIs" dxfId="77" priority="2" operator="equal">
      <x:formula>"Extrapolation"</x:formula>
    </x:cfRule>
  </x:conditionalFormatting>
  <x:conditionalFormatting sqref="C7:C16">
    <x:cfRule type="cellIs" dxfId="78" priority="3" operator="equal">
      <x:formula>"Validé"</x:formula>
    </x:cfRule>
  </x:conditionalFormatting>
  <x:conditionalFormatting sqref="E7:E16">
    <x:cfRule type="cellIs" dxfId="79"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553d6feb03184f3f"/>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Andromeda: Annihilation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ANN-SPR-SENNA</x:v>
      </x:c>
      <x:c r="B7" s="9" t="str">
        <x:v>Senna’Nir vas Keelah Si’yah — planche sprite</x:v>
      </x:c>
      <x:c r="C7" s="15" t="str">
        <x:v>Défini</x:v>
      </x:c>
      <x:c r="D7" s="16" t="str">
        <x:v>Extrapolation</x:v>
      </x:c>
      <x:c r="E7" s="16" t="str">
        <x:v>P1</x:v>
      </x:c>
      <x:c r="F7" s="9" t="str">
        <x:v>Création proposée : représentation 2D de Senna’Nir vas Keelah Si’yah pour ce module.</x:v>
      </x:c>
      <x:c r="G7" s="9" t="str">
        <x:v>Combinaison close de technicien, outil et posture de coordination. Préparer silhouette entière, portrait de dialogue et masque de sélection.</x:v>
      </x:c>
      <x:c r="H7" s="9" t="str">
        <x:v>La zone interactive reste stable entre les poses ; la tenue ne confère aucun bonus implicite.</x:v>
      </x:c>
      <x:c r="I7" s="9" t="str">
        <x:v>Combinaison close de technicien, outil et posture de coordination. Palette proposée à valider ; comparaison en miniature et sur le décor le plus sombre.</x:v>
      </x:c>
      <x:c r="J7" s="9" t="str">
        <x:v>Vue de trois quarts ; pivots dans huit directions proposées ; symétrie interdite si elle inverse un accessoire identifiable.</x:v>
      </x:c>
      <x:c r="K7" s="9" t="str">
        <x:v>Aucun échantillon du jeu ou du film ; le changement de sélection utilise le son UI du module.</x:v>
      </x:c>
      <x:c r="L7" s="9" t="str">
        <x:v>Prévoir assets/ann/actors/senna/atlas.png + atlas.json, pivot aux pieds.</x:v>
      </x:c>
      <x:c r="M7" s="9" t="str">
        <x:v>Visible uniquement quand Senna’Nir vas Keelah Si’yah est autorisé par l’état narratif.</x:v>
      </x:c>
      <x:c r="N7" s="9" t="str">
        <x:v>Silhouette reconnue sans nom ; pieds sans glissement ; portrait et sprite cohérents à échelle réelle.</x:v>
      </x:c>
      <x:c r="O7" s="9" t="str">
        <x:v>ANN-CHR-SENNA</x:v>
      </x:c>
      <x:c r="P7" s="9" t="str"/>
      <x:c r="Q7" s="9" t="str"/>
      <x:c r="R7" s="9" t="str"/>
      <x:c r="S7" s="9" t="str"/>
    </x:row>
    <x:row r="8" ht="68" customHeight="1">
      <x:c r="A8" s="19" t="str">
        <x:v>ANN-SPR-ANAX</x:v>
      </x:c>
      <x:c r="B8" s="7" t="str">
        <x:v>Anax Therion — planche sprite</x:v>
      </x:c>
      <x:c r="C8" s="15" t="str">
        <x:v>Défini</x:v>
      </x:c>
      <x:c r="D8" s="17" t="str">
        <x:v>Extrapolation</x:v>
      </x:c>
      <x:c r="E8" s="17" t="str">
        <x:v>P1</x:v>
      </x:c>
      <x:c r="F8" s="7" t="str">
        <x:v>Création proposée : représentation 2D de Anax Therion pour ce module.</x:v>
      </x:c>
      <x:c r="G8" s="7" t="str">
        <x:v>Silhouette drell, tenue fonctionnelle, regard attentif sans archétype d’assassin imposé. Préparer silhouette entière, portrait de dialogue et masque de sélection.</x:v>
      </x:c>
      <x:c r="H8" s="7" t="str">
        <x:v>La zone interactive reste stable entre les poses ; la tenue ne confère aucun bonus implicite.</x:v>
      </x:c>
      <x:c r="I8" s="7" t="str">
        <x:v>Silhouette drell, tenue fonctionnelle, regard attentif sans archétype d’assassin imposé. Palette proposée à valider ; comparaison en miniature et sur le décor le plus sombre.</x:v>
      </x:c>
      <x:c r="J8" s="7" t="str">
        <x:v>Vue de trois quarts ; pivots dans huit directions proposées ; symétrie interdite si elle inverse un accessoire identifiable.</x:v>
      </x:c>
      <x:c r="K8" s="7" t="str">
        <x:v>Aucun échantillon du jeu ou du film ; le changement de sélection utilise le son UI du module.</x:v>
      </x:c>
      <x:c r="L8" s="7" t="str">
        <x:v>Prévoir assets/ann/actors/anax/atlas.png + atlas.json, pivot aux pieds.</x:v>
      </x:c>
      <x:c r="M8" s="7" t="str">
        <x:v>Visible uniquement quand Anax Therion est autorisé par l’état narratif.</x:v>
      </x:c>
      <x:c r="N8" s="7" t="str">
        <x:v>Silhouette reconnue sans nom ; pieds sans glissement ; portrait et sprite cohérents à échelle réelle.</x:v>
      </x:c>
      <x:c r="O8" s="7" t="str">
        <x:v>ANN-CHR-ANAX</x:v>
      </x:c>
      <x:c r="P8" s="7" t="str"/>
      <x:c r="Q8" s="7" t="str"/>
      <x:c r="R8" s="7" t="str"/>
      <x:c r="S8" s="7" t="str"/>
    </x:row>
    <x:row r="9" ht="68" customHeight="1">
      <x:c r="A9" s="18" t="str">
        <x:v>ANN-SPR-YORRIK</x:v>
      </x:c>
      <x:c r="B9" s="9" t="str">
        <x:v>Yorrik — planche sprite</x:v>
      </x:c>
      <x:c r="C9" s="15" t="str">
        <x:v>Défini</x:v>
      </x:c>
      <x:c r="D9" s="16" t="str">
        <x:v>Extrapolation</x:v>
      </x:c>
      <x:c r="E9" s="16" t="str">
        <x:v>P1</x:v>
      </x:c>
      <x:c r="F9" s="9" t="str">
        <x:v>Création proposée : représentation 2D de Yorrik pour ce module.</x:v>
      </x:c>
      <x:c r="G9" s="9" t="str">
        <x:v>Masse quadrupède et équipement de soin adapté ; largeur de passage à prévoir. Préparer silhouette entière, portrait de dialogue et masque de sélection.</x:v>
      </x:c>
      <x:c r="H9" s="9" t="str">
        <x:v>La zone interactive reste stable entre les poses ; la tenue ne confère aucun bonus implicite.</x:v>
      </x:c>
      <x:c r="I9" s="9" t="str">
        <x:v>Masse quadrupède et équipement de soin adapté ; largeur de passage à prévoir. Palette proposée à valider ; comparaison en miniature et sur le décor le plus sombre.</x:v>
      </x:c>
      <x:c r="J9" s="9" t="str">
        <x:v>Vue de trois quarts ; pivots dans huit directions proposées ; symétrie interdite si elle inverse un accessoire identifiable.</x:v>
      </x:c>
      <x:c r="K9" s="9" t="str">
        <x:v>Aucun échantillon du jeu ou du film ; le changement de sélection utilise le son UI du module.</x:v>
      </x:c>
      <x:c r="L9" s="9" t="str">
        <x:v>Prévoir assets/ann/actors/yorrik/atlas.png + atlas.json, pivot aux pieds.</x:v>
      </x:c>
      <x:c r="M9" s="9" t="str">
        <x:v>Visible uniquement quand Yorrik est autorisé par l’état narratif.</x:v>
      </x:c>
      <x:c r="N9" s="9" t="str">
        <x:v>Silhouette reconnue sans nom ; pieds sans glissement ; portrait et sprite cohérents à échelle réelle.</x:v>
      </x:c>
      <x:c r="O9" s="9" t="str">
        <x:v>ANN-CHR-YORRIK</x:v>
      </x:c>
      <x:c r="P9" s="9" t="str"/>
      <x:c r="Q9" s="9" t="str"/>
      <x:c r="R9" s="9" t="str"/>
      <x:c r="S9" s="9" t="str"/>
    </x:row>
    <x:row r="10" ht="68" customHeight="1">
      <x:c r="A10" s="19" t="str">
        <x:v>ANN-SPR-BORBALA</x:v>
      </x:c>
      <x:c r="B10" s="7" t="str">
        <x:v>Borbala Ferank — planche sprite</x:v>
      </x:c>
      <x:c r="C10" s="15" t="str">
        <x:v>Défini</x:v>
      </x:c>
      <x:c r="D10" s="17" t="str">
        <x:v>Extrapolation</x:v>
      </x:c>
      <x:c r="E10" s="17" t="str">
        <x:v>P1</x:v>
      </x:c>
      <x:c r="F10" s="7" t="str">
        <x:v>Création proposée : représentation 2D de Borbala Ferank pour ce module.</x:v>
      </x:c>
      <x:c r="G10" s="7" t="str">
        <x:v>Silhouette âgée robuste, quatre yeux lisibles, accessoires de manutention. Préparer silhouette entière, portrait de dialogue et masque de sélection.</x:v>
      </x:c>
      <x:c r="H10" s="7" t="str">
        <x:v>La zone interactive reste stable entre les poses ; la tenue ne confère aucun bonus implicite.</x:v>
      </x:c>
      <x:c r="I10" s="7" t="str">
        <x:v>Silhouette âgée robuste, quatre yeux lisibles, accessoires de manutention. Palette proposée à valider ; comparaison en miniature et sur le décor le plus sombre.</x:v>
      </x:c>
      <x:c r="J10" s="7" t="str">
        <x:v>Vue de trois quarts ; pivots dans huit directions proposées ; symétrie interdite si elle inverse un accessoire identifiable.</x:v>
      </x:c>
      <x:c r="K10" s="7" t="str">
        <x:v>Aucun échantillon du jeu ou du film ; le changement de sélection utilise le son UI du module.</x:v>
      </x:c>
      <x:c r="L10" s="7" t="str">
        <x:v>Prévoir assets/ann/actors/borbala/atlas.png + atlas.json, pivot aux pieds.</x:v>
      </x:c>
      <x:c r="M10" s="7" t="str">
        <x:v>Visible uniquement quand Borbala Ferank est autorisé par l’état narratif.</x:v>
      </x:c>
      <x:c r="N10" s="7" t="str">
        <x:v>Silhouette reconnue sans nom ; pieds sans glissement ; portrait et sprite cohérents à échelle réelle.</x:v>
      </x:c>
      <x:c r="O10" s="7" t="str">
        <x:v>ANN-CHR-BORBALA</x:v>
      </x:c>
      <x:c r="P10" s="7" t="str"/>
      <x:c r="Q10" s="7" t="str"/>
      <x:c r="R10" s="7" t="str"/>
      <x:c r="S10" s="7" t="str"/>
    </x:row>
    <x:row r="11" ht="68" customHeight="1">
      <x:c r="A11" s="18" t="str">
        <x:v>ANN-SPR-IRIT</x:v>
      </x:c>
      <x:c r="B11" s="9" t="str">
        <x:v>Irit Non — planche sprite</x:v>
      </x:c>
      <x:c r="C11" s="15" t="str">
        <x:v>Défini</x:v>
      </x:c>
      <x:c r="D11" s="16" t="str">
        <x:v>Extrapolation</x:v>
      </x:c>
      <x:c r="E11" s="16" t="str">
        <x:v>P1</x:v>
      </x:c>
      <x:c r="F11" s="9" t="str">
        <x:v>Création proposée : représentation 2D de Irit Non pour ce module.</x:v>
      </x:c>
      <x:c r="G11" s="9" t="str">
        <x:v>Combinaison pressurisée compacte, outillage et bras courts adaptés. Préparer silhouette entière, portrait de dialogue et masque de sélection.</x:v>
      </x:c>
      <x:c r="H11" s="9" t="str">
        <x:v>La zone interactive reste stable entre les poses ; la tenue ne confère aucun bonus implicite.</x:v>
      </x:c>
      <x:c r="I11" s="9" t="str">
        <x:v>Combinaison pressurisée compacte, outillage et bras courts adaptés. Palette proposée à valider ; comparaison en miniature et sur le décor le plus sombre.</x:v>
      </x:c>
      <x:c r="J11" s="9" t="str">
        <x:v>Vue de trois quarts ; pivots dans huit directions proposées ; symétrie interdite si elle inverse un accessoire identifiable.</x:v>
      </x:c>
      <x:c r="K11" s="9" t="str">
        <x:v>Aucun échantillon du jeu ou du film ; le changement de sélection utilise le son UI du module.</x:v>
      </x:c>
      <x:c r="L11" s="9" t="str">
        <x:v>Prévoir assets/ann/actors/irit/atlas.png + atlas.json, pivot aux pieds.</x:v>
      </x:c>
      <x:c r="M11" s="9" t="str">
        <x:v>Visible uniquement quand Irit Non est autorisé par l’état narratif.</x:v>
      </x:c>
      <x:c r="N11" s="9" t="str">
        <x:v>Silhouette reconnue sans nom ; pieds sans glissement ; portrait et sprite cohérents à échelle réelle.</x:v>
      </x:c>
      <x:c r="O11" s="9" t="str">
        <x:v>ANN-CHR-IRIT</x:v>
      </x:c>
      <x:c r="P11" s="9" t="str"/>
      <x:c r="Q11" s="9" t="str"/>
      <x:c r="R11" s="9" t="str"/>
      <x:c r="S11" s="9" t="str"/>
    </x:row>
    <x:row r="12" ht="68" customHeight="1">
      <x:c r="A12" s="19" t="str">
        <x:v>ANN-SPR-YSSES</x:v>
      </x:c>
      <x:c r="B12" s="7" t="str">
        <x:v>Ysses — planche sprite</x:v>
      </x:c>
      <x:c r="C12" s="15" t="str">
        <x:v>Défini</x:v>
      </x:c>
      <x:c r="D12" s="17" t="str">
        <x:v>Extrapolation</x:v>
      </x:c>
      <x:c r="E12" s="17" t="str">
        <x:v>P1</x:v>
      </x:c>
      <x:c r="F12" s="7" t="str">
        <x:v>Création proposée : représentation 2D de Ysses pour ce module.</x:v>
      </x:c>
      <x:c r="G12" s="7" t="str">
        <x:v>Volume flottant, tentacules lisibles et interface d’outils adaptée. Préparer silhouette entière, portrait de dialogue et masque de sélection.</x:v>
      </x:c>
      <x:c r="H12" s="7" t="str">
        <x:v>La zone interactive reste stable entre les poses ; la tenue ne confère aucun bonus implicite.</x:v>
      </x:c>
      <x:c r="I12" s="7" t="str">
        <x:v>Volume flottant, tentacules lisibles et interface d’outils adaptée. Palette proposée à valider ; comparaison en miniature et sur le décor le plus sombre.</x:v>
      </x:c>
      <x:c r="J12" s="7" t="str">
        <x:v>Vue de trois quarts ; pivots dans huit directions proposées ; symétrie interdite si elle inverse un accessoire identifiable.</x:v>
      </x:c>
      <x:c r="K12" s="7" t="str">
        <x:v>Aucun échantillon du jeu ou du film ; le changement de sélection utilise le son UI du module.</x:v>
      </x:c>
      <x:c r="L12" s="7" t="str">
        <x:v>Prévoir assets/ann/actors/ysses/atlas.png + atlas.json, pivot aux pieds.</x:v>
      </x:c>
      <x:c r="M12" s="7" t="str">
        <x:v>Visible uniquement quand Ysses est autorisé par l’état narratif.</x:v>
      </x:c>
      <x:c r="N12" s="7" t="str">
        <x:v>Silhouette reconnue sans nom ; pieds sans glissement ; portrait et sprite cohérents à échelle réelle.</x:v>
      </x:c>
      <x:c r="O12" s="7" t="str">
        <x:v>ANN-CHR-YSSES</x:v>
      </x:c>
      <x:c r="P12" s="7" t="str"/>
      <x:c r="Q12" s="7" t="str"/>
      <x:c r="R12" s="7" t="str"/>
      <x:c r="S12" s="7" t="str"/>
    </x:row>
    <x:row r="13" ht="68" customHeight="1">
      <x:c r="A13" s="18" t="str">
        <x:v>ANN-SPR-QETSI</x:v>
      </x:c>
      <x:c r="B13" s="9" t="str">
        <x:v>Qetsi’Olam vas Keelah Si’yah — planche sprite</x:v>
      </x:c>
      <x:c r="C13" s="15" t="str">
        <x:v>Défini</x:v>
      </x:c>
      <x:c r="D13" s="16" t="str">
        <x:v>Extrapolation</x:v>
      </x:c>
      <x:c r="E13" s="16" t="str">
        <x:v>P1</x:v>
      </x:c>
      <x:c r="F13" s="9" t="str">
        <x:v>Création proposée : représentation 2D de Qetsi’Olam vas Keelah Si’yah pour ce module.</x:v>
      </x:c>
      <x:c r="G13" s="9" t="str">
        <x:v>Combinaison de commandement proposée, repère de grade non officiel. Préparer silhouette entière, portrait de dialogue et masque de sélection.</x:v>
      </x:c>
      <x:c r="H13" s="9" t="str">
        <x:v>La zone interactive reste stable entre les poses ; la tenue ne confère aucun bonus implicite.</x:v>
      </x:c>
      <x:c r="I13" s="9" t="str">
        <x:v>Combinaison de commandement proposée, repère de grade non officiel. Palette proposée à valider ; comparaison en miniature et sur le décor le plus sombre.</x:v>
      </x:c>
      <x:c r="J13" s="9" t="str">
        <x:v>Vue de trois quarts ; pivots dans huit directions proposées ; symétrie interdite si elle inverse un accessoire identifiable.</x:v>
      </x:c>
      <x:c r="K13" s="9" t="str">
        <x:v>Aucun échantillon du jeu ou du film ; le changement de sélection utilise le son UI du module.</x:v>
      </x:c>
      <x:c r="L13" s="9" t="str">
        <x:v>Prévoir assets/ann/actors/qetsi/atlas.png + atlas.json, pivot aux pieds.</x:v>
      </x:c>
      <x:c r="M13" s="9" t="str">
        <x:v>Visible uniquement quand Qetsi’Olam vas Keelah Si’yah est autorisé par l’état narratif.</x:v>
      </x:c>
      <x:c r="N13" s="9" t="str">
        <x:v>Silhouette reconnue sans nom ; pieds sans glissement ; portrait et sprite cohérents à échelle réelle.</x:v>
      </x:c>
      <x:c r="O13" s="9" t="str">
        <x:v>ANN-CHR-QETSI</x:v>
      </x:c>
      <x:c r="P13" s="9" t="str"/>
      <x:c r="Q13" s="9" t="str"/>
      <x:c r="R13" s="9" t="str"/>
      <x:c r="S13" s="9" t="str"/>
    </x:row>
    <x:row r="14" ht="68" customHeight="1">
      <x:c r="A14" s="19" t="str">
        <x:v>ANN-SPR-MALAK</x:v>
      </x:c>
      <x:c r="B14" s="7" t="str">
        <x:v>Malak’Rafa vas Keelah Si’yah — planche sprite</x:v>
      </x:c>
      <x:c r="C14" s="15" t="str">
        <x:v>Défini</x:v>
      </x:c>
      <x:c r="D14" s="17" t="str">
        <x:v>Extrapolation</x:v>
      </x:c>
      <x:c r="E14" s="17" t="str">
        <x:v>P1</x:v>
      </x:c>
      <x:c r="F14" s="7" t="str">
        <x:v>Création proposée : représentation 2D de Malak’Rafa vas Keelah Si’yah pour ce module.</x:v>
      </x:c>
      <x:c r="G14" s="7" t="str">
        <x:v>Combinaison quarienne individualisée avec accessoire mémoriel à valider. Préparer silhouette entière, portrait de dialogue et masque de sélection.</x:v>
      </x:c>
      <x:c r="H14" s="7" t="str">
        <x:v>La zone interactive reste stable entre les poses ; la tenue ne confère aucun bonus implicite.</x:v>
      </x:c>
      <x:c r="I14" s="7" t="str">
        <x:v>Combinaison quarienne individualisée avec accessoire mémoriel à valider. Palette proposée à valider ; comparaison en miniature et sur le décor le plus sombre.</x:v>
      </x:c>
      <x:c r="J14" s="7" t="str">
        <x:v>Vue de trois quarts ; pivots dans huit directions proposées ; symétrie interdite si elle inverse un accessoire identifiable.</x:v>
      </x:c>
      <x:c r="K14" s="7" t="str">
        <x:v>Aucun échantillon du jeu ou du film ; le changement de sélection utilise le son UI du module.</x:v>
      </x:c>
      <x:c r="L14" s="7" t="str">
        <x:v>Prévoir assets/ann/actors/malak/atlas.png + atlas.json, pivot aux pieds.</x:v>
      </x:c>
      <x:c r="M14" s="7" t="str">
        <x:v>Visible uniquement quand Malak’Rafa vas Keelah Si’yah est autorisé par l’état narratif.</x:v>
      </x:c>
      <x:c r="N14" s="7" t="str">
        <x:v>Silhouette reconnue sans nom ; pieds sans glissement ; portrait et sprite cohérents à échelle réelle.</x:v>
      </x:c>
      <x:c r="O14" s="7" t="str">
        <x:v>ANN-CHR-MALAK</x:v>
      </x:c>
      <x:c r="P14" s="7" t="str"/>
      <x:c r="Q14" s="7" t="str"/>
      <x:c r="R14" s="7" t="str"/>
      <x:c r="S14" s="7" t="str"/>
    </x:row>
    <x:row r="15" ht="68" customHeight="1">
      <x:c r="A15" s="18" t="str">
        <x:v>ANN-SPR-SOVAL</x:v>
      </x:c>
      <x:c r="B15" s="9" t="str">
        <x:v>Soval Raxios — planche sprite</x:v>
      </x:c>
      <x:c r="C15" s="15" t="str">
        <x:v>Défini</x:v>
      </x:c>
      <x:c r="D15" s="16" t="str">
        <x:v>Extrapolation</x:v>
      </x:c>
      <x:c r="E15" s="16" t="str">
        <x:v>P1</x:v>
      </x:c>
      <x:c r="F15" s="9" t="str">
        <x:v>Création proposée : représentation 2D de Soval Raxios pour ce module.</x:v>
      </x:c>
      <x:c r="G15" s="9" t="str">
        <x:v>Créer un portrait d’archive, une vignette de dossier et un identifiant textuel ; aucune présence physique nouvelle dans les scènes de crise.</x:v>
      </x:c>
      <x:c r="H15" s="9" t="str">
        <x:v>La zone interactive reste stable entre les poses ; la tenue ne confère aucun bonus implicite.</x:v>
      </x:c>
      <x:c r="I15" s="9" t="str">
        <x:v>Portrait d’archive et marqueur de dossier ; pas de corps interactif spectaculaire. Palette proposée à valider ; comparaison en miniature et sur le décor le plus sombre.</x:v>
      </x:c>
      <x:c r="J15" s="9" t="str">
        <x:v>Portrait fixe ; fondu facultatif uniquement ; aucune locomotion.</x:v>
      </x:c>
      <x:c r="K15" s="9" t="str">
        <x:v>Aucun échantillon du jeu ou du film ; le changement de sélection utilise le son UI du module.</x:v>
      </x:c>
      <x:c r="L15" s="9" t="str">
        <x:v>assets/ann/archives/ ; portrait original et référence de dossier.</x:v>
      </x:c>
      <x:c r="M15" s="9" t="str">
        <x:v>Visible uniquement quand Soval Raxios est autorisé par l’état narratif.</x:v>
      </x:c>
      <x:c r="N15" s="9" t="str">
        <x:v>L’interface identifie clairement une archive ; le personnage ne reçoit ni déplacement ni commande de groupe.</x:v>
      </x:c>
      <x:c r="O15" s="9" t="str">
        <x:v>ANN-CHR-SOVAL</x:v>
      </x:c>
      <x:c r="P15" s="9" t="str"/>
      <x:c r="Q15" s="9" t="str"/>
      <x:c r="R15" s="9" t="str"/>
      <x:c r="S15" s="9" t="str"/>
    </x:row>
    <x:row r="16" ht="68" customHeight="1">
      <x:c r="A16" s="19" t="str">
        <x:v>ANN-SPR-KHOLAI</x:v>
      </x:c>
      <x:c r="B16" s="7" t="str">
        <x:v>Kholai — planche sprite</x:v>
      </x:c>
      <x:c r="C16" s="15" t="str">
        <x:v>Défini</x:v>
      </x:c>
      <x:c r="D16" s="17" t="str">
        <x:v>Extrapolation</x:v>
      </x:c>
      <x:c r="E16" s="17" t="str">
        <x:v>P1</x:v>
      </x:c>
      <x:c r="F16" s="7" t="str">
        <x:v>Création proposée : représentation 2D de Kholai pour ce module.</x:v>
      </x:c>
      <x:c r="G16" s="7" t="str">
        <x:v>Silhouette hanar distincte par posture et motif lumineux proposé. Préparer silhouette entière, portrait de dialogue et masque de sélection.</x:v>
      </x:c>
      <x:c r="H16" s="7" t="str">
        <x:v>La zone interactive reste stable entre les poses ; la tenue ne confère aucun bonus implicite.</x:v>
      </x:c>
      <x:c r="I16" s="7" t="str">
        <x:v>Silhouette hanar distincte par posture et motif lumineux proposé. Palette proposée à valider ; comparaison en miniature et sur le décor le plus sombre.</x:v>
      </x:c>
      <x:c r="J16" s="7" t="str">
        <x:v>Vue de trois quarts ; pivots dans huit directions proposées ; symétrie interdite si elle inverse un accessoire identifiable.</x:v>
      </x:c>
      <x:c r="K16" s="7" t="str">
        <x:v>Aucun échantillon du jeu ou du film ; le changement de sélection utilise le son UI du module.</x:v>
      </x:c>
      <x:c r="L16" s="7" t="str">
        <x:v>Prévoir assets/ann/actors/kholai/atlas.png + atlas.json, pivot aux pieds.</x:v>
      </x:c>
      <x:c r="M16" s="7" t="str">
        <x:v>Visible uniquement quand Kholai est autorisé par l’état narratif.</x:v>
      </x:c>
      <x:c r="N16" s="7" t="str">
        <x:v>Silhouette reconnue sans nom ; pieds sans glissement ; portrait et sprite cohérents à échelle réelle.</x:v>
      </x:c>
      <x:c r="O16" s="7" t="str">
        <x:v>ANN-CHR-KHOLAI</x:v>
      </x:c>
      <x:c r="P16" s="7" t="str"/>
      <x:c r="Q16" s="7" t="str"/>
      <x:c r="R16" s="7" t="str"/>
      <x:c r="S16" s="7" t="str"/>
    </x:row>
  </x:sheetData>
  <x:conditionalFormatting sqref="D7:D16">
    <x:cfRule type="cellIs" dxfId="80" priority="1" operator="equal">
      <x:formula>"À vérifier"</x:formula>
    </x:cfRule>
    <x:cfRule type="cellIs" dxfId="81" priority="2" operator="equal">
      <x:formula>"Extrapolation"</x:formula>
    </x:cfRule>
  </x:conditionalFormatting>
  <x:conditionalFormatting sqref="C7:C16">
    <x:cfRule type="cellIs" dxfId="82" priority="3" operator="equal">
      <x:formula>"Validé"</x:formula>
    </x:cfRule>
  </x:conditionalFormatting>
  <x:conditionalFormatting sqref="E7:E16">
    <x:cfRule type="cellIs" dxfId="83"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fecaaca7efb645fe"/>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Andromeda: Annihilation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ANN-VFX-SENSOR</x:v>
      </x:c>
      <x:c r="B7" s="9" t="str">
        <x:v>Capteur mensonger — effet lisible</x:v>
      </x:c>
      <x:c r="C7" s="15" t="str">
        <x:v>Défini</x:v>
      </x:c>
      <x:c r="D7" s="16" t="str">
        <x:v>Extrapolation</x:v>
      </x:c>
      <x:c r="E7" s="16" t="str">
        <x:v>P1</x:v>
      </x:c>
      <x:c r="F7" s="9" t="str">
        <x:v>Effet original de prévision et de résultat pour la rencontre.</x:v>
      </x:c>
      <x:c r="G7" s="9" t="str">
        <x:v>Double indicateur et étiquette source distincte.</x:v>
      </x:c>
      <x:c r="H7" s="9" t="str">
        <x:v>Aire de prévision égale à l’aire logique ; masque de cible conservé en daltonisme.</x:v>
      </x:c>
      <x:c r="I7" s="9" t="str">
        <x:v>Double indicateur et étiquette source distincte. Limiter les flashes ; option intensité réduite conservant contours et pictogrammes.</x:v>
      </x:c>
      <x:c r="J7" s="9" t="str">
        <x:v>Apparition, maintien, résolution et extinction distinctes ; pas de particule persistante après sortie de carte.</x:v>
      </x:c>
      <x:c r="K7" s="9" t="str">
        <x:v>Un son par engagement ; pas d’empilement de boucles sur recharge de sauvegarde.</x:v>
      </x:c>
      <x:c r="L7" s="9" t="str">
        <x:v>fx/ann/sensor ; pool local nettoyé au changement de scène.</x:v>
      </x:c>
      <x:c r="M7" s="9" t="str">
        <x:v>Effet lié au comportement, jamais déclenché par une animation décorative.</x:v>
      </x:c>
      <x:c r="N7" s="9" t="str">
        <x:v>Aucune cible hors aire n’est affectée ; mode réduit conserve la compréhension.</x:v>
      </x:c>
      <x:c r="O7" s="9" t="str">
        <x:v>ANN-EMV-SENSOR</x:v>
      </x:c>
      <x:c r="P7" s="9" t="str"/>
      <x:c r="Q7" s="9" t="str"/>
      <x:c r="R7" s="9" t="str"/>
      <x:c r="S7" s="9" t="str"/>
    </x:row>
    <x:row r="8" ht="54" customHeight="1">
      <x:c r="A8" s="19" t="str">
        <x:v>ANN-VFX-PANIC</x:v>
      </x:c>
      <x:c r="B8" s="7" t="str">
        <x:v>Couloir encombré — effet lisible</x:v>
      </x:c>
      <x:c r="C8" s="15" t="str">
        <x:v>Défini</x:v>
      </x:c>
      <x:c r="D8" s="17" t="str">
        <x:v>Extrapolation</x:v>
      </x:c>
      <x:c r="E8" s="17" t="str">
        <x:v>P1</x:v>
      </x:c>
      <x:c r="F8" s="7" t="str">
        <x:v>Effet original de prévision et de résultat pour la rencontre.</x:v>
      </x:c>
      <x:c r="G8" s="7" t="str">
        <x:v>Flux de silhouettes et bulles d’incompréhension.</x:v>
      </x:c>
      <x:c r="H8" s="7" t="str">
        <x:v>Aire de prévision égale à l’aire logique ; masque de cible conservé en daltonisme.</x:v>
      </x:c>
      <x:c r="I8" s="7" t="str">
        <x:v>Flux de silhouettes et bulles d’incompréhension. Limiter les flashes ; option intensité réduite conservant contours et pictogrammes.</x:v>
      </x:c>
      <x:c r="J8" s="7" t="str">
        <x:v>Apparition, maintien, résolution et extinction distinctes ; pas de particule persistante après sortie de carte.</x:v>
      </x:c>
      <x:c r="K8" s="7" t="str">
        <x:v>Un son par engagement ; pas d’empilement de boucles sur recharge de sauvegarde.</x:v>
      </x:c>
      <x:c r="L8" s="7" t="str">
        <x:v>fx/ann/panic ; pool local nettoyé au changement de scène.</x:v>
      </x:c>
      <x:c r="M8" s="7" t="str">
        <x:v>Effet lié au comportement, jamais déclenché par une animation décorative.</x:v>
      </x:c>
      <x:c r="N8" s="7" t="str">
        <x:v>Aucune cible hors aire n’est affectée ; mode réduit conserve la compréhension.</x:v>
      </x:c>
      <x:c r="O8" s="7" t="str">
        <x:v>ANN-EMV-PANIC</x:v>
      </x:c>
      <x:c r="P8" s="7" t="str"/>
      <x:c r="Q8" s="7" t="str"/>
      <x:c r="R8" s="7" t="str"/>
      <x:c r="S8" s="7" t="str"/>
    </x:row>
    <x:row r="9" ht="54" customHeight="1">
      <x:c r="A9" s="18" t="str">
        <x:v>ANN-VFX-MACHINE</x:v>
      </x:c>
      <x:c r="B9" s="9" t="str">
        <x:v>Bras de maintenance bloqué — effet lisible</x:v>
      </x:c>
      <x:c r="C9" s="15" t="str">
        <x:v>Défini</x:v>
      </x:c>
      <x:c r="D9" s="16" t="str">
        <x:v>Extrapolation</x:v>
      </x:c>
      <x:c r="E9" s="16" t="str">
        <x:v>P1</x:v>
      </x:c>
      <x:c r="F9" s="9" t="str">
        <x:v>Effet original de prévision et de résultat pour la rencontre.</x:v>
      </x:c>
      <x:c r="G9" s="9" t="str">
        <x:v>Lumière de bras et ombre de la zone balayée.</x:v>
      </x:c>
      <x:c r="H9" s="9" t="str">
        <x:v>Aire de prévision égale à l’aire logique ; masque de cible conservé en daltonisme.</x:v>
      </x:c>
      <x:c r="I9" s="9" t="str">
        <x:v>Lumière de bras et ombre de la zone balayée. Limiter les flashes ; option intensité réduite conservant contours et pictogrammes.</x:v>
      </x:c>
      <x:c r="J9" s="9" t="str">
        <x:v>Apparition, maintien, résolution et extinction distinctes ; pas de particule persistante après sortie de carte.</x:v>
      </x:c>
      <x:c r="K9" s="9" t="str">
        <x:v>Un son par engagement ; pas d’empilement de boucles sur recharge de sauvegarde.</x:v>
      </x:c>
      <x:c r="L9" s="9" t="str">
        <x:v>fx/ann/machine ; pool local nettoyé au changement de scène.</x:v>
      </x:c>
      <x:c r="M9" s="9" t="str">
        <x:v>Effet lié au comportement, jamais déclenché par une animation décorative.</x:v>
      </x:c>
      <x:c r="N9" s="9" t="str">
        <x:v>Aucune cible hors aire n’est affectée ; mode réduit conserve la compréhension.</x:v>
      </x:c>
      <x:c r="O9" s="9" t="str">
        <x:v>ANN-EMV-MACHINE</x:v>
      </x:c>
      <x:c r="P9" s="9" t="str"/>
      <x:c r="Q9" s="9" t="str"/>
      <x:c r="R9" s="9" t="str"/>
      <x:c r="S9" s="9" t="str"/>
    </x:row>
    <x:row r="10" ht="68" customHeight="1">
      <x:c r="A10" s="19" t="str">
        <x:v>ANN-VFX-SUSPECT</x:v>
      </x:c>
      <x:c r="B10" s="7" t="str">
        <x:v>Contradiction non résolue — effet lisible</x:v>
      </x:c>
      <x:c r="C10" s="15" t="str">
        <x:v>Défini</x:v>
      </x:c>
      <x:c r="D10" s="17" t="str">
        <x:v>Extrapolation</x:v>
      </x:c>
      <x:c r="E10" s="17" t="str">
        <x:v>P1</x:v>
      </x:c>
      <x:c r="F10" s="7" t="str">
        <x:v>Effet original de prévision et de résultat pour la rencontre.</x:v>
      </x:c>
      <x:c r="G10" s="7" t="str">
        <x:v>Carte de conclusion en pointillés et avertissement de preuve manquante.</x:v>
      </x:c>
      <x:c r="H10" s="7" t="str">
        <x:v>Aire de prévision égale à l’aire logique ; masque de cible conservé en daltonisme.</x:v>
      </x:c>
      <x:c r="I10" s="7" t="str">
        <x:v>Carte de conclusion en pointillés et avertissement de preuve manquante. Limiter les flashes ; option intensité réduite conservant contours et pictogrammes.</x:v>
      </x:c>
      <x:c r="J10" s="7" t="str">
        <x:v>Apparition, maintien, résolution et extinction distinctes ; pas de particule persistante après sortie de carte.</x:v>
      </x:c>
      <x:c r="K10" s="7" t="str">
        <x:v>Un son par engagement ; pas d’empilement de boucles sur recharge de sauvegarde.</x:v>
      </x:c>
      <x:c r="L10" s="7" t="str">
        <x:v>fx/ann/suspect ; pool local nettoyé au changement de scène.</x:v>
      </x:c>
      <x:c r="M10" s="7" t="str">
        <x:v>Effet lié au comportement, jamais déclenché par une animation décorative.</x:v>
      </x:c>
      <x:c r="N10" s="7" t="str">
        <x:v>Aucune cible hors aire n’est affectée ; mode réduit conserve la compréhension.</x:v>
      </x:c>
      <x:c r="O10" s="7" t="str">
        <x:v>ANN-EMV-SUSPECT</x:v>
      </x:c>
      <x:c r="P10" s="7" t="str"/>
      <x:c r="Q10" s="7" t="str"/>
      <x:c r="R10" s="7" t="str"/>
      <x:c r="S10" s="7" t="str"/>
    </x:row>
  </x:sheetData>
  <x:conditionalFormatting sqref="D7:D10">
    <x:cfRule type="cellIs" dxfId="84" priority="1" operator="equal">
      <x:formula>"À vérifier"</x:formula>
    </x:cfRule>
    <x:cfRule type="cellIs" dxfId="85" priority="2" operator="equal">
      <x:formula>"Extrapolation"</x:formula>
    </x:cfRule>
  </x:conditionalFormatting>
  <x:conditionalFormatting sqref="C7:C10">
    <x:cfRule type="cellIs" dxfId="86" priority="3" operator="equal">
      <x:formula>"Validé"</x:formula>
    </x:cfRule>
  </x:conditionalFormatting>
  <x:conditionalFormatting sqref="E7:E10">
    <x:cfRule type="cellIs" dxfId="8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8ba7035640e84ac5"/>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Andromeda: Annihilation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ANN-AUD-01</x:v>
      </x:c>
      <x:c r="B7" s="9" t="str">
        <x:v>Ventilation par secteurs</x:v>
      </x:c>
      <x:c r="C7" s="15" t="str">
        <x:v>Défini</x:v>
      </x:c>
      <x:c r="D7" s="16" t="str">
        <x:v>Extrapolation</x:v>
      </x:c>
      <x:c r="E7" s="16" t="str">
        <x:v>P1</x:v>
      </x:c>
      <x:c r="F7" s="9" t="str">
        <x:v>Création sonore originale pour le fan game.</x:v>
      </x:c>
      <x:c r="G7" s="9" t="str">
        <x:v>Textures originales distinctes pour orientation ; tous les changements essentiels possèdent une icône.</x:v>
      </x:c>
      <x:c r="H7" s="9" t="str">
        <x:v>Déclenchement à l’événement logique ; priorité à la compréhension des commandes du groupe.</x:v>
      </x:c>
      <x:c r="I7" s="9" t="str">
        <x:v>Sous-titre d’ambiance facultatif ; pictogramme si le son fournit une alerte.</x:v>
      </x:c>
      <x:c r="J7" s="9" t="str">
        <x:v>Points de synchro notés dans la fiche animation concernée ; aucune dépendance à la vitesse de lecture.</x:v>
      </x:c>
      <x:c r="K7" s="9" t="str">
        <x:v>Textures originales distinctes pour orientation ; tous les changements essentiels possèdent une icône. Musique, bruitages et éventuelles voix à produire sans extraire les enregistrements officiels.</x:v>
      </x:c>
      <x:c r="L7" s="9" t="str">
        <x:v>audio/ann/ventilation-par-secteurs.ogg ; bus ambiance/musique/interface séparés.</x:v>
      </x:c>
      <x:c r="M7" s="9" t="str">
        <x:v>La source narrative inspire l’intention, pas une mélodie ou un enregistrement à copier.</x:v>
      </x:c>
      <x:c r="N7" s="9" t="str">
        <x:v>Boucle sans clic ; transitions propres ; information compréhensible volume coupé.</x:v>
      </x:c>
      <x:c r="O7" s="9" t="str"/>
      <x:c r="P7" s="9" t="str"/>
      <x:c r="Q7" s="9" t="str"/>
      <x:c r="R7" s="9" t="str"/>
      <x:c r="S7" s="9" t="str"/>
    </x:row>
    <x:row r="8" ht="82" customHeight="1">
      <x:c r="A8" s="19" t="str">
        <x:v>ANN-AUD-02</x:v>
      </x:c>
      <x:c r="B8" s="7" t="str">
        <x:v>Parole elcor</x:v>
      </x:c>
      <x:c r="C8" s="15" t="str">
        <x:v>Défini</x:v>
      </x:c>
      <x:c r="D8" s="17" t="str">
        <x:v>Extrapolation</x:v>
      </x:c>
      <x:c r="E8" s="17" t="str">
        <x:v>P1</x:v>
      </x:c>
      <x:c r="F8" s="7" t="str">
        <x:v>Création sonore originale pour le fan game.</x:v>
      </x:c>
      <x:c r="G8" s="7" t="str">
        <x:v>Si doublage original, conserver l’intention émotionnelle explicite dans le texte sans rendre les scènes comiques par défaut.</x:v>
      </x:c>
      <x:c r="H8" s="7" t="str">
        <x:v>Déclenchement à l’événement logique ; priorité à la compréhension des commandes du groupe.</x:v>
      </x:c>
      <x:c r="I8" s="7" t="str">
        <x:v>Sous-titre d’ambiance facultatif ; pictogramme si le son fournit une alerte.</x:v>
      </x:c>
      <x:c r="J8" s="7" t="str">
        <x:v>Points de synchro notés dans la fiche animation concernée ; aucune dépendance à la vitesse de lecture.</x:v>
      </x:c>
      <x:c r="K8" s="7" t="str">
        <x:v>Si doublage original, conserver l’intention émotionnelle explicite dans le texte sans rendre les scènes comiques par défaut. Musique, bruitages et éventuelles voix à produire sans extraire les enregistrements officiels.</x:v>
      </x:c>
      <x:c r="L8" s="7" t="str">
        <x:v>audio/ann/parole-elcor.ogg ; bus ambiance/musique/interface séparés.</x:v>
      </x:c>
      <x:c r="M8" s="7" t="str">
        <x:v>La source narrative inspire l’intention, pas une mélodie ou un enregistrement à copier.</x:v>
      </x:c>
      <x:c r="N8" s="7" t="str">
        <x:v>Boucle sans clic ; transitions propres ; information compréhensible volume coupé.</x:v>
      </x:c>
      <x:c r="O8" s="7" t="str"/>
      <x:c r="P8" s="7" t="str"/>
      <x:c r="Q8" s="7" t="str"/>
      <x:c r="R8" s="7" t="str"/>
      <x:c r="S8" s="7" t="str"/>
    </x:row>
    <x:row r="9" ht="82" customHeight="1">
      <x:c r="A9" s="18" t="str">
        <x:v>ANN-AUD-03</x:v>
      </x:c>
      <x:c r="B9" s="9" t="str">
        <x:v>Voix et corps variés</x:v>
      </x:c>
      <x:c r="C9" s="15" t="str">
        <x:v>Défini</x:v>
      </x:c>
      <x:c r="D9" s="16" t="str">
        <x:v>Extrapolation</x:v>
      </x:c>
      <x:c r="E9" s="16" t="str">
        <x:v>P1</x:v>
      </x:c>
      <x:c r="F9" s="9" t="str">
        <x:v>Création sonore originale pour le fan game.</x:v>
      </x:c>
      <x:c r="G9" s="9" t="str">
        <x:v>Créer des voix originales et traitements sobres ; ne pas imiter le casting ou réduire une espèce à un bruit stéréotypé.</x:v>
      </x:c>
      <x:c r="H9" s="9" t="str">
        <x:v>Déclenchement à l’événement logique ; priorité à la compréhension des commandes du groupe.</x:v>
      </x:c>
      <x:c r="I9" s="9" t="str">
        <x:v>Sous-titre d’ambiance facultatif ; pictogramme si le son fournit une alerte.</x:v>
      </x:c>
      <x:c r="J9" s="9" t="str">
        <x:v>Points de synchro notés dans la fiche animation concernée ; aucune dépendance à la vitesse de lecture.</x:v>
      </x:c>
      <x:c r="K9" s="9" t="str">
        <x:v>Créer des voix originales et traitements sobres ; ne pas imiter le casting ou réduire une espèce à un bruit stéréotypé. Musique, bruitages et éventuelles voix à produire sans extraire les enregistrements officiels.</x:v>
      </x:c>
      <x:c r="L9" s="9" t="str">
        <x:v>audio/ann/voix-et-corps-varies.ogg ; bus ambiance/musique/interface séparés.</x:v>
      </x:c>
      <x:c r="M9" s="9" t="str">
        <x:v>La source narrative inspire l’intention, pas une mélodie ou un enregistrement à copier.</x:v>
      </x:c>
      <x:c r="N9" s="9" t="str">
        <x:v>Boucle sans clic ; transitions propres ; information compréhensible volume coupé.</x:v>
      </x:c>
      <x:c r="O9" s="9" t="str"/>
      <x:c r="P9" s="9" t="str"/>
      <x:c r="Q9" s="9" t="str"/>
      <x:c r="R9" s="9" t="str"/>
      <x:c r="S9" s="9" t="str"/>
    </x:row>
    <x:row r="10" ht="82" customHeight="1">
      <x:c r="A10" s="19" t="str">
        <x:v>ANN-AUD-04</x:v>
      </x:c>
      <x:c r="B10" s="7" t="str">
        <x:v>Systèmes contradictoires</x:v>
      </x:c>
      <x:c r="C10" s="15" t="str">
        <x:v>Défini</x:v>
      </x:c>
      <x:c r="D10" s="17" t="str">
        <x:v>Extrapolation</x:v>
      </x:c>
      <x:c r="E10" s="17" t="str">
        <x:v>P1</x:v>
      </x:c>
      <x:c r="F10" s="7" t="str">
        <x:v>Création sonore originale pour le fan game.</x:v>
      </x:c>
      <x:c r="G10" s="7" t="str">
        <x:v>Un signal local contredit parfois une annonce, avec leur provenance clairement indiquée.</x:v>
      </x:c>
      <x:c r="H10" s="7" t="str">
        <x:v>Déclenchement à l’événement logique ; priorité à la compréhension des commandes du groupe.</x:v>
      </x:c>
      <x:c r="I10" s="7" t="str">
        <x:v>Sous-titre d’ambiance facultatif ; pictogramme si le son fournit une alerte.</x:v>
      </x:c>
      <x:c r="J10" s="7" t="str">
        <x:v>Points de synchro notés dans la fiche animation concernée ; aucune dépendance à la vitesse de lecture.</x:v>
      </x:c>
      <x:c r="K10" s="7" t="str">
        <x:v>Un signal local contredit parfois une annonce, avec leur provenance clairement indiquée. Musique, bruitages et éventuelles voix à produire sans extraire les enregistrements officiels.</x:v>
      </x:c>
      <x:c r="L10" s="7" t="str">
        <x:v>audio/ann/systemes-contradictoires.ogg ; bus ambiance/musique/interface séparés.</x:v>
      </x:c>
      <x:c r="M10" s="7" t="str">
        <x:v>La source narrative inspire l’intention, pas une mélodie ou un enregistrement à copier.</x:v>
      </x:c>
      <x:c r="N10" s="7" t="str">
        <x:v>Boucle sans clic ; transitions propres ; information compréhensible volume coupé.</x:v>
      </x:c>
      <x:c r="O10" s="7" t="str"/>
      <x:c r="P10" s="7" t="str"/>
      <x:c r="Q10" s="7" t="str"/>
      <x:c r="R10" s="7" t="str"/>
      <x:c r="S10" s="7" t="str"/>
    </x:row>
    <x:row r="11" ht="82" customHeight="1">
      <x:c r="A11" s="18" t="str">
        <x:v>ANN-AUD-05</x:v>
      </x:c>
      <x:c r="B11" s="9" t="str">
        <x:v>Vie dans le Radial</x:v>
      </x:c>
      <x:c r="C11" s="15" t="str">
        <x:v>Défini</x:v>
      </x:c>
      <x:c r="D11" s="16" t="str">
        <x:v>Extrapolation</x:v>
      </x:c>
      <x:c r="E11" s="16" t="str">
        <x:v>P1</x:v>
      </x:c>
      <x:c r="F11" s="9" t="str">
        <x:v>Création sonore originale pour le fan game.</x:v>
      </x:c>
      <x:c r="G11" s="9" t="str">
        <x:v>Ambiance de travail et musique originale discrète qui laisse place aux personnes.</x:v>
      </x:c>
      <x:c r="H11" s="9" t="str">
        <x:v>Déclenchement à l’événement logique ; priorité à la compréhension des commandes du groupe.</x:v>
      </x:c>
      <x:c r="I11" s="9" t="str">
        <x:v>Sous-titre d’ambiance facultatif ; pictogramme si le son fournit une alerte.</x:v>
      </x:c>
      <x:c r="J11" s="9" t="str">
        <x:v>Points de synchro notés dans la fiche animation concernée ; aucune dépendance à la vitesse de lecture.</x:v>
      </x:c>
      <x:c r="K11" s="9" t="str">
        <x:v>Ambiance de travail et musique originale discrète qui laisse place aux personnes. Musique, bruitages et éventuelles voix à produire sans extraire les enregistrements officiels.</x:v>
      </x:c>
      <x:c r="L11" s="9" t="str">
        <x:v>audio/ann/vie-dans-le-radial.ogg ; bus ambiance/musique/interface séparés.</x:v>
      </x:c>
      <x:c r="M11" s="9" t="str">
        <x:v>La source narrative inspire l’intention, pas une mélodie ou un enregistrement à copier.</x:v>
      </x:c>
      <x:c r="N11" s="9" t="str">
        <x:v>Boucle sans clic ; transitions propres ; information compréhensible volume coupé.</x:v>
      </x:c>
      <x:c r="O11" s="9" t="str"/>
      <x:c r="P11" s="9" t="str"/>
      <x:c r="Q11" s="9" t="str"/>
      <x:c r="R11" s="9" t="str"/>
      <x:c r="S11" s="9" t="str"/>
    </x:row>
  </x:sheetData>
  <x:conditionalFormatting sqref="D7:D11">
    <x:cfRule type="cellIs" dxfId="88" priority="1" operator="equal">
      <x:formula>"À vérifier"</x:formula>
    </x:cfRule>
    <x:cfRule type="cellIs" dxfId="89" priority="2" operator="equal">
      <x:formula>"Extrapolation"</x:formula>
    </x:cfRule>
  </x:conditionalFormatting>
  <x:conditionalFormatting sqref="C7:C11">
    <x:cfRule type="cellIs" dxfId="90" priority="3" operator="equal">
      <x:formula>"Validé"</x:formula>
    </x:cfRule>
  </x:conditionalFormatting>
  <x:conditionalFormatting sqref="E7:E11">
    <x:cfRule type="cellIs" dxfId="91"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78efc5a9bb3941b0"/>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Andromeda: Annihilation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ANN-SYS-01</x:v>
      </x:c>
      <x:c r="B7" s="9" t="str">
        <x:v>Équipe multiespèce</x:v>
      </x:c>
      <x:c r="C7" s="15" t="str">
        <x:v>Défini</x:v>
      </x:c>
      <x:c r="D7" s="16" t="str">
        <x:v>Extrapolation</x:v>
      </x:c>
      <x:c r="E7" s="16" t="str">
        <x:v>P0</x:v>
      </x:c>
      <x:c r="F7" s="9" t="str">
        <x:v>Système original de production propre au module.</x:v>
      </x:c>
      <x:c r="G7" s="9" t="str">
        <x:v>La navigation tient compte de la largeur de Yorrik et du volume de Ysses ; aucun corps n’est réduit à une variante humaine.</x:v>
      </x:c>
      <x:c r="H7" s="9" t="str">
        <x:v>La navigation tient compte de la largeur de Yorrik et du volume de Ysses ; aucun corps n’est réduit à une variante humaine.</x:v>
      </x:c>
      <x:c r="I7" s="9" t="str">
        <x:v>État visible dans le HUD et le journal ; libellés complets, icônes non exclusives.</x:v>
      </x:c>
      <x:c r="J7" s="9" t="str">
        <x:v>Transitions rapides et possibilité de réduire les mouvements UI.</x:v>
      </x:c>
      <x:c r="K7" s="9" t="str">
        <x:v>Chaque changement critique possède un équivalent textuel ; pas de message sonore seul.</x:v>
      </x:c>
      <x:c r="L7" s="9" t="str">
        <x:v>systems/ann/equipe-multiespece.ts prévu ; sauvegarde versionnée avec valeurs par défaut.</x:v>
      </x:c>
      <x:c r="M7" s="9" t="str">
        <x:v>Activé seulement dans ce module ; ne modifie pas les sauvegardes des jeux officiels.</x:v>
      </x:c>
      <x:c r="N7" s="9" t="str">
        <x:v>Chargement et reprise conservent l’état ; clavier et pointeur donnent le même résultat.</x:v>
      </x:c>
      <x:c r="O7" s="9" t="str"/>
      <x:c r="P7" s="9" t="str"/>
      <x:c r="Q7" s="9" t="str"/>
      <x:c r="R7" s="9" t="str"/>
      <x:c r="S7" s="9" t="str"/>
    </x:row>
    <x:row r="8" ht="44" customHeight="1">
      <x:c r="A8" s="19" t="str">
        <x:v>ANN-SYS-02</x:v>
      </x:c>
      <x:c r="B8" s="7" t="str">
        <x:v>Preuve contradictoire</x:v>
      </x:c>
      <x:c r="C8" s="15" t="str">
        <x:v>Défini</x:v>
      </x:c>
      <x:c r="D8" s="17" t="str">
        <x:v>Extrapolation</x:v>
      </x:c>
      <x:c r="E8" s="17" t="str">
        <x:v>P0</x:v>
      </x:c>
      <x:c r="F8" s="7" t="str">
        <x:v>Système original de production propre au module.</x:v>
      </x:c>
      <x:c r="G8" s="7" t="str">
        <x:v>Les faits conservent leur appareil et leur observateur ; une majorité de témoins ne remplace pas un contrôle.</x:v>
      </x:c>
      <x:c r="H8" s="7" t="str">
        <x:v>Les faits conservent leur appareil et leur observateur ; une majorité de témoins ne remplace pas un contrôle.</x:v>
      </x:c>
      <x:c r="I8" s="7" t="str">
        <x:v>État visible dans le HUD et le journal ; libellés complets, icônes non exclusives.</x:v>
      </x:c>
      <x:c r="J8" s="7" t="str">
        <x:v>Transitions rapides et possibilité de réduire les mouvements UI.</x:v>
      </x:c>
      <x:c r="K8" s="7" t="str">
        <x:v>Chaque changement critique possède un équivalent textuel ; pas de message sonore seul.</x:v>
      </x:c>
      <x:c r="L8" s="7" t="str">
        <x:v>systems/ann/preuve-contradictoire.ts prévu ; sauvegarde versionnée avec valeurs par défaut.</x:v>
      </x:c>
      <x:c r="M8" s="7" t="str">
        <x:v>Activé seulement dans ce module ; ne modifie pas les sauvegardes des jeux officiels.</x:v>
      </x:c>
      <x:c r="N8" s="7" t="str">
        <x:v>Chargement et reprise conservent l’état ; clavier et pointeur donnent le même résultat.</x:v>
      </x:c>
      <x:c r="O8" s="7" t="str"/>
      <x:c r="P8" s="7" t="str"/>
      <x:c r="Q8" s="7" t="str"/>
      <x:c r="R8" s="7" t="str"/>
      <x:c r="S8" s="7" t="str"/>
    </x:row>
    <x:row r="9" ht="44" customHeight="1">
      <x:c r="A9" s="18" t="str">
        <x:v>ANN-SYS-03</x:v>
      </x:c>
      <x:c r="B9" s="9" t="str">
        <x:v>Enquête sans accusé automatique</x:v>
      </x:c>
      <x:c r="C9" s="15" t="str">
        <x:v>Défini</x:v>
      </x:c>
      <x:c r="D9" s="16" t="str">
        <x:v>Extrapolation</x:v>
      </x:c>
      <x:c r="E9" s="16" t="str">
        <x:v>P1</x:v>
      </x:c>
      <x:c r="F9" s="9" t="str">
        <x:v>Système original de production propre au module.</x:v>
      </x:c>
      <x:c r="G9" s="9" t="str">
        <x:v>Aucun marqueur de culpabilité n’est déduit de l’espèce, du statut social ou de la croyance.</x:v>
      </x:c>
      <x:c r="H9" s="9" t="str">
        <x:v>Aucun marqueur de culpabilité n’est déduit de l’espèce, du statut social ou de la croyance.</x:v>
      </x:c>
      <x:c r="I9" s="9" t="str">
        <x:v>État visible dans le HUD et le journal ; libellés complets, icônes non exclusives.</x:v>
      </x:c>
      <x:c r="J9" s="9" t="str">
        <x:v>Transitions rapides et possibilité de réduire les mouvements UI.</x:v>
      </x:c>
      <x:c r="K9" s="9" t="str">
        <x:v>Chaque changement critique possède un équivalent textuel ; pas de message sonore seul.</x:v>
      </x:c>
      <x:c r="L9" s="9" t="str">
        <x:v>systems/ann/enquete-sans-accuse-automatique.ts prévu ; sauvegarde versionnée avec valeurs par défaut.</x:v>
      </x:c>
      <x:c r="M9" s="9" t="str">
        <x:v>Activé seulement dans ce module ; ne modifie pas les sauvegardes des jeux officiels.</x:v>
      </x:c>
      <x:c r="N9" s="9" t="str">
        <x:v>Chargement et reprise conservent l’état ; clavier et pointeur donnent le même résultat.</x:v>
      </x:c>
      <x:c r="O9" s="9" t="str"/>
      <x:c r="P9" s="9" t="str"/>
      <x:c r="Q9" s="9" t="str"/>
      <x:c r="R9" s="9" t="str"/>
      <x:c r="S9" s="9" t="str"/>
    </x:row>
    <x:row r="10" ht="54" customHeight="1">
      <x:c r="A10" s="19" t="str">
        <x:v>ANN-SYS-04</x:v>
      </x:c>
      <x:c r="B10" s="7" t="str">
        <x:v>Maladie abstraite</x:v>
      </x:c>
      <x:c r="C10" s="15" t="str">
        <x:v>Défini</x:v>
      </x:c>
      <x:c r="D10" s="17" t="str">
        <x:v>Extrapolation</x:v>
      </x:c>
      <x:c r="E10" s="17" t="str">
        <x:v>P1</x:v>
      </x:c>
      <x:c r="F10" s="7" t="str">
        <x:v>Système original de production propre au module.</x:v>
      </x:c>
      <x:c r="G10" s="7" t="str">
        <x:v>La progression de crise est scénarisée ; pas de modèle épidémiologique prétendu canonique ou de protocole médical réel.</x:v>
      </x:c>
      <x:c r="H10" s="7" t="str">
        <x:v>La progression de crise est scénarisée ; pas de modèle épidémiologique prétendu canonique ou de protocole médical réel.</x:v>
      </x:c>
      <x:c r="I10" s="7" t="str">
        <x:v>État visible dans le HUD et le journal ; libellés complets, icônes non exclusives.</x:v>
      </x:c>
      <x:c r="J10" s="7" t="str">
        <x:v>Transitions rapides et possibilité de réduire les mouvements UI.</x:v>
      </x:c>
      <x:c r="K10" s="7" t="str">
        <x:v>Chaque changement critique possède un équivalent textuel ; pas de message sonore seul.</x:v>
      </x:c>
      <x:c r="L10" s="7" t="str">
        <x:v>systems/ann/maladie-abstraite.ts prévu ; sauvegarde versionnée avec valeurs par défaut.</x:v>
      </x:c>
      <x:c r="M10" s="7" t="str">
        <x:v>Activé seulement dans ce module ; ne modifie pas les sauvegardes des jeux officiels.</x:v>
      </x:c>
      <x:c r="N10" s="7" t="str">
        <x:v>Chargement et reprise conservent l’état ; clavier et pointeur donnent le même résultat.</x:v>
      </x:c>
      <x:c r="O10" s="7" t="str"/>
      <x:c r="P10" s="7" t="str"/>
      <x:c r="Q10" s="7" t="str"/>
      <x:c r="R10" s="7" t="str"/>
      <x:c r="S10" s="7" t="str"/>
    </x:row>
    <x:row r="11" ht="54" customHeight="1">
      <x:c r="A11" s="18" t="str">
        <x:v>ANN-SYS-05</x:v>
      </x:c>
      <x:c r="B11" s="9" t="str">
        <x:v>Environnements différenciés</x:v>
      </x:c>
      <x:c r="C11" s="15" t="str">
        <x:v>Défini</x:v>
      </x:c>
      <x:c r="D11" s="16" t="str">
        <x:v>Extrapolation</x:v>
      </x:c>
      <x:c r="E11" s="16" t="str">
        <x:v>P1</x:v>
      </x:c>
      <x:c r="F11" s="9" t="str">
        <x:v>Système original de production propre au module.</x:v>
      </x:c>
      <x:c r="G11" s="9" t="str">
        <x:v>Les sas et zones sont identifiés par pictogrammes et autorisations de fiction, sans valeurs physiques inventées.</x:v>
      </x:c>
      <x:c r="H11" s="9" t="str">
        <x:v>Les sas et zones sont identifiés par pictogrammes et autorisations de fiction, sans valeurs physiques inventées.</x:v>
      </x:c>
      <x:c r="I11" s="9" t="str">
        <x:v>État visible dans le HUD et le journal ; libellés complets, icônes non exclusives.</x:v>
      </x:c>
      <x:c r="J11" s="9" t="str">
        <x:v>Transitions rapides et possibilité de réduire les mouvements UI.</x:v>
      </x:c>
      <x:c r="K11" s="9" t="str">
        <x:v>Chaque changement critique possède un équivalent textuel ; pas de message sonore seul.</x:v>
      </x:c>
      <x:c r="L11" s="9" t="str">
        <x:v>systems/ann/environnements-differencies.ts prévu ; sauvegarde versionnée avec valeurs par défaut.</x:v>
      </x:c>
      <x:c r="M11" s="9" t="str">
        <x:v>Activé seulement dans ce module ; ne modifie pas les sauvegardes des jeux officiels.</x:v>
      </x:c>
      <x:c r="N11" s="9" t="str">
        <x:v>Chargement et reprise conservent l’état ; clavier et pointeur donnent le même résultat.</x:v>
      </x:c>
      <x:c r="O11" s="9" t="str"/>
      <x:c r="P11" s="9" t="str"/>
      <x:c r="Q11" s="9" t="str"/>
      <x:c r="R11" s="9" t="str"/>
      <x:c r="S11" s="9" t="str"/>
    </x:row>
    <x:row r="12" ht="54" customHeight="1">
      <x:c r="A12" s="19" t="str">
        <x:v>ANN-SYS-06</x:v>
      </x:c>
      <x:c r="B12" s="7" t="str">
        <x:v>Points de vue partagés</x:v>
      </x:c>
      <x:c r="C12" s="15" t="str">
        <x:v>Défini</x:v>
      </x:c>
      <x:c r="D12" s="17" t="str">
        <x:v>Extrapolation</x:v>
      </x:c>
      <x:c r="E12" s="17" t="str">
        <x:v>P1</x:v>
      </x:c>
      <x:c r="F12" s="7" t="str">
        <x:v>Système original de production propre au module.</x:v>
      </x:c>
      <x:c r="G12" s="7" t="str">
        <x:v>Changer de binôme rend visibles des compétences de lecture différentes ; les connaissances collectives restent tracées.</x:v>
      </x:c>
      <x:c r="H12" s="7" t="str">
        <x:v>Changer de binôme rend visibles des compétences de lecture différentes ; les connaissances collectives restent tracées.</x:v>
      </x:c>
      <x:c r="I12" s="7" t="str">
        <x:v>État visible dans le HUD et le journal ; libellés complets, icônes non exclusives.</x:v>
      </x:c>
      <x:c r="J12" s="7" t="str">
        <x:v>Transitions rapides et possibilité de réduire les mouvements UI.</x:v>
      </x:c>
      <x:c r="K12" s="7" t="str">
        <x:v>Chaque changement critique possède un équivalent textuel ; pas de message sonore seul.</x:v>
      </x:c>
      <x:c r="L12" s="7" t="str">
        <x:v>systems/ann/points-de-vue-partages.ts prévu ; sauvegarde versionnée avec valeurs par défaut.</x:v>
      </x:c>
      <x:c r="M12" s="7" t="str">
        <x:v>Activé seulement dans ce module ; ne modifie pas les sauvegardes des jeux officiels.</x:v>
      </x:c>
      <x:c r="N12" s="7" t="str">
        <x:v>Chargement et reprise conservent l’état ; clavier et pointeur donnent le même résultat.</x:v>
      </x:c>
      <x:c r="O12" s="7" t="str"/>
      <x:c r="P12" s="7" t="str"/>
      <x:c r="Q12" s="7" t="str"/>
      <x:c r="R12" s="7" t="str"/>
      <x:c r="S12" s="7" t="str"/>
    </x:row>
    <x:row r="13" ht="44" customHeight="1">
      <x:c r="A13" s="18" t="str">
        <x:v>ANN-SYS-07</x:v>
      </x:c>
      <x:c r="B13" s="9" t="str">
        <x:v>Vie commune</x:v>
      </x:c>
      <x:c r="C13" s="15" t="str">
        <x:v>Défini</x:v>
      </x:c>
      <x:c r="D13" s="16" t="str">
        <x:v>Extrapolation</x:v>
      </x:c>
      <x:c r="E13" s="16" t="str">
        <x:v>P1</x:v>
      </x:c>
      <x:c r="F13" s="9" t="str">
        <x:v>Système original de production propre au module.</x:v>
      </x:c>
      <x:c r="G13" s="9" t="str">
        <x:v>Objets personnels et culturels hors butin ; tâches de restitution facultatives avec résultat narratif local.</x:v>
      </x:c>
      <x:c r="H13" s="9" t="str">
        <x:v>Objets personnels et culturels hors butin ; tâches de restitution facultatives avec résultat narratif local.</x:v>
      </x:c>
      <x:c r="I13" s="9" t="str">
        <x:v>État visible dans le HUD et le journal ; libellés complets, icônes non exclusives.</x:v>
      </x:c>
      <x:c r="J13" s="9" t="str">
        <x:v>Transitions rapides et possibilité de réduire les mouvements UI.</x:v>
      </x:c>
      <x:c r="K13" s="9" t="str">
        <x:v>Chaque changement critique possède un équivalent textuel ; pas de message sonore seul.</x:v>
      </x:c>
      <x:c r="L13" s="9" t="str">
        <x:v>systems/ann/vie-commune.ts prévu ; sauvegarde versionnée avec valeurs par défaut.</x:v>
      </x:c>
      <x:c r="M13" s="9" t="str">
        <x:v>Activé seulement dans ce module ; ne modifie pas les sauvegardes des jeux officiels.</x:v>
      </x:c>
      <x:c r="N13" s="9" t="str">
        <x:v>Chargement et reprise conservent l’état ; clavier et pointeur donnent le même résultat.</x:v>
      </x:c>
      <x:c r="O13" s="9" t="str"/>
      <x:c r="P13" s="9" t="str"/>
      <x:c r="Q13" s="9" t="str"/>
      <x:c r="R13" s="9" t="str"/>
      <x:c r="S13" s="9" t="str"/>
    </x:row>
    <x:row r="14" ht="54" customHeight="1">
      <x:c r="A14" s="19" t="str">
        <x:v>ANN-SYS-08</x:v>
      </x:c>
      <x:c r="B14" s="7" t="str">
        <x:v>Savoir pendant le voyage</x:v>
      </x:c>
      <x:c r="C14" s="15" t="str">
        <x:v>Défini</x:v>
      </x:c>
      <x:c r="D14" s="17" t="str">
        <x:v>Extrapolation</x:v>
      </x:c>
      <x:c r="E14" s="17" t="str">
        <x:v>P1</x:v>
      </x:c>
      <x:c r="F14" s="7" t="str">
        <x:v>Système original de production propre au module.</x:v>
      </x:c>
      <x:c r="G14" s="7" t="str">
        <x:v>Le groupe ne possède pas les découvertes de Ryder ni une réponse certaine sur l’état du Nexus à destination.</x:v>
      </x:c>
      <x:c r="H14" s="7" t="str">
        <x:v>Le groupe ne possède pas les découvertes de Ryder ni une réponse certaine sur l’état du Nexus à destination.</x:v>
      </x:c>
      <x:c r="I14" s="7" t="str">
        <x:v>État visible dans le HUD et le journal ; libellés complets, icônes non exclusives.</x:v>
      </x:c>
      <x:c r="J14" s="7" t="str">
        <x:v>Transitions rapides et possibilité de réduire les mouvements UI.</x:v>
      </x:c>
      <x:c r="K14" s="7" t="str">
        <x:v>Chaque changement critique possède un équivalent textuel ; pas de message sonore seul.</x:v>
      </x:c>
      <x:c r="L14" s="7" t="str">
        <x:v>systems/ann/savoir-pendant-le-voyage.ts prévu ; sauvegarde versionnée avec valeurs par défaut.</x:v>
      </x:c>
      <x:c r="M14" s="7" t="str">
        <x:v>Activé seulement dans ce module ; ne modifie pas les sauvegardes des jeux officiels.</x:v>
      </x:c>
      <x:c r="N14" s="7" t="str">
        <x:v>Chargement et reprise conservent l’état ; clavier et pointeur donnent le même résultat.</x:v>
      </x:c>
      <x:c r="O14" s="7" t="str"/>
      <x:c r="P14" s="7" t="str"/>
      <x:c r="Q14" s="7" t="str"/>
      <x:c r="R14" s="7" t="str"/>
      <x:c r="S14" s="7" t="str"/>
    </x:row>
  </x:sheetData>
  <x:conditionalFormatting sqref="D7:D14">
    <x:cfRule type="cellIs" dxfId="92" priority="1" operator="equal">
      <x:formula>"À vérifier"</x:formula>
    </x:cfRule>
    <x:cfRule type="cellIs" dxfId="93" priority="2" operator="equal">
      <x:formula>"Extrapolation"</x:formula>
    </x:cfRule>
  </x:conditionalFormatting>
  <x:conditionalFormatting sqref="C7:C14">
    <x:cfRule type="cellIs" dxfId="94" priority="3" operator="equal">
      <x:formula>"Validé"</x:formula>
    </x:cfRule>
  </x:conditionalFormatting>
  <x:conditionalFormatting sqref="E7:E14">
    <x:cfRule type="cellIs" dxfId="9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c6dc4f3a357b4d61"/>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Andromeda: Annihilation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ANN-TST-WAKE</x:v>
      </x:c>
      <x:c r="B7" s="9" t="str">
        <x:v>Répartir les premières vérifications — scénario d’acceptation</x:v>
      </x:c>
      <x:c r="C7" s="15" t="str">
        <x:v>Défini</x:v>
      </x:c>
      <x:c r="D7" s="16" t="str">
        <x:v>Extrapolation</x:v>
      </x:c>
      <x:c r="E7" s="16" t="str">
        <x:v>P1</x:v>
      </x:c>
      <x:c r="F7" s="9" t="str">
        <x:v>Test de comportement spécifique à la mission proposée.</x:v>
      </x:c>
      <x:c r="G7" s="9" t="str">
        <x:v>Exécuter Répartir les premières vérifications avec la méthode la plus lente puis avec la méthode alternative.</x:v>
      </x:c>
      <x:c r="H7" s="9" t="str">
        <x:v>Contrôler les transitions de la règle suivante : Attribuer matériel, systèmes et témoignages à des binômes ; chaque binôme rapporte un fait et une question.</x:v>
      </x:c>
      <x:c r="I7" s="9" t="str">
        <x:v>Capturer le moment où la sortie devient valide et celui où le choix devient indisponible.</x:v>
      </x:c>
      <x:c r="J7" s="9" t="str">
        <x:v>Interrompre une action à son anticipation et une autre après son engagement.</x:v>
      </x:c>
      <x:c r="K7" s="9" t="str">
        <x:v>Rejouer sans son pour vérifier les informations essentielles.</x:v>
      </x:c>
      <x:c r="L7" s="9" t="str">
        <x:v>qa/ann/wake.md : état initial, actions, attendu, résultat, capture.</x:v>
      </x:c>
      <x:c r="M7" s="9" t="str">
        <x:v>Ne pas révéler le responsable avant l’étape validée du récit.</x:v>
      </x:c>
      <x:c r="N7" s="9" t="str">
        <x:v>Aucun blocage, récompense multiple, information future ou divergence entre pause ATB et temps normal.</x:v>
      </x:c>
      <x:c r="O7" s="9" t="str">
        <x:v>ANN-MIS-WAKE, ANN-CHO-WAKE, ANN-OPT-WAKE</x:v>
      </x:c>
      <x:c r="P7" s="9" t="str"/>
      <x:c r="Q7" s="9" t="str"/>
      <x:c r="R7" s="9" t="str"/>
      <x:c r="S7" s="9" t="str"/>
    </x:row>
    <x:row r="8" ht="54" customHeight="1">
      <x:c r="A8" s="19" t="str">
        <x:v>ANN-TST-CONFIRM</x:v>
      </x:c>
      <x:c r="B8" s="7" t="str">
        <x:v>Comparer affichage et présence — scénario d’acceptation</x:v>
      </x:c>
      <x:c r="C8" s="15" t="str">
        <x:v>Défini</x:v>
      </x:c>
      <x:c r="D8" s="17" t="str">
        <x:v>Extrapolation</x:v>
      </x:c>
      <x:c r="E8" s="17" t="str">
        <x:v>P1</x:v>
      </x:c>
      <x:c r="F8" s="7" t="str">
        <x:v>Test de comportement spécifique à la mission proposée.</x:v>
      </x:c>
      <x:c r="G8" s="7" t="str">
        <x:v>Exécuter Comparer affichage et présence avec la méthode la plus lente puis avec la méthode alternative.</x:v>
      </x:c>
      <x:c r="H8" s="7" t="str">
        <x:v>Contrôler les transitions de la règle suivante : Consigner le statut affiché, le constat et la source ; ne pas choisir au hasard une valeur.</x:v>
      </x:c>
      <x:c r="I8" s="7" t="str">
        <x:v>Capturer le moment où la sortie devient valide et celui où le choix devient indisponible.</x:v>
      </x:c>
      <x:c r="J8" s="7" t="str">
        <x:v>Interrompre une action à son anticipation et une autre après son engagement.</x:v>
      </x:c>
      <x:c r="K8" s="7" t="str">
        <x:v>Rejouer sans son pour vérifier les informations essentielles.</x:v>
      </x:c>
      <x:c r="L8" s="7" t="str">
        <x:v>qa/ann/confirm.md : état initial, actions, attendu, résultat, capture.</x:v>
      </x:c>
      <x:c r="M8" s="7" t="str">
        <x:v>Pas de simulation clinique réaliste ou récit détaillé des décès.</x:v>
      </x:c>
      <x:c r="N8" s="7" t="str">
        <x:v>Aucun blocage, récompense multiple, information future ou divergence entre pause ATB et temps normal.</x:v>
      </x:c>
      <x:c r="O8" s="7" t="str">
        <x:v>ANN-MIS-CONFIRM, ANN-CHO-CONFIRM, ANN-OPT-CONFIRM</x:v>
      </x:c>
      <x:c r="P8" s="7" t="str"/>
      <x:c r="Q8" s="7" t="str"/>
      <x:c r="R8" s="7" t="str"/>
      <x:c r="S8" s="7" t="str"/>
    </x:row>
    <x:row r="9" ht="54" customHeight="1">
      <x:c r="A9" s="18" t="str">
        <x:v>ANN-TST-MEASURE</x:v>
      </x:c>
      <x:c r="B9" s="9" t="str">
        <x:v>Obtenir une mesure indépendante — scénario d’acceptation</x:v>
      </x:c>
      <x:c r="C9" s="15" t="str">
        <x:v>Défini</x:v>
      </x:c>
      <x:c r="D9" s="16" t="str">
        <x:v>Extrapolation</x:v>
      </x:c>
      <x:c r="E9" s="16" t="str">
        <x:v>P1</x:v>
      </x:c>
      <x:c r="F9" s="9" t="str">
        <x:v>Test de comportement spécifique à la mission proposée.</x:v>
      </x:c>
      <x:c r="G9" s="9" t="str">
        <x:v>Exécuter Obtenir une mesure indépendante avec la méthode la plus lente puis avec la méthode alternative.</x:v>
      </x:c>
      <x:c r="H9" s="9" t="str">
        <x:v>Contrôler les transitions de la règle suivante : Combiner outil, alimentation et témoin neutre ; résultat qualitatif abstrait.</x:v>
      </x:c>
      <x:c r="I9" s="9" t="str">
        <x:v>Capturer le moment où la sortie devient valide et celui où le choix devient indisponible.</x:v>
      </x:c>
      <x:c r="J9" s="9" t="str">
        <x:v>Interrompre une action à son anticipation et une autre après son engagement.</x:v>
      </x:c>
      <x:c r="K9" s="9" t="str">
        <x:v>Rejouer sans son pour vérifier les informations essentielles.</x:v>
      </x:c>
      <x:c r="L9" s="9" t="str">
        <x:v>qa/ann/measure.md : état initial, actions, attendu, résultat, capture.</x:v>
      </x:c>
      <x:c r="M9" s="9" t="str">
        <x:v>Aucun dosage, culture de pathogène ou traitement réel.</x:v>
      </x:c>
      <x:c r="N9" s="9" t="str">
        <x:v>Aucun blocage, récompense multiple, information future ou divergence entre pause ATB et temps normal.</x:v>
      </x:c>
      <x:c r="O9" s="9" t="str">
        <x:v>ANN-MIS-MEASURE, ANN-CHO-MEASURE, ANN-OPT-MEASURE</x:v>
      </x:c>
      <x:c r="P9" s="9" t="str"/>
      <x:c r="Q9" s="9" t="str"/>
      <x:c r="R9" s="9" t="str"/>
      <x:c r="S9" s="9" t="str"/>
    </x:row>
    <x:row r="10" ht="44" customHeight="1">
      <x:c r="A10" s="19" t="str">
        <x:v>ANN-TST-RECOVER</x:v>
      </x:c>
      <x:c r="B10" s="7" t="str">
        <x:v>Retrouver un matériel déplacé — scénario d’acceptation</x:v>
      </x:c>
      <x:c r="C10" s="15" t="str">
        <x:v>Défini</x:v>
      </x:c>
      <x:c r="D10" s="17" t="str">
        <x:v>Extrapolation</x:v>
      </x:c>
      <x:c r="E10" s="17" t="str">
        <x:v>P1</x:v>
      </x:c>
      <x:c r="F10" s="7" t="str">
        <x:v>Test de comportement spécifique à la mission proposée.</x:v>
      </x:c>
      <x:c r="G10" s="7" t="str">
        <x:v>Exécuter Retrouver un matériel déplacé avec la méthode la plus lente puis avec la méthode alternative.</x:v>
      </x:c>
      <x:c r="H10" s="7" t="str">
        <x:v>Contrôler les transitions de la règle suivante : Comparer manifeste, marque de caisse et inventaire réel.</x:v>
      </x:c>
      <x:c r="I10" s="7" t="str">
        <x:v>Capturer le moment où la sortie devient valide et celui où le choix devient indisponible.</x:v>
      </x:c>
      <x:c r="J10" s="7" t="str">
        <x:v>Interrompre une action à son anticipation et une autre après son engagement.</x:v>
      </x:c>
      <x:c r="K10" s="7" t="str">
        <x:v>Rejouer sans son pour vérifier les informations essentielles.</x:v>
      </x:c>
      <x:c r="L10" s="7" t="str">
        <x:v>qa/ann/recover.md : état initial, actions, attendu, résultat, capture.</x:v>
      </x:c>
      <x:c r="M10" s="7" t="str">
        <x:v>Ne pas traiter l’espèce du détenteur comme indice de culpabilité.</x:v>
      </x:c>
      <x:c r="N10" s="7" t="str">
        <x:v>Aucun blocage, récompense multiple, information future ou divergence entre pause ATB et temps normal.</x:v>
      </x:c>
      <x:c r="O10" s="7" t="str">
        <x:v>ANN-MIS-RECOVER, ANN-CHO-RECOVER, ANN-OPT-RECOVER</x:v>
      </x:c>
      <x:c r="P10" s="7" t="str"/>
      <x:c r="Q10" s="7" t="str"/>
      <x:c r="R10" s="7" t="str"/>
      <x:c r="S10" s="7" t="str"/>
    </x:row>
    <x:row r="11" ht="54" customHeight="1">
      <x:c r="A11" s="18" t="str">
        <x:v>ANN-TST-RECONCILE</x:v>
      </x:c>
      <x:c r="B11" s="9" t="str">
        <x:v>Réconcilier deux états de système — scénario d’acceptation</x:v>
      </x:c>
      <x:c r="C11" s="15" t="str">
        <x:v>Défini</x:v>
      </x:c>
      <x:c r="D11" s="16" t="str">
        <x:v>Extrapolation</x:v>
      </x:c>
      <x:c r="E11" s="16" t="str">
        <x:v>P1</x:v>
      </x:c>
      <x:c r="F11" s="9" t="str">
        <x:v>Test de comportement spécifique à la mission proposée.</x:v>
      </x:c>
      <x:c r="G11" s="9" t="str">
        <x:v>Exécuter Réconcilier deux états de système avec la méthode la plus lente puis avec la méthode alternative.</x:v>
      </x:c>
      <x:c r="H11" s="9" t="str">
        <x:v>Contrôler les transitions de la règle suivante : Valider une commande depuis un poste distant puis depuis le secteur concerné.</x:v>
      </x:c>
      <x:c r="I11" s="9" t="str">
        <x:v>Capturer le moment où la sortie devient valide et celui où le choix devient indisponible.</x:v>
      </x:c>
      <x:c r="J11" s="9" t="str">
        <x:v>Interrompre une action à son anticipation et une autre après son engagement.</x:v>
      </x:c>
      <x:c r="K11" s="9" t="str">
        <x:v>Rejouer sans son pour vérifier les informations essentielles.</x:v>
      </x:c>
      <x:c r="L11" s="9" t="str">
        <x:v>qa/ann/reconcile.md : état initial, actions, attendu, résultat, capture.</x:v>
      </x:c>
      <x:c r="M11" s="9" t="str">
        <x:v>La réparation locale ne résout pas instantanément la maladie.</x:v>
      </x:c>
      <x:c r="N11" s="9" t="str">
        <x:v>Aucun blocage, récompense multiple, information future ou divergence entre pause ATB et temps normal.</x:v>
      </x:c>
      <x:c r="O11" s="9" t="str">
        <x:v>ANN-MIS-RECONCILE, ANN-CHO-RECONCILE, ANN-OPT-RECONCILE</x:v>
      </x:c>
      <x:c r="P11" s="9" t="str"/>
      <x:c r="Q11" s="9" t="str"/>
      <x:c r="R11" s="9" t="str"/>
      <x:c r="S11" s="9" t="str"/>
    </x:row>
    <x:row r="12" ht="54" customHeight="1">
      <x:c r="A12" s="19" t="str">
        <x:v>ANN-TST-QUESTION</x:v>
      </x:c>
      <x:c r="B12" s="7" t="str">
        <x:v>Conduire une demande d’explication — scénario d’acceptation</x:v>
      </x:c>
      <x:c r="C12" s="15" t="str">
        <x:v>Défini</x:v>
      </x:c>
      <x:c r="D12" s="17" t="str">
        <x:v>Extrapolation</x:v>
      </x:c>
      <x:c r="E12" s="17" t="str">
        <x:v>P1</x:v>
      </x:c>
      <x:c r="F12" s="7" t="str">
        <x:v>Test de comportement spécifique à la mission proposée.</x:v>
      </x:c>
      <x:c r="G12" s="7" t="str">
        <x:v>Exécuter Conduire une demande d’explication avec la méthode la plus lente puis avec la méthode alternative.</x:v>
      </x:c>
      <x:c r="H12" s="7" t="str">
        <x:v>Contrôler les transitions de la règle suivante : Présenter un constat précis, demander sa source et laisser une réponse être contestée.</x:v>
      </x:c>
      <x:c r="I12" s="7" t="str">
        <x:v>Capturer le moment où la sortie devient valide et celui où le choix devient indisponible.</x:v>
      </x:c>
      <x:c r="J12" s="7" t="str">
        <x:v>Interrompre une action à son anticipation et une autre après son engagement.</x:v>
      </x:c>
      <x:c r="K12" s="7" t="str">
        <x:v>Rejouer sans son pour vérifier les informations essentielles.</x:v>
      </x:c>
      <x:c r="L12" s="7" t="str">
        <x:v>qa/ann/question.md : état initial, actions, attendu, résultat, capture.</x:v>
      </x:c>
      <x:c r="M12" s="7" t="str">
        <x:v>Les responsabilités et sanctions du livre restent à relire avant intégration.</x:v>
      </x:c>
      <x:c r="N12" s="7" t="str">
        <x:v>Aucun blocage, récompense multiple, information future ou divergence entre pause ATB et temps normal.</x:v>
      </x:c>
      <x:c r="O12" s="7" t="str">
        <x:v>ANN-MIS-QUESTION, ANN-CHO-QUESTION, ANN-OPT-QUESTION</x:v>
      </x:c>
      <x:c r="P12" s="7" t="str"/>
      <x:c r="Q12" s="7" t="str"/>
      <x:c r="R12" s="7" t="str"/>
      <x:c r="S12" s="7" t="str"/>
    </x:row>
    <x:row r="13" ht="54" customHeight="1">
      <x:c r="A13" s="18" t="str">
        <x:v>ANN-TST-PROTECT</x:v>
      </x:c>
      <x:c r="B13" s="9" t="str">
        <x:v>Préserver les passagers éveillés — scénario d’acceptation</x:v>
      </x:c>
      <x:c r="C13" s="15" t="str">
        <x:v>Défini</x:v>
      </x:c>
      <x:c r="D13" s="16" t="str">
        <x:v>Extrapolation</x:v>
      </x:c>
      <x:c r="E13" s="16" t="str">
        <x:v>P1</x:v>
      </x:c>
      <x:c r="F13" s="9" t="str">
        <x:v>Test de comportement spécifique à la mission proposée.</x:v>
      </x:c>
      <x:c r="G13" s="9" t="str">
        <x:v>Exécuter Préserver les passagers éveillés avec la méthode la plus lente puis avec la méthode alternative.</x:v>
      </x:c>
      <x:c r="H13" s="9" t="str">
        <x:v>Contrôler les transitions de la règle suivante : Ouvrir chemins, calmer des points de blocage et distinguer malade et agresseur.</x:v>
      </x:c>
      <x:c r="I13" s="9" t="str">
        <x:v>Capturer le moment où la sortie devient valide et celui où le choix devient indisponible.</x:v>
      </x:c>
      <x:c r="J13" s="9" t="str">
        <x:v>Interrompre une action à son anticipation et une autre après son engagement.</x:v>
      </x:c>
      <x:c r="K13" s="9" t="str">
        <x:v>Rejouer sans son pour vérifier les informations essentielles.</x:v>
      </x:c>
      <x:c r="L13" s="9" t="str">
        <x:v>qa/ann/protect.md : état initial, actions, attendu, résultat, capture.</x:v>
      </x:c>
      <x:c r="M13" s="9" t="str">
        <x:v>Aucune faction ennemie fondée sur une espèce ou un symptôme.</x:v>
      </x:c>
      <x:c r="N13" s="9" t="str">
        <x:v>Aucun blocage, récompense multiple, information future ou divergence entre pause ATB et temps normal.</x:v>
      </x:c>
      <x:c r="O13" s="9" t="str">
        <x:v>ANN-MIS-PROTECT, ANN-CHO-PROTECT, ANN-OPT-PROTECT</x:v>
      </x:c>
      <x:c r="P13" s="9" t="str"/>
      <x:c r="Q13" s="9" t="str"/>
      <x:c r="R13" s="9" t="str"/>
      <x:c r="S13" s="9" t="str"/>
    </x:row>
    <x:row r="14" ht="54" customHeight="1">
      <x:c r="A14" s="19" t="str">
        <x:v>ANN-TST-STATE</x:v>
      </x:c>
      <x:c r="B14" s="7" t="str">
        <x:v>Consigner un état de voyage — scénario d’acceptation</x:v>
      </x:c>
      <x:c r="C14" s="15" t="str">
        <x:v>Défini</x:v>
      </x:c>
      <x:c r="D14" s="17" t="str">
        <x:v>Extrapolation</x:v>
      </x:c>
      <x:c r="E14" s="17" t="str">
        <x:v>P1</x:v>
      </x:c>
      <x:c r="F14" s="7" t="str">
        <x:v>Test de comportement spécifique à la mission proposée.</x:v>
      </x:c>
      <x:c r="G14" s="7" t="str">
        <x:v>Exécuter Consigner un état de voyage avec la méthode la plus lente puis avec la méthode alternative.</x:v>
      </x:c>
      <x:c r="H14" s="7" t="str">
        <x:v>Contrôler les transitions de la règle suivante : Valider intégrité locale, observations médicales abstraites et points encore incertains.</x:v>
      </x:c>
      <x:c r="I14" s="7" t="str">
        <x:v>Capturer le moment où la sortie devient valide et celui où le choix devient indisponible.</x:v>
      </x:c>
      <x:c r="J14" s="7" t="str">
        <x:v>Interrompre une action à son anticipation et une autre après son engagement.</x:v>
      </x:c>
      <x:c r="K14" s="7" t="str">
        <x:v>Rejouer sans son pour vérifier les informations essentielles.</x:v>
      </x:c>
      <x:c r="L14" s="7" t="str">
        <x:v>qa/ann/state.md : état initial, actions, attendu, résultat, capture.</x:v>
      </x:c>
      <x:c r="M14" s="7" t="str">
        <x:v>La suite vers Andromède n’est pas transformée en DLC officiel inventé.</x:v>
      </x:c>
      <x:c r="N14" s="7" t="str">
        <x:v>Aucun blocage, récompense multiple, information future ou divergence entre pause ATB et temps normal.</x:v>
      </x:c>
      <x:c r="O14" s="7" t="str">
        <x:v>ANN-MIS-STATE, ANN-CHO-STATE, ANN-OPT-STATE</x:v>
      </x:c>
      <x:c r="P14" s="7" t="str"/>
      <x:c r="Q14" s="7" t="str"/>
      <x:c r="R14" s="7" t="str"/>
      <x:c r="S14" s="7" t="str"/>
    </x:row>
    <x:row r="15" ht="82" customHeight="1">
      <x:c r="A15" s="18" t="str">
        <x:v>ANN-QA-SOURCES</x:v>
      </x:c>
      <x:c r="B15" s="9" t="str">
        <x:v>Provenance et non-substitution</x:v>
      </x:c>
      <x:c r="C15" s="15" t="str">
        <x:v>Défini</x:v>
      </x:c>
      <x:c r="D15" s="16" t="str">
        <x:v>Extrapolation</x:v>
      </x:c>
      <x:c r="E15" s="16" t="str">
        <x:v>P0</x:v>
      </x:c>
      <x:c r="F15" s="9" t="str">
        <x:v>Contrôle éditorial du catalogue de production.</x:v>
      </x:c>
      <x:c r="G15" s="9" t="str">
        <x:v>Comparer les seuls faits de référence avec les pages citées ; conserver toutes les mécaniques ajoutées comme Extrapolation.</x:v>
      </x:c>
      <x:c r="H15" s="9" t="str">
        <x:v>Vérifier qu’aucune fiche ne présente une statistique ATB comme une valeur du roman ou du film.</x:v>
      </x:c>
      <x:c r="I15" s="9" t="str"/>
      <x:c r="J15" s="9" t="str"/>
      <x:c r="K15" s="9" t="str"/>
      <x:c r="L15" s="9" t="str">
        <x:v>Filtrer ANN par nature puis sourceIds ; revue ciblée des éléments sans source.</x:v>
      </x:c>
      <x:c r="M15" s="9" t="str">
        <x:v>Préserver le mystère et l’issue du roman. La maladie ne transforme pas les espèces en bestiaire de zombies ; les procédures médicales restent fictives et abstraites. Aucun sauvetage par Ryder ni prolongement officiel de MEA n’est inventé.</x:v>
      </x:c>
      <x:c r="N15" s="9" t="str">
        <x:v>Sources accessibles ou limites tracées ; aucun long extrait, dialogue reproduit ou résumé continu substitutif.</x:v>
      </x:c>
      <x:c r="O15" s="9" t="str"/>
      <x:c r="P15" s="9" t="str"/>
      <x:c r="Q15" s="9" t="str"/>
      <x:c r="R15" s="9" t="str"/>
      <x:c r="S15" s="9" t="str"/>
    </x:row>
    <x:row r="16" ht="82" customHeight="1">
      <x:c r="A16" s="19" t="str">
        <x:v>ANN-QA-SAVE</x:v>
      </x:c>
      <x:c r="B16" s="7" t="str">
        <x:v>Reprise des états et du groupe</x:v>
      </x:c>
      <x:c r="C16" s="15" t="str">
        <x:v>Défini</x:v>
      </x:c>
      <x:c r="D16" s="17" t="str">
        <x:v>Extrapolation</x:v>
      </x:c>
      <x:c r="E16" s="17" t="str">
        <x:v>P0</x:v>
      </x:c>
      <x:c r="F16" s="7" t="str">
        <x:v>Contrôle de sauvegarde du module proposé.</x:v>
      </x:c>
      <x:c r="G16" s="7" t="str">
        <x:v>Sauver avant une transition, une option et une crise ; charger puis comparer les états de progression et de présence.</x:v>
      </x:c>
      <x:c r="H16" s="7" t="str">
        <x:v>Le coût d’action est appliqué exactement une fois ; les acteurs absents ne réapparaissent pas au chargement.</x:v>
      </x:c>
      <x:c r="I16" s="7" t="str"/>
      <x:c r="J16" s="7" t="str"/>
      <x:c r="K16" s="7" t="str"/>
      <x:c r="L16" s="7" t="str">
        <x:v>qa/ann/save-reload.md avec capture avant/après.</x:v>
      </x:c>
      <x:c r="M16" s="7" t="str">
        <x:v>Préserver le mystère et l’issue du roman. La maladie ne transforme pas les espèces en bestiaire de zombies ; les procédures médicales restent fictives et abstraites. Aucun sauvetage par Ryder ni prolongement officiel de MEA n’est inventé.</x:v>
      </x:c>
      <x:c r="N16" s="7" t="str">
        <x:v>Inventaire, acteurs disponibles, indices et limites de continuité restent identiques.</x:v>
      </x:c>
      <x:c r="O16" s="7" t="str"/>
      <x:c r="P16" s="7" t="str"/>
      <x:c r="Q16" s="7" t="str"/>
      <x:c r="R16" s="7" t="str"/>
      <x:c r="S16" s="7" t="str"/>
    </x:row>
    <x:row r="17" ht="54" customHeight="1">
      <x:c r="A17" s="18" t="str">
        <x:v>ANN-QA-VISUAL</x:v>
      </x:c>
      <x:c r="B17" s="9" t="str">
        <x:v>Lisibilité sprites 2D sur volumes 3D</x:v>
      </x:c>
      <x:c r="C17" s="15" t="str">
        <x:v>Défini</x:v>
      </x:c>
      <x:c r="D17" s="16" t="str">
        <x:v>Extrapolation</x:v>
      </x:c>
      <x:c r="E17" s="16" t="str">
        <x:v>P0</x:v>
      </x:c>
      <x:c r="F17" s="9" t="str">
        <x:v>Contrôle visuel de production du module.</x:v>
      </x:c>
      <x:c r="G17" s="9" t="str">
        <x:v>Photographier chaque carrefour et engagement avec effets actifs, puis répéter à petite résolution et sans couleur.</x:v>
      </x:c>
      <x:c r="H17" s="9" t="str">
        <x:v>La zone cliquable correspond aux pieds des sprites, jamais au sommet d’un décor.</x:v>
      </x:c>
      <x:c r="I17" s="9" t="str"/>
      <x:c r="J17" s="9" t="str"/>
      <x:c r="K17" s="9" t="str"/>
      <x:c r="L17" s="9" t="str">
        <x:v>qa/ann/readability/ : captures scènes et grille de comparaison.</x:v>
      </x:c>
      <x:c r="M17" s="9" t="str">
        <x:v>Validation sur les cartes de ce catalogue uniquement.</x:v>
      </x:c>
      <x:c r="N17" s="9" t="str">
        <x:v>Aucune occlusion totale du personnage actif ; les sorties et télégraphes restent compréhensibles.</x:v>
      </x:c>
      <x:c r="O17" s="9" t="str"/>
      <x:c r="P17" s="9" t="str"/>
      <x:c r="Q17" s="9" t="str"/>
      <x:c r="R17" s="9" t="str"/>
      <x:c r="S17" s="9" t="str"/>
    </x:row>
    <x:row r="18" ht="54" customHeight="1">
      <x:c r="A18" s="19" t="str">
        <x:v>ANN-QA-ACCESS</x:v>
      </x:c>
      <x:c r="B18" s="7" t="str">
        <x:v>Commandes, texte et effets accessibles</x:v>
      </x:c>
      <x:c r="C18" s="15" t="str">
        <x:v>Défini</x:v>
      </x:c>
      <x:c r="D18" s="17" t="str">
        <x:v>Extrapolation</x:v>
      </x:c>
      <x:c r="E18" s="17" t="str">
        <x:v>P1</x:v>
      </x:c>
      <x:c r="F18" s="7" t="str">
        <x:v>Contrôle fonctionnel des options proposées.</x:v>
      </x:c>
      <x:c r="G18" s="7" t="str">
        <x:v>Parcourir le module au clavier, avec sous-titres et effets réduits ; désactiver l’audio et tester les avertissements.</x:v>
      </x:c>
      <x:c r="H18" s="7" t="str">
        <x:v>La pause ATB permet de lire un choix ou un indice sans pénalité de temps.</x:v>
      </x:c>
      <x:c r="I18" s="7" t="str"/>
      <x:c r="J18" s="7" t="str"/>
      <x:c r="K18" s="7" t="str"/>
      <x:c r="L18" s="7" t="str">
        <x:v>qa/ann/accessibility.md ; cas de navigation, focus, contraste et interruption.</x:v>
      </x:c>
      <x:c r="M18" s="7" t="str">
        <x:v>Conserver les règles de présence narrative pendant tous les essais.</x:v>
      </x:c>
      <x:c r="N18" s="7" t="str">
        <x:v>Toute action essentielle est réalisable ; aucune information indispensable ne dépend du son ou de la seule couleur.</x:v>
      </x:c>
      <x:c r="O18" s="7" t="str"/>
      <x:c r="P18" s="7" t="str"/>
      <x:c r="Q18" s="7" t="str"/>
      <x:c r="R18" s="7" t="str"/>
      <x:c r="S18" s="7" t="str"/>
    </x:row>
  </x:sheetData>
  <x:conditionalFormatting sqref="D7:D18">
    <x:cfRule type="cellIs" dxfId="96" priority="1" operator="equal">
      <x:formula>"À vérifier"</x:formula>
    </x:cfRule>
    <x:cfRule type="cellIs" dxfId="97" priority="2" operator="equal">
      <x:formula>"Extrapolation"</x:formula>
    </x:cfRule>
  </x:conditionalFormatting>
  <x:conditionalFormatting sqref="C7:C18">
    <x:cfRule type="cellIs" dxfId="98" priority="3" operator="equal">
      <x:formula>"Validé"</x:formula>
    </x:cfRule>
  </x:conditionalFormatting>
  <x:conditionalFormatting sqref="E7:E18">
    <x:cfRule type="cellIs" dxfId="99"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e50a8ad05d8e40e7"/>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Andromeda: Annihilation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ANN-CON-01</x:v>
      </x:c>
      <x:c r="B7" s="9" t="str">
        <x:v>Publication finale</x:v>
      </x:c>
      <x:c r="C7" s="15" t="str">
        <x:v>Défini</x:v>
      </x:c>
      <x:c r="D7" s="16" t="str">
        <x:v>Établi</x:v>
      </x:c>
      <x:c r="E7" s="16" t="str">
        <x:v>P0</x:v>
      </x:c>
      <x:c r="F7" s="9" t="str">
        <x:v>Titan indique une publication le 6 novembre 2018 ; l’annonce BioWare de 2017 donnait une date prévue différente.</x:v>
      </x:c>
      <x:c r="G7" s="9" t="str">
        <x:v>Contrainte éditoriale : verrouiller les dépendances avant intégration du module.</x:v>
      </x:c>
      <x:c r="H7" s="9" t="str"/>
      <x:c r="I7" s="9" t="str"/>
      <x:c r="J7" s="9" t="str"/>
      <x:c r="K7" s="9" t="str"/>
      <x:c r="L7" s="9" t="str">
        <x:v>continuity/ann.json ; règle documentée et décision de validation datée.</x:v>
      </x:c>
      <x:c r="M7" s="9" t="str">
        <x:v>Préserver le mystère et l’issue du roman. La maladie ne transforme pas les espèces en bestiaire de zombies ; les procédures médicales restent fictives et abstraites. Aucun sauvetage par Ryder ni prolongement officiel de MEA n’est inventé.</x:v>
      </x:c>
      <x:c r="N7" s="9" t="str">
        <x:v>La règle est contrôlée dans les textes, cartes, choix et sauvegardes ; incertitude résolue ou affichée.</x:v>
      </x:c>
      <x:c r="O7" s="9" t="str"/>
      <x:c r="P7" s="9" t="str">
        <x:v>Limite de continuité / contrôle transversal</x:v>
      </x:c>
      <x:c r="Q7" s="9" t="str">
        <x:v>ANN-SRC-PUB</x:v>
      </x:c>
      <x:c r="R7" s="9" t="str">
        <x:v>https://titanbooks.com/8749-mass-effect-annihilation/</x:v>
      </x:c>
      <x:c r="S7" s="9" t="str">
        <x:v>Aucun numéro de chapitre ou de page n’est attribué sans exemplaire vérifié.</x:v>
      </x:c>
    </x:row>
    <x:row r="8" ht="82" customHeight="1">
      <x:c r="A8" s="19" t="str">
        <x:v>ANN-CON-02</x:v>
      </x:c>
      <x:c r="B8" s="7" t="str">
        <x:v>Passagers</x:v>
      </x:c>
      <x:c r="C8" s="15" t="str">
        <x:v>Défini</x:v>
      </x:c>
      <x:c r="D8" s="17" t="str">
        <x:v>Établi</x:v>
      </x:c>
      <x:c r="E8" s="17" t="str">
        <x:v>P0</x:v>
      </x:c>
      <x:c r="F8" s="7" t="str">
        <x:v>La présentation officielle mentionne vingt mille colons de plusieurs espèces ; les groupes de jeu ne représentent qu’un sous-ensemble proposé.</x:v>
      </x:c>
      <x:c r="G8" s="7" t="str">
        <x:v>Contrainte éditoriale : verrouiller les dépendances avant intégration du module.</x:v>
      </x:c>
      <x:c r="H8" s="7" t="str"/>
      <x:c r="I8" s="7" t="str"/>
      <x:c r="J8" s="7" t="str"/>
      <x:c r="K8" s="7" t="str"/>
      <x:c r="L8" s="7" t="str">
        <x:v>continuity/ann.json ; règle documentée et décision de validation datée.</x:v>
      </x:c>
      <x:c r="M8" s="7" t="str">
        <x:v>Préserver le mystère et l’issue du roman. La maladie ne transforme pas les espèces en bestiaire de zombies ; les procédures médicales restent fictives et abstraites. Aucun sauvetage par Ryder ni prolongement officiel de MEA n’est inventé.</x:v>
      </x:c>
      <x:c r="N8" s="7" t="str">
        <x:v>La règle est contrôlée dans les textes, cartes, choix et sauvegardes ; incertitude résolue ou affichée.</x:v>
      </x:c>
      <x:c r="O8" s="7" t="str"/>
      <x:c r="P8" s="7" t="str">
        <x:v>Limite de continuité / contrôle transversal</x:v>
      </x:c>
      <x:c r="Q8" s="7" t="str">
        <x:v>ANN-SRC-BW</x:v>
      </x:c>
      <x:c r="R8" s="7" t="str">
        <x:v>https://blog.bioware.com/2017/10/25/mass-effect-anihilation/</x:v>
      </x:c>
      <x:c r="S8" s="7" t="str">
        <x:v>Aucun numéro de chapitre ou de page n’est attribué sans exemplaire vérifié.</x:v>
      </x:c>
    </x:row>
    <x:row r="9" ht="82" customHeight="1">
      <x:c r="A9" s="18" t="str">
        <x:v>ANN-CON-03</x:v>
      </x:c>
      <x:c r="B9" s="9" t="str">
        <x:v>Avant l’arrivée</x:v>
      </x:c>
      <x:c r="C9" s="15" t="str">
        <x:v>Défini</x:v>
      </x:c>
      <x:c r="D9" s="16" t="str">
        <x:v>Établi</x:v>
      </x:c>
      <x:c r="E9" s="16" t="str">
        <x:v>P0</x:v>
      </x:c>
      <x:c r="F9" s="9" t="str">
        <x:v>La crise appartient au voyage de l’arche, pas à une exploration libre d’Héléus.</x:v>
      </x:c>
      <x:c r="G9" s="9" t="str">
        <x:v>Contrainte éditoriale : verrouiller les dépendances avant intégration du module.</x:v>
      </x:c>
      <x:c r="H9" s="9" t="str"/>
      <x:c r="I9" s="9" t="str"/>
      <x:c r="J9" s="9" t="str"/>
      <x:c r="K9" s="9" t="str"/>
      <x:c r="L9" s="9" t="str">
        <x:v>continuity/ann.json ; règle documentée et décision de validation datée.</x:v>
      </x:c>
      <x:c r="M9" s="9" t="str">
        <x:v>Préserver le mystère et l’issue du roman. La maladie ne transforme pas les espèces en bestiaire de zombies ; les procédures médicales restent fictives et abstraites. Aucun sauvetage par Ryder ni prolongement officiel de MEA n’est inventé.</x:v>
      </x:c>
      <x:c r="N9" s="9" t="str">
        <x:v>La règle est contrôlée dans les textes, cartes, choix et sauvegardes ; incertitude résolue ou affichée.</x:v>
      </x:c>
      <x:c r="O9" s="9" t="str"/>
      <x:c r="P9" s="9" t="str">
        <x:v>Limite de continuité / contrôle transversal</x:v>
      </x:c>
      <x:c r="Q9" s="9" t="str">
        <x:v>ANN-SRC-PUB</x:v>
      </x:c>
      <x:c r="R9" s="9" t="str">
        <x:v>https://titanbooks.com/8749-mass-effect-annihilation/</x:v>
      </x:c>
      <x:c r="S9" s="9" t="str">
        <x:v>Aucun numéro de chapitre ou de page n’est attribué sans exemplaire vérifié.</x:v>
      </x:c>
    </x:row>
    <x:row r="10" ht="82" customHeight="1">
      <x:c r="A10" s="19" t="str">
        <x:v>ANN-CON-04</x:v>
      </x:c>
      <x:c r="B10" s="7" t="str">
        <x:v>Biotique d’Anax</x:v>
      </x:c>
      <x:c r="C10" s="15" t="str">
        <x:v>Défini</x:v>
      </x:c>
      <x:c r="D10" s="17" t="str">
        <x:v>Établi</x:v>
      </x:c>
      <x:c r="E10" s="17" t="str">
        <x:v>P0</x:v>
      </x:c>
      <x:c r="F10" s="7" t="str">
        <x:v>Ses capacités sont attestées ; aucun nom de pouvoir de ME3 n’est automatiquement transposé.</x:v>
      </x:c>
      <x:c r="G10" s="7" t="str">
        <x:v>Contrainte éditoriale : verrouiller les dépendances avant intégration du module.</x:v>
      </x:c>
      <x:c r="H10" s="7" t="str"/>
      <x:c r="I10" s="7" t="str"/>
      <x:c r="J10" s="7" t="str"/>
      <x:c r="K10" s="7" t="str"/>
      <x:c r="L10" s="7" t="str">
        <x:v>continuity/ann.json ; règle documentée et décision de validation datée.</x:v>
      </x:c>
      <x:c r="M10" s="7" t="str">
        <x:v>Préserver le mystère et l’issue du roman. La maladie ne transforme pas les espèces en bestiaire de zombies ; les procédures médicales restent fictives et abstraites. Aucun sauvetage par Ryder ni prolongement officiel de MEA n’est inventé.</x:v>
      </x:c>
      <x:c r="N10" s="7" t="str">
        <x:v>La règle est contrôlée dans les textes, cartes, choix et sauvegardes ; incertitude résolue ou affichée.</x:v>
      </x:c>
      <x:c r="O10" s="7" t="str"/>
      <x:c r="P10" s="7" t="str">
        <x:v>Limite de continuité / contrôle transversal</x:v>
      </x:c>
      <x:c r="Q10" s="7" t="str">
        <x:v>ANN-SRC-ANAX</x:v>
      </x:c>
      <x:c r="R10" s="7" t="str">
        <x:v>https://masseffect.fandom.com/wiki/Anax_Therion</x:v>
      </x:c>
      <x:c r="S10" s="7" t="str">
        <x:v>Aucun numéro de chapitre ou de page n’est attribué sans exemplaire vérifié.</x:v>
      </x:c>
    </x:row>
    <x:row r="11" ht="82" customHeight="1">
      <x:c r="A11" s="18" t="str">
        <x:v>ANN-CON-05</x:v>
      </x:c>
      <x:c r="B11" s="9" t="str">
        <x:v>Croyances et responsabilité</x:v>
      </x:c>
      <x:c r="C11" s="15" t="str">
        <x:v>Défini</x:v>
      </x:c>
      <x:c r="D11" s="16" t="str">
        <x:v>Extrapolation</x:v>
      </x:c>
      <x:c r="E11" s="16" t="str">
        <x:v>P0</x:v>
      </x:c>
      <x:c r="F11" s="9" t="str">
        <x:v>Ne pas confondre appartenance religieuse, soupçon et responsabilité établie.</x:v>
      </x:c>
      <x:c r="G11" s="9" t="str">
        <x:v>Contrainte éditoriale : verrouiller les dépendances avant intégration du module.</x:v>
      </x:c>
      <x:c r="H11" s="9" t="str"/>
      <x:c r="I11" s="9" t="str"/>
      <x:c r="J11" s="9" t="str"/>
      <x:c r="K11" s="9" t="str"/>
      <x:c r="L11" s="9" t="str">
        <x:v>continuity/ann.json ; règle documentée et décision de validation datée.</x:v>
      </x:c>
      <x:c r="M11" s="9" t="str">
        <x:v>Préserver le mystère et l’issue du roman. La maladie ne transforme pas les espèces en bestiaire de zombies ; les procédures médicales restent fictives et abstraites. Aucun sauvetage par Ryder ni prolongement officiel de MEA n’est inventé.</x:v>
      </x:c>
      <x:c r="N11" s="9" t="str">
        <x:v>La règle est contrôlée dans les textes, cartes, choix et sauvegardes ; incertitude résolue ou affichée.</x:v>
      </x:c>
      <x:c r="O11" s="9" t="str"/>
      <x:c r="P11" s="9" t="str">
        <x:v>Limite de continuité / contrôle transversal</x:v>
      </x:c>
      <x:c r="Q11" s="9" t="str"/>
      <x:c r="R11" s="9" t="str"/>
      <x:c r="S11" s="9" t="str">
        <x:v>Aucun numéro de chapitre ou de page n’est attribué sans exemplaire vérifié.</x:v>
      </x:c>
    </x:row>
    <x:row r="12" ht="82" customHeight="1">
      <x:c r="A12" s="19" t="str">
        <x:v>ANN-CON-06</x:v>
      </x:c>
      <x:c r="B12" s="7" t="str">
        <x:v>Échantillons fictifs</x:v>
      </x:c>
      <x:c r="C12" s="15" t="str">
        <x:v>Défini</x:v>
      </x:c>
      <x:c r="D12" s="17" t="str">
        <x:v>Extrapolation</x:v>
      </x:c>
      <x:c r="E12" s="17" t="str">
        <x:v>P0</x:v>
      </x:c>
      <x:c r="F12" s="7" t="str">
        <x:v>Tous les puzzles médicaux restent abstraits et sans méthode de culture ou synthèse réelle.</x:v>
      </x:c>
      <x:c r="G12" s="7" t="str">
        <x:v>Contrainte éditoriale : verrouiller les dépendances avant intégration du module.</x:v>
      </x:c>
      <x:c r="H12" s="7" t="str"/>
      <x:c r="I12" s="7" t="str"/>
      <x:c r="J12" s="7" t="str"/>
      <x:c r="K12" s="7" t="str"/>
      <x:c r="L12" s="7" t="str">
        <x:v>continuity/ann.json ; règle documentée et décision de validation datée.</x:v>
      </x:c>
      <x:c r="M12" s="7" t="str">
        <x:v>Préserver le mystère et l’issue du roman. La maladie ne transforme pas les espèces en bestiaire de zombies ; les procédures médicales restent fictives et abstraites. Aucun sauvetage par Ryder ni prolongement officiel de MEA n’est inventé.</x:v>
      </x:c>
      <x:c r="N12" s="7" t="str">
        <x:v>La règle est contrôlée dans les textes, cartes, choix et sauvegardes ; incertitude résolue ou affichée.</x:v>
      </x:c>
      <x:c r="O12" s="7" t="str"/>
      <x:c r="P12" s="7" t="str">
        <x:v>Limite de continuité / contrôle transversal</x:v>
      </x:c>
      <x:c r="Q12" s="7" t="str"/>
      <x:c r="R12" s="7" t="str"/>
      <x:c r="S12" s="7" t="str">
        <x:v>Aucun numéro de chapitre ou de page n’est attribué sans exemplaire vérifié.</x:v>
      </x:c>
    </x:row>
    <x:row r="13" ht="82" customHeight="1">
      <x:c r="A13" s="18" t="str">
        <x:v>ANN-CON-07</x:v>
      </x:c>
      <x:c r="B13" s="9" t="str">
        <x:v>Ordre des révélations</x:v>
      </x:c>
      <x:c r="C13" s="15" t="str">
        <x:v>Défini</x:v>
      </x:c>
      <x:c r="D13" s="16" t="str">
        <x:v>À vérifier</x:v>
      </x:c>
      <x:c r="E13" s="16" t="str">
        <x:v>P0</x:v>
      </x:c>
      <x:c r="F13" s="9" t="str">
        <x:v>Valider dans le roman l’étape exacte où chaque responsabilité devient connue avant d’écrire la scène finale.</x:v>
      </x:c>
      <x:c r="G13" s="9" t="str">
        <x:v>Contrainte éditoriale : verrouiller les dépendances avant intégration du module.</x:v>
      </x:c>
      <x:c r="H13" s="9" t="str"/>
      <x:c r="I13" s="9" t="str"/>
      <x:c r="J13" s="9" t="str"/>
      <x:c r="K13" s="9" t="str"/>
      <x:c r="L13" s="9" t="str">
        <x:v>continuity/ann.json ; règle documentée et décision de validation datée.</x:v>
      </x:c>
      <x:c r="M13" s="9" t="str">
        <x:v>Préserver le mystère et l’issue du roman. La maladie ne transforme pas les espèces en bestiaire de zombies ; les procédures médicales restent fictives et abstraites. Aucun sauvetage par Ryder ni prolongement officiel de MEA n’est inventé.</x:v>
      </x:c>
      <x:c r="N13" s="9" t="str">
        <x:v>La règle est contrôlée dans les textes, cartes, choix et sauvegardes ; incertitude résolue ou affichée.</x:v>
      </x:c>
      <x:c r="O13" s="9" t="str"/>
      <x:c r="P13" s="9" t="str">
        <x:v>Limite de continuité / contrôle transversal</x:v>
      </x:c>
      <x:c r="Q13" s="9" t="str"/>
      <x:c r="R13" s="9" t="str"/>
      <x:c r="S13" s="9" t="str">
        <x:v>Aucun numéro de chapitre ou de page n’est attribué sans exemplaire vérifié.</x:v>
      </x:c>
    </x:row>
    <x:row r="14" ht="82" customHeight="1">
      <x:c r="A14" s="19" t="str">
        <x:v>ANN-CON-08</x:v>
      </x:c>
      <x:c r="B14" s="7" t="str">
        <x:v>Aucune suite officielle déduite</x:v>
      </x:c>
      <x:c r="C14" s="15" t="str">
        <x:v>Défini</x:v>
      </x:c>
      <x:c r="D14" s="17" t="str">
        <x:v>Extrapolation</x:v>
      </x:c>
      <x:c r="E14" s="17" t="str">
        <x:v>P0</x:v>
      </x:c>
      <x:c r="F14" s="7" t="str">
        <x:v>L’existence du roman ne démontre pas un DLC, une mission jouable ou une résolution complète future de l’arche.</x:v>
      </x:c>
      <x:c r="G14" s="7" t="str">
        <x:v>Contrainte éditoriale : verrouiller les dépendances avant intégration du module.</x:v>
      </x:c>
      <x:c r="H14" s="7" t="str"/>
      <x:c r="I14" s="7" t="str"/>
      <x:c r="J14" s="7" t="str"/>
      <x:c r="K14" s="7" t="str"/>
      <x:c r="L14" s="7" t="str">
        <x:v>continuity/ann.json ; règle documentée et décision de validation datée.</x:v>
      </x:c>
      <x:c r="M14" s="7" t="str">
        <x:v>Préserver le mystère et l’issue du roman. La maladie ne transforme pas les espèces en bestiaire de zombies ; les procédures médicales restent fictives et abstraites. Aucun sauvetage par Ryder ni prolongement officiel de MEA n’est inventé.</x:v>
      </x:c>
      <x:c r="N14" s="7" t="str">
        <x:v>La règle est contrôlée dans les textes, cartes, choix et sauvegardes ; incertitude résolue ou affichée.</x:v>
      </x:c>
      <x:c r="O14" s="7" t="str"/>
      <x:c r="P14" s="7" t="str">
        <x:v>Limite de continuité / contrôle transversal</x:v>
      </x:c>
      <x:c r="Q14" s="7" t="str"/>
      <x:c r="R14" s="7" t="str"/>
      <x:c r="S14" s="7" t="str">
        <x:v>Aucun numéro de chapitre ou de page n’est attribué sans exemplaire vérifié.</x:v>
      </x:c>
    </x:row>
  </x:sheetData>
  <x:conditionalFormatting sqref="D7:D14">
    <x:cfRule type="cellIs" dxfId="100" priority="1" operator="equal">
      <x:formula>"À vérifier"</x:formula>
    </x:cfRule>
    <x:cfRule type="cellIs" dxfId="101" priority="2" operator="equal">
      <x:formula>"Extrapolation"</x:formula>
    </x:cfRule>
  </x:conditionalFormatting>
  <x:conditionalFormatting sqref="C7:C14">
    <x:cfRule type="cellIs" dxfId="102" priority="3" operator="equal">
      <x:formula>"Validé"</x:formula>
    </x:cfRule>
  </x:conditionalFormatting>
  <x:conditionalFormatting sqref="E7:E14">
    <x:cfRule type="cellIs" dxfId="10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96a6e9e38b694dd6"/>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Andromeda: Annihilation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Andromeda: Annihilation</x:v>
      </x:c>
      <x:c r="C7" s="2"/>
      <x:c r="D7" s="2"/>
      <x:c r="E7" s="2"/>
      <x:c r="F7" s="2"/>
    </x:row>
    <x:row r="8" ht="30" customHeight="1">
      <x:c r="A8" s="7" t="str">
        <x:v>Support</x:v>
      </x:c>
      <x:c r="B8" s="7" t="str">
        <x:v>Roman</x:v>
      </x:c>
      <x:c r="C8" s="2"/>
      <x:c r="D8" s="2"/>
      <x:c r="E8" s="2"/>
      <x:c r="F8" s="2"/>
    </x:row>
    <x:row r="9" ht="40" customHeight="1">
      <x:c r="A9" s="7" t="str">
        <x:v>Périmètre</x:v>
      </x:c>
      <x:c r="B9" s="7" t="str">
        <x:v>Roman de Catherynne M. Valente ; crise multiespèce sur Keelah Si’yah pendant le voyage.</x:v>
      </x:c>
      <x:c r="C9" s="2"/>
      <x:c r="D9" s="2"/>
      <x:c r="E9" s="2"/>
      <x:c r="F9" s="2"/>
    </x:row>
    <x:row r="10" ht="54" customHeight="1">
      <x:c r="A10" s="7" t="str">
        <x:v>Projet</x:v>
      </x:c>
      <x:c r="B10" s="7" t="str">
        <x:v>161 fiches de production ; 4 fiches au stade Prototype de portée partielle. Les autres livrables restent des spécifications ; aucun achèvement intégral 1:1 revendiqué.</x:v>
      </x:c>
      <x:c r="C10" s="2"/>
      <x:c r="D10" s="2"/>
      <x:c r="E10" s="2"/>
      <x:c r="F10" s="2"/>
    </x:row>
    <x:row r="11" ht="124" customHeight="1">
      <x:c r="A11" s="7" t="str">
        <x:v>Références et limites</x:v>
      </x:c>
      <x:c r="B11" s="7" t="str">
        <x:v>Préserver le mystère et l’issue du roman. La maladie ne transforme pas les espèces en bestiaire de zombies ; les procédures médicales restent fictives et abstraites. Aucun sauvetage par Ryder ni prolongement officiel de MEA n’est inventé. Les données de gameplay, plans, choix, statistiques, sprites et sons sont des créations d’adaptation ; tous les ajouts jouables sont marqués Extrapolation. Sources consultées le 22 octobre 2026.</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ANN-SRC-PUB</x:v>
      </x:c>
      <x:c r="B27" s="6" t="str">
        <x:v>Titan Books — Annihilation</x:v>
      </x:c>
      <x:c r="C27" s="6" t="str">
        <x:v>source officielle</x:v>
      </x:c>
      <x:c r="D27" s="6" t="str">
        <x:v>https://titanbooks.com/8749-mass-effect-annihilation/</x:v>
      </x:c>
      <x:c r="E27" s="6" t="str">
        <x:v>Auteur, publication effective et prémisse</x:v>
      </x:c>
      <x:c r="F27" s="6" t="str">
        <x:v>Consulté le 22 octobre 2026. Faits courts uniquement ; la publication originale reste nécessaire pour contrôler les détails.</x:v>
      </x:c>
    </x:row>
    <x:row r="28" ht="42" customHeight="1">
      <x:c r="A28" s="6" t="str">
        <x:v>ANN-SRC-BW</x:v>
      </x:c>
      <x:c r="B28" s="6" t="str">
        <x:v>BioWare — annonce d’Annihilation</x:v>
      </x:c>
      <x:c r="C28" s="6" t="str">
        <x:v>source officielle</x:v>
      </x:c>
      <x:c r="D28" s="6" t="str">
        <x:v>https://blog.bioware.com/2017/10/25/mass-effect-anihilation/</x:v>
      </x:c>
      <x:c r="E28" s="6" t="str">
        <x:v>Arche, passagers et menace ; annonce de 2017</x:v>
      </x:c>
      <x:c r="F28" s="6" t="str">
        <x:v>Date prévue dans l’annonce différente de la publication finale indiquée par Titan ; conserver la distinction.</x:v>
      </x:c>
    </x:row>
    <x:row r="29" ht="54" customHeight="1">
      <x:c r="A29" s="6" t="str">
        <x:v>ANN-SRC-WIKI</x:v>
      </x:c>
      <x:c r="B29" s="6" t="str">
        <x:v>Mass Effect Wiki — Annihilation</x:v>
      </x:c>
      <x:c r="C29" s="6" t="str">
        <x:v>wiki</x:v>
      </x:c>
      <x:c r="D29" s="6" t="str">
        <x:v>https://masseffect.fandom.com/wiki/Mass_Effect_Andromeda:_Annihilation</x:v>
      </x:c>
      <x:c r="E29" s="6" t="str">
        <x:v>Bibliographie et crise à bord</x:v>
      </x:c>
      <x:c r="F29" s="6" t="str">
        <x:v>Consulté le 22 octobre 2026. Faits courts uniquement ; la publication originale reste nécessaire pour contrôler les détails.</x:v>
      </x:c>
    </x:row>
    <x:row r="30" ht="54" customHeight="1">
      <x:c r="A30" s="6" t="str">
        <x:v>ANN-SRC-SHIP</x:v>
      </x:c>
      <x:c r="B30" s="6" t="str">
        <x:v>Mass Effect Wiki — Keelah Si’yah</x:v>
      </x:c>
      <x:c r="C30" s="6" t="str">
        <x:v>wiki</x:v>
      </x:c>
      <x:c r="D30" s="6" t="str">
        <x:v>https://masseffect.fandom.com/wiki/Keelah_Si%27yah</x:v>
      </x:c>
      <x:c r="E30" s="6" t="str">
        <x:v>Équipe, espèces et décoration collective ; résultats indexés</x:v>
      </x:c>
      <x:c r="F30" s="6" t="str">
        <x:v>Consulté le 22 octobre 2026. Faits courts uniquement ; la publication originale reste nécessaire pour contrôler les détails.</x:v>
      </x:c>
    </x:row>
    <x:row r="31" ht="54" customHeight="1">
      <x:c r="A31" s="6" t="str">
        <x:v>ANN-SRC-SENNA</x:v>
      </x:c>
      <x:c r="B31" s="6" t="str">
        <x:v>Mass Effect Wiki — Senna’Nir</x:v>
      </x:c>
      <x:c r="C31" s="6" t="str">
        <x:v>wiki</x:v>
      </x:c>
      <x:c r="D31" s="6" t="str">
        <x:v>https://masseffect.fandom.com/wiki/Senna%27Nir_vas_Keelah_Si%27yah</x:v>
      </x:c>
      <x:c r="E31" s="6" t="str">
        <x:v>Chef d’équipe et investigation technique</x:v>
      </x:c>
      <x:c r="F31" s="6" t="str">
        <x:v>Consulté le 22 octobre 2026. Faits courts uniquement ; la publication originale reste nécessaire pour contrôler les détails.</x:v>
      </x:c>
    </x:row>
    <x:row r="32" ht="54" customHeight="1">
      <x:c r="A32" s="6" t="str">
        <x:v>ANN-SRC-ANAX</x:v>
      </x:c>
      <x:c r="B32" s="6" t="str">
        <x:v>Mass Effect Wiki — Anax Therion</x:v>
      </x:c>
      <x:c r="C32" s="6" t="str">
        <x:v>wiki</x:v>
      </x:c>
      <x:c r="D32" s="6" t="str">
        <x:v>https://masseffect.fandom.com/wiki/Anax_Therion</x:v>
      </x:c>
      <x:c r="E32" s="6" t="str">
        <x:v>Analyste drell, biotique et recherche de matériel</x:v>
      </x:c>
      <x:c r="F32" s="6" t="str">
        <x:v>Consulté le 22 octobre 2026. Faits courts uniquement ; la publication originale reste nécessaire pour contrôler les détails.</x:v>
      </x:c>
    </x:row>
    <x:row r="33" ht="54" customHeight="1">
      <x:c r="A33" s="6" t="str">
        <x:v>ANN-SRC-YORRIK</x:v>
      </x:c>
      <x:c r="B33" s="6" t="str">
        <x:v>Mass Effect Wiki — Yorrik</x:v>
      </x:c>
      <x:c r="C33" s="6" t="str">
        <x:v>wiki</x:v>
      </x:c>
      <x:c r="D33" s="6" t="str">
        <x:v>https://masseffect.fandom.com/wiki/Yorrik</x:v>
      </x:c>
      <x:c r="E33" s="6" t="str">
        <x:v>Médecin elcor et crise médicale</x:v>
      </x:c>
      <x:c r="F33" s="6" t="str">
        <x:v>Consulté le 22 octobre 2026. Faits courts uniquement ; la publication originale reste nécessaire pour contrôler les détails.</x:v>
      </x:c>
    </x:row>
    <x:row r="34" ht="54" customHeight="1">
      <x:c r="A34" s="6" t="str">
        <x:v>ANN-SRC-BORBALA</x:v>
      </x:c>
      <x:c r="B34" s="6" t="str">
        <x:v>Mass Effect Wiki — Borbala Ferank</x:v>
      </x:c>
      <x:c r="C34" s="6" t="str">
        <x:v>wiki</x:v>
      </x:c>
      <x:c r="D34" s="6" t="str">
        <x:v>https://masseffect.fandom.com/wiki/Borbala_Ferank</x:v>
      </x:c>
      <x:c r="E34" s="6" t="str">
        <x:v>Batarienne et membre de Blue-7</x:v>
      </x:c>
      <x:c r="F34" s="6" t="str">
        <x:v>Consulté le 22 octobre 2026. Faits courts uniquement ; la publication originale reste nécessaire pour contrôler les détails.</x:v>
      </x:c>
    </x:row>
    <x:row r="35" ht="54" customHeight="1">
      <x:c r="A35" s="6" t="str">
        <x:v>ANN-SRC-YSSES</x:v>
      </x:c>
      <x:c r="B35" s="6" t="str">
        <x:v>Mass Effect Wiki — Ysses</x:v>
      </x:c>
      <x:c r="C35" s="6" t="str">
        <x:v>wiki</x:v>
      </x:c>
      <x:c r="D35" s="6" t="str">
        <x:v>https://masseffect.fandom.com/wiki/Ysses</x:v>
      </x:c>
      <x:c r="E35" s="6" t="str">
        <x:v>Hanar, spécialité et travail avec Yorrik</x:v>
      </x:c>
      <x:c r="F35" s="6" t="str">
        <x:v>Consulté le 22 octobre 2026. Faits courts uniquement ; la publication originale reste nécessaire pour contrôler les détails.</x:v>
      </x:c>
    </x:row>
    <x:row r="36" ht="54" customHeight="1">
      <x:c r="A36" s="6" t="str">
        <x:v>ANN-SRC-IRIT</x:v>
      </x:c>
      <x:c r="B36" s="6" t="str">
        <x:v>Mass Effect Wiki — Irit Non</x:v>
      </x:c>
      <x:c r="C36" s="6" t="str">
        <x:v>wiki</x:v>
      </x:c>
      <x:c r="D36" s="6" t="str">
        <x:v>https://masseffect.fandom.com/wiki/Irit_Non</x:v>
      </x:c>
      <x:c r="E36" s="6" t="str">
        <x:v>Volus et investigation des systèmes</x:v>
      </x:c>
      <x:c r="F36" s="6" t="str">
        <x:v>Consulté le 22 octobre 2026. Faits courts uniquement ; la publication originale reste nécessaire pour contrôler les détails.</x:v>
      </x:c>
    </x:row>
    <x:row r="37" ht="54" customHeight="1">
      <x:c r="A37" s="6" t="str">
        <x:v>ANN-SRC-QETSI</x:v>
      </x:c>
      <x:c r="B37" s="6" t="str">
        <x:v>Mass Effect Wiki — Qetsi’Olam</x:v>
      </x:c>
      <x:c r="C37" s="6" t="str">
        <x:v>wiki</x:v>
      </x:c>
      <x:c r="D37" s="6" t="str">
        <x:v>https://masseffect.fandom.com/wiki/Qetsi%27Olam_vas_Keelah_Si%27yah</x:v>
      </x:c>
      <x:c r="E37" s="6" t="str">
        <x:v>Capitaine et état de sa combinaison ; résultats indexés</x:v>
      </x:c>
      <x:c r="F37" s="6" t="str">
        <x:v>Consulté le 22 octobre 2026. Faits courts uniquement ; la publication originale reste nécessaire pour contrôler les détails.</x:v>
      </x:c>
    </x:row>
    <x:row r="38" ht="54" customHeight="1">
      <x:c r="A38" s="6" t="str">
        <x:v>ANN-SRC-MALAK</x:v>
      </x:c>
      <x:c r="B38" s="6" t="str">
        <x:v>Mass Effect Wiki — Malak’Rafa</x:v>
      </x:c>
      <x:c r="C38" s="6" t="str">
        <x:v>wiki</x:v>
      </x:c>
      <x:c r="D38" s="6" t="str">
        <x:v>https://masseffect.fandom.com/wiki/Malak%27Rafa_vas_Keelah_Si%27yah</x:v>
      </x:c>
      <x:c r="E38" s="6" t="str">
        <x:v>Relations avec Senna et Qetsi ; résultats indexés</x:v>
      </x:c>
      <x:c r="F38" s="6" t="str">
        <x:v>Consulté le 22 octobre 2026. Faits courts uniquement ; la publication originale reste nécessaire pour contrôler les détails.</x:v>
      </x:c>
    </x:row>
    <x:row r="39" ht="54" customHeight="1">
      <x:c r="A39" s="6" t="str">
        <x:v>ANN-SRC-SOVAL</x:v>
      </x:c>
      <x:c r="B39" s="6" t="str">
        <x:v>Mass Effect Wiki — Soval Raxios</x:v>
      </x:c>
      <x:c r="C39" s="6" t="str">
        <x:v>wiki</x:v>
      </x:c>
      <x:c r="D39" s="6" t="str">
        <x:v>https://masseffect.fandom.com/wiki/Soval_Raxios</x:v>
      </x:c>
      <x:c r="E39" s="6" t="str">
        <x:v>Analyste drell, relations et contexte ; résultats indexés</x:v>
      </x:c>
      <x:c r="F39" s="6" t="str">
        <x:v>Consulté le 22 octobre 2026. Faits courts uniquement ; la publication originale reste nécessaire pour contrôler les détails.</x:v>
      </x:c>
    </x:row>
    <x:row r="40" ht="54" customHeight="1">
      <x:c r="A40" s="6" t="str">
        <x:v>ANN-SRC-PLAGUE</x:v>
      </x:c>
      <x:c r="B40" s="6" t="str">
        <x:v>Mass Effect Wiki — Fortinbras Plague</x:v>
      </x:c>
      <x:c r="C40" s="6" t="str">
        <x:v>wiki</x:v>
      </x:c>
      <x:c r="D40" s="6" t="str">
        <x:v>https://masseffect.fandom.com/wiki/Fortinbras_Plague</x:v>
      </x:c>
      <x:c r="E40" s="6" t="str">
        <x:v>Nom et enjeu du remède, sans détail biomédical reproduit</x:v>
      </x:c>
      <x:c r="F40" s="6" t="str">
        <x:v>Consulté le 22 octobre 2026. Faits courts uniquement ; la publication originale reste nécessaire pour contrôler les détails.</x:v>
      </x:c>
    </x:row>
    <x:row r="41" ht="54" customHeight="1">
      <x:c r="A41" s="6" t="str">
        <x:v>ANN-SRC-REVIEW</x:v>
      </x:c>
      <x:c r="B41" s="6" t="str">
        <x:v>Reactor — critique d’Annihilation</x:v>
      </x:c>
      <x:c r="C41" s="6" t="str">
        <x:v>presse</x:v>
      </x:c>
      <x:c r="D41" s="6" t="str">
        <x:v>https://reactormag.com/book-reviews-mass-effect-andromeda-annihilation-by-catherynne-m-valente/</x:v>
      </x:c>
      <x:c r="E41" s="6" t="str">
        <x:v>Rôles de Senna, Anax et Yorrik</x:v>
      </x:c>
      <x:c r="F41" s="6" t="str">
        <x:v>Consulté le 22 octobre 2026. Faits courts uniquement ; la publication originale reste nécessaire pour contrôler les détails.</x:v>
      </x:c>
    </x:row>
    <x:row r="42" ht="22" customHeight="1">
      <x:c r="A42" s="2"/>
      <x:c r="B42" s="2"/>
      <x:c r="C42" s="2"/>
      <x:c r="D42" s="2"/>
      <x:c r="E42" s="2"/>
      <x:c r="F42" s="2"/>
    </x:row>
    <x:row r="43" ht="22" customHeight="1">
      <x:c r="A43" s="2"/>
      <x:c r="B43" s="2"/>
      <x:c r="C43" s="2"/>
      <x:c r="D43" s="2"/>
      <x:c r="E43" s="2"/>
      <x:c r="F43" s="2"/>
    </x:row>
    <x:row r="44" ht="22" customHeight="1">
      <x:c r="A44" s="2"/>
      <x:c r="B44" s="2"/>
      <x:c r="C44" s="2"/>
      <x:c r="D44" s="2"/>
      <x:c r="E44" s="2"/>
      <x:c r="F44" s="2"/>
    </x:row>
    <x:row r="45" ht="34" customHeight="1">
      <x:c r="A45" s="28" t="str">
        <x:v>Domaine</x:v>
      </x:c>
      <x:c r="B45" s="29" t="str">
        <x:v>Couverture actuelle</x:v>
      </x:c>
      <x:c r="C45" s="30" t="str">
        <x:v>Travail restant</x:v>
      </x:c>
      <x:c r="D45" s="2"/>
      <x:c r="E45" s="2"/>
      <x:c r="F45" s="2"/>
    </x:row>
    <x:row r="46" ht="96" customHeight="1">
      <x:c r="A46" s="6" t="str">
        <x:v>Références canoniques</x:v>
      </x:c>
      <x:c r="B46" s="6" t="str">
        <x:v>Équipe Blue-7, passagers et capitaine de l’arche ; enquête originale de production autour de preuves, systèmes trompeurs et soins abstraits.</x:v>
      </x:c>
      <x:c r="C46" s="6" t="str">
        <x:v>Lecture intégrale nécessaire pour résoudre les responsabilités, décès, relations et ordre de révélation. Les fiches ne fournissent ni protocole médical, ni résumé exhaustif de l’enquête, ni fin jouable alternative.</x:v>
      </x:c>
      <x:c r="D46" s="2"/>
      <x:c r="E46" s="2"/>
      <x:c r="F46" s="2"/>
    </x:row>
    <x:row r="47" ht="68" customHeight="1">
      <x:c r="A47" s="6" t="str">
        <x:v>Personnages et direction artistique</x:v>
      </x:c>
      <x:c r="B47" s="6" t="str">
        <x:v>10 personnages/PNJ documentés, avec planches, poses et intentions de dialogues originales distinctes.</x:v>
      </x:c>
      <x:c r="C47" s="6" t="str">
        <x:v>Valider les costumes, accessoires et nuances de caractérisation avec un exemplaire légal de l’œuvre ; pour le film, établir une bible visuelle par visionnage.</x:v>
      </x:c>
      <x:c r="D47" s="2"/>
      <x:c r="E47" s="2"/>
      <x:c r="F47" s="2"/>
    </x:row>
    <x:row r="48" ht="54" customHeight="1">
      <x:c r="A48" s="6" t="str">
        <x:v>Cartes et progression</x:v>
      </x:c>
      <x:c r="B48" s="6" t="str">
        <x:v>8 cartes proposées, leurs kits et transitions ; 8 missions originales avec options, annexes, cinématiques et critères de test.</x:v>
      </x:c>
      <x:c r="C48" s="6" t="str">
        <x:v>Blockouts, distances, budgets mémoire et temps de parcours à mesurer ; aucune carte officielle n’est revendiquée.</x:v>
      </x:c>
      <x:c r="D48" s="2"/>
      <x:c r="E48" s="2"/>
      <x:c r="F48" s="2"/>
    </x:row>
    <x:row r="49" ht="68" customHeight="1">
      <x:c r="A49" s="6" t="str">
        <x:v>Combat, systèmes et médias</x:v>
      </x:c>
      <x:c r="B49" s="6" t="str">
        <x:v>4 rencontres proposées, movesets, VFX, actions alliées, interface, audio et sauvegarde.</x:v>
      </x:c>
      <x:c r="C49" s="6" t="str">
        <x:v>Prototype, équilibrage, réalisation des assets, doublage éventuel et tests encore à faire. Aucune ligne ne signifie que le fan game contient déjà cet élément.</x:v>
      </x:c>
      <x:c r="D49" s="2"/>
      <x:c r="E49" s="2"/>
      <x:c r="F49" s="2"/>
    </x:row>
    <x:row r="50" ht="68" customHeight="1">
      <x:c r="A50" s="6" t="str">
        <x:v>Accès aux pages demandées</x:v>
      </x:c>
      <x:c r="B50" s="6" t="str">
        <x:v>Page wiki demandée ouverte ; sources secondaires utilisées seulement pour les points visibles.</x:v>
      </x:c>
      <x:c r="C50" s="6" t="str">
        <x:v>Les extraits indexés ne remplacent pas une vérification de l’œuvre intégrale. Les traductions françaises des noms et titres restent à contrôler selon l’édition retenue.</x:v>
      </x:c>
      <x:c r="D50" s="2"/>
      <x:c r="E50" s="2"/>
      <x:c r="F50" s="2"/>
    </x:row>
    <x:row r="51" ht="96" customHeight="1">
      <x:c r="A51" s="6" t="str">
        <x:v>Complément pouvoirs, modules et lectures</x:v>
      </x:c>
      <x:c r="B51" s="6" t="str">
        <x:v>0 fiches de pouvoirs utilisées, 0 familles de modules préparables et 4 références consultables dans une lecture documentaire. Les chemins et preuves sont inscrits sur les seules lignes Prototype.</x:v>
      </x:c>
      <x:c r="C51" s="6" t="str">
        <x:v>Arbres et progression complets, modèles et rangs exacts, campagnes et dialogues intégraux, niveaux et ressources visuelles propres à l’œuvre restent à réaliser ou vérifier. Les références lues ne rendent pas leurs personnages jouables.</x:v>
      </x:c>
      <x:c r="D51" s="2"/>
      <x:c r="E51" s="2"/>
      <x:c r="F51" s="2"/>
    </x:row>
    <x:row r="52" ht="22" customHeight="1">
      <x:c r="A52" s="2"/>
      <x:c r="B52" s="2"/>
      <x:c r="C52" s="2"/>
      <x:c r="D52" s="2"/>
      <x:c r="E52" s="2"/>
      <x:c r="F52" s="2"/>
    </x:row>
    <x:row r="53" ht="22" customHeight="1">
      <x:c r="A53" s="2"/>
      <x:c r="B53" s="2"/>
      <x:c r="C53" s="2"/>
      <x:c r="D53" s="2"/>
      <x:c r="E53" s="2"/>
      <x:c r="F53" s="2"/>
    </x:row>
    <x:row r="54" ht="22" customHeight="1">
      <x:c r="A54" s="2"/>
      <x:c r="B54" s="2"/>
      <x:c r="C54" s="2"/>
      <x:c r="D54" s="2"/>
      <x:c r="E54" s="2"/>
      <x:c r="F54" s="2"/>
    </x:row>
    <x:row r="55" ht="22" customHeight="1">
      <x:c r="A55" s="2"/>
      <x:c r="B55" s="2"/>
      <x:c r="C55" s="2"/>
      <x:c r="D55" s="2"/>
      <x:c r="E55" s="2"/>
      <x:c r="F55" s="2"/>
    </x:row>
    <x:row r="56" ht="22" customHeight="1">
      <x:c r="A56" s="2"/>
      <x:c r="B56" s="2"/>
      <x:c r="C56" s="2"/>
      <x:c r="D56" s="2"/>
      <x:c r="E56" s="2"/>
      <x:c r="F56" s="2"/>
    </x:row>
    <x:row r="57" ht="22" customHeight="1">
      <x:c r="A57" s="2"/>
      <x:c r="B57" s="2"/>
      <x:c r="C57" s="2"/>
      <x:c r="D57" s="2"/>
      <x:c r="E57" s="2"/>
      <x:c r="F57" s="2"/>
    </x:row>
    <x:row r="58" ht="22" customHeight="1">
      <x:c r="A58" s="2"/>
      <x:c r="B58" s="2"/>
      <x:c r="C58" s="2"/>
      <x:c r="D58" s="2"/>
      <x:c r="E58" s="2"/>
      <x:c r="F58" s="2"/>
    </x:row>
    <x:row r="59" ht="22" customHeight="1">
      <x:c r="A59" s="2"/>
      <x:c r="B59" s="2"/>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sheetData>
  <x:pageMargins left="0.7" right="0.7" top="0.75" bottom="0.75" header="0.3" footer="0.3"/>
</x:worksheet>
</file>