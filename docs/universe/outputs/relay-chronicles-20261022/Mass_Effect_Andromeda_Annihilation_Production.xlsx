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ce3998344e14adc" /></Relationships>
</file>

<file path=xl/workbook.xml><?xml version="1.0" encoding="utf-8"?>
<x:workbook xmlns:x="http://schemas.openxmlformats.org/spreadsheetml/2006/main">
  <x:sheets>
    <x:sheet xmlns:r="http://schemas.openxmlformats.org/officeDocument/2006/relationships" name="Dashboard" sheetId="1" r:id="R6b4435ae41054f94"/>
    <x:sheet xmlns:r="http://schemas.openxmlformats.org/officeDocument/2006/relationships" name="Personnages" sheetId="2" r:id="R3487a3cabb984ecf"/>
    <x:sheet xmlns:r="http://schemas.openxmlformats.org/officeDocument/2006/relationships" name="PNJ" sheetId="3" r:id="Rd445bc60c1a645b5"/>
    <x:sheet xmlns:r="http://schemas.openxmlformats.org/officeDocument/2006/relationships" name="Especes_factions" sheetId="4" r:id="Rf965f4000e7649f8"/>
    <x:sheet xmlns:r="http://schemas.openxmlformats.org/officeDocument/2006/relationships" name="Mondes" sheetId="5" r:id="R6650c1877efe4f53"/>
    <x:sheet xmlns:r="http://schemas.openxmlformats.org/officeDocument/2006/relationships" name="Zones" sheetId="6" r:id="R3385cb7dcef0448b"/>
    <x:sheet xmlns:r="http://schemas.openxmlformats.org/officeDocument/2006/relationships" name="Liaisons" sheetId="7" r:id="R7692aebc395c4edf"/>
    <x:sheet xmlns:r="http://schemas.openxmlformats.org/officeDocument/2006/relationships" name="Decors" sheetId="8" r:id="R399a580e65434adc"/>
    <x:sheet xmlns:r="http://schemas.openxmlformats.org/officeDocument/2006/relationships" name="Props" sheetId="9" r:id="Ra1cf7ea4ee4e4547"/>
    <x:sheet xmlns:r="http://schemas.openxmlformats.org/officeDocument/2006/relationships" name="Ennemis_boss" sheetId="10" r:id="R30be9537d6e949de"/>
    <x:sheet xmlns:r="http://schemas.openxmlformats.org/officeDocument/2006/relationships" name="Missions" sheetId="11" r:id="R2e6fe4b3d27542ed"/>
    <x:sheet xmlns:r="http://schemas.openxmlformats.org/officeDocument/2006/relationships" name="Secondaires_DLC" sheetId="12" r:id="Rdb4de4488adf4c3a"/>
    <x:sheet xmlns:r="http://schemas.openxmlformats.org/officeDocument/2006/relationships" name="Choix_relations" sheetId="13" r:id="R7af951be785c43c9"/>
    <x:sheet xmlns:r="http://schemas.openxmlformats.org/officeDocument/2006/relationships" name="Dialogues" sheetId="14" r:id="Re39c7d6f4c324bc7"/>
    <x:sheet xmlns:r="http://schemas.openxmlformats.org/officeDocument/2006/relationships" name="Cinematiques" sheetId="15" r:id="Rf54dec1ce0e0424d"/>
    <x:sheet xmlns:r="http://schemas.openxmlformats.org/officeDocument/2006/relationships" name="Armes" sheetId="16" r:id="R3c60631a2a7140ac"/>
    <x:sheet xmlns:r="http://schemas.openxmlformats.org/officeDocument/2006/relationships" name="Armures_equipement" sheetId="17" r:id="R1696a6a36fdb4afb"/>
    <x:sheet xmlns:r="http://schemas.openxmlformats.org/officeDocument/2006/relationships" name="Pouvoirs" sheetId="18" r:id="R2cfb700204aa4692"/>
    <x:sheet xmlns:r="http://schemas.openxmlformats.org/officeDocument/2006/relationships" name="Movesets_allies" sheetId="19" r:id="Re2abd1646ea14ade"/>
    <x:sheet xmlns:r="http://schemas.openxmlformats.org/officeDocument/2006/relationships" name="Movesets_ennemis" sheetId="20" r:id="R92b1198f8a764b85"/>
    <x:sheet xmlns:r="http://schemas.openxmlformats.org/officeDocument/2006/relationships" name="Animations" sheetId="21" r:id="R7f31b7adb7024164"/>
    <x:sheet xmlns:r="http://schemas.openxmlformats.org/officeDocument/2006/relationships" name="Sprites" sheetId="22" r:id="Rdf5057bf4a5c4f8e"/>
    <x:sheet xmlns:r="http://schemas.openxmlformats.org/officeDocument/2006/relationships" name="VFX" sheetId="23" r:id="R2daf75b63c914b0c"/>
    <x:sheet xmlns:r="http://schemas.openxmlformats.org/officeDocument/2006/relationships" name="Audio" sheetId="24" r:id="R2590e20ea81f428b"/>
    <x:sheet xmlns:r="http://schemas.openxmlformats.org/officeDocument/2006/relationships" name="UI_systemes" sheetId="25" r:id="R9d99eff9760f4121"/>
    <x:sheet xmlns:r="http://schemas.openxmlformats.org/officeDocument/2006/relationships" name="QA" sheetId="26" r:id="Rfb60a30290494969"/>
    <x:sheet xmlns:r="http://schemas.openxmlformats.org/officeDocument/2006/relationships" name="Continuite" sheetId="27" r:id="R09e0ca2a157d4ac8"/>
    <x:sheet xmlns:r="http://schemas.openxmlformats.org/officeDocument/2006/relationships" name="Guide" sheetId="28" r:id="R1e583ae3bb28440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1c1a2d804002407f" /><Relationship Type="http://schemas.openxmlformats.org/officeDocument/2006/relationships/theme" Target="/xl/theme/theme1.xml" Id="R984f0d4fdb814567" /><Relationship Type="http://schemas.openxmlformats.org/officeDocument/2006/relationships/sharedStrings" Target="/xl/sharedStrings.xml" Id="Rf8b523656c7647b7" /><Relationship Type="http://schemas.openxmlformats.org/officeDocument/2006/relationships/worksheet" Target="/xl/worksheets/sheet1.xml" Id="R6b4435ae41054f94" /><Relationship Type="http://schemas.openxmlformats.org/officeDocument/2006/relationships/worksheet" Target="/xl/worksheets/sheet2.xml" Id="R3487a3cabb984ecf" /><Relationship Type="http://schemas.openxmlformats.org/officeDocument/2006/relationships/worksheet" Target="/xl/worksheets/sheet3.xml" Id="Rd445bc60c1a645b5" /><Relationship Type="http://schemas.openxmlformats.org/officeDocument/2006/relationships/worksheet" Target="/xl/worksheets/sheet4.xml" Id="Rf965f4000e7649f8" /><Relationship Type="http://schemas.openxmlformats.org/officeDocument/2006/relationships/worksheet" Target="/xl/worksheets/sheet5.xml" Id="R6650c1877efe4f53" /><Relationship Type="http://schemas.openxmlformats.org/officeDocument/2006/relationships/worksheet" Target="/xl/worksheets/sheet6.xml" Id="R3385cb7dcef0448b" /><Relationship Type="http://schemas.openxmlformats.org/officeDocument/2006/relationships/worksheet" Target="/xl/worksheets/sheet7.xml" Id="R7692aebc395c4edf" /><Relationship Type="http://schemas.openxmlformats.org/officeDocument/2006/relationships/worksheet" Target="/xl/worksheets/sheet8.xml" Id="R399a580e65434adc" /><Relationship Type="http://schemas.openxmlformats.org/officeDocument/2006/relationships/worksheet" Target="/xl/worksheets/sheet9.xml" Id="Ra1cf7ea4ee4e4547" /><Relationship Type="http://schemas.openxmlformats.org/officeDocument/2006/relationships/worksheet" Target="/xl/worksheets/sheet10.xml" Id="R30be9537d6e949de" /><Relationship Type="http://schemas.openxmlformats.org/officeDocument/2006/relationships/worksheet" Target="/xl/worksheets/sheet11.xml" Id="R2e6fe4b3d27542ed" /><Relationship Type="http://schemas.openxmlformats.org/officeDocument/2006/relationships/worksheet" Target="/xl/worksheets/sheet12.xml" Id="Rdb4de4488adf4c3a" /><Relationship Type="http://schemas.openxmlformats.org/officeDocument/2006/relationships/worksheet" Target="/xl/worksheets/sheet13.xml" Id="R7af951be785c43c9" /><Relationship Type="http://schemas.openxmlformats.org/officeDocument/2006/relationships/worksheet" Target="/xl/worksheets/sheet14.xml" Id="Re39c7d6f4c324bc7" /><Relationship Type="http://schemas.openxmlformats.org/officeDocument/2006/relationships/worksheet" Target="/xl/worksheets/sheet15.xml" Id="Rf54dec1ce0e0424d" /><Relationship Type="http://schemas.openxmlformats.org/officeDocument/2006/relationships/worksheet" Target="/xl/worksheets/sheet16.xml" Id="R3c60631a2a7140ac" /><Relationship Type="http://schemas.openxmlformats.org/officeDocument/2006/relationships/worksheet" Target="/xl/worksheets/sheet17.xml" Id="R1696a6a36fdb4afb" /><Relationship Type="http://schemas.openxmlformats.org/officeDocument/2006/relationships/worksheet" Target="/xl/worksheets/sheet18.xml" Id="R2cfb700204aa4692" /><Relationship Type="http://schemas.openxmlformats.org/officeDocument/2006/relationships/worksheet" Target="/xl/worksheets/sheet19.xml" Id="Re2abd1646ea14ade" /><Relationship Type="http://schemas.openxmlformats.org/officeDocument/2006/relationships/worksheet" Target="/xl/worksheets/sheet20.xml" Id="R92b1198f8a764b85" /><Relationship Type="http://schemas.openxmlformats.org/officeDocument/2006/relationships/worksheet" Target="/xl/worksheets/sheet21.xml" Id="R7f31b7adb7024164" /><Relationship Type="http://schemas.openxmlformats.org/officeDocument/2006/relationships/worksheet" Target="/xl/worksheets/sheet22.xml" Id="Rdf5057bf4a5c4f8e" /><Relationship Type="http://schemas.openxmlformats.org/officeDocument/2006/relationships/worksheet" Target="/xl/worksheets/sheet23.xml" Id="R2daf75b63c914b0c" /><Relationship Type="http://schemas.openxmlformats.org/officeDocument/2006/relationships/worksheet" Target="/xl/worksheets/sheet24.xml" Id="R2590e20ea81f428b" /><Relationship Type="http://schemas.openxmlformats.org/officeDocument/2006/relationships/worksheet" Target="/xl/worksheets/sheet25.xml" Id="R9d99eff9760f4121" /><Relationship Type="http://schemas.openxmlformats.org/officeDocument/2006/relationships/worksheet" Target="/xl/worksheets/sheet26.xml" Id="Rfb60a30290494969" /><Relationship Type="http://schemas.openxmlformats.org/officeDocument/2006/relationships/worksheet" Target="/xl/worksheets/sheet27.xml" Id="R09e0ca2a157d4ac8" /><Relationship Type="http://schemas.openxmlformats.org/officeDocument/2006/relationships/worksheet" Target="/xl/worksheets/sheet28.xml" Id="R1e583ae3bb284403" /></Relationships>
</file>

<file path=xl/tables/table1.xml><?xml version="1.0" encoding="utf-8"?>
<x:table xmlns:x="http://schemas.openxmlformats.org/spreadsheetml/2006/main" id="1" name="ANN_characters" displayName="ANN_character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ANN_npcs" displayName="ANN_npc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ANN_lore" displayName="ANN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ANN_worlds" displayName="ANN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ANN_zones" displayName="ANN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ANN_links" displayName="ANN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ANN_scenery" displayName="ANN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ANN_props" displayName="ANN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ANN_enemies" displayName="ANN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ANN_main_quests" displayName="ANN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ANN_side_quests" displayName="ANN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ANN_choices" displayName="ANN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ANN_dialogues" displayName="ANN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ANN_cinematics" displayName="ANN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ANN_weapons" displayName="ANN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ANN_equipment" displayName="ANN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ANN_powers" displayName="ANN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ANN_ally_moves" displayName="ANN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ANN_enemy_moves" displayName="ANN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ANN_animations" displayName="ANN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ANN_sprites" displayName="ANN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ANN_vfx" displayName="ANN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ANN_audio" displayName="ANN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ANN_systems" displayName="ANN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ANN_qa" displayName="ANN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ANN_continuity" displayName="ANN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fd8d95c045140f1" /></Relationships>
</file>

<file path=xl/worksheets/_rels/sheet3.xml.rels>&#65279;<?xml version="1.0" encoding="utf-8"?><Relationships xmlns="http://schemas.openxmlformats.org/package/2006/relationships"><Relationship Type="http://schemas.openxmlformats.org/officeDocument/2006/relationships/table" Target="/xl/tables/table2.xml" Id="Rf8d9e182f4ee4675" /></Relationships>
</file>

<file path=xl/worksheets/_rels/sheet4.xml.rels>&#65279;<?xml version="1.0" encoding="utf-8"?><Relationships xmlns="http://schemas.openxmlformats.org/package/2006/relationships"><Relationship Type="http://schemas.openxmlformats.org/officeDocument/2006/relationships/table" Target="/xl/tables/table3.xml" Id="R9f5f99d32cdd4189" /></Relationships>
</file>

<file path=xl/worksheets/_rels/sheet5.xml.rels>&#65279;<?xml version="1.0" encoding="utf-8"?><Relationships xmlns="http://schemas.openxmlformats.org/package/2006/relationships"><Relationship Type="http://schemas.openxmlformats.org/officeDocument/2006/relationships/table" Target="/xl/tables/table4.xml" Id="Rfd72ba105ff94960" /></Relationships>
</file>

<file path=xl/worksheets/_rels/sheet6.xml.rels>&#65279;<?xml version="1.0" encoding="utf-8"?><Relationships xmlns="http://schemas.openxmlformats.org/package/2006/relationships"><Relationship Type="http://schemas.openxmlformats.org/officeDocument/2006/relationships/table" Target="/xl/tables/table5.xml" Id="R41951f86d7884b46" /></Relationships>
</file>

<file path=xl/worksheets/_rels/sheet7.xml.rels>&#65279;<?xml version="1.0" encoding="utf-8"?><Relationships xmlns="http://schemas.openxmlformats.org/package/2006/relationships"><Relationship Type="http://schemas.openxmlformats.org/officeDocument/2006/relationships/table" Target="/xl/tables/table6.xml" Id="Ra2248a79cbe04427" /></Relationships>
</file>

<file path=xl/worksheets/_rels/sheet8.xml.rels>&#65279;<?xml version="1.0" encoding="utf-8"?><Relationships xmlns="http://schemas.openxmlformats.org/package/2006/relationships"><Relationship Type="http://schemas.openxmlformats.org/officeDocument/2006/relationships/table" Target="/xl/tables/table7.xml" Id="R8b272ffe31ad430a" /></Relationships>
</file>

<file path=xl/worksheets/_rels/sheet9.xml.rels>&#65279;<?xml version="1.0" encoding="utf-8"?><Relationships xmlns="http://schemas.openxmlformats.org/package/2006/relationships"><Relationship Type="http://schemas.openxmlformats.org/officeDocument/2006/relationships/table" Target="/xl/tables/table8.xml" Id="Ref5900b9099e4902" /></Relationships>
</file>

<file path=xl/worksheets/_rels/sheet10.xml.rels>&#65279;<?xml version="1.0" encoding="utf-8"?><Relationships xmlns="http://schemas.openxmlformats.org/package/2006/relationships"><Relationship Type="http://schemas.openxmlformats.org/officeDocument/2006/relationships/table" Target="/xl/tables/table9.xml" Id="R9ced8ff74c964f20" /></Relationships>
</file>

<file path=xl/worksheets/_rels/sheet11.xml.rels>&#65279;<?xml version="1.0" encoding="utf-8"?><Relationships xmlns="http://schemas.openxmlformats.org/package/2006/relationships"><Relationship Type="http://schemas.openxmlformats.org/officeDocument/2006/relationships/table" Target="/xl/tables/table10.xml" Id="R922684fc05cc4e25" /></Relationships>
</file>

<file path=xl/worksheets/_rels/sheet12.xml.rels>&#65279;<?xml version="1.0" encoding="utf-8"?><Relationships xmlns="http://schemas.openxmlformats.org/package/2006/relationships"><Relationship Type="http://schemas.openxmlformats.org/officeDocument/2006/relationships/table" Target="/xl/tables/table11.xml" Id="Rbfb6a8b7b15c424a" /></Relationships>
</file>

<file path=xl/worksheets/_rels/sheet13.xml.rels>&#65279;<?xml version="1.0" encoding="utf-8"?><Relationships xmlns="http://schemas.openxmlformats.org/package/2006/relationships"><Relationship Type="http://schemas.openxmlformats.org/officeDocument/2006/relationships/table" Target="/xl/tables/table12.xml" Id="R43823f330fca437f" /></Relationships>
</file>

<file path=xl/worksheets/_rels/sheet14.xml.rels>&#65279;<?xml version="1.0" encoding="utf-8"?><Relationships xmlns="http://schemas.openxmlformats.org/package/2006/relationships"><Relationship Type="http://schemas.openxmlformats.org/officeDocument/2006/relationships/table" Target="/xl/tables/table13.xml" Id="Rdfa7e3aedb444ee2" /></Relationships>
</file>

<file path=xl/worksheets/_rels/sheet15.xml.rels>&#65279;<?xml version="1.0" encoding="utf-8"?><Relationships xmlns="http://schemas.openxmlformats.org/package/2006/relationships"><Relationship Type="http://schemas.openxmlformats.org/officeDocument/2006/relationships/table" Target="/xl/tables/table14.xml" Id="Rf612317cefec40b3" /></Relationships>
</file>

<file path=xl/worksheets/_rels/sheet16.xml.rels>&#65279;<?xml version="1.0" encoding="utf-8"?><Relationships xmlns="http://schemas.openxmlformats.org/package/2006/relationships"><Relationship Type="http://schemas.openxmlformats.org/officeDocument/2006/relationships/table" Target="/xl/tables/table15.xml" Id="Rf785c76f96c74d65" /></Relationships>
</file>

<file path=xl/worksheets/_rels/sheet17.xml.rels>&#65279;<?xml version="1.0" encoding="utf-8"?><Relationships xmlns="http://schemas.openxmlformats.org/package/2006/relationships"><Relationship Type="http://schemas.openxmlformats.org/officeDocument/2006/relationships/table" Target="/xl/tables/table16.xml" Id="R1b70ab027ae84e44" /></Relationships>
</file>

<file path=xl/worksheets/_rels/sheet18.xml.rels>&#65279;<?xml version="1.0" encoding="utf-8"?><Relationships xmlns="http://schemas.openxmlformats.org/package/2006/relationships"><Relationship Type="http://schemas.openxmlformats.org/officeDocument/2006/relationships/table" Target="/xl/tables/table17.xml" Id="R18ce22abc7f84e08" /></Relationships>
</file>

<file path=xl/worksheets/_rels/sheet19.xml.rels>&#65279;<?xml version="1.0" encoding="utf-8"?><Relationships xmlns="http://schemas.openxmlformats.org/package/2006/relationships"><Relationship Type="http://schemas.openxmlformats.org/officeDocument/2006/relationships/table" Target="/xl/tables/table18.xml" Id="Re3af89cedbd04c96" /></Relationships>
</file>

<file path=xl/worksheets/_rels/sheet20.xml.rels>&#65279;<?xml version="1.0" encoding="utf-8"?><Relationships xmlns="http://schemas.openxmlformats.org/package/2006/relationships"><Relationship Type="http://schemas.openxmlformats.org/officeDocument/2006/relationships/table" Target="/xl/tables/table19.xml" Id="Rc2eda4e8bfc54ebd" /></Relationships>
</file>

<file path=xl/worksheets/_rels/sheet21.xml.rels>&#65279;<?xml version="1.0" encoding="utf-8"?><Relationships xmlns="http://schemas.openxmlformats.org/package/2006/relationships"><Relationship Type="http://schemas.openxmlformats.org/officeDocument/2006/relationships/table" Target="/xl/tables/table20.xml" Id="Red43d976e35041e9" /></Relationships>
</file>

<file path=xl/worksheets/_rels/sheet22.xml.rels>&#65279;<?xml version="1.0" encoding="utf-8"?><Relationships xmlns="http://schemas.openxmlformats.org/package/2006/relationships"><Relationship Type="http://schemas.openxmlformats.org/officeDocument/2006/relationships/table" Target="/xl/tables/table21.xml" Id="R1e6106eda2f84860" /></Relationships>
</file>

<file path=xl/worksheets/_rels/sheet23.xml.rels>&#65279;<?xml version="1.0" encoding="utf-8"?><Relationships xmlns="http://schemas.openxmlformats.org/package/2006/relationships"><Relationship Type="http://schemas.openxmlformats.org/officeDocument/2006/relationships/table" Target="/xl/tables/table22.xml" Id="R8fb2c62fe0334c4e" /></Relationships>
</file>

<file path=xl/worksheets/_rels/sheet24.xml.rels>&#65279;<?xml version="1.0" encoding="utf-8"?><Relationships xmlns="http://schemas.openxmlformats.org/package/2006/relationships"><Relationship Type="http://schemas.openxmlformats.org/officeDocument/2006/relationships/table" Target="/xl/tables/table23.xml" Id="Rfe98ecc8da3740c1" /></Relationships>
</file>

<file path=xl/worksheets/_rels/sheet25.xml.rels>&#65279;<?xml version="1.0" encoding="utf-8"?><Relationships xmlns="http://schemas.openxmlformats.org/package/2006/relationships"><Relationship Type="http://schemas.openxmlformats.org/officeDocument/2006/relationships/table" Target="/xl/tables/table24.xml" Id="R61dca373d75a4ab3" /></Relationships>
</file>

<file path=xl/worksheets/_rels/sheet26.xml.rels>&#65279;<?xml version="1.0" encoding="utf-8"?><Relationships xmlns="http://schemas.openxmlformats.org/package/2006/relationships"><Relationship Type="http://schemas.openxmlformats.org/officeDocument/2006/relationships/table" Target="/xl/tables/table25.xml" Id="Re3d0a5cbe5e34ea6" /></Relationships>
</file>

<file path=xl/worksheets/_rels/sheet27.xml.rels>&#65279;<?xml version="1.0" encoding="utf-8"?><Relationships xmlns="http://schemas.openxmlformats.org/package/2006/relationships"><Relationship Type="http://schemas.openxmlformats.org/officeDocument/2006/relationships/table" Target="/xl/tables/table26.xml" Id="Rf52591e72a5a4d27"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Annihilation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161</x:v>
      </x:c>
      <x:c r="C5" s="2"/>
      <x:c r="D5" s="2" t="str">
        <x:v>Intégrés</x:v>
      </x:c>
      <x:c r="E5" s="31" t="n">
        <x:f>SUM(E10:F35)</x:f>
        <x:v>0</x:v>
      </x:c>
      <x:c r="F5" s="2"/>
      <x:c r="G5" s="2" t="str">
        <x:v>À vérifier</x:v>
      </x:c>
      <x:c r="H5" s="31" t="n">
        <x:f>SUM(H10:H35)</x:f>
        <x:v>1</x:v>
      </x:c>
      <x:c r="I5" s="2"/>
      <x:c r="J5" s="2" t="str">
        <x:v>Extrapolations</x:v>
      </x:c>
      <x:c r="K5" s="31" t="n">
        <x:f>SUM(I10:I35)</x:f>
        <x:v>132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COUNTA('Personnages'!$A$7:$A$12)</x:f>
        <x:v>6</x:v>
      </x:c>
      <x:c r="C10" s="37" t="n">
        <x:f>COUNTIFS('Personnages'!$C$7:$C$12,"Défini")</x:f>
        <x:v>6</x:v>
      </x:c>
      <x:c r="D10" s="37" t="n">
        <x:f>COUNTIFS('Personnages'!$C$7:$C$12,"Prototype")</x:f>
        <x:v>0</x:v>
      </x:c>
      <x:c r="E10" s="37" t="n">
        <x:f>COUNTIFS('Personnages'!$C$7:$C$12,"Intégré")</x:f>
        <x:v>0</x:v>
      </x:c>
      <x:c r="F10" s="37" t="n">
        <x:f>COUNTIFS('Personnages'!$C$7:$C$12,"Validé")</x:f>
        <x:v>0</x:v>
      </x:c>
      <x:c r="G10" s="37" t="n">
        <x:f>COUNTIFS('Personnages'!$D$7:$D$12,"Établi")</x:f>
        <x:v>6</x:v>
      </x:c>
      <x:c r="H10" s="37" t="n">
        <x:f>COUNTIFS('Personnages'!$D$7:$D$12,"À vérifier")</x:f>
        <x:v>0</x:v>
      </x:c>
      <x:c r="I10" s="37" t="n">
        <x:f>COUNTIFS('Personnages'!$D$7:$D$12,"Extrapolation")</x:f>
        <x:v>0</x:v>
      </x:c>
      <x:c r="J10" s="37" t="n">
        <x:f>COUNTIFS('Personnages'!$D$7:$D$12,"Coupé attesté")</x:f>
        <x:v>0</x:v>
      </x:c>
      <x:c r="K10" s="37" t="n">
        <x:f>COUNTIFS('Personnages'!$D$7:$D$12,"Concept abandonné")</x:f>
        <x:v>0</x:v>
      </x:c>
      <x:c r="L10" s="37" t="n">
        <x:f>COUNTIFS('Personnages'!$D$7:$D$12,"Allégation écartée")</x:f>
        <x:v>0</x:v>
      </x:c>
      <x:c r="M10" s="37" t="n">
        <x:f>COUNTIFS('Personnages'!$E$7:$E$12,"P0")</x:f>
        <x:v>0</x:v>
      </x:c>
    </x:row>
    <x:row r="11" ht="22" customHeight="1">
      <x:c r="A11" s="2" t="str">
        <x:v>PNJ</x:v>
      </x:c>
      <x:c r="B11" s="38" t="n">
        <x:f>COUNTA('PNJ'!$A$7:$A$10)</x:f>
        <x:v>4</x:v>
      </x:c>
      <x:c r="C11" s="38" t="n">
        <x:f>COUNTIFS('PNJ'!$C$7:$C$10,"Défini")</x:f>
        <x:v>4</x:v>
      </x:c>
      <x:c r="D11" s="38" t="n">
        <x:f>COUNTIFS('PNJ'!$C$7:$C$10,"Prototype")</x:f>
        <x:v>0</x:v>
      </x:c>
      <x:c r="E11" s="38" t="n">
        <x:f>COUNTIFS('PNJ'!$C$7:$C$10,"Intégré")</x:f>
        <x:v>0</x:v>
      </x:c>
      <x:c r="F11" s="38" t="n">
        <x:f>COUNTIFS('PNJ'!$C$7:$C$10,"Validé")</x:f>
        <x:v>0</x:v>
      </x:c>
      <x:c r="G11" s="38" t="n">
        <x:f>COUNTIFS('PNJ'!$D$7:$D$10,"Établi")</x:f>
        <x:v>4</x:v>
      </x:c>
      <x:c r="H11" s="38" t="n">
        <x:f>COUNTIFS('PNJ'!$D$7:$D$10,"À vérifier")</x:f>
        <x:v>0</x:v>
      </x:c>
      <x:c r="I11" s="38" t="n">
        <x:f>COUNTIFS('PNJ'!$D$7:$D$10,"Extrapolation")</x:f>
        <x:v>0</x:v>
      </x:c>
      <x:c r="J11" s="38" t="n">
        <x:f>COUNTIFS('PNJ'!$D$7:$D$10,"Coupé attesté")</x:f>
        <x:v>0</x:v>
      </x:c>
      <x:c r="K11" s="38" t="n">
        <x:f>COUNTIFS('PNJ'!$D$7:$D$10,"Concept abandonné")</x:f>
        <x:v>0</x:v>
      </x:c>
      <x:c r="L11" s="38" t="n">
        <x:f>COUNTIFS('PNJ'!$D$7:$D$10,"Allégation écartée")</x:f>
        <x:v>0</x:v>
      </x:c>
      <x:c r="M11" s="38" t="n">
        <x:f>COUNTIFS('PNJ'!$E$7:$E$10,"P0")</x:f>
        <x:v>0</x:v>
      </x:c>
    </x:row>
    <x:row r="12" ht="22" customHeight="1">
      <x:c r="A12" s="33" t="str">
        <x:v>Espèces et factions</x:v>
      </x:c>
      <x:c r="B12" s="37" t="n">
        <x:f>COUNTA('Especes_factions'!$A$7:$A$13)</x:f>
        <x:v>7</x:v>
      </x:c>
      <x:c r="C12" s="37" t="n">
        <x:f>COUNTIFS('Especes_factions'!$C$7:$C$13,"Défini")</x:f>
        <x:v>5</x:v>
      </x:c>
      <x:c r="D12" s="37" t="n">
        <x:f>COUNTIFS('Especes_factions'!$C$7:$C$13,"Prototype")</x:f>
        <x:v>2</x:v>
      </x:c>
      <x:c r="E12" s="37" t="n">
        <x:f>COUNTIFS('Especes_factions'!$C$7:$C$13,"Intégré")</x:f>
        <x:v>0</x:v>
      </x:c>
      <x:c r="F12" s="37" t="n">
        <x:f>COUNTIFS('Especes_factions'!$C$7:$C$13,"Validé")</x:f>
        <x:v>0</x:v>
      </x:c>
      <x:c r="G12" s="37" t="n">
        <x:f>COUNTIFS('Especes_factions'!$D$7:$D$13,"Établi")</x:f>
        <x:v>7</x:v>
      </x:c>
      <x:c r="H12" s="37" t="n">
        <x:f>COUNTIFS('Especes_factions'!$D$7:$D$13,"À vérifier")</x:f>
        <x:v>0</x:v>
      </x:c>
      <x:c r="I12" s="37" t="n">
        <x:f>COUNTIFS('Especes_factions'!$D$7:$D$13,"Extrapolation")</x:f>
        <x:v>0</x:v>
      </x:c>
      <x:c r="J12" s="37" t="n">
        <x:f>COUNTIFS('Especes_factions'!$D$7:$D$13,"Coupé attesté")</x:f>
        <x:v>0</x:v>
      </x:c>
      <x:c r="K12" s="37" t="n">
        <x:f>COUNTIFS('Especes_factions'!$D$7:$D$13,"Concept abandonné")</x:f>
        <x:v>0</x:v>
      </x:c>
      <x:c r="L12" s="37" t="n">
        <x:f>COUNTIFS('Especes_factions'!$D$7:$D$13,"Allégation écartée")</x:f>
        <x:v>0</x:v>
      </x:c>
      <x:c r="M12" s="37" t="n">
        <x:f>COUNTIFS('Especes_factions'!$E$7:$E$13,"P0")</x:f>
        <x:v>0</x:v>
      </x:c>
    </x:row>
    <x:row r="13" ht="22" customHeight="1">
      <x:c r="A13" s="2" t="str">
        <x:v>Mondes</x:v>
      </x:c>
      <x:c r="B13" s="38" t="n">
        <x:f>COUNTA('Mondes'!$A$7:$A$8)</x:f>
        <x:v>2</x:v>
      </x:c>
      <x:c r="C13" s="38" t="n">
        <x:f>COUNTIFS('Mondes'!$C$7:$C$8,"Défini")</x:f>
        <x:v>0</x:v>
      </x:c>
      <x:c r="D13" s="38" t="n">
        <x:f>COUNTIFS('Mondes'!$C$7:$C$8,"Prototype")</x:f>
        <x:v>2</x:v>
      </x:c>
      <x:c r="E13" s="38" t="n">
        <x:f>COUNTIFS('Mondes'!$C$7:$C$8,"Intégré")</x:f>
        <x:v>0</x:v>
      </x:c>
      <x:c r="F13" s="38" t="n">
        <x:f>COUNTIFS('Mondes'!$C$7:$C$8,"Validé")</x:f>
        <x:v>0</x:v>
      </x:c>
      <x:c r="G13" s="38" t="n">
        <x:f>COUNTIFS('Mondes'!$D$7:$D$8,"Établi")</x:f>
        <x:v>2</x:v>
      </x:c>
      <x:c r="H13" s="38" t="n">
        <x:f>COUNTIFS('Mondes'!$D$7:$D$8,"À vérifier")</x:f>
        <x:v>0</x:v>
      </x:c>
      <x:c r="I13" s="38" t="n">
        <x:f>COUNTIFS('Mondes'!$D$7:$D$8,"Extrapolation")</x:f>
        <x:v>0</x:v>
      </x:c>
      <x:c r="J13" s="38" t="n">
        <x:f>COUNTIFS('Mondes'!$D$7:$D$8,"Coupé attesté")</x:f>
        <x:v>0</x:v>
      </x:c>
      <x:c r="K13" s="38" t="n">
        <x:f>COUNTIFS('Mondes'!$D$7:$D$8,"Concept abandonné")</x:f>
        <x:v>0</x:v>
      </x:c>
      <x:c r="L13" s="38" t="n">
        <x:f>COUNTIFS('Mondes'!$D$7:$D$8,"Allégation écartée")</x:f>
        <x:v>0</x:v>
      </x:c>
      <x:c r="M13" s="38" t="n">
        <x:f>COUNTIFS('Mondes'!$E$7:$E$8,"P0")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COUNTA('Props'!$A$7:$A$7)</x:f>
        <x:v>1</x:v>
      </x:c>
      <x:c r="C17" s="38" t="n">
        <x:f>COUNTIFS('Props'!$C$7:$C$7,"Défini")</x:f>
        <x:v>1</x:v>
      </x:c>
      <x:c r="D17" s="38" t="n">
        <x:f>COUNTIFS('Props'!$C$7:$C$7,"Prototype")</x:f>
        <x:v>0</x:v>
      </x:c>
      <x:c r="E17" s="38" t="n">
        <x:f>COUNTIFS('Props'!$C$7:$C$7,"Intégré")</x:f>
        <x:v>0</x:v>
      </x:c>
      <x:c r="F17" s="38" t="n">
        <x:f>COUNTIFS('Props'!$C$7:$C$7,"Validé")</x:f>
        <x:v>0</x:v>
      </x:c>
      <x:c r="G17" s="38" t="n">
        <x:f>COUNTIFS('Props'!$D$7:$D$7,"Établi")</x:f>
        <x:v>1</x:v>
      </x:c>
      <x:c r="H17" s="38" t="n">
        <x:f>COUNTIFS('Props'!$D$7:$D$7,"À vérifier")</x:f>
        <x:v>0</x:v>
      </x:c>
      <x:c r="I17" s="38" t="n">
        <x:f>COUNTIFS('Props'!$D$7:$D$7,"Extrapolation")</x:f>
        <x:v>0</x:v>
      </x:c>
      <x:c r="J17" s="38" t="n">
        <x:f>COUNTIFS('Props'!$D$7:$D$7,"Coupé attesté")</x:f>
        <x:v>0</x:v>
      </x:c>
      <x:c r="K17" s="38" t="n">
        <x:f>COUNTIFS('Props'!$D$7:$D$7,"Concept abandonné")</x:f>
        <x:v>0</x:v>
      </x:c>
      <x:c r="L17" s="38" t="n">
        <x:f>COUNTIFS('Props'!$D$7:$D$7,"Allégation écartée")</x:f>
        <x:v>0</x:v>
      </x:c>
      <x:c r="M17" s="38" t="n">
        <x:f>COUNTIFS('Props'!$E$7:$E$7,"P0")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COUNTA('Continuite'!$A$7:$A$14)</x:f>
        <x:v>8</x:v>
      </x:c>
      <x:c r="C35" s="38" t="n">
        <x:f>COUNTIFS('Continuite'!$C$7:$C$14,"Défini")</x:f>
        <x:v>8</x:v>
      </x:c>
      <x:c r="D35" s="38" t="n">
        <x:f>COUNTIFS('Continuite'!$C$7:$C$14,"Prototype")</x:f>
        <x:v>0</x:v>
      </x:c>
      <x:c r="E35" s="38" t="n">
        <x:f>COUNTIFS('Continuite'!$C$7:$C$14,"Intégré")</x:f>
        <x:v>0</x:v>
      </x:c>
      <x:c r="F35" s="38" t="n">
        <x:f>COUNTIFS('Continuite'!$C$7:$C$14,"Validé")</x:f>
        <x:v>0</x:v>
      </x:c>
      <x:c r="G35" s="38" t="n">
        <x:f>COUNTIFS('Continuite'!$D$7:$D$14,"Établi")</x:f>
        <x:v>4</x:v>
      </x:c>
      <x:c r="H35" s="38" t="n">
        <x:f>COUNTIFS('Continuite'!$D$7:$D$14,"À vérifier")</x:f>
        <x:v>1</x:v>
      </x:c>
      <x:c r="I35" s="38" t="n">
        <x:f>COUNTIFS('Continuite'!$D$7:$D$14,"Extrapolation")</x:f>
        <x:v>3</x:v>
      </x:c>
      <x:c r="J35" s="38" t="n">
        <x:f>COUNTIFS('Continuite'!$D$7:$D$14,"Coupé attesté")</x:f>
        <x:v>0</x:v>
      </x:c>
      <x:c r="K35" s="38" t="n">
        <x:f>COUNTIFS('Continuite'!$D$7:$D$14,"Concept abandonné")</x:f>
        <x:v>0</x:v>
      </x:c>
      <x:c r="L35" s="38" t="n">
        <x:f>COUNTIFS('Continuite'!$D$7:$D$14,"Allégation écartée")</x:f>
        <x:v>0</x:v>
      </x:c>
      <x:c r="M35" s="38" t="n">
        <x:f>COUNTIFS('Continuite'!$E$7:$E$14,"P0")</x:f>
        <x:v>8</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161</x:v>
      </x:c>
      <x:c r="C37" s="39" t="n">
        <x:f>SUM(C10:C35)</x:f>
        <x:v>157</x:v>
      </x:c>
      <x:c r="D37" s="39" t="n">
        <x:f>SUM(D10:D35)</x:f>
        <x:v>4</x:v>
      </x:c>
      <x:c r="E37" s="39" t="n">
        <x:f>SUM(E10:E35)</x:f>
        <x:v>0</x:v>
      </x:c>
      <x:c r="F37" s="39" t="n">
        <x:f>SUM(F10:F35)</x:f>
        <x:v>0</x:v>
      </x:c>
      <x:c r="G37" s="39" t="n">
        <x:f>SUM(G10:G35)</x:f>
        <x:v>28</x:v>
      </x:c>
      <x:c r="H37" s="39" t="n">
        <x:f>SUM(H10:H35)</x:f>
        <x:v>1</x:v>
      </x:c>
      <x:c r="I37" s="39" t="n">
        <x:f>SUM(I10:I35)</x:f>
        <x:v>132</x:v>
      </x:c>
      <x:c r="J37" s="39" t="n">
        <x:f>SUM(J10:J35)</x:f>
        <x:v>0</x:v>
      </x:c>
      <x:c r="K37" s="39" t="n">
        <x:f>SUM(K10:K35)</x:f>
        <x:v>0</x:v>
      </x:c>
      <x:c r="L37" s="39" t="n">
        <x:f>SUM(L10:L35)</x:f>
        <x:v>0</x:v>
      </x:c>
      <x:c r="M37" s="39"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Annihilation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ANN-CHR-SENNA</x:v>
      </x:c>
      <x:c r="B7" s="9" t="str">
        <x:v>Senna’Nir vas Keelah Si’yah</x:v>
      </x:c>
      <x:c r="C7" s="15" t="str">
        <x:v>Défini</x:v>
      </x:c>
      <x:c r="D7" s="16" t="str">
        <x:v>Établi</x:v>
      </x:c>
      <x:c r="E7" s="16" t="str">
        <x:v>P1</x:v>
      </x:c>
      <x:c r="F7" s="9" t="str">
        <x:v>Quarien responsable de l’équipe de maintenance Blue-7.</x:v>
      </x:c>
      <x:c r="G7" s="9" t="str">
        <x:v>Référence narrative ; proposition visuelle et interaction dans les fiches liées.</x:v>
      </x:c>
      <x:c r="H7" s="9" t="str"/>
      <x:c r="I7" s="9" t="str"/>
      <x:c r="J7" s="9" t="str"/>
      <x:c r="K7" s="9" t="str"/>
      <x:c r="L7" s="9" t="str">
        <x:v>Réserver actor.ann.senna ; rôle de référence : équipier.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ANN-SRC-SENNA</x:v>
      </x:c>
      <x:c r="R7" s="9" t="str">
        <x:v>https://masseffect.fandom.com/wiki/Senna%27Nir_vas_Keelah_Si%27yah</x:v>
      </x:c>
      <x:c r="S7" s="9" t="str">
        <x:v>Le costume proposé dans les fiches de production n’est pas un modèle officiel.</x:v>
      </x:c>
    </x:row>
    <x:row r="8" ht="82" customHeight="1">
      <x:c r="A8" s="19" t="str">
        <x:v>ANN-CHR-ANAX</x:v>
      </x:c>
      <x:c r="B8" s="7" t="str">
        <x:v>Anax Therion</x:v>
      </x:c>
      <x:c r="C8" s="15" t="str">
        <x:v>Défini</x:v>
      </x:c>
      <x:c r="D8" s="17" t="str">
        <x:v>Établi</x:v>
      </x:c>
      <x:c r="E8" s="17" t="str">
        <x:v>P1</x:v>
      </x:c>
      <x:c r="F8" s="7" t="str">
        <x:v>Analyste drell de Blue-7, également capable d’actions biotiques.</x:v>
      </x:c>
      <x:c r="G8" s="7" t="str">
        <x:v>Référence narrative ; proposition visuelle et interaction dans les fiches liées.</x:v>
      </x:c>
      <x:c r="H8" s="7" t="str"/>
      <x:c r="I8" s="7" t="str"/>
      <x:c r="J8" s="7" t="str"/>
      <x:c r="K8" s="7" t="str"/>
      <x:c r="L8" s="7" t="str">
        <x:v>Réserver actor.ann.anax ; rôle de référence : équipier.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ANN-SRC-ANAX</x:v>
      </x:c>
      <x:c r="R8" s="7" t="str">
        <x:v>https://masseffect.fandom.com/wiki/Anax_Therion</x:v>
      </x:c>
      <x:c r="S8" s="7" t="str">
        <x:v>Le costume proposé dans les fiches de production n’est pas un modèle officiel.</x:v>
      </x:c>
    </x:row>
    <x:row r="9" ht="82" customHeight="1">
      <x:c r="A9" s="18" t="str">
        <x:v>ANN-CHR-YORRIK</x:v>
      </x:c>
      <x:c r="B9" s="9" t="str">
        <x:v>Yorrik</x:v>
      </x:c>
      <x:c r="C9" s="15" t="str">
        <x:v>Défini</x:v>
      </x:c>
      <x:c r="D9" s="16" t="str">
        <x:v>Établi</x:v>
      </x:c>
      <x:c r="E9" s="16" t="str">
        <x:v>P1</x:v>
      </x:c>
      <x:c r="F9" s="9" t="str">
        <x:v>Elcor chargé de l’enjeu médical au sein de l’équipe.</x:v>
      </x:c>
      <x:c r="G9" s="9" t="str">
        <x:v>Référence narrative ; proposition visuelle et interaction dans les fiches liées.</x:v>
      </x:c>
      <x:c r="H9" s="9" t="str"/>
      <x:c r="I9" s="9" t="str"/>
      <x:c r="J9" s="9" t="str"/>
      <x:c r="K9" s="9" t="str"/>
      <x:c r="L9" s="9" t="str">
        <x:v>Réserver actor.ann.yorrik ; rôle de référence : équipier.</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ANN-SRC-YORRIK</x:v>
      </x:c>
      <x:c r="R9" s="9" t="str">
        <x:v>https://masseffect.fandom.com/wiki/Yorrik</x:v>
      </x:c>
      <x:c r="S9" s="9" t="str">
        <x:v>Le costume proposé dans les fiches de production n’est pas un modèle officiel.</x:v>
      </x:c>
    </x:row>
    <x:row r="10" ht="82" customHeight="1">
      <x:c r="A10" s="19" t="str">
        <x:v>ANN-CHR-BORBALA</x:v>
      </x:c>
      <x:c r="B10" s="7" t="str">
        <x:v>Borbala Ferank</x:v>
      </x:c>
      <x:c r="C10" s="15" t="str">
        <x:v>Défini</x:v>
      </x:c>
      <x:c r="D10" s="17" t="str">
        <x:v>Établi</x:v>
      </x:c>
      <x:c r="E10" s="17" t="str">
        <x:v>P1</x:v>
      </x:c>
      <x:c r="F10" s="7" t="str">
        <x:v>Batarienne de Blue-7, ancienne figure d’une famille criminelle.</x:v>
      </x:c>
      <x:c r="G10" s="7" t="str">
        <x:v>Référence narrative ; proposition visuelle et interaction dans les fiches liées.</x:v>
      </x:c>
      <x:c r="H10" s="7" t="str"/>
      <x:c r="I10" s="7" t="str"/>
      <x:c r="J10" s="7" t="str"/>
      <x:c r="K10" s="7" t="str"/>
      <x:c r="L10" s="7" t="str">
        <x:v>Réserver actor.ann.borbala ; rôle de référence : équipier.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ANN-SRC-BORBALA</x:v>
      </x:c>
      <x:c r="R10" s="7" t="str">
        <x:v>https://masseffect.fandom.com/wiki/Borbala_Ferank</x:v>
      </x:c>
      <x:c r="S10" s="7" t="str">
        <x:v>Le costume proposé dans les fiches de production n’est pas un modèle officiel.</x:v>
      </x:c>
    </x:row>
    <x:row r="11" ht="82" customHeight="1">
      <x:c r="A11" s="18" t="str">
        <x:v>ANN-CHR-IRIT</x:v>
      </x:c>
      <x:c r="B11" s="9" t="str">
        <x:v>Irit Non</x:v>
      </x:c>
      <x:c r="C11" s="15" t="str">
        <x:v>Défini</x:v>
      </x:c>
      <x:c r="D11" s="16" t="str">
        <x:v>Établi</x:v>
      </x:c>
      <x:c r="E11" s="16" t="str">
        <x:v>P1</x:v>
      </x:c>
      <x:c r="F11" s="9" t="str">
        <x:v>Volus de l’équipe qui participe au diagnostic des systèmes.</x:v>
      </x:c>
      <x:c r="G11" s="9" t="str">
        <x:v>Référence narrative ; proposition visuelle et interaction dans les fiches liées.</x:v>
      </x:c>
      <x:c r="H11" s="9" t="str"/>
      <x:c r="I11" s="9" t="str"/>
      <x:c r="J11" s="9" t="str"/>
      <x:c r="K11" s="9" t="str"/>
      <x:c r="L11" s="9" t="str">
        <x:v>Réserver actor.ann.irit ; rôle de référence : équipier.</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Nom, rôle et présence confirmés dans la source indiquée ; aucune compétence chiffrée déduite du roman.</x:v>
      </x:c>
      <x:c r="O11" s="9" t="str"/>
      <x:c r="P11" s="9" t="str">
        <x:v>Notice de personnage ou présentation de l’œuvre ; pas de chapitre attribué.</x:v>
      </x:c>
      <x:c r="Q11" s="9" t="str">
        <x:v>ANN-SRC-IRIT</x:v>
      </x:c>
      <x:c r="R11" s="9" t="str">
        <x:v>https://masseffect.fandom.com/wiki/Irit_Non</x:v>
      </x:c>
      <x:c r="S11" s="9" t="str">
        <x:v>Le costume proposé dans les fiches de production n’est pas un modèle officiel.</x:v>
      </x:c>
    </x:row>
    <x:row r="12" ht="82" customHeight="1">
      <x:c r="A12" s="19" t="str">
        <x:v>ANN-CHR-YSSES</x:v>
      </x:c>
      <x:c r="B12" s="7" t="str">
        <x:v>Ysses</x:v>
      </x:c>
      <x:c r="C12" s="15" t="str">
        <x:v>Défini</x:v>
      </x:c>
      <x:c r="D12" s="17" t="str">
        <x:v>Établi</x:v>
      </x:c>
      <x:c r="E12" s="17" t="str">
        <x:v>P1</x:v>
      </x:c>
      <x:c r="F12" s="7" t="str">
        <x:v>Apothicaire hanar de Blue-7, partenaire de travail de Yorrik.</x:v>
      </x:c>
      <x:c r="G12" s="7" t="str">
        <x:v>Référence narrative ; proposition visuelle et interaction dans les fiches liées.</x:v>
      </x:c>
      <x:c r="H12" s="7" t="str"/>
      <x:c r="I12" s="7" t="str"/>
      <x:c r="J12" s="7" t="str"/>
      <x:c r="K12" s="7" t="str"/>
      <x:c r="L12" s="7" t="str">
        <x:v>Réserver actor.ann.ysses ; rôle de référence : équipier.</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Nom, rôle et présence confirmés dans la source indiquée ; aucune compétence chiffrée déduite du roman.</x:v>
      </x:c>
      <x:c r="O12" s="7" t="str"/>
      <x:c r="P12" s="7" t="str">
        <x:v>Notice de personnage ou présentation de l’œuvre ; pas de chapitre attribué.</x:v>
      </x:c>
      <x:c r="Q12" s="7" t="str">
        <x:v>ANN-SRC-YSSES</x:v>
      </x:c>
      <x:c r="R12" s="7" t="str">
        <x:v>https://masseffect.fandom.com/wiki/Ysses</x:v>
      </x:c>
      <x:c r="S12" s="7" t="str">
        <x:v>Le costume proposé dans les fiches de production n’est pas un modèle officiel.</x:v>
      </x:c>
    </x:row>
  </x:sheetData>
  <x:conditionalFormatting sqref="D7:D12">
    <x:cfRule type="cellIs" dxfId="0" priority="1" operator="equal">
      <x:formula>"À vérifier"</x:formula>
    </x:cfRule>
    <x:cfRule type="cellIs" dxfId="1" priority="2" operator="equal">
      <x:formula>"Extrapolation"</x:formula>
    </x:cfRule>
  </x:conditionalFormatting>
  <x:conditionalFormatting sqref="C7:C12">
    <x:cfRule type="cellIs" dxfId="2" priority="3" operator="equal">
      <x:formula>"Validé"</x:formula>
    </x:cfRule>
  </x:conditionalFormatting>
  <x:conditionalFormatting sqref="E7:E12">
    <x:cfRule type="cellIs" dxfId="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5fd8d95c045140f1"/>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Annihilation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ANN-CHR-QETSI</x:v>
      </x:c>
      <x:c r="B7" s="9" t="str">
        <x:v>Qetsi’Olam vas Keelah Si’yah</x:v>
      </x:c>
      <x:c r="C7" s="15" t="str">
        <x:v>Défini</x:v>
      </x:c>
      <x:c r="D7" s="16" t="str">
        <x:v>Établi</x:v>
      </x:c>
      <x:c r="E7" s="16" t="str">
        <x:v>P1</x:v>
      </x:c>
      <x:c r="F7" s="9" t="str">
        <x:v>Capitaine de l’arche Keelah Si’yah.</x:v>
      </x:c>
      <x:c r="G7" s="9" t="str">
        <x:v>Référence narrative ; proposition visuelle et interaction dans les fiches liées.</x:v>
      </x:c>
      <x:c r="H7" s="9" t="str"/>
      <x:c r="I7" s="9" t="str"/>
      <x:c r="J7" s="9" t="str"/>
      <x:c r="K7" s="9" t="str"/>
      <x:c r="L7" s="9" t="str">
        <x:v>Réserver actor.ann.qetsi ; rôle de référence : interlocuteur.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ANN-SRC-QETSI</x:v>
      </x:c>
      <x:c r="R7" s="9" t="str">
        <x:v>https://masseffect.fandom.com/wiki/Qetsi%27Olam_vas_Keelah_Si%27yah</x:v>
      </x:c>
      <x:c r="S7" s="9" t="str">
        <x:v>Le costume proposé dans les fiches de production n’est pas un modèle officiel.</x:v>
      </x:c>
    </x:row>
    <x:row r="8" ht="82" customHeight="1">
      <x:c r="A8" s="19" t="str">
        <x:v>ANN-CHR-MALAK</x:v>
      </x:c>
      <x:c r="B8" s="7" t="str">
        <x:v>Malak’Rafa vas Keelah Si’yah</x:v>
      </x:c>
      <x:c r="C8" s="15" t="str">
        <x:v>Défini</x:v>
      </x:c>
      <x:c r="D8" s="17" t="str">
        <x:v>Établi</x:v>
      </x:c>
      <x:c r="E8" s="17" t="str">
        <x:v>P1</x:v>
      </x:c>
      <x:c r="F8" s="7" t="str">
        <x:v>Quarien lié à Senna et Qetsi dans le contexte de l’arche.</x:v>
      </x:c>
      <x:c r="G8" s="7" t="str">
        <x:v>Référence narrative ; proposition visuelle et interaction dans les fiches liées.</x:v>
      </x:c>
      <x:c r="H8" s="7" t="str"/>
      <x:c r="I8" s="7" t="str"/>
      <x:c r="J8" s="7" t="str"/>
      <x:c r="K8" s="7" t="str"/>
      <x:c r="L8" s="7" t="str">
        <x:v>Réserver actor.ann.malak ; rôle de référence : interlocuteur.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ANN-SRC-MALAK</x:v>
      </x:c>
      <x:c r="R8" s="7" t="str">
        <x:v>https://masseffect.fandom.com/wiki/Malak%27Rafa_vas_Keelah_Si%27yah</x:v>
      </x:c>
      <x:c r="S8" s="7" t="str">
        <x:v>Le costume proposé dans les fiches de production n’est pas un modèle officiel.</x:v>
      </x:c>
    </x:row>
    <x:row r="9" ht="82" customHeight="1">
      <x:c r="A9" s="18" t="str">
        <x:v>ANN-CHR-SOVAL</x:v>
      </x:c>
      <x:c r="B9" s="9" t="str">
        <x:v>Soval Raxios</x:v>
      </x:c>
      <x:c r="C9" s="15" t="str">
        <x:v>Défini</x:v>
      </x:c>
      <x:c r="D9" s="16" t="str">
        <x:v>Établi</x:v>
      </x:c>
      <x:c r="E9" s="16" t="str">
        <x:v>P1</x:v>
      </x:c>
      <x:c r="F9" s="9" t="str">
        <x:v>Analyste drell liée aux premiers constats de la crise.</x:v>
      </x:c>
      <x:c r="G9" s="9" t="str">
        <x:v>Référence narrative ; proposition visuelle et interaction dans les fiches liées.</x:v>
      </x:c>
      <x:c r="H9" s="9" t="str"/>
      <x:c r="I9" s="9" t="str"/>
      <x:c r="J9" s="9" t="str"/>
      <x:c r="K9" s="9" t="str"/>
      <x:c r="L9" s="9" t="str">
        <x:v>Réserver actor.ann.soval ; rôle de référence : référence.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ANN-SRC-SOVAL</x:v>
      </x:c>
      <x:c r="R9" s="9" t="str">
        <x:v>https://masseffect.fandom.com/wiki/Soval_Raxios</x:v>
      </x:c>
      <x:c r="S9" s="9" t="str">
        <x:v>Le costume proposé dans les fiches de production n’est pas un modèle officiel.</x:v>
      </x:c>
    </x:row>
    <x:row r="10" ht="82" customHeight="1">
      <x:c r="A10" s="19" t="str">
        <x:v>ANN-CHR-KHOLAI</x:v>
      </x:c>
      <x:c r="B10" s="7" t="str">
        <x:v>Kholai</x:v>
      </x:c>
      <x:c r="C10" s="15" t="str">
        <x:v>Défini</x:v>
      </x:c>
      <x:c r="D10" s="17" t="str">
        <x:v>Établi</x:v>
      </x:c>
      <x:c r="E10" s="17" t="str">
        <x:v>P1</x:v>
      </x:c>
      <x:c r="F10" s="7" t="str">
        <x:v>Figure religieuse hanar mentionnée dans la vie de l’arche.</x:v>
      </x:c>
      <x:c r="G10" s="7" t="str">
        <x:v>Référence narrative ; proposition visuelle et interaction dans les fiches liées.</x:v>
      </x:c>
      <x:c r="H10" s="7" t="str"/>
      <x:c r="I10" s="7" t="str"/>
      <x:c r="J10" s="7" t="str"/>
      <x:c r="K10" s="7" t="str"/>
      <x:c r="L10" s="7" t="str">
        <x:v>Réserver actor.ann.kholai ; rôle de référence : interlocuteur.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ANN-SRC-SHIP</x:v>
      </x:c>
      <x:c r="R10" s="7" t="str">
        <x:v>https://masseffect.fandom.com/wiki/Keelah_Si%27yah</x:v>
      </x:c>
      <x:c r="S10" s="7" t="str">
        <x:v>Le costume proposé dans les fiches de production n’est pas un modèle officiel.</x:v>
      </x:c>
    </x:row>
  </x:sheetData>
  <x:conditionalFormatting sqref="D7:D10">
    <x:cfRule type="cellIs" dxfId="4" priority="1" operator="equal">
      <x:formula>"À vérifier"</x:formula>
    </x:cfRule>
    <x:cfRule type="cellIs" dxfId="5" priority="2" operator="equal">
      <x:formula>"Extrapolation"</x:formula>
    </x:cfRule>
  </x:conditionalFormatting>
  <x:conditionalFormatting sqref="C7:C10">
    <x:cfRule type="cellIs" dxfId="6" priority="3" operator="equal">
      <x:formula>"Validé"</x:formula>
    </x:cfRule>
  </x:conditionalFormatting>
  <x:conditionalFormatting sqref="E7:E10">
    <x:cfRule type="cellIs" dxfId="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8d9e182f4ee4675"/>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Annihilation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ANN-REF-QUARIANS</x:v>
      </x:c>
      <x:c r="B7" s="9" t="str">
        <x:v>Quariens</x:v>
      </x:c>
      <x:c r="C7" s="15" t="str">
        <x:v>Défini</x:v>
      </x:c>
      <x:c r="D7" s="16" t="str">
        <x:v>Établi</x:v>
      </x:c>
      <x:c r="E7" s="16" t="str">
        <x:v>P1</x:v>
      </x:c>
      <x:c r="F7" s="9" t="str">
        <x:v>Ils font partie des passagers de l’arche.</x:v>
      </x:c>
      <x:c r="G7" s="9" t="str">
        <x:v>Ancrage documentaire du module ; aucune statistique officielle inférée.</x:v>
      </x:c>
      <x:c r="H7" s="9" t="str"/>
      <x:c r="I7" s="9" t="str"/>
      <x:c r="J7" s="9" t="str"/>
      <x:c r="K7" s="9" t="str"/>
      <x:c r="L7" s="9" t="str">
        <x:v>Codex ref.ann.quarians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x:v>
      </x:c>
    </x:row>
    <x:row r="8" ht="82" customHeight="1">
      <x:c r="A8" s="19" t="str">
        <x:v>ANN-REF-DRELL</x:v>
      </x:c>
      <x:c r="B8" s="7" t="str">
        <x:v>Drells</x:v>
      </x:c>
      <x:c r="C8" s="15" t="str">
        <x:v>Prototype</x:v>
      </x:c>
      <x:c r="D8" s="17" t="str">
        <x:v>Établi</x:v>
      </x:c>
      <x:c r="E8" s="17" t="str">
        <x:v>P1</x:v>
      </x:c>
      <x:c r="F8" s="7" t="str">
        <x:v>Des décès de Drells en cryostase révèlent la crise.</x:v>
      </x:c>
      <x:c r="G8" s="7" t="str">
        <x:v>Ancrage documentaire du module ; aucune statistique officielle inférée.</x:v>
      </x:c>
      <x:c r="H8" s="7" t="str"/>
      <x:c r="I8" s="7" t="str"/>
      <x:c r="J8" s="7" t="str"/>
      <x:c r="K8" s="7" t="str"/>
      <x:c r="L8" s="7" t="str">
        <x:v>Référence documentaire ANN-REF-DRELL consultable dans les lectures de src/chronicle-story.js, avec sources et progression séparée. Aucune scène, carte, animation ou incarnation de personnage n’est produite par cette fiche.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7" t="str">
        <x:v>https://titanbooks.com/8749-mass-effect-annihilation/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ANN-REF-ELCOR</x:v>
      </x:c>
      <x:c r="B9" s="9" t="str">
        <x:v>Elcors</x:v>
      </x:c>
      <x:c r="C9" s="15" t="str">
        <x:v>Défini</x:v>
      </x:c>
      <x:c r="D9" s="16" t="str">
        <x:v>Établi</x:v>
      </x:c>
      <x:c r="E9" s="16" t="str">
        <x:v>P1</x:v>
      </x:c>
      <x:c r="F9" s="9" t="str">
        <x:v>Yorrik représente une présence elcor au sein de Blue-7.</x:v>
      </x:c>
      <x:c r="G9" s="9" t="str">
        <x:v>Ancrage documentaire du module ; aucune statistique officielle inférée.</x:v>
      </x:c>
      <x:c r="H9" s="9" t="str"/>
      <x:c r="I9" s="9" t="str"/>
      <x:c r="J9" s="9" t="str"/>
      <x:c r="K9" s="9" t="str"/>
      <x:c r="L9" s="9" t="str">
        <x:v>Codex ref.ann.elcor ; affichage bref avec source.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ANN-SRC-YORRIK</x:v>
      </x:c>
      <x:c r="R9" s="9" t="str">
        <x:v>https://masseffect.fandom.com/wiki/Yorrik</x:v>
      </x:c>
      <x:c r="S9" s="9" t="str">
        <x:v>Ce relevé n’est ni un inventaire exhaustif ni un résumé scène par scène.</x:v>
      </x:c>
    </x:row>
    <x:row r="10" ht="82" customHeight="1">
      <x:c r="A10" s="19" t="str">
        <x:v>ANN-REF-BATARIAN</x:v>
      </x:c>
      <x:c r="B10" s="7" t="str">
        <x:v>Butariens</x:v>
      </x:c>
      <x:c r="C10" s="15" t="str">
        <x:v>Défini</x:v>
      </x:c>
      <x:c r="D10" s="17" t="str">
        <x:v>Établi</x:v>
      </x:c>
      <x:c r="E10" s="17" t="str">
        <x:v>P1</x:v>
      </x:c>
      <x:c r="F10" s="7" t="str">
        <x:v>Borbala fait partie des passagers et de l’équipe de maintenance.</x:v>
      </x:c>
      <x:c r="G10" s="7" t="str">
        <x:v>Ancrage documentaire du module ; aucune statistique officielle inférée.</x:v>
      </x:c>
      <x:c r="H10" s="7" t="str"/>
      <x:c r="I10" s="7" t="str"/>
      <x:c r="J10" s="7" t="str"/>
      <x:c r="K10" s="7" t="str"/>
      <x:c r="L10" s="7" t="str">
        <x:v>Codex ref.ann.batarian ; affichage bref avec source.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ANN-SRC-BORBALA</x:v>
      </x:c>
      <x:c r="R10" s="7" t="str">
        <x:v>https://masseffect.fandom.com/wiki/Borbala_Ferank</x:v>
      </x:c>
      <x:c r="S10" s="7" t="str">
        <x:v>Ce relevé n’est ni un inventaire exhaustif ni un résumé scène par scène.</x:v>
      </x:c>
    </x:row>
    <x:row r="11" ht="82" customHeight="1">
      <x:c r="A11" s="18" t="str">
        <x:v>ANN-REF-VOLUS</x:v>
      </x:c>
      <x:c r="B11" s="9" t="str">
        <x:v>Volus</x:v>
      </x:c>
      <x:c r="C11" s="15" t="str">
        <x:v>Défini</x:v>
      </x:c>
      <x:c r="D11" s="16" t="str">
        <x:v>Établi</x:v>
      </x:c>
      <x:c r="E11" s="16" t="str">
        <x:v>P1</x:v>
      </x:c>
      <x:c r="F11" s="9" t="str">
        <x:v>Irit Non appartient à cette espèce.</x:v>
      </x:c>
      <x:c r="G11" s="9" t="str">
        <x:v>Ancrage documentaire du module ; aucune statistique officielle inférée.</x:v>
      </x:c>
      <x:c r="H11" s="9" t="str"/>
      <x:c r="I11" s="9" t="str"/>
      <x:c r="J11" s="9" t="str"/>
      <x:c r="K11" s="9" t="str"/>
      <x:c r="L11" s="9" t="str">
        <x:v>Codex ref.ann.volus ; affichage bref avec source.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ANN-SRC-IRIT</x:v>
      </x:c>
      <x:c r="R11" s="9" t="str">
        <x:v>https://masseffect.fandom.com/wiki/Irit_Non</x:v>
      </x:c>
      <x:c r="S11" s="9" t="str">
        <x:v>Ce relevé n’est ni un inventaire exhaustif ni un résumé scène par scène.</x:v>
      </x:c>
    </x:row>
    <x:row r="12" ht="82" customHeight="1">
      <x:c r="A12" s="19" t="str">
        <x:v>ANN-REF-HANAR</x:v>
      </x:c>
      <x:c r="B12" s="7" t="str">
        <x:v>Hanaris</x:v>
      </x:c>
      <x:c r="C12" s="15" t="str">
        <x:v>Défini</x:v>
      </x:c>
      <x:c r="D12" s="17" t="str">
        <x:v>Établi</x:v>
      </x:c>
      <x:c r="E12" s="17" t="str">
        <x:v>P1</x:v>
      </x:c>
      <x:c r="F12" s="7" t="str">
        <x:v>Ysses est un spécialiste hanar.</x:v>
      </x:c>
      <x:c r="G12" s="7" t="str">
        <x:v>Ancrage documentaire du module ; aucune statistique officielle inférée.</x:v>
      </x:c>
      <x:c r="H12" s="7" t="str"/>
      <x:c r="I12" s="7" t="str"/>
      <x:c r="J12" s="7" t="str"/>
      <x:c r="K12" s="7" t="str"/>
      <x:c r="L12" s="7" t="str">
        <x:v>Codex ref.ann.hanar ; affichage bref avec source.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ANN-SRC-YSSES</x:v>
      </x:c>
      <x:c r="R12" s="7" t="str">
        <x:v>https://masseffect.fandom.com/wiki/Ysses</x:v>
      </x:c>
      <x:c r="S12" s="7" t="str">
        <x:v>Ce relevé n’est ni un inventaire exhaustif ni un résumé scène par scène.</x:v>
      </x:c>
    </x:row>
    <x:row r="13" ht="82" customHeight="1">
      <x:c r="A13" s="18" t="str">
        <x:v>ANN-REF-FORTINBRAS</x:v>
      </x:c>
      <x:c r="B13" s="9" t="str">
        <x:v>Maladie de Fortinbras</x:v>
      </x:c>
      <x:c r="C13" s="15" t="str">
        <x:v>Prototype</x:v>
      </x:c>
      <x:c r="D13" s="16" t="str">
        <x:v>Établi</x:v>
      </x:c>
      <x:c r="E13" s="16" t="str">
        <x:v>P1</x:v>
      </x:c>
      <x:c r="F13" s="9" t="str">
        <x:v>Le nom désigne la menace pathogène du roman.</x:v>
      </x:c>
      <x:c r="G13" s="9" t="str">
        <x:v>Ancrage documentaire du module ; aucune statistique officielle inférée.</x:v>
      </x:c>
      <x:c r="H13" s="9" t="str"/>
      <x:c r="I13" s="9" t="str"/>
      <x:c r="J13" s="9" t="str"/>
      <x:c r="K13" s="9" t="str"/>
      <x:c r="L13" s="9" t="str">
        <x:v>Référence documentaire ANN-REF-FORTINBRAS consultable dans les lectures de src/chronicle-story.js, avec sources et progression séparée. Aucune scène, carte, animation ou incarnation de personnage n’est produite par cette fiche.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ANN-SRC-PLAGUE</x:v>
      </x:c>
      <x:c r="R13" s="9" t="str">
        <x:v>https://masseffect.fandom.com/wiki/Fortinbras_Plague</x:v>
      </x:c>
      <x:c r="S13"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9f5f99d32cdd4189"/>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Annihilation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ANN-REF-ARK</x:v>
      </x:c>
      <x:c r="B7" s="9" t="str">
        <x:v>Keelah Si’yah</x:v>
      </x:c>
      <x:c r="C7" s="15" t="str">
        <x:v>Prototype</x:v>
      </x:c>
      <x:c r="D7" s="16" t="str">
        <x:v>Établi</x:v>
      </x:c>
      <x:c r="E7" s="16" t="str">
        <x:v>P1</x:v>
      </x:c>
      <x:c r="F7" s="9" t="str">
        <x:v>L’arche transporte plusieurs espèces vers Andromède.</x:v>
      </x:c>
      <x:c r="G7" s="9" t="str">
        <x:v>Ancrage documentaire du module ; aucune statistique officielle inférée.</x:v>
      </x:c>
      <x:c r="H7" s="9" t="str"/>
      <x:c r="I7" s="9" t="str"/>
      <x:c r="J7" s="9" t="str"/>
      <x:c r="K7" s="9" t="str"/>
      <x:c r="L7" s="9" t="str">
        <x:v>Référence documentaire ANN-REF-ARK consultable dans les lectures de src/chronicle-story.js, avec sources et progression séparée. Aucune scène, carte, animation ou incarnation de personnage n’est produite par cette fiche.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ANN-REF-DARKSPACE</x:v>
      </x:c>
      <x:c r="B8" s="7" t="str">
        <x:v>Voyage intergalactique</x:v>
      </x:c>
      <x:c r="C8" s="15" t="str">
        <x:v>Prototype</x:v>
      </x:c>
      <x:c r="D8" s="17" t="str">
        <x:v>Établi</x:v>
      </x:c>
      <x:c r="E8" s="17" t="str">
        <x:v>P1</x:v>
      </x:c>
      <x:c r="F8" s="7" t="str">
        <x:v>La crise survient pendant le trajet, avant l’arrivée à destination.</x:v>
      </x:c>
      <x:c r="G8" s="7" t="str">
        <x:v>Ancrage documentaire du module ; aucune statistique officielle inférée.</x:v>
      </x:c>
      <x:c r="H8" s="7" t="str"/>
      <x:c r="I8" s="7" t="str"/>
      <x:c r="J8" s="7" t="str"/>
      <x:c r="K8" s="7" t="str"/>
      <x:c r="L8" s="7" t="str">
        <x:v>Référence documentaire ANN-REF-DARKSPACE consultable dans les lectures de src/chronicle-story.js, avec sources et progression séparée. Aucune scène, carte, animation ou incarnation de personnage n’est produite par cette fiche.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7" t="str">
        <x:v>https://titanbooks.com/8749-mass-effect-annihilation/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d72ba105ff94960"/>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Annihilation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ANN-MAP-RADIAL</x:v>
      </x:c>
      <x:c r="B7" s="9" t="str">
        <x:v>Radial — hub proposé — carte proposée</x:v>
      </x:c>
      <x:c r="C7" s="15" t="str">
        <x:v>Défini</x:v>
      </x:c>
      <x:c r="D7" s="16" t="str">
        <x:v>Extrapolation</x:v>
      </x:c>
      <x:c r="E7" s="16" t="str">
        <x:v>P1</x:v>
      </x:c>
      <x:c r="F7" s="9" t="str">
        <x:v>Bloc de niveau original autour de Radial — hub proposé. Le plan n’est pas fourni par la source.</x:v>
      </x:c>
      <x:c r="G7" s="9" t="str">
        <x:v>Décor 3D à caméra fixe et personnages sprites. Centre commun, accès aux sections et table de répartition.</x:v>
      </x:c>
      <x:c r="H7" s="9" t="str">
        <x:v>Les informations des équipes doivent être rapprochées au hub. Les passages importants restent accessibles en mode pause tactique.</x:v>
      </x:c>
      <x:c r="I7" s="9" t="str">
        <x:v>Composition végétale centrale, signalétique multiespèce, éclairage incomplet. Séparer sol praticable, couvert et fond par valeur lumineuse.</x:v>
      </x:c>
      <x:c r="J7" s="9" t="str">
        <x:v>Occlusion douce des parois devant le groupe ; portes synchronisées avec les collisions.</x:v>
      </x:c>
      <x:c r="K7" s="9" t="str">
        <x:v>Ventilation, silence spatial et interactions multiespèces originales. Un signal directionnel accompagne le danger local, doublé par une icône.</x:v>
      </x:c>
      <x:c r="L7" s="9" t="str">
        <x:v>maps/ann/radial.scene ; navmesh, colliders, ancrages d’entrée et sorties nommés.</x:v>
      </x:c>
      <x:c r="M7" s="9" t="str">
        <x:v>L’architecture exacte n’est pas prétendue canonique.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ANN-MAP-PODS</x:v>
      </x:c>
      <x:c r="B8" s="7" t="str">
        <x:v>Section de capsules drell proposée — carte proposée</x:v>
      </x:c>
      <x:c r="C8" s="15" t="str">
        <x:v>Défini</x:v>
      </x:c>
      <x:c r="D8" s="17" t="str">
        <x:v>Extrapolation</x:v>
      </x:c>
      <x:c r="E8" s="17" t="str">
        <x:v>P1</x:v>
      </x:c>
      <x:c r="F8" s="7" t="str">
        <x:v>Bloc de niveau original autour de Section de capsules drell proposée. Le plan n’est pas fourni par la source.</x:v>
      </x:c>
      <x:c r="G8" s="7" t="str">
        <x:v>Décor 3D à caméra fixe et personnages sprites. Allées de capsules, poste local et sas.</x:v>
      </x:c>
      <x:c r="H8" s="7" t="str">
        <x:v>Le statut affiché doit être confirmé par un constat distinct. Les passages importants restent accessibles en mode pause tactique.</x:v>
      </x:c>
      <x:c r="I8" s="7" t="str">
        <x:v>Lumière basse, écrans cohérents visuellement mais valeurs contradictoires. Séparer sol praticable, couvert et fond par valeur lumineuse.</x:v>
      </x:c>
      <x:c r="J8" s="7" t="str">
        <x:v>Occlusion douce des parois devant le groupe ; portes synchronisées avec les collisions.</x:v>
      </x:c>
      <x:c r="K8" s="7" t="str">
        <x:v>Ventilation, silence spatial et interactions multiespèces originales. Un signal directionnel accompagne le danger local, doublé par une icône.</x:v>
      </x:c>
      <x:c r="L8" s="7" t="str">
        <x:v>maps/ann/pods.scene ; navmesh, colliders, ancrages d’entrée et sorties nommés.</x:v>
      </x:c>
      <x:c r="M8" s="7" t="str">
        <x:v>Éviter la mise en scène voyeuriste des corps.</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ANN-MAP-MED</x:v>
      </x:c>
      <x:c r="B9" s="9" t="str">
        <x:v>Unité de soin proposée — carte proposée</x:v>
      </x:c>
      <x:c r="C9" s="15" t="str">
        <x:v>Défini</x:v>
      </x:c>
      <x:c r="D9" s="16" t="str">
        <x:v>Extrapolation</x:v>
      </x:c>
      <x:c r="E9" s="16" t="str">
        <x:v>P1</x:v>
      </x:c>
      <x:c r="F9" s="9" t="str">
        <x:v>Bloc de niveau original autour de Unité de soin proposée. Le plan n’est pas fourni par la source.</x:v>
      </x:c>
      <x:c r="G9" s="9" t="str">
        <x:v>Décor 3D à caméra fixe et personnages sprites. Analyse, zone de repos et passage vers réserve.</x:v>
      </x:c>
      <x:c r="H9" s="9" t="str">
        <x:v>Les appareils indisponibles obligent à trouver un autre moyen abstrait de mesure. Les passages importants restent accessibles en mode pause tactique.</x:v>
      </x:c>
      <x:c r="I9" s="9" t="str">
        <x:v>Équipement adapté aux corps différents, espaces larges pour Yorrik. Séparer sol praticable, couvert et fond par valeur lumineuse.</x:v>
      </x:c>
      <x:c r="J9" s="9" t="str">
        <x:v>Occlusion douce des parois devant le groupe ; portes synchronisées avec les collisions.</x:v>
      </x:c>
      <x:c r="K9" s="9" t="str">
        <x:v>Ventilation, silence spatial et interactions multiespèces originales. Un signal directionnel accompagne le danger local, doublé par une icône.</x:v>
      </x:c>
      <x:c r="L9" s="9" t="str">
        <x:v>maps/ann/med.scene ; navmesh, colliders, ancrages d’entrée et sorties nommés.</x:v>
      </x:c>
      <x:c r="M9" s="9" t="str">
        <x:v>Aucune recette diagnostique réelle.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ANN-MAP-CARGO</x:v>
      </x:c>
      <x:c r="B10" s="7" t="str">
        <x:v>Réserve de bord proposée — carte proposée</x:v>
      </x:c>
      <x:c r="C10" s="15" t="str">
        <x:v>Défini</x:v>
      </x:c>
      <x:c r="D10" s="17" t="str">
        <x:v>Extrapolation</x:v>
      </x:c>
      <x:c r="E10" s="17" t="str">
        <x:v>P1</x:v>
      </x:c>
      <x:c r="F10" s="7" t="str">
        <x:v>Bloc de niveau original autour de Réserve de bord proposée. Le plan n’est pas fourni par la source.</x:v>
      </x:c>
      <x:c r="G10" s="7" t="str">
        <x:v>Décor 3D à caméra fixe et personnages sprites. Étagères, zone cargo isolée et monte-charge.</x:v>
      </x:c>
      <x:c r="H10" s="7" t="str">
        <x:v>Un matériel utile peut se trouver hors de son emplacement déclaré. Les passages importants restent accessibles en mode pause tactique.</x:v>
      </x:c>
      <x:c r="I10" s="7" t="str">
        <x:v>Caisses étiquetées, objets de cultures différentes et diversité des tailles. Séparer sol praticable, couvert et fond par valeur lumineuse.</x:v>
      </x:c>
      <x:c r="J10" s="7" t="str">
        <x:v>Occlusion douce des parois devant le groupe ; portes synchronisées avec les collisions.</x:v>
      </x:c>
      <x:c r="K10" s="7" t="str">
        <x:v>Ventilation, silence spatial et interactions multiespèces originales. Un signal directionnel accompagne le danger local, doublé par une icône.</x:v>
      </x:c>
      <x:c r="L10" s="7" t="str">
        <x:v>maps/ann/cargo.scene ; navmesh, colliders, ancrages d’entrée et sorties nommés.</x:v>
      </x:c>
      <x:c r="M10" s="7" t="str">
        <x:v>Les objets inventés restent des accessoires de production.</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ANN-MAP-ENV</x:v>
      </x:c>
      <x:c r="B11" s="9" t="str">
        <x:v>Salle des environnements proposée — carte proposée</x:v>
      </x:c>
      <x:c r="C11" s="15" t="str">
        <x:v>Défini</x:v>
      </x:c>
      <x:c r="D11" s="16" t="str">
        <x:v>Extrapolation</x:v>
      </x:c>
      <x:c r="E11" s="16" t="str">
        <x:v>P1</x:v>
      </x:c>
      <x:c r="F11" s="9" t="str">
        <x:v>Bloc de niveau original autour de Salle des environnements proposée. Le plan n’est pas fourni par la source.</x:v>
      </x:c>
      <x:c r="G11" s="9" t="str">
        <x:v>Décor 3D à caméra fixe et personnages sprites. Panneaux de secteur, filtres et sas intermédiaire.</x:v>
      </x:c>
      <x:c r="H11" s="9" t="str">
        <x:v>Une commande centrale doit être confirmée au capteur local. Les passages importants restent accessibles en mode pause tactique.</x:v>
      </x:c>
      <x:c r="I11" s="9" t="str">
        <x:v>Diagrammes d’air abstraits, cloisons et connecteurs distincts. Séparer sol praticable, couvert et fond par valeur lumineuse.</x:v>
      </x:c>
      <x:c r="J11" s="9" t="str">
        <x:v>Occlusion douce des parois devant le groupe ; portes synchronisées avec les collisions.</x:v>
      </x:c>
      <x:c r="K11" s="9" t="str">
        <x:v>Ventilation, silence spatial et interactions multiespèces originales. Un signal directionnel accompagne le danger local, doublé par une icône.</x:v>
      </x:c>
      <x:c r="L11" s="9" t="str">
        <x:v>maps/ann/env.scene ; navmesh, colliders, ancrages d’entrée et sorties nommés.</x:v>
      </x:c>
      <x:c r="M11" s="9" t="str">
        <x:v>Aucune valeur de pression ou atmosphère ajoutée comme canon.</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ANN-MAP-BRIDGE</x:v>
      </x:c>
      <x:c r="B12" s="7" t="str">
        <x:v>Pont de commandement proposé — carte proposée</x:v>
      </x:c>
      <x:c r="C12" s="15" t="str">
        <x:v>Défini</x:v>
      </x:c>
      <x:c r="D12" s="17" t="str">
        <x:v>Extrapolation</x:v>
      </x:c>
      <x:c r="E12" s="17" t="str">
        <x:v>P1</x:v>
      </x:c>
      <x:c r="F12" s="7" t="str">
        <x:v>Bloc de niveau original autour de Pont de commandement proposé. Le plan n’est pas fourni par la source.</x:v>
      </x:c>
      <x:c r="G12" s="7" t="str">
        <x:v>Décor 3D à caméra fixe et personnages sprites. Poste de navigation, console et issue de sécurité.</x:v>
      </x:c>
      <x:c r="H12" s="7" t="str">
        <x:v>Une autorisation ne suffit pas si le système reste compromis. Les passages importants restent accessibles en mode pause tactique.</x:v>
      </x:c>
      <x:c r="I12" s="7" t="str">
        <x:v>Perspective profonde, outils accessibles aux espèces de l’équipage. Séparer sol praticable, couvert et fond par valeur lumineuse.</x:v>
      </x:c>
      <x:c r="J12" s="7" t="str">
        <x:v>Occlusion douce des parois devant le groupe ; portes synchronisées avec les collisions.</x:v>
      </x:c>
      <x:c r="K12" s="7" t="str">
        <x:v>Ventilation, silence spatial et interactions multiespèces originales. Un signal directionnel accompagne le danger local, doublé par une icône.</x:v>
      </x:c>
      <x:c r="L12" s="7" t="str">
        <x:v>maps/ann/bridge.scene ; navmesh, colliders, ancrages d’entrée et sorties nommés.</x:v>
      </x:c>
      <x:c r="M12" s="7" t="str">
        <x:v>Le capitaine demeure une personne avec informations limitées.</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ANN-MAP-QUARTERS</x:v>
      </x:c>
      <x:c r="B13" s="9" t="str">
        <x:v>Couloir de quartiers proposé — carte proposée</x:v>
      </x:c>
      <x:c r="C13" s="15" t="str">
        <x:v>Défini</x:v>
      </x:c>
      <x:c r="D13" s="16" t="str">
        <x:v>Extrapolation</x:v>
      </x:c>
      <x:c r="E13" s="16" t="str">
        <x:v>P1</x:v>
      </x:c>
      <x:c r="F13" s="9" t="str">
        <x:v>Bloc de niveau original autour de Couloir de quartiers proposé. Le plan n’est pas fourni par la source.</x:v>
      </x:c>
      <x:c r="G13" s="9" t="str">
        <x:v>Décor 3D à caméra fixe et personnages sprites. Entrées privées, espace commun et point de communication.</x:v>
      </x:c>
      <x:c r="H13" s="9" t="str">
        <x:v>Une inspection demande motif et périmètre ; pas de pillage général. Les passages importants restent accessibles en mode pause tactique.</x:v>
      </x:c>
      <x:c r="I13" s="9" t="str">
        <x:v>Objets individuels suggérés sans exposer les détails d’une biographie. Séparer sol praticable, couvert et fond par valeur lumineuse.</x:v>
      </x:c>
      <x:c r="J13" s="9" t="str">
        <x:v>Occlusion douce des parois devant le groupe ; portes synchronisées avec les collisions.</x:v>
      </x:c>
      <x:c r="K13" s="9" t="str">
        <x:v>Ventilation, silence spatial et interactions multiespèces originales. Un signal directionnel accompagne le danger local, doublé par une icône.</x:v>
      </x:c>
      <x:c r="L13" s="9" t="str">
        <x:v>maps/ann/quarters.scene ; navmesh, colliders, ancrages d’entrée et sorties nommés.</x:v>
      </x:c>
      <x:c r="M13" s="9" t="str">
        <x:v>Les indices ajoutés ne remplacent pas la preuve du roman.</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ANN-MAP-SIGNAL</x:v>
      </x:c>
      <x:c r="B14" s="7" t="str">
        <x:v>Poste de signal proposé — carte proposée</x:v>
      </x:c>
      <x:c r="C14" s="15" t="str">
        <x:v>Défini</x:v>
      </x:c>
      <x:c r="D14" s="17" t="str">
        <x:v>Extrapolation</x:v>
      </x:c>
      <x:c r="E14" s="17" t="str">
        <x:v>P1</x:v>
      </x:c>
      <x:c r="F14" s="7" t="str">
        <x:v>Bloc de niveau original autour de Poste de signal proposé. Le plan n’est pas fourni par la source.</x:v>
      </x:c>
      <x:c r="G14" s="7" t="str">
        <x:v>Décor 3D à caméra fixe et personnages sprites. Communication, contrôle d’isolement et vue sur le vide.</x:v>
      </x:c>
      <x:c r="H14" s="7" t="str">
        <x:v>Confirmer l’état du vaisseau avant émission d’un message original. Les passages importants restent accessibles en mode pause tactique.</x:v>
      </x:c>
      <x:c r="I14" s="7" t="str">
        <x:v>Balises et interfaces claires, ambiance stable après crise. Séparer sol praticable, couvert et fond par valeur lumineuse.</x:v>
      </x:c>
      <x:c r="J14" s="7" t="str">
        <x:v>Occlusion douce des parois devant le groupe ; portes synchronisées avec les collisions.</x:v>
      </x:c>
      <x:c r="K14" s="7" t="str">
        <x:v>Ventilation, silence spatial et interactions multiespèces originales. Un signal directionnel accompagne le danger local, doublé par une icône.</x:v>
      </x:c>
      <x:c r="L14" s="7" t="str">
        <x:v>maps/ann/signal.scene ; navmesh, colliders, ancrages d’entrée et sorties nommés.</x:v>
      </x:c>
      <x:c r="M14" s="7" t="str">
        <x:v>Ne pas inventer une arrivée de Ryder en réponse.</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41951f86d7884b46"/>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Annihilation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ANN-LNK-RADIAL</x:v>
      </x:c>
      <x:c r="B7" s="9" t="str">
        <x:v>Radial — hub proposé — transition de module</x:v>
      </x:c>
      <x:c r="C7" s="15" t="str">
        <x:v>Défini</x:v>
      </x:c>
      <x:c r="D7" s="16" t="str">
        <x:v>Extrapolation</x:v>
      </x:c>
      <x:c r="E7" s="16" t="str">
        <x:v>P1</x:v>
      </x:c>
      <x:c r="F7" s="9" t="str">
        <x:v>Liaison de niveau proposée, sans prétendre établir une géographie officielle.</x:v>
      </x:c>
      <x:c r="G7" s="9" t="str">
        <x:v>Associer un point de départ dans Radial — hub proposé au bloc Section de capsules drell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links/ann.json : radial -&gt; pods; sauvegarde avant transit, restauration à un ancrage sûr.</x:v>
      </x:c>
      <x:c r="M7" s="9" t="str">
        <x:v>L’architecture exacte n’est pas prétendue canonique.</x:v>
      </x:c>
      <x:c r="N7" s="9" t="str">
        <x:v>Le groupe arrive au bon ancrage après chargement ; aller-retour ne duplique ni objet ni dialogue.</x:v>
      </x:c>
      <x:c r="O7" s="9" t="str">
        <x:v>ANN-MAP-RADIAL, ANN-MAP-PODS</x:v>
      </x:c>
      <x:c r="P7" s="9" t="str"/>
      <x:c r="Q7" s="9" t="str"/>
      <x:c r="R7" s="9" t="str"/>
      <x:c r="S7" s="9" t="str">
        <x:v>Boucle de parcours de production ; la dernière liaison sert à la consultation post-module, pas à remonter le temps.</x:v>
      </x:c>
    </x:row>
    <x:row r="8" ht="54" customHeight="1">
      <x:c r="A8" s="19" t="str">
        <x:v>ANN-LNK-PODS</x:v>
      </x:c>
      <x:c r="B8" s="7" t="str">
        <x:v>Section de capsules drell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Section de capsules drell proposée au bloc Unité de soin proposée;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links/ann.json : pods -&gt; med; sauvegarde avant transit, restauration à un ancrage sûr.</x:v>
      </x:c>
      <x:c r="M8" s="7" t="str">
        <x:v>Éviter la mise en scène voyeuriste des corps.</x:v>
      </x:c>
      <x:c r="N8" s="7" t="str">
        <x:v>Le groupe arrive au bon ancrage après chargement ; aller-retour ne duplique ni objet ni dialogue.</x:v>
      </x:c>
      <x:c r="O8" s="7" t="str">
        <x:v>ANN-MAP-PODS, ANN-MAP-MED</x:v>
      </x:c>
      <x:c r="P8" s="7" t="str"/>
      <x:c r="Q8" s="7" t="str"/>
      <x:c r="R8" s="7" t="str"/>
      <x:c r="S8" s="7" t="str">
        <x:v>Boucle de parcours de production ; la dernière liaison sert à la consultation post-module, pas à remonter le temps.</x:v>
      </x:c>
    </x:row>
    <x:row r="9" ht="54" customHeight="1">
      <x:c r="A9" s="18" t="str">
        <x:v>ANN-LNK-MED</x:v>
      </x:c>
      <x:c r="B9" s="9" t="str">
        <x:v>Unité de soin proposée — transition de module</x:v>
      </x:c>
      <x:c r="C9" s="15" t="str">
        <x:v>Défini</x:v>
      </x:c>
      <x:c r="D9" s="16" t="str">
        <x:v>Extrapolation</x:v>
      </x:c>
      <x:c r="E9" s="16" t="str">
        <x:v>P1</x:v>
      </x:c>
      <x:c r="F9" s="9" t="str">
        <x:v>Liaison de niveau proposée, sans prétendre établir une géographie officielle.</x:v>
      </x:c>
      <x:c r="G9" s="9" t="str">
        <x:v>Associer un point de départ dans Unité de soin proposée au bloc Réserve de bord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links/ann.json : med -&gt; cargo; sauvegarde avant transit, restauration à un ancrage sûr.</x:v>
      </x:c>
      <x:c r="M9" s="9" t="str">
        <x:v>Aucune recette diagnostique réelle.</x:v>
      </x:c>
      <x:c r="N9" s="9" t="str">
        <x:v>Le groupe arrive au bon ancrage après chargement ; aller-retour ne duplique ni objet ni dialogue.</x:v>
      </x:c>
      <x:c r="O9" s="9" t="str">
        <x:v>ANN-MAP-MED, ANN-MAP-CARGO</x:v>
      </x:c>
      <x:c r="P9" s="9" t="str"/>
      <x:c r="Q9" s="9" t="str"/>
      <x:c r="R9" s="9" t="str"/>
      <x:c r="S9" s="9" t="str">
        <x:v>Boucle de parcours de production ; la dernière liaison sert à la consultation post-module, pas à remonter le temps.</x:v>
      </x:c>
    </x:row>
    <x:row r="10" ht="54" customHeight="1">
      <x:c r="A10" s="19" t="str">
        <x:v>ANN-LNK-CARGO</x:v>
      </x:c>
      <x:c r="B10" s="7" t="str">
        <x:v>Réserve de bord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Réserve de bord proposée au bloc Salle des environnements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links/ann.json : cargo -&gt; env; sauvegarde avant transit, restauration à un ancrage sûr.</x:v>
      </x:c>
      <x:c r="M10" s="7" t="str">
        <x:v>Les objets inventés restent des accessoires de production.</x:v>
      </x:c>
      <x:c r="N10" s="7" t="str">
        <x:v>Le groupe arrive au bon ancrage après chargement ; aller-retour ne duplique ni objet ni dialogue.</x:v>
      </x:c>
      <x:c r="O10" s="7" t="str">
        <x:v>ANN-MAP-CARGO, ANN-MAP-ENV</x:v>
      </x:c>
      <x:c r="P10" s="7" t="str"/>
      <x:c r="Q10" s="7" t="str"/>
      <x:c r="R10" s="7" t="str"/>
      <x:c r="S10" s="7" t="str">
        <x:v>Boucle de parcours de production ; la dernière liaison sert à la consultation post-module, pas à remonter le temps.</x:v>
      </x:c>
    </x:row>
    <x:row r="11" ht="68" customHeight="1">
      <x:c r="A11" s="18" t="str">
        <x:v>ANN-LNK-ENV</x:v>
      </x:c>
      <x:c r="B11" s="9" t="str">
        <x:v>Salle des environnements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Salle des environnements proposée au bloc Pont de commandement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links/ann.json : env -&gt; bridge; sauvegarde avant transit, restauration à un ancrage sûr.</x:v>
      </x:c>
      <x:c r="M11" s="9" t="str">
        <x:v>Aucune valeur de pression ou atmosphère ajoutée comme canon.</x:v>
      </x:c>
      <x:c r="N11" s="9" t="str">
        <x:v>Le groupe arrive au bon ancrage après chargement ; aller-retour ne duplique ni objet ni dialogue.</x:v>
      </x:c>
      <x:c r="O11" s="9" t="str">
        <x:v>ANN-MAP-ENV, ANN-MAP-BRIDGE</x:v>
      </x:c>
      <x:c r="P11" s="9" t="str"/>
      <x:c r="Q11" s="9" t="str"/>
      <x:c r="R11" s="9" t="str"/>
      <x:c r="S11" s="9" t="str">
        <x:v>Boucle de parcours de production ; la dernière liaison sert à la consultation post-module, pas à remonter le temps.</x:v>
      </x:c>
    </x:row>
    <x:row r="12" ht="54" customHeight="1">
      <x:c r="A12" s="19" t="str">
        <x:v>ANN-LNK-BRIDGE</x:v>
      </x:c>
      <x:c r="B12" s="7" t="str">
        <x:v>Pont de commandement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Pont de commandement proposé au bloc Couloir de quartiers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links/ann.json : bridge -&gt; quarters; sauvegarde avant transit, restauration à un ancrage sûr.</x:v>
      </x:c>
      <x:c r="M12" s="7" t="str">
        <x:v>Le capitaine demeure une personne avec informations limitées.</x:v>
      </x:c>
      <x:c r="N12" s="7" t="str">
        <x:v>Le groupe arrive au bon ancrage après chargement ; aller-retour ne duplique ni objet ni dialogue.</x:v>
      </x:c>
      <x:c r="O12" s="7" t="str">
        <x:v>ANN-MAP-BRIDGE, ANN-MAP-QUARTERS</x:v>
      </x:c>
      <x:c r="P12" s="7" t="str"/>
      <x:c r="Q12" s="7" t="str"/>
      <x:c r="R12" s="7" t="str"/>
      <x:c r="S12" s="7" t="str">
        <x:v>Boucle de parcours de production ; la dernière liaison sert à la consultation post-module, pas à remonter le temps.</x:v>
      </x:c>
    </x:row>
    <x:row r="13" ht="54" customHeight="1">
      <x:c r="A13" s="18" t="str">
        <x:v>ANN-LNK-QUARTERS</x:v>
      </x:c>
      <x:c r="B13" s="9" t="str">
        <x:v>Couloir de quartiers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quartiers proposé au bloc Poste de signal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links/ann.json : quarters -&gt; signal; sauvegarde avant transit, restauration à un ancrage sûr.</x:v>
      </x:c>
      <x:c r="M13" s="9" t="str">
        <x:v>Les indices ajoutés ne remplacent pas la preuve du roman.</x:v>
      </x:c>
      <x:c r="N13" s="9" t="str">
        <x:v>Le groupe arrive au bon ancrage après chargement ; aller-retour ne duplique ni objet ni dialogue.</x:v>
      </x:c>
      <x:c r="O13" s="9" t="str">
        <x:v>ANN-MAP-QUARTERS, ANN-MAP-SIGNAL</x:v>
      </x:c>
      <x:c r="P13" s="9" t="str"/>
      <x:c r="Q13" s="9" t="str"/>
      <x:c r="R13" s="9" t="str"/>
      <x:c r="S13" s="9" t="str">
        <x:v>Boucle de parcours de production ; la dernière liaison sert à la consultation post-module, pas à remonter le temps.</x:v>
      </x:c>
    </x:row>
    <x:row r="14" ht="54" customHeight="1">
      <x:c r="A14" s="19" t="str">
        <x:v>ANN-LNK-SIGNAL</x:v>
      </x:c>
      <x:c r="B14" s="7" t="str">
        <x:v>Poste de signal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signal proposé au bloc Radial — hub proposé;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links/ann.json : signal -&gt; radial; sauvegarde avant transit, restauration à un ancrage sûr.</x:v>
      </x:c>
      <x:c r="M14" s="7" t="str">
        <x:v>Ne pas inventer une arrivée de Ryder en réponse.</x:v>
      </x:c>
      <x:c r="N14" s="7" t="str">
        <x:v>Le groupe arrive au bon ancrage après chargement ; aller-retour ne duplique ni objet ni dialogue.</x:v>
      </x:c>
      <x:c r="O14" s="7" t="str">
        <x:v>ANN-MAP-SIGNAL, ANN-MAP-RADIAL</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2248a79cbe04427"/>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Annihilation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ANN-SET-RADIAL</x:v>
      </x:c>
      <x:c r="B7" s="9" t="str">
        <x:v>Radial — hub proposé — kit de décor</x:v>
      </x:c>
      <x:c r="C7" s="15" t="str">
        <x:v>Défini</x:v>
      </x:c>
      <x:c r="D7" s="16" t="str">
        <x:v>Extrapolation</x:v>
      </x:c>
      <x:c r="E7" s="16" t="str">
        <x:v>P1</x:v>
      </x:c>
      <x:c r="F7" s="9" t="str">
        <x:v>Production originale des éléments fixes de la carte liée.</x:v>
      </x:c>
      <x:c r="G7" s="9" t="str">
        <x:v>Composition végétale centrale, signalétique multiespèce, éclairage incomplet. Construire trois profondeurs de décor avec variantes intacte et perturbée si utiles.</x:v>
      </x:c>
      <x:c r="H7" s="9" t="str">
        <x:v>Le décor signale la règle : Les informations des équipes doivent être rapprochées au hub.</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assets/ann/sets/radial/ ; collider séparé du mesh et des ornements.</x:v>
      </x:c>
      <x:c r="M7" s="9" t="str">
        <x:v>L’architecture exacte n’est pas prétendue canonique.</x:v>
      </x:c>
      <x:c r="N7" s="9" t="str">
        <x:v>Aucun détail décoratif ne ressemble à tort à une porte ; vue complète vérifiée en petite résolution.</x:v>
      </x:c>
      <x:c r="O7" s="9" t="str">
        <x:v>ANN-MAP-RADIAL</x:v>
      </x:c>
      <x:c r="P7" s="9" t="str"/>
      <x:c r="Q7" s="9" t="str"/>
      <x:c r="R7" s="9" t="str"/>
      <x:c r="S7" s="9" t="str"/>
    </x:row>
    <x:row r="8" ht="68" customHeight="1">
      <x:c r="A8" s="19" t="str">
        <x:v>ANN-SET-PODS</x:v>
      </x:c>
      <x:c r="B8" s="7" t="str">
        <x:v>Section de capsules drell proposée — kit de décor</x:v>
      </x:c>
      <x:c r="C8" s="15" t="str">
        <x:v>Défini</x:v>
      </x:c>
      <x:c r="D8" s="17" t="str">
        <x:v>Extrapolation</x:v>
      </x:c>
      <x:c r="E8" s="17" t="str">
        <x:v>P1</x:v>
      </x:c>
      <x:c r="F8" s="7" t="str">
        <x:v>Production originale des éléments fixes de la carte liée.</x:v>
      </x:c>
      <x:c r="G8" s="7" t="str">
        <x:v>Lumière basse, écrans cohérents visuellement mais valeurs contradictoires. Construire trois profondeurs de décor avec variantes intacte et perturbée si utiles.</x:v>
      </x:c>
      <x:c r="H8" s="7" t="str">
        <x:v>Le décor signale la règle : Le statut affiché doit être confirmé par un constat distinct.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assets/ann/sets/pods/ ; collider séparé du mesh et des ornements.</x:v>
      </x:c>
      <x:c r="M8" s="7" t="str">
        <x:v>Éviter la mise en scène voyeuriste des corps.</x:v>
      </x:c>
      <x:c r="N8" s="7" t="str">
        <x:v>Aucun détail décoratif ne ressemble à tort à une porte ; vue complète vérifiée en petite résolution.</x:v>
      </x:c>
      <x:c r="O8" s="7" t="str">
        <x:v>ANN-MAP-PODS</x:v>
      </x:c>
      <x:c r="P8" s="7" t="str"/>
      <x:c r="Q8" s="7" t="str"/>
      <x:c r="R8" s="7" t="str"/>
      <x:c r="S8" s="7" t="str"/>
    </x:row>
    <x:row r="9" ht="54" customHeight="1">
      <x:c r="A9" s="18" t="str">
        <x:v>ANN-SET-MED</x:v>
      </x:c>
      <x:c r="B9" s="9" t="str">
        <x:v>Unité de soin proposée — kit de décor</x:v>
      </x:c>
      <x:c r="C9" s="15" t="str">
        <x:v>Défini</x:v>
      </x:c>
      <x:c r="D9" s="16" t="str">
        <x:v>Extrapolation</x:v>
      </x:c>
      <x:c r="E9" s="16" t="str">
        <x:v>P1</x:v>
      </x:c>
      <x:c r="F9" s="9" t="str">
        <x:v>Production originale des éléments fixes de la carte liée.</x:v>
      </x:c>
      <x:c r="G9" s="9" t="str">
        <x:v>Équipement adapté aux corps différents, espaces larges pour Yorrik. Construire trois profondeurs de décor avec variantes intacte et perturbée si utiles.</x:v>
      </x:c>
      <x:c r="H9" s="9" t="str">
        <x:v>Le décor signale la règle : Les appareils indisponibles obligent à trouver un autre moyen abstrait de mesure.</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assets/ann/sets/med/ ; collider séparé du mesh et des ornements.</x:v>
      </x:c>
      <x:c r="M9" s="9" t="str">
        <x:v>Aucune recette diagnostique réelle.</x:v>
      </x:c>
      <x:c r="N9" s="9" t="str">
        <x:v>Aucun détail décoratif ne ressemble à tort à une porte ; vue complète vérifiée en petite résolution.</x:v>
      </x:c>
      <x:c r="O9" s="9" t="str">
        <x:v>ANN-MAP-MED</x:v>
      </x:c>
      <x:c r="P9" s="9" t="str"/>
      <x:c r="Q9" s="9" t="str"/>
      <x:c r="R9" s="9" t="str"/>
      <x:c r="S9" s="9" t="str"/>
    </x:row>
    <x:row r="10" ht="54" customHeight="1">
      <x:c r="A10" s="19" t="str">
        <x:v>ANN-SET-CARGO</x:v>
      </x:c>
      <x:c r="B10" s="7" t="str">
        <x:v>Réserve de bord proposée — kit de décor</x:v>
      </x:c>
      <x:c r="C10" s="15" t="str">
        <x:v>Défini</x:v>
      </x:c>
      <x:c r="D10" s="17" t="str">
        <x:v>Extrapolation</x:v>
      </x:c>
      <x:c r="E10" s="17" t="str">
        <x:v>P1</x:v>
      </x:c>
      <x:c r="F10" s="7" t="str">
        <x:v>Production originale des éléments fixes de la carte liée.</x:v>
      </x:c>
      <x:c r="G10" s="7" t="str">
        <x:v>Caisses étiquetées, objets de cultures différentes et diversité des tailles. Construire trois profondeurs de décor avec variantes intacte et perturbée si utiles.</x:v>
      </x:c>
      <x:c r="H10" s="7" t="str">
        <x:v>Le décor signale la règle : Un matériel utile peut se trouver hors de son emplacement déclaré.</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assets/ann/sets/cargo/ ; collider séparé du mesh et des ornements.</x:v>
      </x:c>
      <x:c r="M10" s="7" t="str">
        <x:v>Les objets inventés restent des accessoires de production.</x:v>
      </x:c>
      <x:c r="N10" s="7" t="str">
        <x:v>Aucun détail décoratif ne ressemble à tort à une porte ; vue complète vérifiée en petite résolution.</x:v>
      </x:c>
      <x:c r="O10" s="7" t="str">
        <x:v>ANN-MAP-CARGO</x:v>
      </x:c>
      <x:c r="P10" s="7" t="str"/>
      <x:c r="Q10" s="7" t="str"/>
      <x:c r="R10" s="7" t="str"/>
      <x:c r="S10" s="7" t="str"/>
    </x:row>
    <x:row r="11" ht="54" customHeight="1">
      <x:c r="A11" s="18" t="str">
        <x:v>ANN-SET-ENV</x:v>
      </x:c>
      <x:c r="B11" s="9" t="str">
        <x:v>Salle des environnements proposée — kit de décor</x:v>
      </x:c>
      <x:c r="C11" s="15" t="str">
        <x:v>Défini</x:v>
      </x:c>
      <x:c r="D11" s="16" t="str">
        <x:v>Extrapolation</x:v>
      </x:c>
      <x:c r="E11" s="16" t="str">
        <x:v>P1</x:v>
      </x:c>
      <x:c r="F11" s="9" t="str">
        <x:v>Production originale des éléments fixes de la carte liée.</x:v>
      </x:c>
      <x:c r="G11" s="9" t="str">
        <x:v>Diagrammes d’air abstraits, cloisons et connecteurs distincts. Construire trois profondeurs de décor avec variantes intacte et perturbée si utiles.</x:v>
      </x:c>
      <x:c r="H11" s="9" t="str">
        <x:v>Le décor signale la règle : Une commande centrale doit être confirmée au capteur local.</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assets/ann/sets/env/ ; collider séparé du mesh et des ornements.</x:v>
      </x:c>
      <x:c r="M11" s="9" t="str">
        <x:v>Aucune valeur de pression ou atmosphère ajoutée comme canon.</x:v>
      </x:c>
      <x:c r="N11" s="9" t="str">
        <x:v>Aucun détail décoratif ne ressemble à tort à une porte ; vue complète vérifiée en petite résolution.</x:v>
      </x:c>
      <x:c r="O11" s="9" t="str">
        <x:v>ANN-MAP-ENV</x:v>
      </x:c>
      <x:c r="P11" s="9" t="str"/>
      <x:c r="Q11" s="9" t="str"/>
      <x:c r="R11" s="9" t="str"/>
      <x:c r="S11" s="9" t="str"/>
    </x:row>
    <x:row r="12" ht="54" customHeight="1">
      <x:c r="A12" s="19" t="str">
        <x:v>ANN-SET-BRIDGE</x:v>
      </x:c>
      <x:c r="B12" s="7" t="str">
        <x:v>Pont de commandement proposé — kit de décor</x:v>
      </x:c>
      <x:c r="C12" s="15" t="str">
        <x:v>Défini</x:v>
      </x:c>
      <x:c r="D12" s="17" t="str">
        <x:v>Extrapolation</x:v>
      </x:c>
      <x:c r="E12" s="17" t="str">
        <x:v>P1</x:v>
      </x:c>
      <x:c r="F12" s="7" t="str">
        <x:v>Production originale des éléments fixes de la carte liée.</x:v>
      </x:c>
      <x:c r="G12" s="7" t="str">
        <x:v>Perspective profonde, outils accessibles aux espèces de l’équipage. Construire trois profondeurs de décor avec variantes intacte et perturbée si utiles.</x:v>
      </x:c>
      <x:c r="H12" s="7" t="str">
        <x:v>Le décor signale la règle : Une autorisation ne suffit pas si le système reste compromis.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assets/ann/sets/bridge/ ; collider séparé du mesh et des ornements.</x:v>
      </x:c>
      <x:c r="M12" s="7" t="str">
        <x:v>Le capitaine demeure une personne avec informations limitées.</x:v>
      </x:c>
      <x:c r="N12" s="7" t="str">
        <x:v>Aucun détail décoratif ne ressemble à tort à une porte ; vue complète vérifiée en petite résolution.</x:v>
      </x:c>
      <x:c r="O12" s="7" t="str">
        <x:v>ANN-MAP-BRIDGE</x:v>
      </x:c>
      <x:c r="P12" s="7" t="str"/>
      <x:c r="Q12" s="7" t="str"/>
      <x:c r="R12" s="7" t="str"/>
      <x:c r="S12" s="7" t="str"/>
    </x:row>
    <x:row r="13" ht="54" customHeight="1">
      <x:c r="A13" s="18" t="str">
        <x:v>ANN-SET-QUARTERS</x:v>
      </x:c>
      <x:c r="B13" s="9" t="str">
        <x:v>Couloir de quartiers proposé — kit de décor</x:v>
      </x:c>
      <x:c r="C13" s="15" t="str">
        <x:v>Défini</x:v>
      </x:c>
      <x:c r="D13" s="16" t="str">
        <x:v>Extrapolation</x:v>
      </x:c>
      <x:c r="E13" s="16" t="str">
        <x:v>P1</x:v>
      </x:c>
      <x:c r="F13" s="9" t="str">
        <x:v>Production originale des éléments fixes de la carte liée.</x:v>
      </x:c>
      <x:c r="G13" s="9" t="str">
        <x:v>Objets individuels suggérés sans exposer les détails d’une biographie. Construire trois profondeurs de décor avec variantes intacte et perturbée si utiles.</x:v>
      </x:c>
      <x:c r="H13" s="9" t="str">
        <x:v>Le décor signale la règle : Une inspection demande motif et périmètre ; pas de pillage général.</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assets/ann/sets/quarters/ ; collider séparé du mesh et des ornements.</x:v>
      </x:c>
      <x:c r="M13" s="9" t="str">
        <x:v>Les indices ajoutés ne remplacent pas la preuve du roman.</x:v>
      </x:c>
      <x:c r="N13" s="9" t="str">
        <x:v>Aucun détail décoratif ne ressemble à tort à une porte ; vue complète vérifiée en petite résolution.</x:v>
      </x:c>
      <x:c r="O13" s="9" t="str">
        <x:v>ANN-MAP-QUARTERS</x:v>
      </x:c>
      <x:c r="P13" s="9" t="str"/>
      <x:c r="Q13" s="9" t="str"/>
      <x:c r="R13" s="9" t="str"/>
      <x:c r="S13" s="9" t="str"/>
    </x:row>
    <x:row r="14" ht="54" customHeight="1">
      <x:c r="A14" s="19" t="str">
        <x:v>ANN-SET-SIGNAL</x:v>
      </x:c>
      <x:c r="B14" s="7" t="str">
        <x:v>Poste de signal proposé — kit de décor</x:v>
      </x:c>
      <x:c r="C14" s="15" t="str">
        <x:v>Défini</x:v>
      </x:c>
      <x:c r="D14" s="17" t="str">
        <x:v>Extrapolation</x:v>
      </x:c>
      <x:c r="E14" s="17" t="str">
        <x:v>P1</x:v>
      </x:c>
      <x:c r="F14" s="7" t="str">
        <x:v>Production originale des éléments fixes de la carte liée.</x:v>
      </x:c>
      <x:c r="G14" s="7" t="str">
        <x:v>Balises et interfaces claires, ambiance stable après crise. Construire trois profondeurs de décor avec variantes intacte et perturbée si utiles.</x:v>
      </x:c>
      <x:c r="H14" s="7" t="str">
        <x:v>Le décor signale la règle : Confirmer l’état du vaisseau avant émission d’un message original.</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assets/ann/sets/signal/ ; collider séparé du mesh et des ornements.</x:v>
      </x:c>
      <x:c r="M14" s="7" t="str">
        <x:v>Ne pas inventer une arrivée de Ryder en réponse.</x:v>
      </x:c>
      <x:c r="N14" s="7" t="str">
        <x:v>Aucun détail décoratif ne ressemble à tort à une porte ; vue complète vérifiée en petite résolution.</x:v>
      </x:c>
      <x:c r="O14" s="7" t="str">
        <x:v>ANN-MAP-SIGNAL</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b272ffe31ad430a"/>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Annihilation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ANN-REF-FLOWERS</x:v>
      </x:c>
      <x:c r="B7" s="9" t="str">
        <x:v>Arrangement végétal du Radial</x:v>
      </x:c>
      <x:c r="C7" s="15" t="str">
        <x:v>Défini</x:v>
      </x:c>
      <x:c r="D7" s="16" t="str">
        <x:v>Établi</x:v>
      </x:c>
      <x:c r="E7" s="16" t="str">
        <x:v>P1</x:v>
      </x:c>
      <x:c r="F7" s="9" t="str">
        <x:v>La décoration commune cristallise une discussion entre espèces avant le voyage.</x:v>
      </x:c>
      <x:c r="G7" s="9" t="str">
        <x:v>Ancrage documentaire du module ; aucune statistique officielle inférée.</x:v>
      </x:c>
      <x:c r="H7" s="9" t="str"/>
      <x:c r="I7" s="9" t="str"/>
      <x:c r="J7" s="9" t="str"/>
      <x:c r="K7" s="9" t="str"/>
      <x:c r="L7" s="9" t="str">
        <x:v>Codex ref.ann.flowers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ANN-SRC-SHIP</x:v>
      </x:c>
      <x:c r="R7" s="9" t="str">
        <x:v>https://masseffect.fandom.com/wiki/Keelah_Si%27yah</x:v>
      </x:c>
      <x:c r="S7" s="9"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f5900b9099e4902"/>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Annihilation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ANN-ENC-SENSOR</x:v>
      </x:c>
      <x:c r="B7" s="9" t="str">
        <x:v>Capteur mensonger</x:v>
      </x:c>
      <x:c r="C7" s="15" t="str">
        <x:v>Défini</x:v>
      </x:c>
      <x:c r="D7" s="16" t="str">
        <x:v>Extrapolation</x:v>
      </x:c>
      <x:c r="E7" s="16" t="str">
        <x:v>P1</x:v>
      </x:c>
      <x:c r="F7" s="9" t="str">
        <x:v>Rencontre originale proposée : Boss de diagnostic original inspiré des systèmes défaillants.</x:v>
      </x:c>
      <x:c r="G7" s="9" t="str">
        <x:v>Opposition ou crise scénarisée pour le groupe ; ne pas attribuer au roman une barre de vie ou un rang de boss.</x:v>
      </x:c>
      <x:c r="H7" s="9" t="str">
        <x:v>Affiche un état sûr alors qu’un accès local signale le contraire. Réponse du joueur : Vérifier depuis le secteur avant d’ouvrir le passage.</x:v>
      </x:c>
      <x:c r="I7" s="9" t="str">
        <x:v>Double indicateur et étiquette source distincte.</x:v>
      </x:c>
      <x:c r="J7" s="9" t="str">
        <x:v>Anticipation identifiable, action, récupération exploitable ; variante de sortie non létale lorsque pertinente.</x:v>
      </x:c>
      <x:c r="K7" s="9" t="str">
        <x:v>Motif de danger spécifique, sous-titre bref et avertissement visuel.</x:v>
      </x:c>
      <x:c r="L7" s="9" t="str">
        <x:v>encounters/ann/sensor.json ; activer seulement dans les zones prévues.</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ANN-ENC-PANIC</x:v>
      </x:c>
      <x:c r="B8" s="7" t="str">
        <x:v>Couloir encombré</x:v>
      </x:c>
      <x:c r="C8" s="15" t="str">
        <x:v>Défini</x:v>
      </x:c>
      <x:c r="D8" s="17" t="str">
        <x:v>Extrapolation</x:v>
      </x:c>
      <x:c r="E8" s="17" t="str">
        <x:v>P1</x:v>
      </x:c>
      <x:c r="F8" s="7" t="str">
        <x:v>Rencontre originale proposée : Rencontre sociale originale avec passagers en détresse.</x:v>
      </x:c>
      <x:c r="G8" s="7" t="str">
        <x:v>Opposition ou crise scénarisée pour le groupe ; ne pas attribuer au roman une barre de vie ou un rang de boss.</x:v>
      </x:c>
      <x:c r="H8" s="7" t="str">
        <x:v>Ferme progressivement la circulation lorsque les consignes se contredisent. Réponse du joueur : Clarifier, ouvrir une zone de repos et déplacer le groupe lentement.</x:v>
      </x:c>
      <x:c r="I8" s="7" t="str">
        <x:v>Flux de silhouettes et bulles d’incompréhension.</x:v>
      </x:c>
      <x:c r="J8" s="7" t="str">
        <x:v>Anticipation identifiable, action, récupération exploitable ; variante de sortie non létale lorsque pertinente.</x:v>
      </x:c>
      <x:c r="K8" s="7" t="str">
        <x:v>Motif de danger spécifique, sous-titre bref et avertissement visuel.</x:v>
      </x:c>
      <x:c r="L8" s="7" t="str">
        <x:v>encounters/ann/panic.json ; activer seulement dans les zones prévues.</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ANN-ENC-MACHINE</x:v>
      </x:c>
      <x:c r="B9" s="9" t="str">
        <x:v>Bras de maintenance bloqué</x:v>
      </x:c>
      <x:c r="C9" s="15" t="str">
        <x:v>Défini</x:v>
      </x:c>
      <x:c r="D9" s="16" t="str">
        <x:v>Extrapolation</x:v>
      </x:c>
      <x:c r="E9" s="16" t="str">
        <x:v>P1</x:v>
      </x:c>
      <x:c r="F9" s="9" t="str">
        <x:v>Rencontre originale proposée : Obstacle mécanique ajouté à la réserve.</x:v>
      </x:c>
      <x:c r="G9" s="9" t="str">
        <x:v>Opposition ou crise scénarisée pour le groupe ; ne pas attribuer au roman une barre de vie ou un rang de boss.</x:v>
      </x:c>
      <x:c r="H9" s="9" t="str">
        <x:v>Balaye une portion de passage à intervalles annoncés. Réponse du joueur : Couper le circuit depuis le poste accessible.</x:v>
      </x:c>
      <x:c r="I9" s="9" t="str">
        <x:v>Lumière de bras et ombre de la zone balayée.</x:v>
      </x:c>
      <x:c r="J9" s="9" t="str">
        <x:v>Anticipation identifiable, action, récupération exploitable ; variante de sortie non létale lorsque pertinente.</x:v>
      </x:c>
      <x:c r="K9" s="9" t="str">
        <x:v>Motif de danger spécifique, sous-titre bref et avertissement visuel.</x:v>
      </x:c>
      <x:c r="L9" s="9" t="str">
        <x:v>encounters/ann/machine.json ; activer seulement dans les zones prévues.</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ANN-ENC-SUSPECT</x:v>
      </x:c>
      <x:c r="B10" s="7" t="str">
        <x:v>Contradiction non résolue</x:v>
      </x:c>
      <x:c r="C10" s="15" t="str">
        <x:v>Défini</x:v>
      </x:c>
      <x:c r="D10" s="17" t="str">
        <x:v>Extrapolation</x:v>
      </x:c>
      <x:c r="E10" s="17" t="str">
        <x:v>P1</x:v>
      </x:c>
      <x:c r="F10" s="7" t="str">
        <x:v>Rencontre originale proposée : Confrontation d’enquête proposée sans combat contre un suspect.</x:v>
      </x:c>
      <x:c r="G10" s="7" t="str">
        <x:v>Opposition ou crise scénarisée pour le groupe ; ne pas attribuer au roman une barre de vie ou un rang de boss.</x:v>
      </x:c>
      <x:c r="H10" s="7" t="str">
        <x:v>Rend une conclusion prématurée si les sources ne sont pas séparées. Réponse du joueur : Chercher un constat indépendant et laisser la conclusion ouverte.</x:v>
      </x:c>
      <x:c r="I10" s="7" t="str">
        <x:v>Carte de conclusion en pointillés et avertissement de preuve manquante.</x:v>
      </x:c>
      <x:c r="J10" s="7" t="str">
        <x:v>Anticipation identifiable, action, récupération exploitable ; variante de sortie non létale lorsque pertinente.</x:v>
      </x:c>
      <x:c r="K10" s="7" t="str">
        <x:v>Motif de danger spécifique, sous-titre bref et avertissement visuel.</x:v>
      </x:c>
      <x:c r="L10" s="7" t="str">
        <x:v>encounters/ann/suspect.json ; activer seulement dans les zones prévues.</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ced8ff74c964f20"/>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Annihilation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ANN-MIS-WAKE</x:v>
      </x:c>
      <x:c r="B7" s="9" t="str">
        <x:v>Répartir les premières vérifications</x:v>
      </x:c>
      <x:c r="C7" s="15" t="str">
        <x:v>Défini</x:v>
      </x:c>
      <x:c r="D7" s="16" t="str">
        <x:v>Extrapolation</x:v>
      </x:c>
      <x:c r="E7" s="16" t="str">
        <x:v>P0</x:v>
      </x:c>
      <x:c r="F7" s="9" t="str">
        <x:v>Mission originale d’adaptation, inspirée d’un enjeu général de l’œuvre.</x:v>
      </x:c>
      <x:c r="G7" s="9" t="str">
        <x:v>Coordonner Blue-7 autour d’une anomalie de routine originale.</x:v>
      </x:c>
      <x:c r="H7" s="9" t="str">
        <x:v>Attribuer matériel, systèmes et témoignages à des binômes ; chaque binôme rapporte un fait et une question.</x:v>
      </x:c>
      <x:c r="I7" s="9" t="str">
        <x:v>Objectif spatial associé à Radial — hub proposé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quests/ann/wake.json ; états offered/active/resolved ; clés de progression propres au module.</x:v>
      </x:c>
      <x:c r="M7" s="9" t="str">
        <x:v>Ne pas révéler le responsable avant l’étape validée du récit.</x:v>
      </x:c>
      <x:c r="N7" s="9" t="str">
        <x:v>Le joueur peut accomplir « Coordonner Blue-7 autour d’une anomalie de routine originale. » et la sortie confirme le résultat ; Ne pas révéler le responsable avant l’étape validée du récit.</x:v>
      </x:c>
      <x:c r="O7" s="9" t="str">
        <x:v>ANN-MAP-RADIAL</x:v>
      </x:c>
      <x:c r="P7" s="9" t="str"/>
      <x:c r="Q7" s="9" t="str"/>
      <x:c r="R7" s="9" t="str"/>
      <x:c r="S7" s="9" t="str"/>
    </x:row>
    <x:row r="8" ht="68" customHeight="1">
      <x:c r="A8" s="19" t="str">
        <x:v>ANN-MIS-CONFIRM</x:v>
      </x:c>
      <x:c r="B8" s="7" t="str">
        <x:v>Comparer affichage et présence</x:v>
      </x:c>
      <x:c r="C8" s="15" t="str">
        <x:v>Défini</x:v>
      </x:c>
      <x:c r="D8" s="17" t="str">
        <x:v>Extrapolation</x:v>
      </x:c>
      <x:c r="E8" s="17" t="str">
        <x:v>P0</x:v>
      </x:c>
      <x:c r="F8" s="7" t="str">
        <x:v>Mission originale d’adaptation, inspirée d’un enjeu général de l’œuvre.</x:v>
      </x:c>
      <x:c r="G8" s="7" t="str">
        <x:v>Comprendre qu’une lecture système peut contredire la réalité observée.</x:v>
      </x:c>
      <x:c r="H8" s="7" t="str">
        <x:v>Consigner le statut affiché, le constat et la source ; ne pas choisir au hasard une valeur.</x:v>
      </x:c>
      <x:c r="I8" s="7" t="str">
        <x:v>Objectif spatial associé à Section de capsules drell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quests/ann/confirm.json ; états offered/active/resolved ; clés de progression propres au module.</x:v>
      </x:c>
      <x:c r="M8" s="7" t="str">
        <x:v>Pas de simulation clinique réaliste ou récit détaillé des décès.</x:v>
      </x:c>
      <x:c r="N8" s="7" t="str">
        <x:v>Le joueur peut accomplir « Comprendre qu’une lecture système peut contredire la réalité observée. » et la sortie confirme le résultat ; Pas de simulation clinique réaliste ou récit détaillé des décès.</x:v>
      </x:c>
      <x:c r="O8" s="7" t="str">
        <x:v>ANN-MAP-PODS</x:v>
      </x:c>
      <x:c r="P8" s="7" t="str"/>
      <x:c r="Q8" s="7" t="str"/>
      <x:c r="R8" s="7" t="str"/>
      <x:c r="S8" s="7" t="str"/>
    </x:row>
    <x:row r="9" ht="68" customHeight="1">
      <x:c r="A9" s="18" t="str">
        <x:v>ANN-MIS-MEASURE</x:v>
      </x:c>
      <x:c r="B9" s="9" t="str">
        <x:v>Obtenir une mesure indépendante</x:v>
      </x:c>
      <x:c r="C9" s="15" t="str">
        <x:v>Défini</x:v>
      </x:c>
      <x:c r="D9" s="16" t="str">
        <x:v>Extrapolation</x:v>
      </x:c>
      <x:c r="E9" s="16" t="str">
        <x:v>P0</x:v>
      </x:c>
      <x:c r="F9" s="9" t="str">
        <x:v>Mission originale d’adaptation, inspirée d’un enjeu général de l’œuvre.</x:v>
      </x:c>
      <x:c r="G9" s="9" t="str">
        <x:v>Rassembler un kit d’analyse fictif quand les instruments ne suffisent plus.</x:v>
      </x:c>
      <x:c r="H9" s="9" t="str">
        <x:v>Combiner outil, alimentation et témoin neutre ; résultat qualitatif abstrait.</x:v>
      </x:c>
      <x:c r="I9" s="9" t="str">
        <x:v>Objectif spatial associé à Unité de soin proposée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quests/ann/measure.json ; états offered/active/resolved ; clés de progression propres au module.</x:v>
      </x:c>
      <x:c r="M9" s="9" t="str">
        <x:v>Aucun dosage, culture de pathogène ou traitement réel.</x:v>
      </x:c>
      <x:c r="N9" s="9" t="str">
        <x:v>Le joueur peut accomplir « Rassembler un kit d’analyse fictif quand les instruments ne suffisent plus. » et la sortie confirme le résultat ; Aucun dosage, culture de pathogène ou traitement réel.</x:v>
      </x:c>
      <x:c r="O9" s="9" t="str">
        <x:v>ANN-MAP-MED</x:v>
      </x:c>
      <x:c r="P9" s="9" t="str"/>
      <x:c r="Q9" s="9" t="str"/>
      <x:c r="R9" s="9" t="str"/>
      <x:c r="S9" s="9" t="str"/>
    </x:row>
    <x:row r="10" ht="68" customHeight="1">
      <x:c r="A10" s="19" t="str">
        <x:v>ANN-MIS-RECOVER</x:v>
      </x:c>
      <x:c r="B10" s="7" t="str">
        <x:v>Retrouver un matériel déplacé</x:v>
      </x:c>
      <x:c r="C10" s="15" t="str">
        <x:v>Défini</x:v>
      </x:c>
      <x:c r="D10" s="17" t="str">
        <x:v>Extrapolation</x:v>
      </x:c>
      <x:c r="E10" s="17" t="str">
        <x:v>P0</x:v>
      </x:c>
      <x:c r="F10" s="7" t="str">
        <x:v>Mission originale d’adaptation, inspirée d’un enjeu général de l’œuvre.</x:v>
      </x:c>
      <x:c r="G10" s="7" t="str">
        <x:v>Inspecter une réserve pour un outil précis et une trace administrative.</x:v>
      </x:c>
      <x:c r="H10" s="7" t="str">
        <x:v>Comparer manifeste, marque de caisse et inventaire réel.</x:v>
      </x:c>
      <x:c r="I10" s="7" t="str">
        <x:v>Objectif spatial associé à Réserve de bord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quests/ann/recover.json ; états offered/active/resolved ; clés de progression propres au module.</x:v>
      </x:c>
      <x:c r="M10" s="7" t="str">
        <x:v>Ne pas traiter l’espèce du détenteur comme indice de culpabilité.</x:v>
      </x:c>
      <x:c r="N10" s="7" t="str">
        <x:v>Le joueur peut accomplir « Inspecter une réserve pour un outil précis et une trace administrative. » et la sortie confirme le résultat ; Ne pas traiter l’espèce du détenteur comme indice de culpabilité.</x:v>
      </x:c>
      <x:c r="O10" s="7" t="str">
        <x:v>ANN-MAP-CARGO</x:v>
      </x:c>
      <x:c r="P10" s="7" t="str"/>
      <x:c r="Q10" s="7" t="str"/>
      <x:c r="R10" s="7" t="str"/>
      <x:c r="S10" s="7" t="str"/>
    </x:row>
    <x:row r="11" ht="68" customHeight="1">
      <x:c r="A11" s="18" t="str">
        <x:v>ANN-MIS-RECONCILE</x:v>
      </x:c>
      <x:c r="B11" s="9" t="str">
        <x:v>Réconcilier deux états de système</x:v>
      </x:c>
      <x:c r="C11" s="15" t="str">
        <x:v>Défini</x:v>
      </x:c>
      <x:c r="D11" s="16" t="str">
        <x:v>Extrapolation</x:v>
      </x:c>
      <x:c r="E11" s="16" t="str">
        <x:v>P0</x:v>
      </x:c>
      <x:c r="F11" s="9" t="str">
        <x:v>Mission originale d’adaptation, inspirée d’un enjeu général de l’œuvre.</x:v>
      </x:c>
      <x:c r="G11" s="9" t="str">
        <x:v>Stabiliser une zone et comprendre pourquoi les données divergent.</x:v>
      </x:c>
      <x:c r="H11" s="9" t="str">
        <x:v>Valider une commande depuis un poste distant puis depuis le secteur concerné.</x:v>
      </x:c>
      <x:c r="I11" s="9" t="str">
        <x:v>Objectif spatial associé à Salle des environnements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quests/ann/reconcile.json ; états offered/active/resolved ; clés de progression propres au module.</x:v>
      </x:c>
      <x:c r="M11" s="9" t="str">
        <x:v>La réparation locale ne résout pas instantanément la maladie.</x:v>
      </x:c>
      <x:c r="N11" s="9" t="str">
        <x:v>Le joueur peut accomplir « Stabiliser une zone et comprendre pourquoi les données divergent. » et la sortie confirme le résultat ; La réparation locale ne résout pas instantanément la maladie.</x:v>
      </x:c>
      <x:c r="O11" s="9" t="str">
        <x:v>ANN-MAP-ENV</x:v>
      </x:c>
      <x:c r="P11" s="9" t="str"/>
      <x:c r="Q11" s="9" t="str"/>
      <x:c r="R11" s="9" t="str"/>
      <x:c r="S11" s="9" t="str"/>
    </x:row>
    <x:row r="12" ht="68" customHeight="1">
      <x:c r="A12" s="19" t="str">
        <x:v>ANN-MIS-QUESTION</x:v>
      </x:c>
      <x:c r="B12" s="7" t="str">
        <x:v>Conduire une demande d’explication</x:v>
      </x:c>
      <x:c r="C12" s="15" t="str">
        <x:v>Défini</x:v>
      </x:c>
      <x:c r="D12" s="17" t="str">
        <x:v>Extrapolation</x:v>
      </x:c>
      <x:c r="E12" s="17" t="str">
        <x:v>P0</x:v>
      </x:c>
      <x:c r="F12" s="7" t="str">
        <x:v>Mission originale d’adaptation, inspirée d’un enjeu général de l’œuvre.</x:v>
      </x:c>
      <x:c r="G12" s="7" t="str">
        <x:v>Faire reconnaître une contradiction sans condamner un suspect par défaut.</x:v>
      </x:c>
      <x:c r="H12" s="7" t="str">
        <x:v>Présenter un constat précis, demander sa source et laisser une réponse être contestée.</x:v>
      </x:c>
      <x:c r="I12" s="7" t="str">
        <x:v>Objectif spatial associé à Pont de commandement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quests/ann/question.json ; états offered/active/resolved ; clés de progression propres au module.</x:v>
      </x:c>
      <x:c r="M12" s="7" t="str">
        <x:v>Les responsabilités et sanctions du livre restent à relire avant intégration.</x:v>
      </x:c>
      <x:c r="N12" s="7" t="str">
        <x:v>Le joueur peut accomplir « Faire reconnaître une contradiction sans condamner un suspect par défaut. » et la sortie confirme le résultat ; Les responsabilités et sanctions du livre restent à relire avant intégration.</x:v>
      </x:c>
      <x:c r="O12" s="7" t="str">
        <x:v>ANN-MAP-BRIDGE</x:v>
      </x:c>
      <x:c r="P12" s="7" t="str"/>
      <x:c r="Q12" s="7" t="str"/>
      <x:c r="R12" s="7" t="str"/>
      <x:c r="S12" s="7" t="str"/>
    </x:row>
    <x:row r="13" ht="68" customHeight="1">
      <x:c r="A13" s="18" t="str">
        <x:v>ANN-MIS-PROTECT</x:v>
      </x:c>
      <x:c r="B13" s="9" t="str">
        <x:v>Préserver les passagers éveillés</x:v>
      </x:c>
      <x:c r="C13" s="15" t="str">
        <x:v>Défini</x:v>
      </x:c>
      <x:c r="D13" s="16" t="str">
        <x:v>Extrapolation</x:v>
      </x:c>
      <x:c r="E13" s="16" t="str">
        <x:v>P0</x:v>
      </x:c>
      <x:c r="F13" s="9" t="str">
        <x:v>Mission originale d’adaptation, inspirée d’un enjeu général de l’œuvre.</x:v>
      </x:c>
      <x:c r="G13" s="9" t="str">
        <x:v>Organiser une circulation sûre pendant une montée de confusion.</x:v>
      </x:c>
      <x:c r="H13" s="9" t="str">
        <x:v>Ouvrir chemins, calmer des points de blocage et distinguer malade et agresseur.</x:v>
      </x:c>
      <x:c r="I13" s="9" t="str">
        <x:v>Objectif spatial associé à Couloir de quartiers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quests/ann/protect.json ; états offered/active/resolved ; clés de progression propres au module.</x:v>
      </x:c>
      <x:c r="M13" s="9" t="str">
        <x:v>Aucune faction ennemie fondée sur une espèce ou un symptôme.</x:v>
      </x:c>
      <x:c r="N13" s="9" t="str">
        <x:v>Le joueur peut accomplir « Organiser une circulation sûre pendant une montée de confusion. » et la sortie confirme le résultat ; Aucune faction ennemie fondée sur une espèce ou un symptôme.</x:v>
      </x:c>
      <x:c r="O13" s="9" t="str">
        <x:v>ANN-MAP-QUARTERS</x:v>
      </x:c>
      <x:c r="P13" s="9" t="str"/>
      <x:c r="Q13" s="9" t="str"/>
      <x:c r="R13" s="9" t="str"/>
      <x:c r="S13" s="9" t="str"/>
    </x:row>
    <x:row r="14" ht="68" customHeight="1">
      <x:c r="A14" s="19" t="str">
        <x:v>ANN-MIS-STATE</x:v>
      </x:c>
      <x:c r="B14" s="7" t="str">
        <x:v>Consigner un état de voyage</x:v>
      </x:c>
      <x:c r="C14" s="15" t="str">
        <x:v>Défini</x:v>
      </x:c>
      <x:c r="D14" s="17" t="str">
        <x:v>Extrapolation</x:v>
      </x:c>
      <x:c r="E14" s="17" t="str">
        <x:v>P0</x:v>
      </x:c>
      <x:c r="F14" s="7" t="str">
        <x:v>Mission originale d’adaptation, inspirée d’un enjeu général de l’œuvre.</x:v>
      </x:c>
      <x:c r="G14" s="7" t="str">
        <x:v>Clore le module avec un rapport limité aux faits établis.</x:v>
      </x:c>
      <x:c r="H14" s="7" t="str">
        <x:v>Valider intégrité locale, observations médicales abstraites et points encore incertains.</x:v>
      </x:c>
      <x:c r="I14" s="7" t="str">
        <x:v>Objectif spatial associé à Poste de signal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quests/ann/state.json ; états offered/active/resolved ; clés de progression propres au module.</x:v>
      </x:c>
      <x:c r="M14" s="7" t="str">
        <x:v>La suite vers Andromède n’est pas transformée en DLC officiel inventé.</x:v>
      </x:c>
      <x:c r="N14" s="7" t="str">
        <x:v>Le joueur peut accomplir « Clore le module avec un rapport limité aux faits établis. » et la sortie confirme le résultat ; La suite vers Andromède n’est pas transformée en DLC officiel inventé.</x:v>
      </x:c>
      <x:c r="O14" s="7" t="str">
        <x:v>ANN-MAP-SIGNAL</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922684fc05cc4e25"/>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Annihilation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ANN-OPT-WAKE</x:v>
      </x:c>
      <x:c r="B7" s="9" t="str">
        <x:v>Répartir les premières vérifications — tâche annexe</x:v>
      </x:c>
      <x:c r="C7" s="15" t="str">
        <x:v>Défini</x:v>
      </x:c>
      <x:c r="D7" s="16" t="str">
        <x:v>Extrapolation</x:v>
      </x:c>
      <x:c r="E7" s="16" t="str">
        <x:v>P1</x:v>
      </x:c>
      <x:c r="F7" s="9" t="str">
        <x:v>Objectif annexe créé pour l’adaptation.</x:v>
      </x:c>
      <x:c r="G7" s="9" t="str">
        <x:v>Vérifier l’arrosage de la composition végétale comme geste de vie commune.</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optional.ann.wake ; persister done/skipped, récompenser une seule fois.</x:v>
      </x:c>
      <x:c r="M7" s="9" t="str">
        <x:v>Facultatif ; peut être ignoré sans bloquer la mission. Ne pas révéler le responsable avant l’étape validée du récit.</x:v>
      </x:c>
      <x:c r="N7" s="9" t="str">
        <x:v>Ignorer puis terminer la mission fonctionne ; compléter ne verse la récompense qu’une fois.</x:v>
      </x:c>
      <x:c r="O7" s="9" t="str">
        <x:v>ANN-MIS-WAKE</x:v>
      </x:c>
      <x:c r="P7" s="9" t="str"/>
      <x:c r="Q7" s="9" t="str"/>
      <x:c r="R7" s="9" t="str"/>
      <x:c r="S7" s="9" t="str"/>
    </x:row>
    <x:row r="8" ht="54" customHeight="1">
      <x:c r="A8" s="19" t="str">
        <x:v>ANN-OPT-CONFIRM</x:v>
      </x:c>
      <x:c r="B8" s="7" t="str">
        <x:v>Comparer affichage et présence — tâche annexe</x:v>
      </x:c>
      <x:c r="C8" s="15" t="str">
        <x:v>Défini</x:v>
      </x:c>
      <x:c r="D8" s="17" t="str">
        <x:v>Extrapolation</x:v>
      </x:c>
      <x:c r="E8" s="17" t="str">
        <x:v>P1</x:v>
      </x:c>
      <x:c r="F8" s="7" t="str">
        <x:v>Objectif annexe créé pour l’adaptation.</x:v>
      </x:c>
      <x:c r="G8" s="7" t="str">
        <x:v>Rétablir un éclairage local pour faciliter le passage des équipes.</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optional.ann.confirm ; persister done/skipped, récompenser une seule fois.</x:v>
      </x:c>
      <x:c r="M8" s="7" t="str">
        <x:v>Facultatif ; peut être ignoré sans bloquer la mission. Pas de simulation clinique réaliste ou récit détaillé des décès.</x:v>
      </x:c>
      <x:c r="N8" s="7" t="str">
        <x:v>Ignorer puis terminer la mission fonctionne ; compléter ne verse la récompense qu’une fois.</x:v>
      </x:c>
      <x:c r="O8" s="7" t="str">
        <x:v>ANN-MIS-CONFIRM</x:v>
      </x:c>
      <x:c r="P8" s="7" t="str"/>
      <x:c r="Q8" s="7" t="str"/>
      <x:c r="R8" s="7" t="str"/>
      <x:c r="S8" s="7" t="str"/>
    </x:row>
    <x:row r="9" ht="54" customHeight="1">
      <x:c r="A9" s="18" t="str">
        <x:v>ANN-OPT-MEASURE</x:v>
      </x:c>
      <x:c r="B9" s="9" t="str">
        <x:v>Obtenir une mesure indépendante — tâche annexe</x:v>
      </x:c>
      <x:c r="C9" s="15" t="str">
        <x:v>Défini</x:v>
      </x:c>
      <x:c r="D9" s="16" t="str">
        <x:v>Extrapolation</x:v>
      </x:c>
      <x:c r="E9" s="16" t="str">
        <x:v>P1</x:v>
      </x:c>
      <x:c r="F9" s="9" t="str">
        <x:v>Objectif annexe créé pour l’adaptation.</x:v>
      </x:c>
      <x:c r="G9" s="9" t="str">
        <x:v>Aider à aménager un espace de repos pour une espèce peu représentée.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optional.ann.measure ; persister done/skipped, récompenser une seule fois.</x:v>
      </x:c>
      <x:c r="M9" s="9" t="str">
        <x:v>Facultatif ; peut être ignoré sans bloquer la mission. Aucun dosage, culture de pathogène ou traitement réel.</x:v>
      </x:c>
      <x:c r="N9" s="9" t="str">
        <x:v>Ignorer puis terminer la mission fonctionne ; compléter ne verse la récompense qu’une fois.</x:v>
      </x:c>
      <x:c r="O9" s="9" t="str">
        <x:v>ANN-MIS-MEASURE</x:v>
      </x:c>
      <x:c r="P9" s="9" t="str"/>
      <x:c r="Q9" s="9" t="str"/>
      <x:c r="R9" s="9" t="str"/>
      <x:c r="S9" s="9" t="str"/>
    </x:row>
    <x:row r="10" ht="54" customHeight="1">
      <x:c r="A10" s="19" t="str">
        <x:v>ANN-OPT-RECOVER</x:v>
      </x:c>
      <x:c r="B10" s="7" t="str">
        <x:v>Retrouver un matériel déplacé — tâche annexe</x:v>
      </x:c>
      <x:c r="C10" s="15" t="str">
        <x:v>Défini</x:v>
      </x:c>
      <x:c r="D10" s="17" t="str">
        <x:v>Extrapolation</x:v>
      </x:c>
      <x:c r="E10" s="17" t="str">
        <x:v>P1</x:v>
      </x:c>
      <x:c r="F10" s="7" t="str">
        <x:v>Objectif annexe créé pour l’adaptation.</x:v>
      </x:c>
      <x:c r="G10" s="7" t="str">
        <x:v>Restituer un objet culturel trouvé pendant la recherche.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optional.ann.recover ; persister done/skipped, récompenser une seule fois.</x:v>
      </x:c>
      <x:c r="M10" s="7" t="str">
        <x:v>Facultatif ; peut être ignoré sans bloquer la mission. Ne pas traiter l’espèce du détenteur comme indice de culpabilité.</x:v>
      </x:c>
      <x:c r="N10" s="7" t="str">
        <x:v>Ignorer puis terminer la mission fonctionne ; compléter ne verse la récompense qu’une fois.</x:v>
      </x:c>
      <x:c r="O10" s="7" t="str">
        <x:v>ANN-MIS-RECOVER</x:v>
      </x:c>
      <x:c r="P10" s="7" t="str"/>
      <x:c r="Q10" s="7" t="str"/>
      <x:c r="R10" s="7" t="str"/>
      <x:c r="S10" s="7" t="str"/>
    </x:row>
    <x:row r="11" ht="54" customHeight="1">
      <x:c r="A11" s="18" t="str">
        <x:v>ANN-OPT-RECONCILE</x:v>
      </x:c>
      <x:c r="B11" s="9" t="str">
        <x:v>Réconcilier deux états de système — tâche annexe</x:v>
      </x:c>
      <x:c r="C11" s="15" t="str">
        <x:v>Défini</x:v>
      </x:c>
      <x:c r="D11" s="16" t="str">
        <x:v>Extrapolation</x:v>
      </x:c>
      <x:c r="E11" s="16" t="str">
        <x:v>P1</x:v>
      </x:c>
      <x:c r="F11" s="9" t="str">
        <x:v>Objectif annexe créé pour l’adaptation.</x:v>
      </x:c>
      <x:c r="G11" s="9" t="str">
        <x:v>Installer une signalétique qui distingue zones ouvertes et zones à attendre.</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optional.ann.reconcile ; persister done/skipped, récompenser une seule fois.</x:v>
      </x:c>
      <x:c r="M11" s="9" t="str">
        <x:v>Facultatif ; peut être ignoré sans bloquer la mission. La réparation locale ne résout pas instantanément la maladie.</x:v>
      </x:c>
      <x:c r="N11" s="9" t="str">
        <x:v>Ignorer puis terminer la mission fonctionne ; compléter ne verse la récompense qu’une fois.</x:v>
      </x:c>
      <x:c r="O11" s="9" t="str">
        <x:v>ANN-MIS-RECONCILE</x:v>
      </x:c>
      <x:c r="P11" s="9" t="str"/>
      <x:c r="Q11" s="9" t="str"/>
      <x:c r="R11" s="9" t="str"/>
      <x:c r="S11" s="9" t="str"/>
    </x:row>
    <x:row r="12" ht="54" customHeight="1">
      <x:c r="A12" s="19" t="str">
        <x:v>ANN-OPT-QUESTION</x:v>
      </x:c>
      <x:c r="B12" s="7" t="str">
        <x:v>Conduire une demande d’explication — tâche annexe</x:v>
      </x:c>
      <x:c r="C12" s="15" t="str">
        <x:v>Défini</x:v>
      </x:c>
      <x:c r="D12" s="17" t="str">
        <x:v>Extrapolation</x:v>
      </x:c>
      <x:c r="E12" s="17" t="str">
        <x:v>P1</x:v>
      </x:c>
      <x:c r="F12" s="7" t="str">
        <x:v>Objectif annexe créé pour l’adaptation.</x:v>
      </x:c>
      <x:c r="G12" s="7" t="str">
        <x:v>Comparer deux horaires fictifs sans conclure à une causalité automatique.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optional.ann.question ; persister done/skipped, récompenser une seule fois.</x:v>
      </x:c>
      <x:c r="M12" s="7" t="str">
        <x:v>Facultatif ; peut être ignoré sans bloquer la mission. Les responsabilités et sanctions du livre restent à relire avant intégration.</x:v>
      </x:c>
      <x:c r="N12" s="7" t="str">
        <x:v>Ignorer puis terminer la mission fonctionne ; compléter ne verse la récompense qu’une fois.</x:v>
      </x:c>
      <x:c r="O12" s="7" t="str">
        <x:v>ANN-MIS-QUESTION</x:v>
      </x:c>
      <x:c r="P12" s="7" t="str"/>
      <x:c r="Q12" s="7" t="str"/>
      <x:c r="R12" s="7" t="str"/>
      <x:c r="S12" s="7" t="str"/>
    </x:row>
    <x:row r="13" ht="54" customHeight="1">
      <x:c r="A13" s="18" t="str">
        <x:v>ANN-OPT-PROTECT</x:v>
      </x:c>
      <x:c r="B13" s="9" t="str">
        <x:v>Préserver les passagers éveillés — tâche annexe</x:v>
      </x:c>
      <x:c r="C13" s="15" t="str">
        <x:v>Défini</x:v>
      </x:c>
      <x:c r="D13" s="16" t="str">
        <x:v>Extrapolation</x:v>
      </x:c>
      <x:c r="E13" s="16" t="str">
        <x:v>P1</x:v>
      </x:c>
      <x:c r="F13" s="9" t="str">
        <x:v>Objectif annexe créé pour l’adaptation.</x:v>
      </x:c>
      <x:c r="G13" s="9" t="str">
        <x:v>Aider un passager à retrouver un proche dans une scène originale.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optional.ann.protect ; persister done/skipped, récompenser une seule fois.</x:v>
      </x:c>
      <x:c r="M13" s="9" t="str">
        <x:v>Facultatif ; peut être ignoré sans bloquer la mission. Aucune faction ennemie fondée sur une espèce ou un symptôme.</x:v>
      </x:c>
      <x:c r="N13" s="9" t="str">
        <x:v>Ignorer puis terminer la mission fonctionne ; compléter ne verse la récompense qu’une fois.</x:v>
      </x:c>
      <x:c r="O13" s="9" t="str">
        <x:v>ANN-MIS-PROTECT</x:v>
      </x:c>
      <x:c r="P13" s="9" t="str"/>
      <x:c r="Q13" s="9" t="str"/>
      <x:c r="R13" s="9" t="str"/>
      <x:c r="S13" s="9" t="str"/>
    </x:row>
    <x:row r="14" ht="54" customHeight="1">
      <x:c r="A14" s="19" t="str">
        <x:v>ANN-OPT-STATE</x:v>
      </x:c>
      <x:c r="B14" s="7" t="str">
        <x:v>Consigner un état de voyage — tâche annexe</x:v>
      </x:c>
      <x:c r="C14" s="15" t="str">
        <x:v>Défini</x:v>
      </x:c>
      <x:c r="D14" s="17" t="str">
        <x:v>Extrapolation</x:v>
      </x:c>
      <x:c r="E14" s="17" t="str">
        <x:v>P1</x:v>
      </x:c>
      <x:c r="F14" s="7" t="str">
        <x:v>Objectif annexe créé pour l’adaptation.</x:v>
      </x:c>
      <x:c r="G14" s="7" t="str">
        <x:v>Remettre en place une contribution symbolique à la vie commune.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optional.ann.state ; persister done/skipped, récompenser une seule fois.</x:v>
      </x:c>
      <x:c r="M14" s="7" t="str">
        <x:v>Facultatif ; peut être ignoré sans bloquer la mission. La suite vers Andromède n’est pas transformée en DLC officiel inventé.</x:v>
      </x:c>
      <x:c r="N14" s="7" t="str">
        <x:v>Ignorer puis terminer la mission fonctionne ; compléter ne verse la récompense qu’une fois.</x:v>
      </x:c>
      <x:c r="O14" s="7" t="str">
        <x:v>ANN-MIS-STATE</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fb6a8b7b15c424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Annihilation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ANN-CHO-WAKE</x:v>
      </x:c>
      <x:c r="B7" s="9" t="str">
        <x:v>Répartir les premières vérifications — méthode optionnelle</x:v>
      </x:c>
      <x:c r="C7" s="15" t="str">
        <x:v>Défini</x:v>
      </x:c>
      <x:c r="D7" s="16" t="str">
        <x:v>Extrapolation</x:v>
      </x:c>
      <x:c r="E7" s="16" t="str">
        <x:v>P1</x:v>
      </x:c>
      <x:c r="F7" s="9" t="str">
        <x:v>Bifurcation locale originale ; elle ne crée pas une autre fin officielle.</x:v>
      </x:c>
      <x:c r="G7" s="9" t="str">
        <x:v>Commencer par les capteurs ou les témoignages ; mêmes indices finaux.</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choice.ann.wake ; stocker la méthode et le coût, jamais une réécriture d’événement source.</x:v>
      </x:c>
      <x:c r="M7" s="9" t="str">
        <x:v>Ne pas révéler le responsable avant l’étape validée du récit.</x:v>
      </x:c>
      <x:c r="N7" s="9" t="str">
        <x:v>Les deux branches sont atteignables ; l’état canonique final du module est identique.</x:v>
      </x:c>
      <x:c r="O7" s="9" t="str">
        <x:v>ANN-MIS-WAKE</x:v>
      </x:c>
      <x:c r="P7" s="9" t="str"/>
      <x:c r="Q7" s="9" t="str"/>
      <x:c r="R7" s="9" t="str"/>
      <x:c r="S7" s="9" t="str"/>
    </x:row>
    <x:row r="8" ht="54" customHeight="1">
      <x:c r="A8" s="19" t="str">
        <x:v>ANN-CHO-CONFIRM</x:v>
      </x:c>
      <x:c r="B8" s="7" t="str">
        <x:v>Comparer affichage et présence — méthode optionnelle</x:v>
      </x:c>
      <x:c r="C8" s="15" t="str">
        <x:v>Défini</x:v>
      </x:c>
      <x:c r="D8" s="17" t="str">
        <x:v>Extrapolation</x:v>
      </x:c>
      <x:c r="E8" s="17" t="str">
        <x:v>P1</x:v>
      </x:c>
      <x:c r="F8" s="7" t="str">
        <x:v>Bifurcation locale originale ; elle ne crée pas une autre fin officielle.</x:v>
      </x:c>
      <x:c r="G8" s="7" t="str">
        <x:v>Inspection assistée ou contrôle croisé de capteur.</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choice.ann.confirm ; stocker la méthode et le coût, jamais une réécriture d’événement source.</x:v>
      </x:c>
      <x:c r="M8" s="7" t="str">
        <x:v>Pas de simulation clinique réaliste ou récit détaillé des décès.</x:v>
      </x:c>
      <x:c r="N8" s="7" t="str">
        <x:v>Les deux branches sont atteignables ; l’état canonique final du module est identique.</x:v>
      </x:c>
      <x:c r="O8" s="7" t="str">
        <x:v>ANN-MIS-CONFIRM</x:v>
      </x:c>
      <x:c r="P8" s="7" t="str"/>
      <x:c r="Q8" s="7" t="str"/>
      <x:c r="R8" s="7" t="str"/>
      <x:c r="S8" s="7" t="str"/>
    </x:row>
    <x:row r="9" ht="54" customHeight="1">
      <x:c r="A9" s="18" t="str">
        <x:v>ANN-CHO-MEASURE</x:v>
      </x:c>
      <x:c r="B9" s="9" t="str">
        <x:v>Obtenir une mesure indépendante — méthode optionnelle</x:v>
      </x:c>
      <x:c r="C9" s="15" t="str">
        <x:v>Défini</x:v>
      </x:c>
      <x:c r="D9" s="16" t="str">
        <x:v>Extrapolation</x:v>
      </x:c>
      <x:c r="E9" s="16" t="str">
        <x:v>P1</x:v>
      </x:c>
      <x:c r="F9" s="9" t="str">
        <x:v>Bifurcation locale originale ; elle ne crée pas une autre fin officielle.</x:v>
      </x:c>
      <x:c r="G9" s="9" t="str">
        <x:v>Réparer un appareil ou adapter un outil compatible.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choice.ann.measure ; stocker la méthode et le coût, jamais une réécriture d’événement source.</x:v>
      </x:c>
      <x:c r="M9" s="9" t="str">
        <x:v>Aucun dosage, culture de pathogène ou traitement réel.</x:v>
      </x:c>
      <x:c r="N9" s="9" t="str">
        <x:v>Les deux branches sont atteignables ; l’état canonique final du module est identique.</x:v>
      </x:c>
      <x:c r="O9" s="9" t="str">
        <x:v>ANN-MIS-MEASURE</x:v>
      </x:c>
      <x:c r="P9" s="9" t="str"/>
      <x:c r="Q9" s="9" t="str"/>
      <x:c r="R9" s="9" t="str"/>
      <x:c r="S9" s="9" t="str"/>
    </x:row>
    <x:row r="10" ht="54" customHeight="1">
      <x:c r="A10" s="19" t="str">
        <x:v>ANN-CHO-RECOVER</x:v>
      </x:c>
      <x:c r="B10" s="7" t="str">
        <x:v>Retrouver un matériel déplacé — méthode optionnelle</x:v>
      </x:c>
      <x:c r="C10" s="15" t="str">
        <x:v>Défini</x:v>
      </x:c>
      <x:c r="D10" s="17" t="str">
        <x:v>Extrapolation</x:v>
      </x:c>
      <x:c r="E10" s="17" t="str">
        <x:v>P1</x:v>
      </x:c>
      <x:c r="F10" s="7" t="str">
        <x:v>Bifurcation locale originale ; elle ne crée pas une autre fin officielle.</x:v>
      </x:c>
      <x:c r="G10" s="7" t="str">
        <x:v>Faire coopérer un détenteur ou échanger un service de manutention.</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choice.ann.recover ; stocker la méthode et le coût, jamais une réécriture d’événement source.</x:v>
      </x:c>
      <x:c r="M10" s="7" t="str">
        <x:v>Ne pas traiter l’espèce du détenteur comme indice de culpabilité.</x:v>
      </x:c>
      <x:c r="N10" s="7" t="str">
        <x:v>Les deux branches sont atteignables ; l’état canonique final du module est identique.</x:v>
      </x:c>
      <x:c r="O10" s="7" t="str">
        <x:v>ANN-MIS-RECOVER</x:v>
      </x:c>
      <x:c r="P10" s="7" t="str"/>
      <x:c r="Q10" s="7" t="str"/>
      <x:c r="R10" s="7" t="str"/>
      <x:c r="S10" s="7" t="str"/>
    </x:row>
    <x:row r="11" ht="54" customHeight="1">
      <x:c r="A11" s="18" t="str">
        <x:v>ANN-CHO-RECONCILE</x:v>
      </x:c>
      <x:c r="B11" s="9" t="str">
        <x:v>Réconcilier deux états de système — méthode optionnelle</x:v>
      </x:c>
      <x:c r="C11" s="15" t="str">
        <x:v>Défini</x:v>
      </x:c>
      <x:c r="D11" s="16" t="str">
        <x:v>Extrapolation</x:v>
      </x:c>
      <x:c r="E11" s="16" t="str">
        <x:v>P1</x:v>
      </x:c>
      <x:c r="F11" s="9" t="str">
        <x:v>Bifurcation locale originale ; elle ne crée pas une autre fin officielle.</x:v>
      </x:c>
      <x:c r="G11" s="9" t="str">
        <x:v>Contourner un relais ou travailler sur le panneau local.</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choice.ann.reconcile ; stocker la méthode et le coût, jamais une réécriture d’événement source.</x:v>
      </x:c>
      <x:c r="M11" s="9" t="str">
        <x:v>La réparation locale ne résout pas instantanément la maladie.</x:v>
      </x:c>
      <x:c r="N11" s="9" t="str">
        <x:v>Les deux branches sont atteignables ; l’état canonique final du module est identique.</x:v>
      </x:c>
      <x:c r="O11" s="9" t="str">
        <x:v>ANN-MIS-RECONCILE</x:v>
      </x:c>
      <x:c r="P11" s="9" t="str"/>
      <x:c r="Q11" s="9" t="str"/>
      <x:c r="R11" s="9" t="str"/>
      <x:c r="S11" s="9" t="str"/>
    </x:row>
    <x:row r="12" ht="54" customHeight="1">
      <x:c r="A12" s="19" t="str">
        <x:v>ANN-CHO-QUESTION</x:v>
      </x:c>
      <x:c r="B12" s="7" t="str">
        <x:v>Conduire une demande d’explication — méthode optionnelle</x:v>
      </x:c>
      <x:c r="C12" s="15" t="str">
        <x:v>Défini</x:v>
      </x:c>
      <x:c r="D12" s="17" t="str">
        <x:v>Extrapolation</x:v>
      </x:c>
      <x:c r="E12" s="17" t="str">
        <x:v>P1</x:v>
      </x:c>
      <x:c r="F12" s="7" t="str">
        <x:v>Bifurcation locale originale ; elle ne crée pas une autre fin officielle.</x:v>
      </x:c>
      <x:c r="G12" s="7" t="str">
        <x:v>Entretien privé ou compte rendu contradictoire au groupe.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choice.ann.question ; stocker la méthode et le coût, jamais une réécriture d’événement source.</x:v>
      </x:c>
      <x:c r="M12" s="7" t="str">
        <x:v>Les responsabilités et sanctions du livre restent à relire avant intégration.</x:v>
      </x:c>
      <x:c r="N12" s="7" t="str">
        <x:v>Les deux branches sont atteignables ; l’état canonique final du module est identique.</x:v>
      </x:c>
      <x:c r="O12" s="7" t="str">
        <x:v>ANN-MIS-QUESTION</x:v>
      </x:c>
      <x:c r="P12" s="7" t="str"/>
      <x:c r="Q12" s="7" t="str"/>
      <x:c r="R12" s="7" t="str"/>
      <x:c r="S12" s="7" t="str"/>
    </x:row>
    <x:row r="13" ht="54" customHeight="1">
      <x:c r="A13" s="18" t="str">
        <x:v>ANN-CHO-PROTECT</x:v>
      </x:c>
      <x:c r="B13" s="9" t="str">
        <x:v>Préserver les passagers éveillés — méthode optionnelle</x:v>
      </x:c>
      <x:c r="C13" s="15" t="str">
        <x:v>Défini</x:v>
      </x:c>
      <x:c r="D13" s="16" t="str">
        <x:v>Extrapolation</x:v>
      </x:c>
      <x:c r="E13" s="16" t="str">
        <x:v>P1</x:v>
      </x:c>
      <x:c r="F13" s="9" t="str">
        <x:v>Bifurcation locale originale ; elle ne crée pas une autre fin officielle.</x:v>
      </x:c>
      <x:c r="G13" s="9" t="str">
        <x:v>Accès répartis par secteur ou zones de repos temporaires.</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choice.ann.protect ; stocker la méthode et le coût, jamais une réécriture d’événement source.</x:v>
      </x:c>
      <x:c r="M13" s="9" t="str">
        <x:v>Aucune faction ennemie fondée sur une espèce ou un symptôme.</x:v>
      </x:c>
      <x:c r="N13" s="9" t="str">
        <x:v>Les deux branches sont atteignables ; l’état canonique final du module est identique.</x:v>
      </x:c>
      <x:c r="O13" s="9" t="str">
        <x:v>ANN-MIS-PROTECT</x:v>
      </x:c>
      <x:c r="P13" s="9" t="str"/>
      <x:c r="Q13" s="9" t="str"/>
      <x:c r="R13" s="9" t="str"/>
      <x:c r="S13" s="9" t="str"/>
    </x:row>
    <x:row r="14" ht="54" customHeight="1">
      <x:c r="A14" s="19" t="str">
        <x:v>ANN-CHO-STATE</x:v>
      </x:c>
      <x:c r="B14" s="7" t="str">
        <x:v>Consigner un état de voyage — méthode optionnelle</x:v>
      </x:c>
      <x:c r="C14" s="15" t="str">
        <x:v>Défini</x:v>
      </x:c>
      <x:c r="D14" s="17" t="str">
        <x:v>Extrapolation</x:v>
      </x:c>
      <x:c r="E14" s="17" t="str">
        <x:v>P1</x:v>
      </x:c>
      <x:c r="F14" s="7" t="str">
        <x:v>Bifurcation locale originale ; elle ne crée pas une autre fin officielle.</x:v>
      </x:c>
      <x:c r="G14" s="7" t="str">
        <x:v>Rapport technique ou message destiné aux proches ; mêmes données vérifiées.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choice.ann.state ; stocker la méthode et le coût, jamais une réécriture d’événement source.</x:v>
      </x:c>
      <x:c r="M14" s="7" t="str">
        <x:v>La suite vers Andromède n’est pas transformée en DLC officiel inventé.</x:v>
      </x:c>
      <x:c r="N14" s="7" t="str">
        <x:v>Les deux branches sont atteignables ; l’état canonique final du module est identique.</x:v>
      </x:c>
      <x:c r="O14" s="7" t="str">
        <x:v>ANN-MIS-STATE</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43823f330fca437f"/>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Annihilation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ANN-DIA-SENNA</x:v>
      </x:c>
      <x:c r="B7" s="9" t="str">
        <x:v>Senna’Nir vas Keelah Si’yah — échange : devoir collectif et limites personnelles</x:v>
      </x:c>
      <x:c r="C7" s="15" t="str">
        <x:v>Défini</x:v>
      </x:c>
      <x:c r="D7" s="16" t="str">
        <x:v>Extrapolation</x:v>
      </x:c>
      <x:c r="E7" s="16" t="str">
        <x:v>P1</x:v>
      </x:c>
      <x:c r="F7" s="9" t="str">
        <x:v>Dialogue original à écrire, sans reproduire les répliques de la publication.</x:v>
      </x:c>
      <x:c r="G7" s="9" t="str">
        <x:v>Intentions : aborder devoir collectif et limites personnelles, poser une question de clarification, puis revenir à l’objectif local.</x:v>
      </x:c>
      <x:c r="H7" s="9" t="str">
        <x:v>Trois intentions proposées : demander un fait, exprimer une réserve, clore. Débloquer un indice local sans imposer une opinion au joueur.</x:v>
      </x:c>
      <x:c r="I7" s="9" t="str">
        <x:v>Portrait Senna’Nir vas Keelah Si’yah,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ann.senna.devoir-collectif-et-limites-personnelles ; drapeaux de connaissance locaux.</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Aucune option ne révèle un savoir futur ; quitter puis reprendre conserve les sujets déjà abordés.</x:v>
      </x:c>
      <x:c r="O7" s="9" t="str">
        <x:v>ANN-CHR-SENNA</x:v>
      </x:c>
      <x:c r="P7" s="9" t="str"/>
      <x:c r="Q7" s="9" t="str"/>
      <x:c r="R7" s="9" t="str"/>
      <x:c r="S7" s="9" t="str">
        <x:v>Sujet et intentions sont du design original, pas une transcription.</x:v>
      </x:c>
    </x:row>
    <x:row r="8" ht="82" customHeight="1">
      <x:c r="A8" s="19" t="str">
        <x:v>ANN-DIA-ANAX</x:v>
      </x:c>
      <x:c r="B8" s="7" t="str">
        <x:v>Anax Therion — échange : confiance et interprétation</x:v>
      </x:c>
      <x:c r="C8" s="15" t="str">
        <x:v>Défini</x:v>
      </x:c>
      <x:c r="D8" s="17" t="str">
        <x:v>Extrapolation</x:v>
      </x:c>
      <x:c r="E8" s="17" t="str">
        <x:v>P1</x:v>
      </x:c>
      <x:c r="F8" s="7" t="str">
        <x:v>Dialogue original à écrire, sans reproduire les répliques de la publication.</x:v>
      </x:c>
      <x:c r="G8" s="7" t="str">
        <x:v>Intentions : aborder confiance et interprétation, poser une question de clarification, puis revenir à l’objectif local.</x:v>
      </x:c>
      <x:c r="H8" s="7" t="str">
        <x:v>Trois intentions proposées : demander un fait, exprimer une réserve, clore. Débloquer un indice local sans imposer une opinion au joueur.</x:v>
      </x:c>
      <x:c r="I8" s="7" t="str">
        <x:v>Portrait Anax Therion,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ann.anax.confiance-et-interpretation ; drapeaux de connaissance locaux.</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Aucune option ne révèle un savoir futur ; quitter puis reprendre conserve les sujets déjà abordés.</x:v>
      </x:c>
      <x:c r="O8" s="7" t="str">
        <x:v>ANN-CHR-ANAX</x:v>
      </x:c>
      <x:c r="P8" s="7" t="str"/>
      <x:c r="Q8" s="7" t="str"/>
      <x:c r="R8" s="7" t="str"/>
      <x:c r="S8" s="7" t="str">
        <x:v>Sujet et intentions sont du design original, pas une transcription.</x:v>
      </x:c>
    </x:row>
    <x:row r="9" ht="82" customHeight="1">
      <x:c r="A9" s="18" t="str">
        <x:v>ANN-DIA-YORRIK</x:v>
      </x:c>
      <x:c r="B9" s="9" t="str">
        <x:v>Yorrik — échange : soin, incertitude et dignité</x:v>
      </x:c>
      <x:c r="C9" s="15" t="str">
        <x:v>Défini</x:v>
      </x:c>
      <x:c r="D9" s="16" t="str">
        <x:v>Extrapolation</x:v>
      </x:c>
      <x:c r="E9" s="16" t="str">
        <x:v>P1</x:v>
      </x:c>
      <x:c r="F9" s="9" t="str">
        <x:v>Dialogue original à écrire, sans reproduire les répliques de la publication.</x:v>
      </x:c>
      <x:c r="G9" s="9" t="str">
        <x:v>Intentions : aborder soin, incertitude et dignité, poser une question de clarification, puis revenir à l’objectif local.</x:v>
      </x:c>
      <x:c r="H9" s="9" t="str">
        <x:v>Trois intentions proposées : demander un fait, exprimer une réserve, clore. Débloquer un indice local sans imposer une opinion au joueur.</x:v>
      </x:c>
      <x:c r="I9" s="9" t="str">
        <x:v>Portrait Yorrik,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ann.yorrik.soin-incertitude-et-dignite ; drapeaux de connaissance locaux.</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Aucune option ne révèle un savoir futur ; quitter puis reprendre conserve les sujets déjà abordés.</x:v>
      </x:c>
      <x:c r="O9" s="9" t="str">
        <x:v>ANN-CHR-YORRIK</x:v>
      </x:c>
      <x:c r="P9" s="9" t="str"/>
      <x:c r="Q9" s="9" t="str"/>
      <x:c r="R9" s="9" t="str"/>
      <x:c r="S9" s="9" t="str">
        <x:v>Sujet et intentions sont du design original, pas une transcription.</x:v>
      </x:c>
    </x:row>
    <x:row r="10" ht="82" customHeight="1">
      <x:c r="A10" s="19" t="str">
        <x:v>ANN-DIA-BORBALA</x:v>
      </x:c>
      <x:c r="B10" s="7" t="str">
        <x:v>Borbala Ferank — échange : passé personnel et nécessité collective</x:v>
      </x:c>
      <x:c r="C10" s="15" t="str">
        <x:v>Défini</x:v>
      </x:c>
      <x:c r="D10" s="17" t="str">
        <x:v>Extrapolation</x:v>
      </x:c>
      <x:c r="E10" s="17" t="str">
        <x:v>P1</x:v>
      </x:c>
      <x:c r="F10" s="7" t="str">
        <x:v>Dialogue original à écrire, sans reproduire les répliques de la publication.</x:v>
      </x:c>
      <x:c r="G10" s="7" t="str">
        <x:v>Intentions : aborder passé personnel et nécessité collective, poser une question de clarification, puis revenir à l’objectif local.</x:v>
      </x:c>
      <x:c r="H10" s="7" t="str">
        <x:v>Trois intentions proposées : demander un fait, exprimer une réserve, clore. Débloquer un indice local sans imposer une opinion au joueur.</x:v>
      </x:c>
      <x:c r="I10" s="7" t="str">
        <x:v>Portrait Borbala Ferank,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ann.borbala.passe-personnel-et-necessite-collective ; drapeaux de connaissance locaux.</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Aucune option ne révèle un savoir futur ; quitter puis reprendre conserve les sujets déjà abordés.</x:v>
      </x:c>
      <x:c r="O10" s="7" t="str">
        <x:v>ANN-CHR-BORBALA</x:v>
      </x:c>
      <x:c r="P10" s="7" t="str"/>
      <x:c r="Q10" s="7" t="str"/>
      <x:c r="R10" s="7" t="str"/>
      <x:c r="S10" s="7" t="str">
        <x:v>Sujet et intentions sont du design original, pas une transcription.</x:v>
      </x:c>
    </x:row>
    <x:row r="11" ht="82" customHeight="1">
      <x:c r="A11" s="18" t="str">
        <x:v>ANN-DIA-IRIT</x:v>
      </x:c>
      <x:c r="B11" s="9" t="str">
        <x:v>Irit Non — échange : valeur d’un constat contradictoire</x:v>
      </x:c>
      <x:c r="C11" s="15" t="str">
        <x:v>Défini</x:v>
      </x:c>
      <x:c r="D11" s="16" t="str">
        <x:v>Extrapolation</x:v>
      </x:c>
      <x:c r="E11" s="16" t="str">
        <x:v>P1</x:v>
      </x:c>
      <x:c r="F11" s="9" t="str">
        <x:v>Dialogue original à écrire, sans reproduire les répliques de la publication.</x:v>
      </x:c>
      <x:c r="G11" s="9" t="str">
        <x:v>Intentions : aborder valeur d’un constat contradictoire, poser une question de clarification, puis revenir à l’objectif local.</x:v>
      </x:c>
      <x:c r="H11" s="9" t="str">
        <x:v>Trois intentions proposées : demander un fait, exprimer une réserve, clore. Débloquer un indice local sans imposer une opinion au joueur.</x:v>
      </x:c>
      <x:c r="I11" s="9" t="str">
        <x:v>Portrait Irit Non,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ann.irit.valeur-dun-constat-contradictoire ; drapeaux de connaissance locaux.</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Aucune option ne révèle un savoir futur ; quitter puis reprendre conserve les sujets déjà abordés.</x:v>
      </x:c>
      <x:c r="O11" s="9" t="str">
        <x:v>ANN-CHR-IRIT</x:v>
      </x:c>
      <x:c r="P11" s="9" t="str"/>
      <x:c r="Q11" s="9" t="str"/>
      <x:c r="R11" s="9" t="str"/>
      <x:c r="S11" s="9" t="str">
        <x:v>Sujet et intentions sont du design original, pas une transcription.</x:v>
      </x:c>
    </x:row>
    <x:row r="12" ht="82" customHeight="1">
      <x:c r="A12" s="19" t="str">
        <x:v>ANN-DIA-YSSES</x:v>
      </x:c>
      <x:c r="B12" s="7" t="str">
        <x:v>Ysses — échange : convictions personnelles et service de l’équipage</x:v>
      </x:c>
      <x:c r="C12" s="15" t="str">
        <x:v>Défini</x:v>
      </x:c>
      <x:c r="D12" s="17" t="str">
        <x:v>Extrapolation</x:v>
      </x:c>
      <x:c r="E12" s="17" t="str">
        <x:v>P1</x:v>
      </x:c>
      <x:c r="F12" s="7" t="str">
        <x:v>Dialogue original à écrire, sans reproduire les répliques de la publication.</x:v>
      </x:c>
      <x:c r="G12" s="7" t="str">
        <x:v>Intentions : aborder convictions personnelles et service de l’équipage, poser une question de clarification, puis revenir à l’objectif local.</x:v>
      </x:c>
      <x:c r="H12" s="7" t="str">
        <x:v>Trois intentions proposées : demander un fait, exprimer une réserve, clore. Débloquer un indice local sans imposer une opinion au joueur.</x:v>
      </x:c>
      <x:c r="I12" s="7" t="str">
        <x:v>Portrait Ysses,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ann.ysses.convictions-personnelles-et-service-de-lequipage ; drapeaux de connaissance locaux.</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Aucune option ne révèle un savoir futur ; quitter puis reprendre conserve les sujets déjà abordés.</x:v>
      </x:c>
      <x:c r="O12" s="7" t="str">
        <x:v>ANN-CHR-YSSES</x:v>
      </x:c>
      <x:c r="P12" s="7" t="str"/>
      <x:c r="Q12" s="7" t="str"/>
      <x:c r="R12" s="7" t="str"/>
      <x:c r="S12" s="7" t="str">
        <x:v>Sujet et intentions sont du design original, pas une transcription.</x:v>
      </x:c>
    </x:row>
    <x:row r="13" ht="82" customHeight="1">
      <x:c r="A13" s="18" t="str">
        <x:v>ANN-DIA-QETSI</x:v>
      </x:c>
      <x:c r="B13" s="9" t="str">
        <x:v>Qetsi’Olam vas Keelah Si’yah — échange : autorité et preuve</x:v>
      </x:c>
      <x:c r="C13" s="15" t="str">
        <x:v>Défini</x:v>
      </x:c>
      <x:c r="D13" s="16" t="str">
        <x:v>Extrapolation</x:v>
      </x:c>
      <x:c r="E13" s="16" t="str">
        <x:v>P1</x:v>
      </x:c>
      <x:c r="F13" s="9" t="str">
        <x:v>Dialogue original à écrire, sans reproduire les répliques de la publication.</x:v>
      </x:c>
      <x:c r="G13" s="9" t="str">
        <x:v>Intentions : aborder autorité et preuve, poser une question de clarification, puis revenir à l’objectif local.</x:v>
      </x:c>
      <x:c r="H13" s="9" t="str">
        <x:v>Trois intentions proposées : demander un fait, exprimer une réserve, clore. Débloquer un indice local sans imposer une opinion au joueur.</x:v>
      </x:c>
      <x:c r="I13" s="9" t="str">
        <x:v>Portrait Qetsi’Olam vas Keelah Si’yah,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ann.qetsi.autorite-et-preuve ; drapeaux de connaissance locaux.</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Aucune option ne révèle un savoir futur ; quitter puis reprendre conserve les sujets déjà abordés.</x:v>
      </x:c>
      <x:c r="O13" s="9" t="str">
        <x:v>ANN-CHR-QETSI</x:v>
      </x:c>
      <x:c r="P13" s="9" t="str"/>
      <x:c r="Q13" s="9" t="str"/>
      <x:c r="R13" s="9" t="str"/>
      <x:c r="S13" s="9" t="str">
        <x:v>Sujet et intentions sont du design original, pas une transcription.</x:v>
      </x:c>
    </x:row>
    <x:row r="14" ht="82" customHeight="1">
      <x:c r="A14" s="19" t="str">
        <x:v>ANN-DIA-MALAK</x:v>
      </x:c>
      <x:c r="B14" s="7" t="str">
        <x:v>Malak’Rafa vas Keelah Si’yah — échange : mémoire d’un projet commun</x:v>
      </x:c>
      <x:c r="C14" s="15" t="str">
        <x:v>Défini</x:v>
      </x:c>
      <x:c r="D14" s="17" t="str">
        <x:v>Extrapolation</x:v>
      </x:c>
      <x:c r="E14" s="17" t="str">
        <x:v>P1</x:v>
      </x:c>
      <x:c r="F14" s="7" t="str">
        <x:v>Dialogue original à écrire, sans reproduire les répliques de la publication.</x:v>
      </x:c>
      <x:c r="G14" s="7" t="str">
        <x:v>Intentions : aborder mémoire d’un projet commun, poser une question de clarification, puis revenir à l’objectif local.</x:v>
      </x:c>
      <x:c r="H14" s="7" t="str">
        <x:v>Trois intentions proposées : demander un fait, exprimer une réserve, clore. Débloquer un indice local sans imposer une opinion au joueur.</x:v>
      </x:c>
      <x:c r="I14" s="7" t="str">
        <x:v>Portrait Malak’Rafa vas Keelah Si’yah,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ann.malak.memoire-dun-projet-commun ; drapeaux de connaissance locaux.</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Aucune option ne révèle un savoir futur ; quitter puis reprendre conserve les sujets déjà abordés.</x:v>
      </x:c>
      <x:c r="O14" s="7" t="str">
        <x:v>ANN-CHR-MALAK</x:v>
      </x:c>
      <x:c r="P14" s="7" t="str"/>
      <x:c r="Q14" s="7" t="str"/>
      <x:c r="R14" s="7" t="str"/>
      <x:c r="S14" s="7" t="str">
        <x:v>Sujet et intentions sont du design original, pas une transcription.</x:v>
      </x:c>
    </x:row>
    <x:row r="15" ht="82" customHeight="1">
      <x:c r="A15" s="18" t="str">
        <x:v>ANN-DIA-SOVAL</x:v>
      </x:c>
      <x:c r="B15" s="9" t="str">
        <x:v>Soval Raxios — consultation d’archive</x:v>
      </x:c>
      <x:c r="C15" s="15" t="str">
        <x:v>Défini</x:v>
      </x:c>
      <x:c r="D15" s="16" t="str">
        <x:v>Extrapolation</x:v>
      </x:c>
      <x:c r="E15" s="16" t="str">
        <x:v>P1</x:v>
      </x:c>
      <x:c r="F15" s="9" t="str">
        <x:v>Interaction originale de consultation et annotation d’un dossier, sans conversation physique ajoutée.</x:v>
      </x:c>
      <x:c r="G15" s="9" t="str">
        <x:v>Lire une notice originale brève, demander sa provenance dans l’interface, puis revenir à l’objectif. Aucune parole nouvelle attribuée à la personne archivée.</x:v>
      </x:c>
      <x:c r="H15" s="9" t="str">
        <x:v>Trois commandes proposées : consulter, afficher la source, fermer. Un doute peut être ajouté au journal sans créer de témoignage.</x:v>
      </x:c>
      <x:c r="I15" s="9" t="str">
        <x:v>Portrait Soval Raxios, interlocuteur actif et indication de la personne qui connaît le fait.</x:v>
      </x:c>
      <x:c r="J15" s="9" t="str">
        <x:v>Portrait d’archive fixe ; surlignage facultatif de la pièce consultée.</x:v>
      </x:c>
      <x:c r="K15" s="9" t="str">
        <x:v>Aucune voix enregistrée fictivement attribuée au personnage ; signal UI discret et texte intégral.</x:v>
      </x:c>
      <x:c r="L15" s="9" t="str">
        <x:v>archive.ann.soval ; entrée de dossier et provenance, sans graphe de conversation avec un acteur présent.</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La personne reste absente du groupe physique ; aucun nouveau savoir n’est débloqué sans source ou annotation Extrapolation.</x:v>
      </x:c>
      <x:c r="O15" s="9" t="str">
        <x:v>ANN-CHR-SOVAL</x:v>
      </x:c>
      <x:c r="P15" s="9" t="str"/>
      <x:c r="Q15" s="9" t="str"/>
      <x:c r="R15" s="9" t="str"/>
      <x:c r="S15" s="9" t="str">
        <x:v>Sujet et intentions sont du design original, pas une transcription.</x:v>
      </x:c>
    </x:row>
    <x:row r="16" ht="82" customHeight="1">
      <x:c r="A16" s="19" t="str">
        <x:v>ANN-DIA-KHOLAI</x:v>
      </x:c>
      <x:c r="B16" s="7" t="str">
        <x:v>Kholai — échange : coexistence de convictions à bord</x:v>
      </x:c>
      <x:c r="C16" s="15" t="str">
        <x:v>Défini</x:v>
      </x:c>
      <x:c r="D16" s="17" t="str">
        <x:v>Extrapolation</x:v>
      </x:c>
      <x:c r="E16" s="17" t="str">
        <x:v>P1</x:v>
      </x:c>
      <x:c r="F16" s="7" t="str">
        <x:v>Dialogue original à écrire, sans reproduire les répliques de la publication.</x:v>
      </x:c>
      <x:c r="G16" s="7" t="str">
        <x:v>Intentions : aborder coexistence de convictions à bord, poser une question de clarification, puis revenir à l’objectif local.</x:v>
      </x:c>
      <x:c r="H16" s="7" t="str">
        <x:v>Trois intentions proposées : demander un fait, exprimer une réserve, clore. Débloquer un indice local sans imposer une opinion au joueur.</x:v>
      </x:c>
      <x:c r="I16" s="7" t="str">
        <x:v>Portrait Kholai,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ann.kholai.coexistence-de-convictions-a-bord ; drapeaux de connaissance locaux.</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Aucune option ne révèle un savoir futur ; quitter puis reprendre conserve les sujets déjà abordés.</x:v>
      </x:c>
      <x:c r="O16" s="7" t="str">
        <x:v>ANN-CHR-KHOLAI</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dfa7e3aedb444ee2"/>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Annihilation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ANN-CIN-WAKE</x:v>
      </x:c>
      <x:c r="B7" s="9" t="str">
        <x:v>Répartir les premières vérifications — transition narrative</x:v>
      </x:c>
      <x:c r="C7" s="15" t="str">
        <x:v>Défini</x:v>
      </x:c>
      <x:c r="D7" s="16" t="str">
        <x:v>Extrapolation</x:v>
      </x:c>
      <x:c r="E7" s="16" t="str">
        <x:v>P1</x:v>
      </x:c>
      <x:c r="F7" s="9" t="str">
        <x:v>Mise en scène originale compacte, sans reconstituer les dialogues de l’œuvre.</x:v>
      </x:c>
      <x:c r="G7" s="9" t="str">
        <x:v>Plan circulaire du hub avec plusieurs silhouettes non humaines.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cinematics/ann/wake.timeline ; événements idempotents.</x:v>
      </x:c>
      <x:c r="M7" s="9" t="str">
        <x:v>Ne pas révéler le responsable avant l’étape validée du récit.</x:v>
      </x:c>
      <x:c r="N7" s="9" t="str">
        <x:v>Version regardée et version sautée donnent les mêmes inventaire, équipe, carte et objectifs.</x:v>
      </x:c>
      <x:c r="O7" s="9" t="str">
        <x:v>ANN-MIS-WAKE</x:v>
      </x:c>
      <x:c r="P7" s="9" t="str"/>
      <x:c r="Q7" s="9" t="str"/>
      <x:c r="R7" s="9" t="str"/>
      <x:c r="S7" s="9" t="str"/>
    </x:row>
    <x:row r="8" ht="54" customHeight="1">
      <x:c r="A8" s="19" t="str">
        <x:v>ANN-CIN-CONFIRM</x:v>
      </x:c>
      <x:c r="B8" s="7" t="str">
        <x:v>Comparer affichage et présence — transition narrative</x:v>
      </x:c>
      <x:c r="C8" s="15" t="str">
        <x:v>Défini</x:v>
      </x:c>
      <x:c r="D8" s="17" t="str">
        <x:v>Extrapolation</x:v>
      </x:c>
      <x:c r="E8" s="17" t="str">
        <x:v>P1</x:v>
      </x:c>
      <x:c r="F8" s="7" t="str">
        <x:v>Mise en scène originale compacte, sans reconstituer les dialogues de l’œuvre.</x:v>
      </x:c>
      <x:c r="G8" s="7" t="str">
        <x:v>Deux panneaux contradictoires restent visibles à l’écran.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cinematics/ann/confirm.timeline ; événements idempotents.</x:v>
      </x:c>
      <x:c r="M8" s="7" t="str">
        <x:v>Pas de simulation clinique réaliste ou récit détaillé des décès.</x:v>
      </x:c>
      <x:c r="N8" s="7" t="str">
        <x:v>Version regardée et version sautée donnent les mêmes inventaire, équipe, carte et objectifs.</x:v>
      </x:c>
      <x:c r="O8" s="7" t="str">
        <x:v>ANN-MIS-CONFIRM</x:v>
      </x:c>
      <x:c r="P8" s="7" t="str"/>
      <x:c r="Q8" s="7" t="str"/>
      <x:c r="R8" s="7" t="str"/>
      <x:c r="S8" s="7" t="str"/>
    </x:row>
    <x:row r="9" ht="54" customHeight="1">
      <x:c r="A9" s="18" t="str">
        <x:v>ANN-CIN-MEASURE</x:v>
      </x:c>
      <x:c r="B9" s="9" t="str">
        <x:v>Obtenir une mesure indépendante — transition narrative</x:v>
      </x:c>
      <x:c r="C9" s="15" t="str">
        <x:v>Défini</x:v>
      </x:c>
      <x:c r="D9" s="16" t="str">
        <x:v>Extrapolation</x:v>
      </x:c>
      <x:c r="E9" s="16" t="str">
        <x:v>P1</x:v>
      </x:c>
      <x:c r="F9" s="9" t="str">
        <x:v>Mise en scène originale compacte, sans reconstituer les dialogues de l’œuvre.</x:v>
      </x:c>
      <x:c r="G9" s="9" t="str">
        <x:v>Les silhouettes travaillent côte à côte autour d’un résultat incomplet.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cinematics/ann/measure.timeline ; événements idempotents.</x:v>
      </x:c>
      <x:c r="M9" s="9" t="str">
        <x:v>Aucun dosage, culture de pathogène ou traitement réel.</x:v>
      </x:c>
      <x:c r="N9" s="9" t="str">
        <x:v>Version regardée et version sautée donnent les mêmes inventaire, équipe, carte et objectifs.</x:v>
      </x:c>
      <x:c r="O9" s="9" t="str">
        <x:v>ANN-MIS-MEASURE</x:v>
      </x:c>
      <x:c r="P9" s="9" t="str"/>
      <x:c r="Q9" s="9" t="str"/>
      <x:c r="R9" s="9" t="str"/>
      <x:c r="S9" s="9" t="str"/>
    </x:row>
    <x:row r="10" ht="54" customHeight="1">
      <x:c r="A10" s="19" t="str">
        <x:v>ANN-CIN-RECOVER</x:v>
      </x:c>
      <x:c r="B10" s="7" t="str">
        <x:v>Retrouver un matériel déplacé — transition narrative</x:v>
      </x:c>
      <x:c r="C10" s="15" t="str">
        <x:v>Défini</x:v>
      </x:c>
      <x:c r="D10" s="17" t="str">
        <x:v>Extrapolation</x:v>
      </x:c>
      <x:c r="E10" s="17" t="str">
        <x:v>P1</x:v>
      </x:c>
      <x:c r="F10" s="7" t="str">
        <x:v>Mise en scène originale compacte, sans reconstituer les dialogues de l’œuvre.</x:v>
      </x:c>
      <x:c r="G10" s="7" t="str">
        <x:v>Un objet utile quitte la réserve sans vider tous les casiers.</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cinematics/ann/recover.timeline ; événements idempotents.</x:v>
      </x:c>
      <x:c r="M10" s="7" t="str">
        <x:v>Ne pas traiter l’espèce du détenteur comme indice de culpabilité.</x:v>
      </x:c>
      <x:c r="N10" s="7" t="str">
        <x:v>Version regardée et version sautée donnent les mêmes inventaire, équipe, carte et objectifs.</x:v>
      </x:c>
      <x:c r="O10" s="7" t="str">
        <x:v>ANN-MIS-RECOVER</x:v>
      </x:c>
      <x:c r="P10" s="7" t="str"/>
      <x:c r="Q10" s="7" t="str"/>
      <x:c r="R10" s="7" t="str"/>
      <x:c r="S10" s="7" t="str"/>
    </x:row>
    <x:row r="11" ht="54" customHeight="1">
      <x:c r="A11" s="18" t="str">
        <x:v>ANN-CIN-RECONCILE</x:v>
      </x:c>
      <x:c r="B11" s="9" t="str">
        <x:v>Réconcilier deux états de système — transition narrative</x:v>
      </x:c>
      <x:c r="C11" s="15" t="str">
        <x:v>Défini</x:v>
      </x:c>
      <x:c r="D11" s="16" t="str">
        <x:v>Extrapolation</x:v>
      </x:c>
      <x:c r="E11" s="16" t="str">
        <x:v>P1</x:v>
      </x:c>
      <x:c r="F11" s="9" t="str">
        <x:v>Mise en scène originale compacte, sans reconstituer les dialogues de l’œuvre.</x:v>
      </x:c>
      <x:c r="G11" s="9" t="str">
        <x:v>Le plan de secteur se corrige progressivement.</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cinematics/ann/reconcile.timeline ; événements idempotents.</x:v>
      </x:c>
      <x:c r="M11" s="9" t="str">
        <x:v>La réparation locale ne résout pas instantanément la maladie.</x:v>
      </x:c>
      <x:c r="N11" s="9" t="str">
        <x:v>Version regardée et version sautée donnent les mêmes inventaire, équipe, carte et objectifs.</x:v>
      </x:c>
      <x:c r="O11" s="9" t="str">
        <x:v>ANN-MIS-RECONCILE</x:v>
      </x:c>
      <x:c r="P11" s="9" t="str"/>
      <x:c r="Q11" s="9" t="str"/>
      <x:c r="R11" s="9" t="str"/>
      <x:c r="S11" s="9" t="str"/>
    </x:row>
    <x:row r="12" ht="54" customHeight="1">
      <x:c r="A12" s="19" t="str">
        <x:v>ANN-CIN-QUESTION</x:v>
      </x:c>
      <x:c r="B12" s="7" t="str">
        <x:v>Conduire une demande d’explication — transition narrative</x:v>
      </x:c>
      <x:c r="C12" s="15" t="str">
        <x:v>Défini</x:v>
      </x:c>
      <x:c r="D12" s="17" t="str">
        <x:v>Extrapolation</x:v>
      </x:c>
      <x:c r="E12" s="17" t="str">
        <x:v>P1</x:v>
      </x:c>
      <x:c r="F12" s="7" t="str">
        <x:v>Mise en scène originale compacte, sans reconstituer les dialogues de l’œuvre.</x:v>
      </x:c>
      <x:c r="G12" s="7" t="str">
        <x:v>Portraits silencieux et tableau de faits, sans scène de procès copiée.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cinematics/ann/question.timeline ; événements idempotents.</x:v>
      </x:c>
      <x:c r="M12" s="7" t="str">
        <x:v>Les responsabilités et sanctions du livre restent à relire avant intégration.</x:v>
      </x:c>
      <x:c r="N12" s="7" t="str">
        <x:v>Version regardée et version sautée donnent les mêmes inventaire, équipe, carte et objectifs.</x:v>
      </x:c>
      <x:c r="O12" s="7" t="str">
        <x:v>ANN-MIS-QUESTION</x:v>
      </x:c>
      <x:c r="P12" s="7" t="str"/>
      <x:c r="Q12" s="7" t="str"/>
      <x:c r="R12" s="7" t="str"/>
      <x:c r="S12" s="7" t="str"/>
    </x:row>
    <x:row r="13" ht="54" customHeight="1">
      <x:c r="A13" s="18" t="str">
        <x:v>ANN-CIN-PROTECT</x:v>
      </x:c>
      <x:c r="B13" s="9" t="str">
        <x:v>Préserver les passagers éveillés — transition narrative</x:v>
      </x:c>
      <x:c r="C13" s="15" t="str">
        <x:v>Défini</x:v>
      </x:c>
      <x:c r="D13" s="16" t="str">
        <x:v>Extrapolation</x:v>
      </x:c>
      <x:c r="E13" s="16" t="str">
        <x:v>P1</x:v>
      </x:c>
      <x:c r="F13" s="9" t="str">
        <x:v>Mise en scène originale compacte, sans reconstituer les dialogues de l’œuvre.</x:v>
      </x:c>
      <x:c r="G13" s="9" t="str">
        <x:v>Vue large sur plusieurs espèces aidant au passage.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cinematics/ann/protect.timeline ; événements idempotents.</x:v>
      </x:c>
      <x:c r="M13" s="9" t="str">
        <x:v>Aucune faction ennemie fondée sur une espèce ou un symptôme.</x:v>
      </x:c>
      <x:c r="N13" s="9" t="str">
        <x:v>Version regardée et version sautée donnent les mêmes inventaire, équipe, carte et objectifs.</x:v>
      </x:c>
      <x:c r="O13" s="9" t="str">
        <x:v>ANN-MIS-PROTECT</x:v>
      </x:c>
      <x:c r="P13" s="9" t="str"/>
      <x:c r="Q13" s="9" t="str"/>
      <x:c r="R13" s="9" t="str"/>
      <x:c r="S13" s="9" t="str"/>
    </x:row>
    <x:row r="14" ht="54" customHeight="1">
      <x:c r="A14" s="19" t="str">
        <x:v>ANN-CIN-STATE</x:v>
      </x:c>
      <x:c r="B14" s="7" t="str">
        <x:v>Consigner un état de voyage — transition narrative</x:v>
      </x:c>
      <x:c r="C14" s="15" t="str">
        <x:v>Défini</x:v>
      </x:c>
      <x:c r="D14" s="17" t="str">
        <x:v>Extrapolation</x:v>
      </x:c>
      <x:c r="E14" s="17" t="str">
        <x:v>P1</x:v>
      </x:c>
      <x:c r="F14" s="7" t="str">
        <x:v>Mise en scène originale compacte, sans reconstituer les dialogues de l’œuvre.</x:v>
      </x:c>
      <x:c r="G14" s="7" t="str">
        <x:v>Le Radial retrouve une lumière partielle, sans promettre une arrivée.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cinematics/ann/state.timeline ; événements idempotents.</x:v>
      </x:c>
      <x:c r="M14" s="7" t="str">
        <x:v>La suite vers Andromède n’est pas transformée en DLC officiel inventé.</x:v>
      </x:c>
      <x:c r="N14" s="7" t="str">
        <x:v>Version regardée et version sautée donnent les mêmes inventaire, équipe, carte et objectifs.</x:v>
      </x:c>
      <x:c r="O14" s="7" t="str">
        <x:v>ANN-MIS-STATE</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612317cefec40b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Annihilation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ANN-REF-LOCKER</x:v>
      </x:c>
      <x:c r="B7" s="9" t="str">
        <x:v>Armes de l’armoire de sécurité</x:v>
      </x:c>
      <x:c r="C7" s="15" t="str">
        <x:v>Défini</x:v>
      </x:c>
      <x:c r="D7" s="16" t="str">
        <x:v>Établi</x:v>
      </x:c>
      <x:c r="E7" s="16" t="str">
        <x:v>P1</x:v>
      </x:c>
      <x:c r="F7" s="9" t="str">
        <x:v>Une armoire d’armes est accessible sur le pont ; les modèles précis restent à vérifier.</x:v>
      </x:c>
      <x:c r="G7" s="9" t="str">
        <x:v>Ancrage documentaire du module ; aucune statistique officielle inférée.</x:v>
      </x:c>
      <x:c r="H7" s="9" t="str"/>
      <x:c r="I7" s="9" t="str"/>
      <x:c r="J7" s="9" t="str"/>
      <x:c r="K7" s="9" t="str"/>
      <x:c r="L7" s="9" t="str">
        <x:v>Codex ref.ann.locker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9" t="str">
        <x:v>https://masseffect.fandom.com/wiki/Anax_Therion</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f785c76f96c74d65"/>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Annihilation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ANN-REF-CRYO</x:v>
      </x:c>
      <x:c r="B7" s="9" t="str">
        <x:v>Cryostase</x:v>
      </x:c>
      <x:c r="C7" s="15" t="str">
        <x:v>Défini</x:v>
      </x:c>
      <x:c r="D7" s="16" t="str">
        <x:v>Établi</x:v>
      </x:c>
      <x:c r="E7" s="16" t="str">
        <x:v>P1</x:v>
      </x:c>
      <x:c r="F7" s="9" t="str">
        <x:v>Les passagers voyagent dans des capsules cryogéniques.</x:v>
      </x:c>
      <x:c r="G7" s="9" t="str">
        <x:v>Ancrage documentaire du module ; aucune statistique officielle inférée.</x:v>
      </x:c>
      <x:c r="H7" s="9" t="str"/>
      <x:c r="I7" s="9" t="str"/>
      <x:c r="J7" s="9" t="str"/>
      <x:c r="K7" s="9" t="str"/>
      <x:c r="L7" s="9" t="str">
        <x:v>Codex ref.ann.cryo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x:v>
      </x:c>
    </x:row>
    <x:row r="8" ht="82" customHeight="1">
      <x:c r="A8" s="19" t="str">
        <x:v>ANN-REF-MICROSCOPE</x:v>
      </x:c>
      <x:c r="B8" s="7" t="str">
        <x:v>Microscope et matériel d’analyse</x:v>
      </x:c>
      <x:c r="C8" s="15" t="str">
        <x:v>Défini</x:v>
      </x:c>
      <x:c r="D8" s="17" t="str">
        <x:v>Établi</x:v>
      </x:c>
      <x:c r="E8" s="17" t="str">
        <x:v>P1</x:v>
      </x:c>
      <x:c r="F8" s="7" t="str">
        <x:v>Anax recherche du matériel pour examiner la cause de la crise.</x:v>
      </x:c>
      <x:c r="G8" s="7" t="str">
        <x:v>Ancrage documentaire du module ; aucune statistique officielle inférée.</x:v>
      </x:c>
      <x:c r="H8" s="7" t="str"/>
      <x:c r="I8" s="7" t="str"/>
      <x:c r="J8" s="7" t="str"/>
      <x:c r="K8" s="7" t="str"/>
      <x:c r="L8" s="7" t="str">
        <x:v>Codex ref.ann.microscope ; affichage bref avec source.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ANN-SRC-ANAX</x:v>
      </x:c>
      <x:c r="R8" s="7" t="str">
        <x:v>https://masseffect.fandom.com/wiki/Anax_Therion</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b70ab027ae84e44"/>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Annihilation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ANN-REF-BIO</x:v>
      </x:c>
      <x:c r="B7" s="9" t="str">
        <x:v>Biotique d’Anax</x:v>
      </x:c>
      <x:c r="C7" s="15" t="str">
        <x:v>Défini</x:v>
      </x:c>
      <x:c r="D7" s="16" t="str">
        <x:v>Établi</x:v>
      </x:c>
      <x:c r="E7" s="16" t="str">
        <x:v>P1</x:v>
      </x:c>
      <x:c r="F7" s="9" t="str">
        <x:v>Anax peut employer la biotique ; aucun arbre de pouvoirs officiel n’est fourni.</x:v>
      </x:c>
      <x:c r="G7" s="9" t="str">
        <x:v>Ancrage documentaire du module ; aucune statistique officielle inférée.</x:v>
      </x:c>
      <x:c r="H7" s="9" t="str"/>
      <x:c r="I7" s="9" t="str"/>
      <x:c r="J7" s="9" t="str"/>
      <x:c r="K7" s="9" t="str"/>
      <x:c r="L7" s="9" t="str">
        <x:v>Codex ref.ann.bio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9" t="str">
        <x:v>https://masseffect.fandom.com/wiki/Anax_Therion</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18ce22abc7f84e08"/>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Annihilation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ANN-MOV-COORD</x:v>
      </x:c>
      <x:c r="B7" s="9" t="str">
        <x:v>Répartition de binômes</x:v>
      </x:c>
      <x:c r="C7" s="15" t="str">
        <x:v>Défini</x:v>
      </x:c>
      <x:c r="D7" s="16" t="str">
        <x:v>Extrapolation</x:v>
      </x:c>
      <x:c r="E7" s="16" t="str">
        <x:v>P1</x:v>
      </x:c>
      <x:c r="F7" s="9" t="str">
        <x:v>Action de groupe originale ; elle n’est pas une compétence officielle de cette œuvre.</x:v>
      </x:c>
      <x:c r="G7" s="9" t="str">
        <x:v>Senna : Affecter deux spécialistes à un problème local ; compétences complémentaires requises.</x:v>
      </x:c>
      <x:c r="H7" s="9" t="str">
        <x:v>Affecter deux spécialistes à un problème local ; compétences complémentaires requises. Coût initial proposé : une action ATB ; coût et délai restent des paramètres de prototype.</x:v>
      </x:c>
      <x:c r="I7" s="9" t="str">
        <x:v>Deux portraits reliés à un objectif.</x:v>
      </x:c>
      <x:c r="J7" s="9" t="str">
        <x:v>Préparation, validation de cible, engagement et récupération ; prévoir animation de refus avec motif.</x:v>
      </x:c>
      <x:c r="K7" s="9" t="str">
        <x:v>Confirmation et refus distingués ; texte d’état accessible au clavier.</x:v>
      </x:c>
      <x:c r="L7" s="9" t="str">
        <x:v>actions/ann/coord.json ; commande, cibles autorisées, coût, effets, nettoyage.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Une cible incompatible ne consomme rien ; l’effet est réversible au rechargement du point de contrôle.</x:v>
      </x:c>
      <x:c r="O7" s="9" t="str"/>
      <x:c r="P7" s="9" t="str"/>
      <x:c r="Q7" s="9" t="str"/>
      <x:c r="R7" s="9" t="str"/>
      <x:c r="S7" s="9" t="str"/>
    </x:row>
    <x:row r="8" ht="82" customHeight="1">
      <x:c r="A8" s="19" t="str">
        <x:v>ANN-MOV-INFER</x:v>
      </x:c>
      <x:c r="B8" s="7" t="str">
        <x:v>Comparaison clinique des faits</x:v>
      </x:c>
      <x:c r="C8" s="15" t="str">
        <x:v>Défini</x:v>
      </x:c>
      <x:c r="D8" s="17" t="str">
        <x:v>Extrapolation</x:v>
      </x:c>
      <x:c r="E8" s="17" t="str">
        <x:v>P1</x:v>
      </x:c>
      <x:c r="F8" s="7" t="str">
        <x:v>Action de groupe originale ; elle n’est pas une compétence officielle de cette œuvre.</x:v>
      </x:c>
      <x:c r="G8" s="7" t="str">
        <x:v>Anax : Relier un indice matériel à un témoignage sans déclarer un coupable automatiquement.</x:v>
      </x:c>
      <x:c r="H8" s="7" t="str">
        <x:v>Relier un indice matériel à un témoignage sans déclarer un coupable automatiquement. Coût initial proposé : une action ATB ; coût et délai restent des paramètres de prototype.</x:v>
      </x:c>
      <x:c r="I8" s="7" t="str">
        <x:v>Lien annoté avec degré de certitude.</x:v>
      </x:c>
      <x:c r="J8" s="7" t="str">
        <x:v>Préparation, validation de cible, engagement et récupération ; prévoir animation de refus avec motif.</x:v>
      </x:c>
      <x:c r="K8" s="7" t="str">
        <x:v>Confirmation et refus distingués ; texte d’état accessible au clavier.</x:v>
      </x:c>
      <x:c r="L8" s="7" t="str">
        <x:v>actions/ann/infer.json ; commande, cibles autorisées, coût, effets, nettoyage.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Une cible incompatible ne consomme rien ; l’effet est réversible au rechargement du point de contrôle.</x:v>
      </x:c>
      <x:c r="O8" s="7" t="str"/>
      <x:c r="P8" s="7" t="str"/>
      <x:c r="Q8" s="7" t="str"/>
      <x:c r="R8" s="7" t="str"/>
      <x:c r="S8" s="7" t="str"/>
    </x:row>
    <x:row r="9" ht="82" customHeight="1">
      <x:c r="A9" s="18" t="str">
        <x:v>ANN-MOV-MED</x:v>
      </x:c>
      <x:c r="B9" s="9" t="str">
        <x:v>Évaluation abstraite</x:v>
      </x:c>
      <x:c r="C9" s="15" t="str">
        <x:v>Défini</x:v>
      </x:c>
      <x:c r="D9" s="16" t="str">
        <x:v>Extrapolation</x:v>
      </x:c>
      <x:c r="E9" s="16" t="str">
        <x:v>P1</x:v>
      </x:c>
      <x:c r="F9" s="9" t="str">
        <x:v>Action de groupe originale ; elle n’est pas une compétence officielle de cette œuvre.</x:v>
      </x:c>
      <x:c r="G9" s="9" t="str">
        <x:v>Yorrik : Transformer une observation de jeu en besoin de repos ou de vérification ; aucune médecine réelle.</x:v>
      </x:c>
      <x:c r="H9" s="9" t="str">
        <x:v>Transformer une observation de jeu en besoin de repos ou de vérification ; aucune médecine réelle. Coût initial proposé : une action ATB ; coût et délai restent des paramètres de prototype.</x:v>
      </x:c>
      <x:c r="I9" s="9" t="str">
        <x:v>Icône de besoin lisible pour toutes les espèces.</x:v>
      </x:c>
      <x:c r="J9" s="9" t="str">
        <x:v>Préparation, validation de cible, engagement et récupération ; prévoir animation de refus avec motif.</x:v>
      </x:c>
      <x:c r="K9" s="9" t="str">
        <x:v>Confirmation et refus distingués ; texte d’état accessible au clavier.</x:v>
      </x:c>
      <x:c r="L9" s="9" t="str">
        <x:v>actions/ann/med.json ; commande, cibles autorisées, coût, effets, nettoyage.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Une cible incompatible ne consomme rien ; l’effet est réversible au rechargement du point de contrôle.</x:v>
      </x:c>
      <x:c r="O9" s="9" t="str"/>
      <x:c r="P9" s="9" t="str"/>
      <x:c r="Q9" s="9" t="str"/>
      <x:c r="R9" s="9" t="str"/>
      <x:c r="S9" s="9" t="str"/>
    </x:row>
    <x:row r="10" ht="82" customHeight="1">
      <x:c r="A10" s="19" t="str">
        <x:v>ANN-MOV-REPAIR</x:v>
      </x:c>
      <x:c r="B10" s="7" t="str">
        <x:v>Validation de capteur</x:v>
      </x:c>
      <x:c r="C10" s="15" t="str">
        <x:v>Défini</x:v>
      </x:c>
      <x:c r="D10" s="17" t="str">
        <x:v>Extrapolation</x:v>
      </x:c>
      <x:c r="E10" s="17" t="str">
        <x:v>P1</x:v>
      </x:c>
      <x:c r="F10" s="7" t="str">
        <x:v>Action de groupe originale ; elle n’est pas une compétence officielle de cette œuvre.</x:v>
      </x:c>
      <x:c r="G10" s="7" t="str">
        <x:v>Irit : Confirmer un relevé par un second dispositif puis marquer la source fiable.</x:v>
      </x:c>
      <x:c r="H10" s="7" t="str">
        <x:v>Confirmer un relevé par un second dispositif puis marquer la source fiable. Coût initial proposé : une action ATB ; coût et délai restent des paramètres de prototype.</x:v>
      </x:c>
      <x:c r="I10" s="7" t="str">
        <x:v>Deux témoins d’état concordants.</x:v>
      </x:c>
      <x:c r="J10" s="7" t="str">
        <x:v>Préparation, validation de cible, engagement et récupération ; prévoir animation de refus avec motif.</x:v>
      </x:c>
      <x:c r="K10" s="7" t="str">
        <x:v>Confirmation et refus distingués ; texte d’état accessible au clavier.</x:v>
      </x:c>
      <x:c r="L10" s="7" t="str">
        <x:v>actions/ann/repair.json ; commande, cibles autorisées, coût, effets, nettoyage.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Une cible incompatible ne consomme rien ; l’effet est réversible au rechargement du point de contrôle.</x:v>
      </x:c>
      <x:c r="O10" s="7" t="str"/>
      <x:c r="P10" s="7" t="str"/>
      <x:c r="Q10" s="7" t="str"/>
      <x:c r="R10" s="7" t="str"/>
      <x:c r="S10" s="7" t="str"/>
    </x:row>
    <x:row r="11" ht="82" customHeight="1">
      <x:c r="A11" s="18" t="str">
        <x:v>ANN-MOV-SALVAGE</x:v>
      </x:c>
      <x:c r="B11" s="9" t="str">
        <x:v>Ressource inattendue</x:v>
      </x:c>
      <x:c r="C11" s="15" t="str">
        <x:v>Défini</x:v>
      </x:c>
      <x:c r="D11" s="16" t="str">
        <x:v>Extrapolation</x:v>
      </x:c>
      <x:c r="E11" s="16" t="str">
        <x:v>P1</x:v>
      </x:c>
      <x:c r="F11" s="9" t="str">
        <x:v>Action de groupe originale ; elle n’est pas une compétence officielle de cette œuvre.</x:v>
      </x:c>
      <x:c r="G11" s="9" t="str">
        <x:v>Borbala : Révéler un objet utile déjà placé dans la carte, au prix d’une négociation locale.</x:v>
      </x:c>
      <x:c r="H11" s="9" t="str">
        <x:v>Révéler un objet utile déjà placé dans la carte, au prix d’une négociation locale. Coût initial proposé : une action ATB ; coût et délai restent des paramètres de prototype.</x:v>
      </x:c>
      <x:c r="I11" s="9" t="str">
        <x:v>Marqueur de caisse avec nouvelle annotation.</x:v>
      </x:c>
      <x:c r="J11" s="9" t="str">
        <x:v>Préparation, validation de cible, engagement et récupération ; prévoir animation de refus avec motif.</x:v>
      </x:c>
      <x:c r="K11" s="9" t="str">
        <x:v>Confirmation et refus distingués ; texte d’état accessible au clavier.</x:v>
      </x:c>
      <x:c r="L11" s="9" t="str">
        <x:v>actions/ann/salvage.json ; commande, cibles autorisées, coût, effets, nettoyage.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Une cible incompatible ne consomme rien ; l’effet est réversible au rechargement du point de contrôle.</x:v>
      </x:c>
      <x:c r="O11" s="9" t="str"/>
      <x:c r="P11" s="9" t="str"/>
      <x:c r="Q11" s="9" t="str"/>
      <x:c r="R11" s="9" t="str"/>
      <x:c r="S11" s="9" t="str"/>
    </x:row>
    <x:row r="12" ht="82" customHeight="1">
      <x:c r="A12" s="19" t="str">
        <x:v>ANN-MOV-HANDLE</x:v>
      </x:c>
      <x:c r="B12" s="7" t="str">
        <x:v>Manipulation adaptée</x:v>
      </x:c>
      <x:c r="C12" s="15" t="str">
        <x:v>Défini</x:v>
      </x:c>
      <x:c r="D12" s="17" t="str">
        <x:v>Extrapolation</x:v>
      </x:c>
      <x:c r="E12" s="17" t="str">
        <x:v>P1</x:v>
      </x:c>
      <x:c r="F12" s="7" t="str">
        <x:v>Action de groupe originale ; elle n’est pas une compétence officielle de cette œuvre.</x:v>
      </x:c>
      <x:c r="G12" s="7" t="str">
        <x:v>Ysses : Déplacer un objet fictif fragile à travers un passage sans le détruire.</x:v>
      </x:c>
      <x:c r="H12" s="7" t="str">
        <x:v>Déplacer un objet fictif fragile à travers un passage sans le détruire. Coût initial proposé : une action ATB ; coût et délai restent des paramètres de prototype.</x:v>
      </x:c>
      <x:c r="I12" s="7" t="str">
        <x:v>Tentacules animés et zone de dépôt explicite.</x:v>
      </x:c>
      <x:c r="J12" s="7" t="str">
        <x:v>Préparation, validation de cible, engagement et récupération ; prévoir animation de refus avec motif.</x:v>
      </x:c>
      <x:c r="K12" s="7" t="str">
        <x:v>Confirmation et refus distingués ; texte d’état accessible au clavier.</x:v>
      </x:c>
      <x:c r="L12" s="7" t="str">
        <x:v>actions/ann/handle.json ; commande, cibles autorisées, coût, effets, nettoyage.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3af89cedbd04c96"/>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Annihilation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ANN-EMV-SENSOR</x:v>
      </x:c>
      <x:c r="B7" s="9" t="str">
        <x:v>Capteur mensonger — comportement principal</x:v>
      </x:c>
      <x:c r="C7" s="15" t="str">
        <x:v>Défini</x:v>
      </x:c>
      <x:c r="D7" s="16" t="str">
        <x:v>Extrapolation</x:v>
      </x:c>
      <x:c r="E7" s="16" t="str">
        <x:v>P1</x:v>
      </x:c>
      <x:c r="F7" s="9" t="str">
        <x:v>Comportement proposé pour la rencontre liée.</x:v>
      </x:c>
      <x:c r="G7" s="9" t="str">
        <x:v>Affiche un état sûr alors qu’un accès local signale le contraire.</x:v>
      </x:c>
      <x:c r="H7" s="9" t="str">
        <x:v>Télégraphe : Double indicateur et étiquette source distincte. Contre-mesure : Vérifier depuis le secteur avant d’ouvrir le passage.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behaviors/ann/sensor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ANN-ENC-SENSOR</x:v>
      </x:c>
      <x:c r="P7" s="9" t="str"/>
      <x:c r="Q7" s="9" t="str"/>
      <x:c r="R7" s="9" t="str"/>
      <x:c r="S7" s="9" t="str"/>
    </x:row>
    <x:row r="8" ht="82" customHeight="1">
      <x:c r="A8" s="19" t="str">
        <x:v>ANN-EMV-PANIC</x:v>
      </x:c>
      <x:c r="B8" s="7" t="str">
        <x:v>Couloir encombré — comportement principal</x:v>
      </x:c>
      <x:c r="C8" s="15" t="str">
        <x:v>Défini</x:v>
      </x:c>
      <x:c r="D8" s="17" t="str">
        <x:v>Extrapolation</x:v>
      </x:c>
      <x:c r="E8" s="17" t="str">
        <x:v>P1</x:v>
      </x:c>
      <x:c r="F8" s="7" t="str">
        <x:v>Comportement proposé pour la rencontre liée.</x:v>
      </x:c>
      <x:c r="G8" s="7" t="str">
        <x:v>Ferme progressivement la circulation lorsque les consignes se contredisent.</x:v>
      </x:c>
      <x:c r="H8" s="7" t="str">
        <x:v>Télégraphe : Flux de silhouettes et bulles d’incompréhension. Contre-mesure : Clarifier, ouvrir une zone de repos et déplacer le groupe lentement.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behaviors/ann/panic : prepare/commit/recover ; paramètres séparés du code.</x:v>
      </x:c>
      <x:c r="M8" s="7" t="str">
        <x:v>Uniquement quand la rencontre correspondante est active.</x:v>
      </x:c>
      <x:c r="N8" s="7" t="str">
        <x:v>L’indicateur apparaît avant la conséquence ; la contre-mesure fonctionne en pause et à vitesse normale.</x:v>
      </x:c>
      <x:c r="O8" s="7" t="str">
        <x:v>ANN-ENC-PANIC</x:v>
      </x:c>
      <x:c r="P8" s="7" t="str"/>
      <x:c r="Q8" s="7" t="str"/>
      <x:c r="R8" s="7" t="str"/>
      <x:c r="S8" s="7" t="str"/>
    </x:row>
    <x:row r="9" ht="68" customHeight="1">
      <x:c r="A9" s="18" t="str">
        <x:v>ANN-EMV-MACHINE</x:v>
      </x:c>
      <x:c r="B9" s="9" t="str">
        <x:v>Bras de maintenance bloqué — comportement principal</x:v>
      </x:c>
      <x:c r="C9" s="15" t="str">
        <x:v>Défini</x:v>
      </x:c>
      <x:c r="D9" s="16" t="str">
        <x:v>Extrapolation</x:v>
      </x:c>
      <x:c r="E9" s="16" t="str">
        <x:v>P1</x:v>
      </x:c>
      <x:c r="F9" s="9" t="str">
        <x:v>Comportement proposé pour la rencontre liée.</x:v>
      </x:c>
      <x:c r="G9" s="9" t="str">
        <x:v>Balaye une portion de passage à intervalles annoncés.</x:v>
      </x:c>
      <x:c r="H9" s="9" t="str">
        <x:v>Télégraphe : Lumière de bras et ombre de la zone balayée. Contre-mesure : Couper le circuit depuis le poste accessible.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behaviors/ann/machine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ANN-ENC-MACHINE</x:v>
      </x:c>
      <x:c r="P9" s="9" t="str"/>
      <x:c r="Q9" s="9" t="str"/>
      <x:c r="R9" s="9" t="str"/>
      <x:c r="S9" s="9" t="str"/>
    </x:row>
    <x:row r="10" ht="82" customHeight="1">
      <x:c r="A10" s="19" t="str">
        <x:v>ANN-EMV-SUSPECT</x:v>
      </x:c>
      <x:c r="B10" s="7" t="str">
        <x:v>Contradiction non résolue — comportement principal</x:v>
      </x:c>
      <x:c r="C10" s="15" t="str">
        <x:v>Défini</x:v>
      </x:c>
      <x:c r="D10" s="17" t="str">
        <x:v>Extrapolation</x:v>
      </x:c>
      <x:c r="E10" s="17" t="str">
        <x:v>P1</x:v>
      </x:c>
      <x:c r="F10" s="7" t="str">
        <x:v>Comportement proposé pour la rencontre liée.</x:v>
      </x:c>
      <x:c r="G10" s="7" t="str">
        <x:v>Rend une conclusion prématurée si les sources ne sont pas séparées.</x:v>
      </x:c>
      <x:c r="H10" s="7" t="str">
        <x:v>Télégraphe : Carte de conclusion en pointillés et avertissement de preuve manquante. Contre-mesure : Chercher un constat indépendant et laisser la conclusion ouverte.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behaviors/ann/suspect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ANN-ENC-SUSPECT</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2eda4e8bfc54ebd"/>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Annihilation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ANN-ANI-SENNA</x:v>
      </x:c>
      <x:c r="B7" s="9" t="str">
        <x:v>Senna’Nir vas Keelah Si’yah — jeu de poses contextuelles</x:v>
      </x:c>
      <x:c r="C7" s="15" t="str">
        <x:v>Défini</x:v>
      </x:c>
      <x:c r="D7" s="16" t="str">
        <x:v>Extrapolation</x:v>
      </x:c>
      <x:c r="E7" s="16" t="str">
        <x:v>P1</x:v>
      </x:c>
      <x:c r="F7" s="9" t="str">
        <x:v>Création proposée : poses nécessaires à l’interaction « Distribuer les tâches sans prétendre tout savoir de l’arche. ».</x:v>
      </x:c>
      <x:c r="G7" s="9" t="str">
        <x:v>Blocage animé de Senna’Nir vas Keelah Si’yah : anticipation, action, récupération, retour au repos ; prévoir une interruption propre.</x:v>
      </x:c>
      <x:c r="H7" s="9" t="str">
        <x:v>Distribuer les tâches sans prétendre tout savoir de l’arche. L’effet logique ne dépend jamais de la cadence du rendu.</x:v>
      </x:c>
      <x:c r="I7" s="9" t="str">
        <x:v>Conserver les repères de silhouette : Combinaison close de technicien, outil et posture de coordination.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actor.ann.senna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ANN-SPR-SENNA</x:v>
      </x:c>
      <x:c r="P7" s="9" t="str"/>
      <x:c r="Q7" s="9" t="str"/>
      <x:c r="R7" s="9" t="str"/>
      <x:c r="S7" s="9" t="str"/>
    </x:row>
    <x:row r="8" ht="54" customHeight="1">
      <x:c r="A8" s="19" t="str">
        <x:v>ANN-ANI-ANAX</x:v>
      </x:c>
      <x:c r="B8" s="7" t="str">
        <x:v>Anax Therion — jeu de poses contextuelles</x:v>
      </x:c>
      <x:c r="C8" s="15" t="str">
        <x:v>Défini</x:v>
      </x:c>
      <x:c r="D8" s="17" t="str">
        <x:v>Extrapolation</x:v>
      </x:c>
      <x:c r="E8" s="17" t="str">
        <x:v>P1</x:v>
      </x:c>
      <x:c r="F8" s="7" t="str">
        <x:v>Création proposée : poses nécessaires à l’interaction « Comparer indices matériels et témoignages à partir de leurs sources. ».</x:v>
      </x:c>
      <x:c r="G8" s="7" t="str">
        <x:v>Blocage animé de Anax Therion : anticipation, action, récupération, retour au repos ; prévoir une interruption propre.</x:v>
      </x:c>
      <x:c r="H8" s="7" t="str">
        <x:v>Comparer indices matériels et témoignages à partir de leurs sources. L’effet logique ne dépend jamais de la cadence du rendu.</x:v>
      </x:c>
      <x:c r="I8" s="7" t="str">
        <x:v>Conserver les repères de silhouette : Silhouette drell, tenue fonctionnelle, regard attentif sans archétype d’assassin imposé.</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actor.ann.anax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ANN-SPR-ANAX</x:v>
      </x:c>
      <x:c r="P8" s="7" t="str"/>
      <x:c r="Q8" s="7" t="str"/>
      <x:c r="R8" s="7" t="str"/>
      <x:c r="S8" s="7" t="str"/>
    </x:row>
    <x:row r="9" ht="54" customHeight="1">
      <x:c r="A9" s="18" t="str">
        <x:v>ANN-ANI-YORRIK</x:v>
      </x:c>
      <x:c r="B9" s="9" t="str">
        <x:v>Yorrik — jeu de poses contextuelles</x:v>
      </x:c>
      <x:c r="C9" s="15" t="str">
        <x:v>Défini</x:v>
      </x:c>
      <x:c r="D9" s="16" t="str">
        <x:v>Extrapolation</x:v>
      </x:c>
      <x:c r="E9" s="16" t="str">
        <x:v>P1</x:v>
      </x:c>
      <x:c r="F9" s="9" t="str">
        <x:v>Création proposée : poses nécessaires à l’interaction « Examiner une mesure abstraite et demander confirmation instrumentale. ».</x:v>
      </x:c>
      <x:c r="G9" s="9" t="str">
        <x:v>Blocage animé de Yorrik : anticipation, action, récupération, retour au repos ; prévoir une interruption propre.</x:v>
      </x:c>
      <x:c r="H9" s="9" t="str">
        <x:v>Examiner une mesure abstraite et demander confirmation instrumentale. L’effet logique ne dépend jamais de la cadence du rendu.</x:v>
      </x:c>
      <x:c r="I9" s="9" t="str">
        <x:v>Conserver les repères de silhouette : Masse quadrupède et équipement de soin adapté ; largeur de passage à prévoir.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actor.ann.yorrik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ANN-SPR-YORRIK</x:v>
      </x:c>
      <x:c r="P9" s="9" t="str"/>
      <x:c r="Q9" s="9" t="str"/>
      <x:c r="R9" s="9" t="str"/>
      <x:c r="S9" s="9" t="str"/>
    </x:row>
    <x:row r="10" ht="54" customHeight="1">
      <x:c r="A10" s="19" t="str">
        <x:v>ANN-ANI-BORBALA</x:v>
      </x:c>
      <x:c r="B10" s="7" t="str">
        <x:v>Borbala Ferank — jeu de poses contextuelles</x:v>
      </x:c>
      <x:c r="C10" s="15" t="str">
        <x:v>Défini</x:v>
      </x:c>
      <x:c r="D10" s="17" t="str">
        <x:v>Extrapolation</x:v>
      </x:c>
      <x:c r="E10" s="17" t="str">
        <x:v>P1</x:v>
      </x:c>
      <x:c r="F10" s="7" t="str">
        <x:v>Création proposée : poses nécessaires à l’interaction « Trouver une ressource détournée et négocier son usage. ».</x:v>
      </x:c>
      <x:c r="G10" s="7" t="str">
        <x:v>Blocage animé de Borbala Ferank : anticipation, action, récupération, retour au repos ; prévoir une interruption propre.</x:v>
      </x:c>
      <x:c r="H10" s="7" t="str">
        <x:v>Trouver une ressource détournée et négocier son usage. L’effet logique ne dépend jamais de la cadence du rendu.</x:v>
      </x:c>
      <x:c r="I10" s="7" t="str">
        <x:v>Conserver les repères de silhouette : Silhouette âgée robuste, quatre yeux lisibles, accessoires de manutention.</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actor.ann.borbala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ANN-SPR-BORBALA</x:v>
      </x:c>
      <x:c r="P10" s="7" t="str"/>
      <x:c r="Q10" s="7" t="str"/>
      <x:c r="R10" s="7" t="str"/>
      <x:c r="S10" s="7" t="str"/>
    </x:row>
    <x:row r="11" ht="54" customHeight="1">
      <x:c r="A11" s="18" t="str">
        <x:v>ANN-ANI-IRIT</x:v>
      </x:c>
      <x:c r="B11" s="9" t="str">
        <x:v>Irit Non — jeu de poses contextuelles</x:v>
      </x:c>
      <x:c r="C11" s="15" t="str">
        <x:v>Défini</x:v>
      </x:c>
      <x:c r="D11" s="16" t="str">
        <x:v>Extrapolation</x:v>
      </x:c>
      <x:c r="E11" s="16" t="str">
        <x:v>P1</x:v>
      </x:c>
      <x:c r="F11" s="9" t="str">
        <x:v>Création proposée : poses nécessaires à l’interaction « Vérifier un capteur contre un autre dispositif. ».</x:v>
      </x:c>
      <x:c r="G11" s="9" t="str">
        <x:v>Blocage animé de Irit Non : anticipation, action, récupération, retour au repos ; prévoir une interruption propre.</x:v>
      </x:c>
      <x:c r="H11" s="9" t="str">
        <x:v>Vérifier un capteur contre un autre dispositif. L’effet logique ne dépend jamais de la cadence du rendu.</x:v>
      </x:c>
      <x:c r="I11" s="9" t="str">
        <x:v>Conserver les repères de silhouette : Combinaison pressurisée compacte, outillage et bras courts adaptés.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actor.ann.irit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ANN-SPR-IRIT</x:v>
      </x:c>
      <x:c r="P11" s="9" t="str"/>
      <x:c r="Q11" s="9" t="str"/>
      <x:c r="R11" s="9" t="str"/>
      <x:c r="S11" s="9" t="str"/>
    </x:row>
    <x:row r="12" ht="54" customHeight="1">
      <x:c r="A12" s="19" t="str">
        <x:v>ANN-ANI-YSSES</x:v>
      </x:c>
      <x:c r="B12" s="7" t="str">
        <x:v>Ysses — jeu de poses contextuelles</x:v>
      </x:c>
      <x:c r="C12" s="15" t="str">
        <x:v>Défini</x:v>
      </x:c>
      <x:c r="D12" s="17" t="str">
        <x:v>Extrapolation</x:v>
      </x:c>
      <x:c r="E12" s="17" t="str">
        <x:v>P1</x:v>
      </x:c>
      <x:c r="F12" s="7" t="str">
        <x:v>Création proposée : poses nécessaires à l’interaction « Manipuler un échantillon fictif dans une procédure abstraite. ».</x:v>
      </x:c>
      <x:c r="G12" s="7" t="str">
        <x:v>Blocage animé de Ysses : anticipation, action, récupération, retour au repos ; prévoir une interruption propre.</x:v>
      </x:c>
      <x:c r="H12" s="7" t="str">
        <x:v>Manipuler un échantillon fictif dans une procédure abstraite. L’effet logique ne dépend jamais de la cadence du rendu.</x:v>
      </x:c>
      <x:c r="I12" s="7" t="str">
        <x:v>Conserver les repères de silhouette : Volume flottant, tentacules lisibles et interface d’outils adaptée.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actor.ann.ysses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ANN-SPR-YSSES</x:v>
      </x:c>
      <x:c r="P12" s="7" t="str"/>
      <x:c r="Q12" s="7" t="str"/>
      <x:c r="R12" s="7" t="str"/>
      <x:c r="S12" s="7" t="str"/>
    </x:row>
    <x:row r="13" ht="68" customHeight="1">
      <x:c r="A13" s="18" t="str">
        <x:v>ANN-ANI-QETSI</x:v>
      </x:c>
      <x:c r="B13" s="9" t="str">
        <x:v>Qetsi’Olam vas Keelah Si’yah — jeu de poses contextuelles</x:v>
      </x:c>
      <x:c r="C13" s="15" t="str">
        <x:v>Défini</x:v>
      </x:c>
      <x:c r="D13" s="16" t="str">
        <x:v>Extrapolation</x:v>
      </x:c>
      <x:c r="E13" s="16" t="str">
        <x:v>P1</x:v>
      </x:c>
      <x:c r="F13" s="9" t="str">
        <x:v>Création proposée : poses nécessaires à l’interaction « Répondre à une demande d’autorisation tout en restant sujet d’enquête. ».</x:v>
      </x:c>
      <x:c r="G13" s="9" t="str">
        <x:v>Blocage animé de Qetsi’Olam vas Keelah Si’yah : anticipation, action, récupération, retour au repos ; prévoir une interruption propre.</x:v>
      </x:c>
      <x:c r="H13" s="9" t="str">
        <x:v>Répondre à une demande d’autorisation tout en restant sujet d’enquête. L’effet logique ne dépend jamais de la cadence du rendu.</x:v>
      </x:c>
      <x:c r="I13" s="9" t="str">
        <x:v>Conserver les repères de silhouette : Combinaison de commandement proposée, repère de grade non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actor.ann.qetsi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ANN-SPR-QETSI</x:v>
      </x:c>
      <x:c r="P13" s="9" t="str"/>
      <x:c r="Q13" s="9" t="str"/>
      <x:c r="R13" s="9" t="str"/>
      <x:c r="S13" s="9" t="str"/>
    </x:row>
    <x:row r="14" ht="68" customHeight="1">
      <x:c r="A14" s="19" t="str">
        <x:v>ANN-ANI-MALAK</x:v>
      </x:c>
      <x:c r="B14" s="7" t="str">
        <x:v>Malak’Rafa vas Keelah Si’yah — jeu de poses contextuelles</x:v>
      </x:c>
      <x:c r="C14" s="15" t="str">
        <x:v>Défini</x:v>
      </x:c>
      <x:c r="D14" s="17" t="str">
        <x:v>Extrapolation</x:v>
      </x:c>
      <x:c r="E14" s="17" t="str">
        <x:v>P1</x:v>
      </x:c>
      <x:c r="F14" s="7" t="str">
        <x:v>Création proposée : poses nécessaires à l’interaction « Être évoqué dans un dossier relationnel sans reconstituer son histoire entière. ».</x:v>
      </x:c>
      <x:c r="G14" s="7" t="str">
        <x:v>Blocage animé de Malak’Rafa vas Keelah Si’yah : anticipation, action, récupération, retour au repos ; prévoir une interruption propre.</x:v>
      </x:c>
      <x:c r="H14" s="7" t="str">
        <x:v>Être évoqué dans un dossier relationnel sans reconstituer son histoire entière. L’effet logique ne dépend jamais de la cadence du rendu.</x:v>
      </x:c>
      <x:c r="I14" s="7" t="str">
        <x:v>Conserver les repères de silhouette : Combinaison quarienne individualisée avec accessoire mémoriel à valider.</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actor.ann.malak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ANN-SPR-MALAK</x:v>
      </x:c>
      <x:c r="P14" s="7" t="str"/>
      <x:c r="Q14" s="7" t="str"/>
      <x:c r="R14" s="7" t="str"/>
      <x:c r="S14" s="7" t="str"/>
    </x:row>
    <x:row r="15" ht="54" customHeight="1">
      <x:c r="A15" s="18" t="str">
        <x:v>ANN-ANI-SOVAL</x:v>
      </x:c>
      <x:c r="B15" s="9" t="str">
        <x:v>Soval Raxios — jeu de poses contextuelles</x:v>
      </x:c>
      <x:c r="C15" s="15" t="str">
        <x:v>Défini</x:v>
      </x:c>
      <x:c r="D15" s="16" t="str">
        <x:v>Extrapolation</x:v>
      </x:c>
      <x:c r="E15" s="16" t="str">
        <x:v>P1</x:v>
      </x:c>
      <x:c r="F15" s="9" t="str">
        <x:v>Création proposée : poses nécessaires à l’interaction « Être associée à une pièce de dossier, avec contrôle des révélations. ».</x:v>
      </x:c>
      <x:c r="G15" s="9" t="str">
        <x:v>Préparer les transitions du dossier ou du portrait d’archive uniquement.</x:v>
      </x:c>
      <x:c r="H15" s="9" t="str">
        <x:v>Consulter ou fermer une archive ; aucune action physique ou nouvelle scène de vie ajoutée.</x:v>
      </x:c>
      <x:c r="I15" s="9" t="str">
        <x:v>Conserver les repères de silhouette : Portrait d’archive et marqueur de dossier ; pas de corps interactif spectaculaire.</x:v>
      </x:c>
      <x:c r="J15" s="9" t="str">
        <x:v>Apparition, mise en avant de la pièce de dossier, fermeture ; mode fixe équivalent.</x:v>
      </x:c>
      <x:c r="K15" s="9" t="str">
        <x:v>Marqueurs animation distincts du fichier audio ; sous-titre court si l’action porte une information.</x:v>
      </x:c>
      <x:c r="L15" s="9" t="str">
        <x:v>UI d’archives ; aucune entité mobile en scène.</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ANN-SPR-SOVAL</x:v>
      </x:c>
      <x:c r="P15" s="9" t="str"/>
      <x:c r="Q15" s="9" t="str"/>
      <x:c r="R15" s="9" t="str"/>
      <x:c r="S15" s="9" t="str"/>
    </x:row>
    <x:row r="16" ht="54" customHeight="1">
      <x:c r="A16" s="19" t="str">
        <x:v>ANN-ANI-KHOLAI</x:v>
      </x:c>
      <x:c r="B16" s="7" t="str">
        <x:v>Kholai — jeu de poses contextuelles</x:v>
      </x:c>
      <x:c r="C16" s="15" t="str">
        <x:v>Défini</x:v>
      </x:c>
      <x:c r="D16" s="17" t="str">
        <x:v>Extrapolation</x:v>
      </x:c>
      <x:c r="E16" s="17" t="str">
        <x:v>P1</x:v>
      </x:c>
      <x:c r="F16" s="7" t="str">
        <x:v>Création proposée : poses nécessaires à l’interaction « Donner un contexte culturel sans résumer toute la religion hanar. ».</x:v>
      </x:c>
      <x:c r="G16" s="7" t="str">
        <x:v>Blocage animé de Kholai : anticipation, action, récupération, retour au repos ; prévoir une interruption propre.</x:v>
      </x:c>
      <x:c r="H16" s="7" t="str">
        <x:v>Donner un contexte culturel sans résumer toute la religion hanar. L’effet logique ne dépend jamais de la cadence du rendu.</x:v>
      </x:c>
      <x:c r="I16" s="7" t="str">
        <x:v>Conserver les repères de silhouette : Silhouette hanar distincte par posture et motif lumineux proposé.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actor.ann.kholai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ANN-SPR-KHOLAI</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ed43d976e35041e9"/>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Annihilation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ANN-SPR-SENNA</x:v>
      </x:c>
      <x:c r="B7" s="9" t="str">
        <x:v>Senna’Nir vas Keelah Si’yah — planche sprite</x:v>
      </x:c>
      <x:c r="C7" s="15" t="str">
        <x:v>Défini</x:v>
      </x:c>
      <x:c r="D7" s="16" t="str">
        <x:v>Extrapolation</x:v>
      </x:c>
      <x:c r="E7" s="16" t="str">
        <x:v>P1</x:v>
      </x:c>
      <x:c r="F7" s="9" t="str">
        <x:v>Création proposée : représentation 2D de Senna’Nir vas Keelah Si’yah pour ce module.</x:v>
      </x:c>
      <x:c r="G7" s="9" t="str">
        <x:v>Combinaison close de technicien, outil et posture de coordination. Préparer silhouette entière, portrait de dialogue et masque de sélection.</x:v>
      </x:c>
      <x:c r="H7" s="9" t="str">
        <x:v>La zone interactive reste stable entre les poses ; la tenue ne confère aucun bonus implicite.</x:v>
      </x:c>
      <x:c r="I7" s="9" t="str">
        <x:v>Combinaison close de technicien, outil et posture de coordination.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assets/ann/actors/senna/atlas.png + atlas.json, pivot aux pieds.</x:v>
      </x:c>
      <x:c r="M7" s="9" t="str">
        <x:v>Visible uniquement quand Senna’Nir vas Keelah Si’yah est autorisé par l’état narratif.</x:v>
      </x:c>
      <x:c r="N7" s="9" t="str">
        <x:v>Silhouette reconnue sans nom ; pieds sans glissement ; portrait et sprite cohérents à échelle réelle.</x:v>
      </x:c>
      <x:c r="O7" s="9" t="str">
        <x:v>ANN-CHR-SENNA</x:v>
      </x:c>
      <x:c r="P7" s="9" t="str"/>
      <x:c r="Q7" s="9" t="str"/>
      <x:c r="R7" s="9" t="str"/>
      <x:c r="S7" s="9" t="str"/>
    </x:row>
    <x:row r="8" ht="68" customHeight="1">
      <x:c r="A8" s="19" t="str">
        <x:v>ANN-SPR-ANAX</x:v>
      </x:c>
      <x:c r="B8" s="7" t="str">
        <x:v>Anax Therion — planche sprite</x:v>
      </x:c>
      <x:c r="C8" s="15" t="str">
        <x:v>Défini</x:v>
      </x:c>
      <x:c r="D8" s="17" t="str">
        <x:v>Extrapolation</x:v>
      </x:c>
      <x:c r="E8" s="17" t="str">
        <x:v>P1</x:v>
      </x:c>
      <x:c r="F8" s="7" t="str">
        <x:v>Création proposée : représentation 2D de Anax Therion pour ce module.</x:v>
      </x:c>
      <x:c r="G8" s="7" t="str">
        <x:v>Silhouette drell, tenue fonctionnelle, regard attentif sans archétype d’assassin imposé. Préparer silhouette entière, portrait de dialogue et masque de sélection.</x:v>
      </x:c>
      <x:c r="H8" s="7" t="str">
        <x:v>La zone interactive reste stable entre les poses ; la tenue ne confère aucun bonus implicite.</x:v>
      </x:c>
      <x:c r="I8" s="7" t="str">
        <x:v>Silhouette drell, tenue fonctionnelle, regard attentif sans archétype d’assassin imposé.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assets/ann/actors/anax/atlas.png + atlas.json, pivot aux pieds.</x:v>
      </x:c>
      <x:c r="M8" s="7" t="str">
        <x:v>Visible uniquement quand Anax Therion est autorisé par l’état narratif.</x:v>
      </x:c>
      <x:c r="N8" s="7" t="str">
        <x:v>Silhouette reconnue sans nom ; pieds sans glissement ; portrait et sprite cohérents à échelle réelle.</x:v>
      </x:c>
      <x:c r="O8" s="7" t="str">
        <x:v>ANN-CHR-ANAX</x:v>
      </x:c>
      <x:c r="P8" s="7" t="str"/>
      <x:c r="Q8" s="7" t="str"/>
      <x:c r="R8" s="7" t="str"/>
      <x:c r="S8" s="7" t="str"/>
    </x:row>
    <x:row r="9" ht="68" customHeight="1">
      <x:c r="A9" s="18" t="str">
        <x:v>ANN-SPR-YORRIK</x:v>
      </x:c>
      <x:c r="B9" s="9" t="str">
        <x:v>Yorrik — planche sprite</x:v>
      </x:c>
      <x:c r="C9" s="15" t="str">
        <x:v>Défini</x:v>
      </x:c>
      <x:c r="D9" s="16" t="str">
        <x:v>Extrapolation</x:v>
      </x:c>
      <x:c r="E9" s="16" t="str">
        <x:v>P1</x:v>
      </x:c>
      <x:c r="F9" s="9" t="str">
        <x:v>Création proposée : représentation 2D de Yorrik pour ce module.</x:v>
      </x:c>
      <x:c r="G9" s="9" t="str">
        <x:v>Masse quadrupède et équipement de soin adapté ; largeur de passage à prévoir. Préparer silhouette entière, portrait de dialogue et masque de sélection.</x:v>
      </x:c>
      <x:c r="H9" s="9" t="str">
        <x:v>La zone interactive reste stable entre les poses ; la tenue ne confère aucun bonus implicite.</x:v>
      </x:c>
      <x:c r="I9" s="9" t="str">
        <x:v>Masse quadrupède et équipement de soin adapté ; largeur de passage à prévoir.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assets/ann/actors/yorrik/atlas.png + atlas.json, pivot aux pieds.</x:v>
      </x:c>
      <x:c r="M9" s="9" t="str">
        <x:v>Visible uniquement quand Yorrik est autorisé par l’état narratif.</x:v>
      </x:c>
      <x:c r="N9" s="9" t="str">
        <x:v>Silhouette reconnue sans nom ; pieds sans glissement ; portrait et sprite cohérents à échelle réelle.</x:v>
      </x:c>
      <x:c r="O9" s="9" t="str">
        <x:v>ANN-CHR-YORRIK</x:v>
      </x:c>
      <x:c r="P9" s="9" t="str"/>
      <x:c r="Q9" s="9" t="str"/>
      <x:c r="R9" s="9" t="str"/>
      <x:c r="S9" s="9" t="str"/>
    </x:row>
    <x:row r="10" ht="68" customHeight="1">
      <x:c r="A10" s="19" t="str">
        <x:v>ANN-SPR-BORBALA</x:v>
      </x:c>
      <x:c r="B10" s="7" t="str">
        <x:v>Borbala Ferank — planche sprite</x:v>
      </x:c>
      <x:c r="C10" s="15" t="str">
        <x:v>Défini</x:v>
      </x:c>
      <x:c r="D10" s="17" t="str">
        <x:v>Extrapolation</x:v>
      </x:c>
      <x:c r="E10" s="17" t="str">
        <x:v>P1</x:v>
      </x:c>
      <x:c r="F10" s="7" t="str">
        <x:v>Création proposée : représentation 2D de Borbala Ferank pour ce module.</x:v>
      </x:c>
      <x:c r="G10" s="7" t="str">
        <x:v>Silhouette âgée robuste, quatre yeux lisibles, accessoires de manutention. Préparer silhouette entière, portrait de dialogue et masque de sélection.</x:v>
      </x:c>
      <x:c r="H10" s="7" t="str">
        <x:v>La zone interactive reste stable entre les poses ; la tenue ne confère aucun bonus implicite.</x:v>
      </x:c>
      <x:c r="I10" s="7" t="str">
        <x:v>Silhouette âgée robuste, quatre yeux lisibles, accessoires de manutention.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assets/ann/actors/borbala/atlas.png + atlas.json, pivot aux pieds.</x:v>
      </x:c>
      <x:c r="M10" s="7" t="str">
        <x:v>Visible uniquement quand Borbala Ferank est autorisé par l’état narratif.</x:v>
      </x:c>
      <x:c r="N10" s="7" t="str">
        <x:v>Silhouette reconnue sans nom ; pieds sans glissement ; portrait et sprite cohérents à échelle réelle.</x:v>
      </x:c>
      <x:c r="O10" s="7" t="str">
        <x:v>ANN-CHR-BORBALA</x:v>
      </x:c>
      <x:c r="P10" s="7" t="str"/>
      <x:c r="Q10" s="7" t="str"/>
      <x:c r="R10" s="7" t="str"/>
      <x:c r="S10" s="7" t="str"/>
    </x:row>
    <x:row r="11" ht="68" customHeight="1">
      <x:c r="A11" s="18" t="str">
        <x:v>ANN-SPR-IRIT</x:v>
      </x:c>
      <x:c r="B11" s="9" t="str">
        <x:v>Irit Non — planche sprite</x:v>
      </x:c>
      <x:c r="C11" s="15" t="str">
        <x:v>Défini</x:v>
      </x:c>
      <x:c r="D11" s="16" t="str">
        <x:v>Extrapolation</x:v>
      </x:c>
      <x:c r="E11" s="16" t="str">
        <x:v>P1</x:v>
      </x:c>
      <x:c r="F11" s="9" t="str">
        <x:v>Création proposée : représentation 2D de Irit Non pour ce module.</x:v>
      </x:c>
      <x:c r="G11" s="9" t="str">
        <x:v>Combinaison pressurisée compacte, outillage et bras courts adaptés. Préparer silhouette entière, portrait de dialogue et masque de sélection.</x:v>
      </x:c>
      <x:c r="H11" s="9" t="str">
        <x:v>La zone interactive reste stable entre les poses ; la tenue ne confère aucun bonus implicite.</x:v>
      </x:c>
      <x:c r="I11" s="9" t="str">
        <x:v>Combinaison pressurisée compacte, outillage et bras courts adaptés.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assets/ann/actors/irit/atlas.png + atlas.json, pivot aux pieds.</x:v>
      </x:c>
      <x:c r="M11" s="9" t="str">
        <x:v>Visible uniquement quand Irit Non est autorisé par l’état narratif.</x:v>
      </x:c>
      <x:c r="N11" s="9" t="str">
        <x:v>Silhouette reconnue sans nom ; pieds sans glissement ; portrait et sprite cohérents à échelle réelle.</x:v>
      </x:c>
      <x:c r="O11" s="9" t="str">
        <x:v>ANN-CHR-IRIT</x:v>
      </x:c>
      <x:c r="P11" s="9" t="str"/>
      <x:c r="Q11" s="9" t="str"/>
      <x:c r="R11" s="9" t="str"/>
      <x:c r="S11" s="9" t="str"/>
    </x:row>
    <x:row r="12" ht="68" customHeight="1">
      <x:c r="A12" s="19" t="str">
        <x:v>ANN-SPR-YSSES</x:v>
      </x:c>
      <x:c r="B12" s="7" t="str">
        <x:v>Ysses — planche sprite</x:v>
      </x:c>
      <x:c r="C12" s="15" t="str">
        <x:v>Défini</x:v>
      </x:c>
      <x:c r="D12" s="17" t="str">
        <x:v>Extrapolation</x:v>
      </x:c>
      <x:c r="E12" s="17" t="str">
        <x:v>P1</x:v>
      </x:c>
      <x:c r="F12" s="7" t="str">
        <x:v>Création proposée : représentation 2D de Ysses pour ce module.</x:v>
      </x:c>
      <x:c r="G12" s="7" t="str">
        <x:v>Volume flottant, tentacules lisibles et interface d’outils adaptée. Préparer silhouette entière, portrait de dialogue et masque de sélection.</x:v>
      </x:c>
      <x:c r="H12" s="7" t="str">
        <x:v>La zone interactive reste stable entre les poses ; la tenue ne confère aucun bonus implicite.</x:v>
      </x:c>
      <x:c r="I12" s="7" t="str">
        <x:v>Volume flottant, tentacules lisibles et interface d’outils adaptée.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assets/ann/actors/ysses/atlas.png + atlas.json, pivot aux pieds.</x:v>
      </x:c>
      <x:c r="M12" s="7" t="str">
        <x:v>Visible uniquement quand Ysses est autorisé par l’état narratif.</x:v>
      </x:c>
      <x:c r="N12" s="7" t="str">
        <x:v>Silhouette reconnue sans nom ; pieds sans glissement ; portrait et sprite cohérents à échelle réelle.</x:v>
      </x:c>
      <x:c r="O12" s="7" t="str">
        <x:v>ANN-CHR-YSSES</x:v>
      </x:c>
      <x:c r="P12" s="7" t="str"/>
      <x:c r="Q12" s="7" t="str"/>
      <x:c r="R12" s="7" t="str"/>
      <x:c r="S12" s="7" t="str"/>
    </x:row>
    <x:row r="13" ht="68" customHeight="1">
      <x:c r="A13" s="18" t="str">
        <x:v>ANN-SPR-QETSI</x:v>
      </x:c>
      <x:c r="B13" s="9" t="str">
        <x:v>Qetsi’Olam vas Keelah Si’yah — planche sprite</x:v>
      </x:c>
      <x:c r="C13" s="15" t="str">
        <x:v>Défini</x:v>
      </x:c>
      <x:c r="D13" s="16" t="str">
        <x:v>Extrapolation</x:v>
      </x:c>
      <x:c r="E13" s="16" t="str">
        <x:v>P1</x:v>
      </x:c>
      <x:c r="F13" s="9" t="str">
        <x:v>Création proposée : représentation 2D de Qetsi’Olam vas Keelah Si’yah pour ce module.</x:v>
      </x:c>
      <x:c r="G13" s="9" t="str">
        <x:v>Combinaison de commandement proposée, repère de grade non officiel. Préparer silhouette entière, portrait de dialogue et masque de sélection.</x:v>
      </x:c>
      <x:c r="H13" s="9" t="str">
        <x:v>La zone interactive reste stable entre les poses ; la tenue ne confère aucun bonus implicite.</x:v>
      </x:c>
      <x:c r="I13" s="9" t="str">
        <x:v>Combinaison de commandement proposée, repère de grade non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assets/ann/actors/qetsi/atlas.png + atlas.json, pivot aux pieds.</x:v>
      </x:c>
      <x:c r="M13" s="9" t="str">
        <x:v>Visible uniquement quand Qetsi’Olam vas Keelah Si’yah est autorisé par l’état narratif.</x:v>
      </x:c>
      <x:c r="N13" s="9" t="str">
        <x:v>Silhouette reconnue sans nom ; pieds sans glissement ; portrait et sprite cohérents à échelle réelle.</x:v>
      </x:c>
      <x:c r="O13" s="9" t="str">
        <x:v>ANN-CHR-QETSI</x:v>
      </x:c>
      <x:c r="P13" s="9" t="str"/>
      <x:c r="Q13" s="9" t="str"/>
      <x:c r="R13" s="9" t="str"/>
      <x:c r="S13" s="9" t="str"/>
    </x:row>
    <x:row r="14" ht="68" customHeight="1">
      <x:c r="A14" s="19" t="str">
        <x:v>ANN-SPR-MALAK</x:v>
      </x:c>
      <x:c r="B14" s="7" t="str">
        <x:v>Malak’Rafa vas Keelah Si’yah — planche sprite</x:v>
      </x:c>
      <x:c r="C14" s="15" t="str">
        <x:v>Défini</x:v>
      </x:c>
      <x:c r="D14" s="17" t="str">
        <x:v>Extrapolation</x:v>
      </x:c>
      <x:c r="E14" s="17" t="str">
        <x:v>P1</x:v>
      </x:c>
      <x:c r="F14" s="7" t="str">
        <x:v>Création proposée : représentation 2D de Malak’Rafa vas Keelah Si’yah pour ce module.</x:v>
      </x:c>
      <x:c r="G14" s="7" t="str">
        <x:v>Combinaison quarienne individualisée avec accessoire mémoriel à valider. Préparer silhouette entière, portrait de dialogue et masque de sélection.</x:v>
      </x:c>
      <x:c r="H14" s="7" t="str">
        <x:v>La zone interactive reste stable entre les poses ; la tenue ne confère aucun bonus implicite.</x:v>
      </x:c>
      <x:c r="I14" s="7" t="str">
        <x:v>Combinaison quarienne individualisée avec accessoire mémoriel à valider.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assets/ann/actors/malak/atlas.png + atlas.json, pivot aux pieds.</x:v>
      </x:c>
      <x:c r="M14" s="7" t="str">
        <x:v>Visible uniquement quand Malak’Rafa vas Keelah Si’yah est autorisé par l’état narratif.</x:v>
      </x:c>
      <x:c r="N14" s="7" t="str">
        <x:v>Silhouette reconnue sans nom ; pieds sans glissement ; portrait et sprite cohérents à échelle réelle.</x:v>
      </x:c>
      <x:c r="O14" s="7" t="str">
        <x:v>ANN-CHR-MALAK</x:v>
      </x:c>
      <x:c r="P14" s="7" t="str"/>
      <x:c r="Q14" s="7" t="str"/>
      <x:c r="R14" s="7" t="str"/>
      <x:c r="S14" s="7" t="str"/>
    </x:row>
    <x:row r="15" ht="68" customHeight="1">
      <x:c r="A15" s="18" t="str">
        <x:v>ANN-SPR-SOVAL</x:v>
      </x:c>
      <x:c r="B15" s="9" t="str">
        <x:v>Soval Raxios — planche sprite</x:v>
      </x:c>
      <x:c r="C15" s="15" t="str">
        <x:v>Défini</x:v>
      </x:c>
      <x:c r="D15" s="16" t="str">
        <x:v>Extrapolation</x:v>
      </x:c>
      <x:c r="E15" s="16" t="str">
        <x:v>P1</x:v>
      </x:c>
      <x:c r="F15" s="9" t="str">
        <x:v>Création proposée : représentation 2D de Soval Raxios pour ce module.</x:v>
      </x:c>
      <x:c r="G15" s="9" t="str">
        <x:v>Créer un portrait d’archive, une vignette de dossier et un identifiant textuel ; aucune présence physique nouvelle dans les scènes de crise.</x:v>
      </x:c>
      <x:c r="H15" s="9" t="str">
        <x:v>La zone interactive reste stable entre les poses ; la tenue ne confère aucun bonus implicite.</x:v>
      </x:c>
      <x:c r="I15" s="9" t="str">
        <x:v>Portrait d’archive et marqueur de dossier ; pas de corps interactif spectaculaire. Palette proposée à valider ; comparaison en miniature et sur le décor le plus sombre.</x:v>
      </x:c>
      <x:c r="J15" s="9" t="str">
        <x:v>Portrait fixe ; fondu facultatif uniquement ; aucune locomotion.</x:v>
      </x:c>
      <x:c r="K15" s="9" t="str">
        <x:v>Aucun échantillon du jeu ou du film ; le changement de sélection utilise le son UI du module.</x:v>
      </x:c>
      <x:c r="L15" s="9" t="str">
        <x:v>assets/ann/archives/ ; portrait original et référence de dossier.</x:v>
      </x:c>
      <x:c r="M15" s="9" t="str">
        <x:v>Visible uniquement quand Soval Raxios est autorisé par l’état narratif.</x:v>
      </x:c>
      <x:c r="N15" s="9" t="str">
        <x:v>L’interface identifie clairement une archive ; le personnage ne reçoit ni déplacement ni commande de groupe.</x:v>
      </x:c>
      <x:c r="O15" s="9" t="str">
        <x:v>ANN-CHR-SOVAL</x:v>
      </x:c>
      <x:c r="P15" s="9" t="str"/>
      <x:c r="Q15" s="9" t="str"/>
      <x:c r="R15" s="9" t="str"/>
      <x:c r="S15" s="9" t="str"/>
    </x:row>
    <x:row r="16" ht="68" customHeight="1">
      <x:c r="A16" s="19" t="str">
        <x:v>ANN-SPR-KHOLAI</x:v>
      </x:c>
      <x:c r="B16" s="7" t="str">
        <x:v>Kholai — planche sprite</x:v>
      </x:c>
      <x:c r="C16" s="15" t="str">
        <x:v>Défini</x:v>
      </x:c>
      <x:c r="D16" s="17" t="str">
        <x:v>Extrapolation</x:v>
      </x:c>
      <x:c r="E16" s="17" t="str">
        <x:v>P1</x:v>
      </x:c>
      <x:c r="F16" s="7" t="str">
        <x:v>Création proposée : représentation 2D de Kholai pour ce module.</x:v>
      </x:c>
      <x:c r="G16" s="7" t="str">
        <x:v>Silhouette hanar distincte par posture et motif lumineux proposé. Préparer silhouette entière, portrait de dialogue et masque de sélection.</x:v>
      </x:c>
      <x:c r="H16" s="7" t="str">
        <x:v>La zone interactive reste stable entre les poses ; la tenue ne confère aucun bonus implicite.</x:v>
      </x:c>
      <x:c r="I16" s="7" t="str">
        <x:v>Silhouette hanar distincte par posture et motif lumineux proposé.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assets/ann/actors/kholai/atlas.png + atlas.json, pivot aux pieds.</x:v>
      </x:c>
      <x:c r="M16" s="7" t="str">
        <x:v>Visible uniquement quand Kholai est autorisé par l’état narratif.</x:v>
      </x:c>
      <x:c r="N16" s="7" t="str">
        <x:v>Silhouette reconnue sans nom ; pieds sans glissement ; portrait et sprite cohérents à échelle réelle.</x:v>
      </x:c>
      <x:c r="O16" s="7" t="str">
        <x:v>ANN-CHR-KHOLAI</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1e6106eda2f8486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Annihilation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ANN-VFX-SENSOR</x:v>
      </x:c>
      <x:c r="B7" s="9" t="str">
        <x:v>Capteur mensonger — effet lisible</x:v>
      </x:c>
      <x:c r="C7" s="15" t="str">
        <x:v>Défini</x:v>
      </x:c>
      <x:c r="D7" s="16" t="str">
        <x:v>Extrapolation</x:v>
      </x:c>
      <x:c r="E7" s="16" t="str">
        <x:v>P1</x:v>
      </x:c>
      <x:c r="F7" s="9" t="str">
        <x:v>Effet original de prévision et de résultat pour la rencontre.</x:v>
      </x:c>
      <x:c r="G7" s="9" t="str">
        <x:v>Double indicateur et étiquette source distincte.</x:v>
      </x:c>
      <x:c r="H7" s="9" t="str">
        <x:v>Aire de prévision égale à l’aire logique ; masque de cible conservé en daltonisme.</x:v>
      </x:c>
      <x:c r="I7" s="9" t="str">
        <x:v>Double indicateur et étiquette source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fx/ann/sensor ; pool local nettoyé au changement de scène.</x:v>
      </x:c>
      <x:c r="M7" s="9" t="str">
        <x:v>Effet lié au comportement, jamais déclenché par une animation décorative.</x:v>
      </x:c>
      <x:c r="N7" s="9" t="str">
        <x:v>Aucune cible hors aire n’est affectée ; mode réduit conserve la compréhension.</x:v>
      </x:c>
      <x:c r="O7" s="9" t="str">
        <x:v>ANN-EMV-SENSOR</x:v>
      </x:c>
      <x:c r="P7" s="9" t="str"/>
      <x:c r="Q7" s="9" t="str"/>
      <x:c r="R7" s="9" t="str"/>
      <x:c r="S7" s="9" t="str"/>
    </x:row>
    <x:row r="8" ht="54" customHeight="1">
      <x:c r="A8" s="19" t="str">
        <x:v>ANN-VFX-PANIC</x:v>
      </x:c>
      <x:c r="B8" s="7" t="str">
        <x:v>Couloir encombré — effet lisible</x:v>
      </x:c>
      <x:c r="C8" s="15" t="str">
        <x:v>Défini</x:v>
      </x:c>
      <x:c r="D8" s="17" t="str">
        <x:v>Extrapolation</x:v>
      </x:c>
      <x:c r="E8" s="17" t="str">
        <x:v>P1</x:v>
      </x:c>
      <x:c r="F8" s="7" t="str">
        <x:v>Effet original de prévision et de résultat pour la rencontre.</x:v>
      </x:c>
      <x:c r="G8" s="7" t="str">
        <x:v>Flux de silhouettes et bulles d’incompréhension.</x:v>
      </x:c>
      <x:c r="H8" s="7" t="str">
        <x:v>Aire de prévision égale à l’aire logique ; masque de cible conservé en daltonisme.</x:v>
      </x:c>
      <x:c r="I8" s="7" t="str">
        <x:v>Flux de silhouettes et bulles d’incompréhension.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fx/ann/panic ; pool local nettoyé au changement de scène.</x:v>
      </x:c>
      <x:c r="M8" s="7" t="str">
        <x:v>Effet lié au comportement, jamais déclenché par une animation décorative.</x:v>
      </x:c>
      <x:c r="N8" s="7" t="str">
        <x:v>Aucune cible hors aire n’est affectée ; mode réduit conserve la compréhension.</x:v>
      </x:c>
      <x:c r="O8" s="7" t="str">
        <x:v>ANN-EMV-PANIC</x:v>
      </x:c>
      <x:c r="P8" s="7" t="str"/>
      <x:c r="Q8" s="7" t="str"/>
      <x:c r="R8" s="7" t="str"/>
      <x:c r="S8" s="7" t="str"/>
    </x:row>
    <x:row r="9" ht="54" customHeight="1">
      <x:c r="A9" s="18" t="str">
        <x:v>ANN-VFX-MACHINE</x:v>
      </x:c>
      <x:c r="B9" s="9" t="str">
        <x:v>Bras de maintenance bloqué — effet lisible</x:v>
      </x:c>
      <x:c r="C9" s="15" t="str">
        <x:v>Défini</x:v>
      </x:c>
      <x:c r="D9" s="16" t="str">
        <x:v>Extrapolation</x:v>
      </x:c>
      <x:c r="E9" s="16" t="str">
        <x:v>P1</x:v>
      </x:c>
      <x:c r="F9" s="9" t="str">
        <x:v>Effet original de prévision et de résultat pour la rencontre.</x:v>
      </x:c>
      <x:c r="G9" s="9" t="str">
        <x:v>Lumière de bras et ombre de la zone balayée.</x:v>
      </x:c>
      <x:c r="H9" s="9" t="str">
        <x:v>Aire de prévision égale à l’aire logique ; masque de cible conservé en daltonisme.</x:v>
      </x:c>
      <x:c r="I9" s="9" t="str">
        <x:v>Lumière de bras et ombre de la zone balayée.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fx/ann/machine ; pool local nettoyé au changement de scène.</x:v>
      </x:c>
      <x:c r="M9" s="9" t="str">
        <x:v>Effet lié au comportement, jamais déclenché par une animation décorative.</x:v>
      </x:c>
      <x:c r="N9" s="9" t="str">
        <x:v>Aucune cible hors aire n’est affectée ; mode réduit conserve la compréhension.</x:v>
      </x:c>
      <x:c r="O9" s="9" t="str">
        <x:v>ANN-EMV-MACHINE</x:v>
      </x:c>
      <x:c r="P9" s="9" t="str"/>
      <x:c r="Q9" s="9" t="str"/>
      <x:c r="R9" s="9" t="str"/>
      <x:c r="S9" s="9" t="str"/>
    </x:row>
    <x:row r="10" ht="68" customHeight="1">
      <x:c r="A10" s="19" t="str">
        <x:v>ANN-VFX-SUSPECT</x:v>
      </x:c>
      <x:c r="B10" s="7" t="str">
        <x:v>Contradiction non résolue — effet lisible</x:v>
      </x:c>
      <x:c r="C10" s="15" t="str">
        <x:v>Défini</x:v>
      </x:c>
      <x:c r="D10" s="17" t="str">
        <x:v>Extrapolation</x:v>
      </x:c>
      <x:c r="E10" s="17" t="str">
        <x:v>P1</x:v>
      </x:c>
      <x:c r="F10" s="7" t="str">
        <x:v>Effet original de prévision et de résultat pour la rencontre.</x:v>
      </x:c>
      <x:c r="G10" s="7" t="str">
        <x:v>Carte de conclusion en pointillés et avertissement de preuve manquante.</x:v>
      </x:c>
      <x:c r="H10" s="7" t="str">
        <x:v>Aire de prévision égale à l’aire logique ; masque de cible conservé en daltonisme.</x:v>
      </x:c>
      <x:c r="I10" s="7" t="str">
        <x:v>Carte de conclusion en pointillés et avertissement de preuve manquante.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fx/ann/suspect ; pool local nettoyé au changement de scène.</x:v>
      </x:c>
      <x:c r="M10" s="7" t="str">
        <x:v>Effet lié au comportement, jamais déclenché par une animation décorative.</x:v>
      </x:c>
      <x:c r="N10" s="7" t="str">
        <x:v>Aucune cible hors aire n’est affectée ; mode réduit conserve la compréhension.</x:v>
      </x:c>
      <x:c r="O10" s="7" t="str">
        <x:v>ANN-EMV-SUSPECT</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fb2c62fe0334c4e"/>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Annihilation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ANN-AUD-01</x:v>
      </x:c>
      <x:c r="B7" s="9" t="str">
        <x:v>Ventilation par secteurs</x:v>
      </x:c>
      <x:c r="C7" s="15" t="str">
        <x:v>Défini</x:v>
      </x:c>
      <x:c r="D7" s="16" t="str">
        <x:v>Extrapolation</x:v>
      </x:c>
      <x:c r="E7" s="16" t="str">
        <x:v>P1</x:v>
      </x:c>
      <x:c r="F7" s="9" t="str">
        <x:v>Création sonore originale pour le fan game.</x:v>
      </x:c>
      <x:c r="G7" s="9" t="str">
        <x:v>Textures originales distinctes pour orientation ; tous les changements essentiels possèdent une icône.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Textures originales distinctes pour orientation ; tous les changements essentiels possèdent une icône. Musique, bruitages et éventuelles voix à produire sans extraire les enregistrements officiels.</x:v>
      </x:c>
      <x:c r="L7" s="9" t="str">
        <x:v>audio/ann/ventilation-par-secteurs.ogg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ANN-AUD-02</x:v>
      </x:c>
      <x:c r="B8" s="7" t="str">
        <x:v>Parole elcor</x:v>
      </x:c>
      <x:c r="C8" s="15" t="str">
        <x:v>Défini</x:v>
      </x:c>
      <x:c r="D8" s="17" t="str">
        <x:v>Extrapolation</x:v>
      </x:c>
      <x:c r="E8" s="17" t="str">
        <x:v>P1</x:v>
      </x:c>
      <x:c r="F8" s="7" t="str">
        <x:v>Création sonore originale pour le fan game.</x:v>
      </x:c>
      <x:c r="G8" s="7" t="str">
        <x:v>Si doublage original, conserver l’intention émotionnelle explicite dans le texte sans rendre les scènes comiques par défaut.</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Si doublage original, conserver l’intention émotionnelle explicite dans le texte sans rendre les scènes comiques par défaut. Musique, bruitages et éventuelles voix à produire sans extraire les enregistrements officiels.</x:v>
      </x:c>
      <x:c r="L8" s="7" t="str">
        <x:v>audio/ann/parole-elcor.ogg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ANN-AUD-03</x:v>
      </x:c>
      <x:c r="B9" s="9" t="str">
        <x:v>Voix et corps variés</x:v>
      </x:c>
      <x:c r="C9" s="15" t="str">
        <x:v>Défini</x:v>
      </x:c>
      <x:c r="D9" s="16" t="str">
        <x:v>Extrapolation</x:v>
      </x:c>
      <x:c r="E9" s="16" t="str">
        <x:v>P1</x:v>
      </x:c>
      <x:c r="F9" s="9" t="str">
        <x:v>Création sonore originale pour le fan game.</x:v>
      </x:c>
      <x:c r="G9" s="9" t="str">
        <x:v>Créer des voix originales et traitements sobres ; ne pas imiter le casting ou réduire une espèce à un bruit stéréotypé.</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Créer des voix originales et traitements sobres ; ne pas imiter le casting ou réduire une espèce à un bruit stéréotypé. Musique, bruitages et éventuelles voix à produire sans extraire les enregistrements officiels.</x:v>
      </x:c>
      <x:c r="L9" s="9" t="str">
        <x:v>audio/ann/voix-et-corps-varies.ogg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ANN-AUD-04</x:v>
      </x:c>
      <x:c r="B10" s="7" t="str">
        <x:v>Systèmes contradictoires</x:v>
      </x:c>
      <x:c r="C10" s="15" t="str">
        <x:v>Défini</x:v>
      </x:c>
      <x:c r="D10" s="17" t="str">
        <x:v>Extrapolation</x:v>
      </x:c>
      <x:c r="E10" s="17" t="str">
        <x:v>P1</x:v>
      </x:c>
      <x:c r="F10" s="7" t="str">
        <x:v>Création sonore originale pour le fan game.</x:v>
      </x:c>
      <x:c r="G10" s="7" t="str">
        <x:v>Un signal local contredit parfois une annonce, avec leur provenance clairement indiquée.</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Un signal local contredit parfois une annonce, avec leur provenance clairement indiquée. Musique, bruitages et éventuelles voix à produire sans extraire les enregistrements officiels.</x:v>
      </x:c>
      <x:c r="L10" s="7" t="str">
        <x:v>audio/ann/systemes-contradictoires.ogg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82" customHeight="1">
      <x:c r="A11" s="18" t="str">
        <x:v>ANN-AUD-05</x:v>
      </x:c>
      <x:c r="B11" s="9" t="str">
        <x:v>Vie dans le Radial</x:v>
      </x:c>
      <x:c r="C11" s="15" t="str">
        <x:v>Défini</x:v>
      </x:c>
      <x:c r="D11" s="16" t="str">
        <x:v>Extrapolation</x:v>
      </x:c>
      <x:c r="E11" s="16" t="str">
        <x:v>P1</x:v>
      </x:c>
      <x:c r="F11" s="9" t="str">
        <x:v>Création sonore originale pour le fan game.</x:v>
      </x:c>
      <x:c r="G11" s="9" t="str">
        <x:v>Ambiance de travail et musique originale discrète qui laisse place aux personnes.</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Ambiance de travail et musique originale discrète qui laisse place aux personnes. Musique, bruitages et éventuelles voix à produire sans extraire les enregistrements officiels.</x:v>
      </x:c>
      <x:c r="L11" s="9" t="str">
        <x:v>audio/ann/vie-dans-le-radial.ogg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fe98ecc8da3740c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Annihilation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ANN-SYS-01</x:v>
      </x:c>
      <x:c r="B7" s="9" t="str">
        <x:v>Équipe multiespèce</x:v>
      </x:c>
      <x:c r="C7" s="15" t="str">
        <x:v>Défini</x:v>
      </x:c>
      <x:c r="D7" s="16" t="str">
        <x:v>Extrapolation</x:v>
      </x:c>
      <x:c r="E7" s="16" t="str">
        <x:v>P0</x:v>
      </x:c>
      <x:c r="F7" s="9" t="str">
        <x:v>Système original de production propre au module.</x:v>
      </x:c>
      <x:c r="G7" s="9" t="str">
        <x:v>La navigation tient compte de la largeur de Yorrik et du volume de Ysses ; aucun corps n’est réduit à une variante humaine.</x:v>
      </x:c>
      <x:c r="H7" s="9" t="str">
        <x:v>La navigation tient compte de la largeur de Yorrik et du volume de Ysses ; aucun corps n’est réduit à une variante humaine.</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systems/ann/equipe-multiespece.ts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44" customHeight="1">
      <x:c r="A8" s="19" t="str">
        <x:v>ANN-SYS-02</x:v>
      </x:c>
      <x:c r="B8" s="7" t="str">
        <x:v>Preuve contradictoire</x:v>
      </x:c>
      <x:c r="C8" s="15" t="str">
        <x:v>Défini</x:v>
      </x:c>
      <x:c r="D8" s="17" t="str">
        <x:v>Extrapolation</x:v>
      </x:c>
      <x:c r="E8" s="17" t="str">
        <x:v>P0</x:v>
      </x:c>
      <x:c r="F8" s="7" t="str">
        <x:v>Système original de production propre au module.</x:v>
      </x:c>
      <x:c r="G8" s="7" t="str">
        <x:v>Les faits conservent leur appareil et leur observateur ; une majorité de témoins ne remplace pas un contrôle.</x:v>
      </x:c>
      <x:c r="H8" s="7" t="str">
        <x:v>Les faits conservent leur appareil et leur observateur ; une majorité de témoins ne remplace pas un contrôle.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systems/ann/preuve-contradictoire.ts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ANN-SYS-03</x:v>
      </x:c>
      <x:c r="B9" s="9" t="str">
        <x:v>Enquête sans accusé automatique</x:v>
      </x:c>
      <x:c r="C9" s="15" t="str">
        <x:v>Défini</x:v>
      </x:c>
      <x:c r="D9" s="16" t="str">
        <x:v>Extrapolation</x:v>
      </x:c>
      <x:c r="E9" s="16" t="str">
        <x:v>P1</x:v>
      </x:c>
      <x:c r="F9" s="9" t="str">
        <x:v>Système original de production propre au module.</x:v>
      </x:c>
      <x:c r="G9" s="9" t="str">
        <x:v>Aucun marqueur de culpabilité n’est déduit de l’espèce, du statut social ou de la croyance.</x:v>
      </x:c>
      <x:c r="H9" s="9" t="str">
        <x:v>Aucun marqueur de culpabilité n’est déduit de l’espèce, du statut social ou de la croyance.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systems/ann/enquete-sans-accuse-automatique.ts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54" customHeight="1">
      <x:c r="A10" s="19" t="str">
        <x:v>ANN-SYS-04</x:v>
      </x:c>
      <x:c r="B10" s="7" t="str">
        <x:v>Maladie abstraite</x:v>
      </x:c>
      <x:c r="C10" s="15" t="str">
        <x:v>Défini</x:v>
      </x:c>
      <x:c r="D10" s="17" t="str">
        <x:v>Extrapolation</x:v>
      </x:c>
      <x:c r="E10" s="17" t="str">
        <x:v>P1</x:v>
      </x:c>
      <x:c r="F10" s="7" t="str">
        <x:v>Système original de production propre au module.</x:v>
      </x:c>
      <x:c r="G10" s="7" t="str">
        <x:v>La progression de crise est scénarisée ; pas de modèle épidémiologique prétendu canonique ou de protocole médical réel.</x:v>
      </x:c>
      <x:c r="H10" s="7" t="str">
        <x:v>La progression de crise est scénarisée ; pas de modèle épidémiologique prétendu canonique ou de protocole médical réel.</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systems/ann/maladie-abstraite.ts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54" customHeight="1">
      <x:c r="A11" s="18" t="str">
        <x:v>ANN-SYS-05</x:v>
      </x:c>
      <x:c r="B11" s="9" t="str">
        <x:v>Environnements différenciés</x:v>
      </x:c>
      <x:c r="C11" s="15" t="str">
        <x:v>Défini</x:v>
      </x:c>
      <x:c r="D11" s="16" t="str">
        <x:v>Extrapolation</x:v>
      </x:c>
      <x:c r="E11" s="16" t="str">
        <x:v>P1</x:v>
      </x:c>
      <x:c r="F11" s="9" t="str">
        <x:v>Système original de production propre au module.</x:v>
      </x:c>
      <x:c r="G11" s="9" t="str">
        <x:v>Les sas et zones sont identifiés par pictogrammes et autorisations de fiction, sans valeurs physiques inventées.</x:v>
      </x:c>
      <x:c r="H11" s="9" t="str">
        <x:v>Les sas et zones sont identifiés par pictogrammes et autorisations de fiction, sans valeurs physiques inventées.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systems/ann/environnements-differencies.ts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54" customHeight="1">
      <x:c r="A12" s="19" t="str">
        <x:v>ANN-SYS-06</x:v>
      </x:c>
      <x:c r="B12" s="7" t="str">
        <x:v>Points de vue partagés</x:v>
      </x:c>
      <x:c r="C12" s="15" t="str">
        <x:v>Défini</x:v>
      </x:c>
      <x:c r="D12" s="17" t="str">
        <x:v>Extrapolation</x:v>
      </x:c>
      <x:c r="E12" s="17" t="str">
        <x:v>P1</x:v>
      </x:c>
      <x:c r="F12" s="7" t="str">
        <x:v>Système original de production propre au module.</x:v>
      </x:c>
      <x:c r="G12" s="7" t="str">
        <x:v>Changer de binôme rend visibles des compétences de lecture différentes ; les connaissances collectives restent tracées.</x:v>
      </x:c>
      <x:c r="H12" s="7" t="str">
        <x:v>Changer de binôme rend visibles des compétences de lecture différentes ; les connaissances collectives restent tracées.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systems/ann/points-de-vue-partages.ts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ANN-SYS-07</x:v>
      </x:c>
      <x:c r="B13" s="9" t="str">
        <x:v>Vie commune</x:v>
      </x:c>
      <x:c r="C13" s="15" t="str">
        <x:v>Défini</x:v>
      </x:c>
      <x:c r="D13" s="16" t="str">
        <x:v>Extrapolation</x:v>
      </x:c>
      <x:c r="E13" s="16" t="str">
        <x:v>P1</x:v>
      </x:c>
      <x:c r="F13" s="9" t="str">
        <x:v>Système original de production propre au module.</x:v>
      </x:c>
      <x:c r="G13" s="9" t="str">
        <x:v>Objets personnels et culturels hors butin ; tâches de restitution facultatives avec résultat narratif local.</x:v>
      </x:c>
      <x:c r="H13" s="9" t="str">
        <x:v>Objets personnels et culturels hors butin ; tâches de restitution facultatives avec résultat narratif local.</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systems/ann/vie-commune.ts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ANN-SYS-08</x:v>
      </x:c>
      <x:c r="B14" s="7" t="str">
        <x:v>Savoir pendant le voyage</x:v>
      </x:c>
      <x:c r="C14" s="15" t="str">
        <x:v>Défini</x:v>
      </x:c>
      <x:c r="D14" s="17" t="str">
        <x:v>Extrapolation</x:v>
      </x:c>
      <x:c r="E14" s="17" t="str">
        <x:v>P1</x:v>
      </x:c>
      <x:c r="F14" s="7" t="str">
        <x:v>Système original de production propre au module.</x:v>
      </x:c>
      <x:c r="G14" s="7" t="str">
        <x:v>Le groupe ne possède pas les découvertes de Ryder ni une réponse certaine sur l’état du Nexus à destination.</x:v>
      </x:c>
      <x:c r="H14" s="7" t="str">
        <x:v>Le groupe ne possède pas les découvertes de Ryder ni une réponse certaine sur l’état du Nexus à destination.</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systems/ann/savoir-pendant-le-voyage.ts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1dca373d75a4ab3"/>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Annihilation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ANN-TST-WAKE</x:v>
      </x:c>
      <x:c r="B7" s="9" t="str">
        <x:v>Répartir les premières vérifications — scénario d’acceptation</x:v>
      </x:c>
      <x:c r="C7" s="15" t="str">
        <x:v>Défini</x:v>
      </x:c>
      <x:c r="D7" s="16" t="str">
        <x:v>Extrapolation</x:v>
      </x:c>
      <x:c r="E7" s="16" t="str">
        <x:v>P1</x:v>
      </x:c>
      <x:c r="F7" s="9" t="str">
        <x:v>Test de comportement spécifique à la mission proposée.</x:v>
      </x:c>
      <x:c r="G7" s="9" t="str">
        <x:v>Exécuter Répartir les premières vérifications avec la méthode la plus lente puis avec la méthode alternative.</x:v>
      </x:c>
      <x:c r="H7" s="9" t="str">
        <x:v>Contrôler les transitions de la règle suivante : Attribuer matériel, systèmes et témoignages à des binômes ; chaque binôme rapporte un fait et une question.</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qa/ann/wake.md : état initial, actions, attendu, résultat, capture.</x:v>
      </x:c>
      <x:c r="M7" s="9" t="str">
        <x:v>Ne pas révéler le responsable avant l’étape validée du récit.</x:v>
      </x:c>
      <x:c r="N7" s="9" t="str">
        <x:v>Aucun blocage, récompense multiple, information future ou divergence entre pause ATB et temps normal.</x:v>
      </x:c>
      <x:c r="O7" s="9" t="str">
        <x:v>ANN-MIS-WAKE, ANN-CHO-WAKE, ANN-OPT-WAKE</x:v>
      </x:c>
      <x:c r="P7" s="9" t="str"/>
      <x:c r="Q7" s="9" t="str"/>
      <x:c r="R7" s="9" t="str"/>
      <x:c r="S7" s="9" t="str"/>
    </x:row>
    <x:row r="8" ht="54" customHeight="1">
      <x:c r="A8" s="19" t="str">
        <x:v>ANN-TST-CONFIRM</x:v>
      </x:c>
      <x:c r="B8" s="7" t="str">
        <x:v>Comparer affichage et présence — scénario d’acceptation</x:v>
      </x:c>
      <x:c r="C8" s="15" t="str">
        <x:v>Défini</x:v>
      </x:c>
      <x:c r="D8" s="17" t="str">
        <x:v>Extrapolation</x:v>
      </x:c>
      <x:c r="E8" s="17" t="str">
        <x:v>P1</x:v>
      </x:c>
      <x:c r="F8" s="7" t="str">
        <x:v>Test de comportement spécifique à la mission proposée.</x:v>
      </x:c>
      <x:c r="G8" s="7" t="str">
        <x:v>Exécuter Comparer affichage et présence avec la méthode la plus lente puis avec la méthode alternative.</x:v>
      </x:c>
      <x:c r="H8" s="7" t="str">
        <x:v>Contrôler les transitions de la règle suivante : Consigner le statut affiché, le constat et la source ; ne pas choisir au hasard une valeur.</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qa/ann/confirm.md : état initial, actions, attendu, résultat, capture.</x:v>
      </x:c>
      <x:c r="M8" s="7" t="str">
        <x:v>Pas de simulation clinique réaliste ou récit détaillé des décès.</x:v>
      </x:c>
      <x:c r="N8" s="7" t="str">
        <x:v>Aucun blocage, récompense multiple, information future ou divergence entre pause ATB et temps normal.</x:v>
      </x:c>
      <x:c r="O8" s="7" t="str">
        <x:v>ANN-MIS-CONFIRM, ANN-CHO-CONFIRM, ANN-OPT-CONFIRM</x:v>
      </x:c>
      <x:c r="P8" s="7" t="str"/>
      <x:c r="Q8" s="7" t="str"/>
      <x:c r="R8" s="7" t="str"/>
      <x:c r="S8" s="7" t="str"/>
    </x:row>
    <x:row r="9" ht="54" customHeight="1">
      <x:c r="A9" s="18" t="str">
        <x:v>ANN-TST-MEASURE</x:v>
      </x:c>
      <x:c r="B9" s="9" t="str">
        <x:v>Obtenir une mesure indépendante — scénario d’acceptation</x:v>
      </x:c>
      <x:c r="C9" s="15" t="str">
        <x:v>Défini</x:v>
      </x:c>
      <x:c r="D9" s="16" t="str">
        <x:v>Extrapolation</x:v>
      </x:c>
      <x:c r="E9" s="16" t="str">
        <x:v>P1</x:v>
      </x:c>
      <x:c r="F9" s="9" t="str">
        <x:v>Test de comportement spécifique à la mission proposée.</x:v>
      </x:c>
      <x:c r="G9" s="9" t="str">
        <x:v>Exécuter Obtenir une mesure indépendante avec la méthode la plus lente puis avec la méthode alternative.</x:v>
      </x:c>
      <x:c r="H9" s="9" t="str">
        <x:v>Contrôler les transitions de la règle suivante : Combiner outil, alimentation et témoin neutre ; résultat qualitatif abstrait.</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qa/ann/measure.md : état initial, actions, attendu, résultat, capture.</x:v>
      </x:c>
      <x:c r="M9" s="9" t="str">
        <x:v>Aucun dosage, culture de pathogène ou traitement réel.</x:v>
      </x:c>
      <x:c r="N9" s="9" t="str">
        <x:v>Aucun blocage, récompense multiple, information future ou divergence entre pause ATB et temps normal.</x:v>
      </x:c>
      <x:c r="O9" s="9" t="str">
        <x:v>ANN-MIS-MEASURE, ANN-CHO-MEASURE, ANN-OPT-MEASURE</x:v>
      </x:c>
      <x:c r="P9" s="9" t="str"/>
      <x:c r="Q9" s="9" t="str"/>
      <x:c r="R9" s="9" t="str"/>
      <x:c r="S9" s="9" t="str"/>
    </x:row>
    <x:row r="10" ht="44" customHeight="1">
      <x:c r="A10" s="19" t="str">
        <x:v>ANN-TST-RECOVER</x:v>
      </x:c>
      <x:c r="B10" s="7" t="str">
        <x:v>Retrouver un matériel déplacé — scénario d’acceptation</x:v>
      </x:c>
      <x:c r="C10" s="15" t="str">
        <x:v>Défini</x:v>
      </x:c>
      <x:c r="D10" s="17" t="str">
        <x:v>Extrapolation</x:v>
      </x:c>
      <x:c r="E10" s="17" t="str">
        <x:v>P1</x:v>
      </x:c>
      <x:c r="F10" s="7" t="str">
        <x:v>Test de comportement spécifique à la mission proposée.</x:v>
      </x:c>
      <x:c r="G10" s="7" t="str">
        <x:v>Exécuter Retrouver un matériel déplacé avec la méthode la plus lente puis avec la méthode alternative.</x:v>
      </x:c>
      <x:c r="H10" s="7" t="str">
        <x:v>Contrôler les transitions de la règle suivante : Comparer manifeste, marque de caisse et inventaire réel.</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qa/ann/recover.md : état initial, actions, attendu, résultat, capture.</x:v>
      </x:c>
      <x:c r="M10" s="7" t="str">
        <x:v>Ne pas traiter l’espèce du détenteur comme indice de culpabilité.</x:v>
      </x:c>
      <x:c r="N10" s="7" t="str">
        <x:v>Aucun blocage, récompense multiple, information future ou divergence entre pause ATB et temps normal.</x:v>
      </x:c>
      <x:c r="O10" s="7" t="str">
        <x:v>ANN-MIS-RECOVER, ANN-CHO-RECOVER, ANN-OPT-RECOVER</x:v>
      </x:c>
      <x:c r="P10" s="7" t="str"/>
      <x:c r="Q10" s="7" t="str"/>
      <x:c r="R10" s="7" t="str"/>
      <x:c r="S10" s="7" t="str"/>
    </x:row>
    <x:row r="11" ht="54" customHeight="1">
      <x:c r="A11" s="18" t="str">
        <x:v>ANN-TST-RECONCILE</x:v>
      </x:c>
      <x:c r="B11" s="9" t="str">
        <x:v>Réconcilier deux états de système — scénario d’acceptation</x:v>
      </x:c>
      <x:c r="C11" s="15" t="str">
        <x:v>Défini</x:v>
      </x:c>
      <x:c r="D11" s="16" t="str">
        <x:v>Extrapolation</x:v>
      </x:c>
      <x:c r="E11" s="16" t="str">
        <x:v>P1</x:v>
      </x:c>
      <x:c r="F11" s="9" t="str">
        <x:v>Test de comportement spécifique à la mission proposée.</x:v>
      </x:c>
      <x:c r="G11" s="9" t="str">
        <x:v>Exécuter Réconcilier deux états de système avec la méthode la plus lente puis avec la méthode alternative.</x:v>
      </x:c>
      <x:c r="H11" s="9" t="str">
        <x:v>Contrôler les transitions de la règle suivante : Valider une commande depuis un poste distant puis depuis le secteur concerné.</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qa/ann/reconcile.md : état initial, actions, attendu, résultat, capture.</x:v>
      </x:c>
      <x:c r="M11" s="9" t="str">
        <x:v>La réparation locale ne résout pas instantanément la maladie.</x:v>
      </x:c>
      <x:c r="N11" s="9" t="str">
        <x:v>Aucun blocage, récompense multiple, information future ou divergence entre pause ATB et temps normal.</x:v>
      </x:c>
      <x:c r="O11" s="9" t="str">
        <x:v>ANN-MIS-RECONCILE, ANN-CHO-RECONCILE, ANN-OPT-RECONCILE</x:v>
      </x:c>
      <x:c r="P11" s="9" t="str"/>
      <x:c r="Q11" s="9" t="str"/>
      <x:c r="R11" s="9" t="str"/>
      <x:c r="S11" s="9" t="str"/>
    </x:row>
    <x:row r="12" ht="54" customHeight="1">
      <x:c r="A12" s="19" t="str">
        <x:v>ANN-TST-QUESTION</x:v>
      </x:c>
      <x:c r="B12" s="7" t="str">
        <x:v>Conduire une demande d’explication — scénario d’acceptation</x:v>
      </x:c>
      <x:c r="C12" s="15" t="str">
        <x:v>Défini</x:v>
      </x:c>
      <x:c r="D12" s="17" t="str">
        <x:v>Extrapolation</x:v>
      </x:c>
      <x:c r="E12" s="17" t="str">
        <x:v>P1</x:v>
      </x:c>
      <x:c r="F12" s="7" t="str">
        <x:v>Test de comportement spécifique à la mission proposée.</x:v>
      </x:c>
      <x:c r="G12" s="7" t="str">
        <x:v>Exécuter Conduire une demande d’explication avec la méthode la plus lente puis avec la méthode alternative.</x:v>
      </x:c>
      <x:c r="H12" s="7" t="str">
        <x:v>Contrôler les transitions de la règle suivante : Présenter un constat précis, demander sa source et laisser une réponse être contestée.</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qa/ann/question.md : état initial, actions, attendu, résultat, capture.</x:v>
      </x:c>
      <x:c r="M12" s="7" t="str">
        <x:v>Les responsabilités et sanctions du livre restent à relire avant intégration.</x:v>
      </x:c>
      <x:c r="N12" s="7" t="str">
        <x:v>Aucun blocage, récompense multiple, information future ou divergence entre pause ATB et temps normal.</x:v>
      </x:c>
      <x:c r="O12" s="7" t="str">
        <x:v>ANN-MIS-QUESTION, ANN-CHO-QUESTION, ANN-OPT-QUESTION</x:v>
      </x:c>
      <x:c r="P12" s="7" t="str"/>
      <x:c r="Q12" s="7" t="str"/>
      <x:c r="R12" s="7" t="str"/>
      <x:c r="S12" s="7" t="str"/>
    </x:row>
    <x:row r="13" ht="54" customHeight="1">
      <x:c r="A13" s="18" t="str">
        <x:v>ANN-TST-PROTECT</x:v>
      </x:c>
      <x:c r="B13" s="9" t="str">
        <x:v>Préserver les passagers éveillés — scénario d’acceptation</x:v>
      </x:c>
      <x:c r="C13" s="15" t="str">
        <x:v>Défini</x:v>
      </x:c>
      <x:c r="D13" s="16" t="str">
        <x:v>Extrapolation</x:v>
      </x:c>
      <x:c r="E13" s="16" t="str">
        <x:v>P1</x:v>
      </x:c>
      <x:c r="F13" s="9" t="str">
        <x:v>Test de comportement spécifique à la mission proposée.</x:v>
      </x:c>
      <x:c r="G13" s="9" t="str">
        <x:v>Exécuter Préserver les passagers éveillés avec la méthode la plus lente puis avec la méthode alternative.</x:v>
      </x:c>
      <x:c r="H13" s="9" t="str">
        <x:v>Contrôler les transitions de la règle suivante : Ouvrir chemins, calmer des points de blocage et distinguer malade et agresseur.</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qa/ann/protect.md : état initial, actions, attendu, résultat, capture.</x:v>
      </x:c>
      <x:c r="M13" s="9" t="str">
        <x:v>Aucune faction ennemie fondée sur une espèce ou un symptôme.</x:v>
      </x:c>
      <x:c r="N13" s="9" t="str">
        <x:v>Aucun blocage, récompense multiple, information future ou divergence entre pause ATB et temps normal.</x:v>
      </x:c>
      <x:c r="O13" s="9" t="str">
        <x:v>ANN-MIS-PROTECT, ANN-CHO-PROTECT, ANN-OPT-PROTECT</x:v>
      </x:c>
      <x:c r="P13" s="9" t="str"/>
      <x:c r="Q13" s="9" t="str"/>
      <x:c r="R13" s="9" t="str"/>
      <x:c r="S13" s="9" t="str"/>
    </x:row>
    <x:row r="14" ht="54" customHeight="1">
      <x:c r="A14" s="19" t="str">
        <x:v>ANN-TST-STATE</x:v>
      </x:c>
      <x:c r="B14" s="7" t="str">
        <x:v>Consigner un état de voyage — scénario d’acceptation</x:v>
      </x:c>
      <x:c r="C14" s="15" t="str">
        <x:v>Défini</x:v>
      </x:c>
      <x:c r="D14" s="17" t="str">
        <x:v>Extrapolation</x:v>
      </x:c>
      <x:c r="E14" s="17" t="str">
        <x:v>P1</x:v>
      </x:c>
      <x:c r="F14" s="7" t="str">
        <x:v>Test de comportement spécifique à la mission proposée.</x:v>
      </x:c>
      <x:c r="G14" s="7" t="str">
        <x:v>Exécuter Consigner un état de voyage avec la méthode la plus lente puis avec la méthode alternative.</x:v>
      </x:c>
      <x:c r="H14" s="7" t="str">
        <x:v>Contrôler les transitions de la règle suivante : Valider intégrité locale, observations médicales abstraites et points encore incertains.</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qa/ann/state.md : état initial, actions, attendu, résultat, capture.</x:v>
      </x:c>
      <x:c r="M14" s="7" t="str">
        <x:v>La suite vers Andromède n’est pas transformée en DLC officiel inventé.</x:v>
      </x:c>
      <x:c r="N14" s="7" t="str">
        <x:v>Aucun blocage, récompense multiple, information future ou divergence entre pause ATB et temps normal.</x:v>
      </x:c>
      <x:c r="O14" s="7" t="str">
        <x:v>ANN-MIS-STATE, ANN-CHO-STATE, ANN-OPT-STATE</x:v>
      </x:c>
      <x:c r="P14" s="7" t="str"/>
      <x:c r="Q14" s="7" t="str"/>
      <x:c r="R14" s="7" t="str"/>
      <x:c r="S14" s="7" t="str"/>
    </x:row>
    <x:row r="15" ht="82" customHeight="1">
      <x:c r="A15" s="18" t="str">
        <x:v>ANN-QA-SOURCES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ANN par nature puis sourceIds ; revue ciblée des éléments sans source.</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Sources accessibles ou limites tracées ; aucun long extrait, dialogue reproduit ou résumé continu substitutif.</x:v>
      </x:c>
      <x:c r="O15" s="9" t="str"/>
      <x:c r="P15" s="9" t="str"/>
      <x:c r="Q15" s="9" t="str"/>
      <x:c r="R15" s="9" t="str"/>
      <x:c r="S15" s="9" t="str"/>
    </x:row>
    <x:row r="16" ht="82" customHeight="1">
      <x:c r="A16" s="19" t="str">
        <x:v>ANN-QA-SAVE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qa/ann/save-reload.md avec capture avant/après.</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Inventaire, acteurs disponibles, indices et limites de continuité restent identiques.</x:v>
      </x:c>
      <x:c r="O16" s="7" t="str"/>
      <x:c r="P16" s="7" t="str"/>
      <x:c r="Q16" s="7" t="str"/>
      <x:c r="R16" s="7" t="str"/>
      <x:c r="S16" s="7" t="str"/>
    </x:row>
    <x:row r="17" ht="54" customHeight="1">
      <x:c r="A17" s="18" t="str">
        <x:v>ANN-QA-VISUAL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qa/ann/readability/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ANN-QA-ACCESS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qa/ann/accessibility.md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e3d0a5cbe5e34ea6"/>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Annihilation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ANN-CON-01</x:v>
      </x:c>
      <x:c r="B7" s="9" t="str">
        <x:v>Publication finale</x:v>
      </x:c>
      <x:c r="C7" s="15" t="str">
        <x:v>Défini</x:v>
      </x:c>
      <x:c r="D7" s="16" t="str">
        <x:v>Établi</x:v>
      </x:c>
      <x:c r="E7" s="16" t="str">
        <x:v>P0</x:v>
      </x:c>
      <x:c r="F7" s="9" t="str">
        <x:v>Titan indique une publication le 6 novembre 2018 ; l’annonce BioWare de 2017 donnait une date prévue différente.</x:v>
      </x:c>
      <x:c r="G7" s="9" t="str">
        <x:v>Contrainte éditoriale : verrouiller les dépendances avant intégration du module.</x:v>
      </x:c>
      <x:c r="H7" s="9" t="str"/>
      <x:c r="I7" s="9" t="str"/>
      <x:c r="J7" s="9" t="str"/>
      <x:c r="K7" s="9" t="str"/>
      <x:c r="L7" s="9" t="str">
        <x:v>continuity/ann.json ; règle documentée et décision de validation datée.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règle est contrôlée dans les textes, cartes, choix et sauvegardes ; incertitude résolue ou affichée.</x:v>
      </x:c>
      <x:c r="O7" s="9" t="str"/>
      <x:c r="P7" s="9" t="str">
        <x:v>Limite de continuité / contrôle transversal</x:v>
      </x:c>
      <x:c r="Q7" s="9" t="str">
        <x:v>ANN-SRC-PUB</x:v>
      </x:c>
      <x:c r="R7" s="9" t="str">
        <x:v>https://titanbooks.com/8749-mass-effect-annihilation/</x:v>
      </x:c>
      <x:c r="S7" s="9" t="str">
        <x:v>Aucun numéro de chapitre ou de page n’est attribué sans exemplaire vérifié.</x:v>
      </x:c>
    </x:row>
    <x:row r="8" ht="82" customHeight="1">
      <x:c r="A8" s="19" t="str">
        <x:v>ANN-CON-02</x:v>
      </x:c>
      <x:c r="B8" s="7" t="str">
        <x:v>Passagers</x:v>
      </x:c>
      <x:c r="C8" s="15" t="str">
        <x:v>Défini</x:v>
      </x:c>
      <x:c r="D8" s="17" t="str">
        <x:v>Établi</x:v>
      </x:c>
      <x:c r="E8" s="17" t="str">
        <x:v>P0</x:v>
      </x:c>
      <x:c r="F8" s="7" t="str">
        <x:v>La présentation officielle mentionne vingt mille colons de plusieurs espèces ; les groupes de jeu ne représentent qu’un sous-ensemble proposé.</x:v>
      </x:c>
      <x:c r="G8" s="7" t="str">
        <x:v>Contrainte éditoriale : verrouiller les dépendances avant intégration du module.</x:v>
      </x:c>
      <x:c r="H8" s="7" t="str"/>
      <x:c r="I8" s="7" t="str"/>
      <x:c r="J8" s="7" t="str"/>
      <x:c r="K8" s="7" t="str"/>
      <x:c r="L8" s="7" t="str">
        <x:v>continuity/ann.json ; règle documentée et décision de validation datée.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règle est contrôlée dans les textes, cartes, choix et sauvegardes ; incertitude résolue ou affichée.</x:v>
      </x:c>
      <x:c r="O8" s="7" t="str"/>
      <x:c r="P8" s="7" t="str">
        <x:v>Limite de continuité / contrôle transversal</x:v>
      </x:c>
      <x:c r="Q8" s="7" t="str">
        <x:v>ANN-SRC-BW</x:v>
      </x:c>
      <x:c r="R8" s="7" t="str">
        <x:v>https://blog.bioware.com/2017/10/25/mass-effect-anihilation/</x:v>
      </x:c>
      <x:c r="S8" s="7" t="str">
        <x:v>Aucun numéro de chapitre ou de page n’est attribué sans exemplaire vérifié.</x:v>
      </x:c>
    </x:row>
    <x:row r="9" ht="82" customHeight="1">
      <x:c r="A9" s="18" t="str">
        <x:v>ANN-CON-03</x:v>
      </x:c>
      <x:c r="B9" s="9" t="str">
        <x:v>Avant l’arrivée</x:v>
      </x:c>
      <x:c r="C9" s="15" t="str">
        <x:v>Défini</x:v>
      </x:c>
      <x:c r="D9" s="16" t="str">
        <x:v>Établi</x:v>
      </x:c>
      <x:c r="E9" s="16" t="str">
        <x:v>P0</x:v>
      </x:c>
      <x:c r="F9" s="9" t="str">
        <x:v>La crise appartient au voyage de l’arche, pas à une exploration libre d’Héléus.</x:v>
      </x:c>
      <x:c r="G9" s="9" t="str">
        <x:v>Contrainte éditoriale : verrouiller les dépendances avant intégration du module.</x:v>
      </x:c>
      <x:c r="H9" s="9" t="str"/>
      <x:c r="I9" s="9" t="str"/>
      <x:c r="J9" s="9" t="str"/>
      <x:c r="K9" s="9" t="str"/>
      <x:c r="L9" s="9" t="str">
        <x:v>continuity/ann.json ; règle documentée et décision de validation datée.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règle est contrôlée dans les textes, cartes, choix et sauvegardes ; incertitude résolue ou affichée.</x:v>
      </x:c>
      <x:c r="O9" s="9" t="str"/>
      <x:c r="P9" s="9" t="str">
        <x:v>Limite de continuité / contrôle transversal</x:v>
      </x:c>
      <x:c r="Q9" s="9" t="str">
        <x:v>ANN-SRC-PUB</x:v>
      </x:c>
      <x:c r="R9" s="9" t="str">
        <x:v>https://titanbooks.com/8749-mass-effect-annihilation/</x:v>
      </x:c>
      <x:c r="S9" s="9" t="str">
        <x:v>Aucun numéro de chapitre ou de page n’est attribué sans exemplaire vérifié.</x:v>
      </x:c>
    </x:row>
    <x:row r="10" ht="82" customHeight="1">
      <x:c r="A10" s="19" t="str">
        <x:v>ANN-CON-04</x:v>
      </x:c>
      <x:c r="B10" s="7" t="str">
        <x:v>Biotique d’Anax</x:v>
      </x:c>
      <x:c r="C10" s="15" t="str">
        <x:v>Défini</x:v>
      </x:c>
      <x:c r="D10" s="17" t="str">
        <x:v>Établi</x:v>
      </x:c>
      <x:c r="E10" s="17" t="str">
        <x:v>P0</x:v>
      </x:c>
      <x:c r="F10" s="7" t="str">
        <x:v>Ses capacités sont attestées ; aucun nom de pouvoir de ME3 n’est automatiquement transposé.</x:v>
      </x:c>
      <x:c r="G10" s="7" t="str">
        <x:v>Contrainte éditoriale : verrouiller les dépendances avant intégration du module.</x:v>
      </x:c>
      <x:c r="H10" s="7" t="str"/>
      <x:c r="I10" s="7" t="str"/>
      <x:c r="J10" s="7" t="str"/>
      <x:c r="K10" s="7" t="str"/>
      <x:c r="L10" s="7" t="str">
        <x:v>continuity/ann.json ; règle documentée et décision de validation datée.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règle est contrôlée dans les textes, cartes, choix et sauvegardes ; incertitude résolue ou affichée.</x:v>
      </x:c>
      <x:c r="O10" s="7" t="str"/>
      <x:c r="P10" s="7" t="str">
        <x:v>Limite de continuité / contrôle transversal</x:v>
      </x:c>
      <x:c r="Q10" s="7" t="str">
        <x:v>ANN-SRC-ANAX</x:v>
      </x:c>
      <x:c r="R10" s="7" t="str">
        <x:v>https://masseffect.fandom.com/wiki/Anax_Therion</x:v>
      </x:c>
      <x:c r="S10" s="7" t="str">
        <x:v>Aucun numéro de chapitre ou de page n’est attribué sans exemplaire vérifié.</x:v>
      </x:c>
    </x:row>
    <x:row r="11" ht="82" customHeight="1">
      <x:c r="A11" s="18" t="str">
        <x:v>ANN-CON-05</x:v>
      </x:c>
      <x:c r="B11" s="9" t="str">
        <x:v>Croyances et responsabilité</x:v>
      </x:c>
      <x:c r="C11" s="15" t="str">
        <x:v>Défini</x:v>
      </x:c>
      <x:c r="D11" s="16" t="str">
        <x:v>Extrapolation</x:v>
      </x:c>
      <x:c r="E11" s="16" t="str">
        <x:v>P0</x:v>
      </x:c>
      <x:c r="F11" s="9" t="str">
        <x:v>Ne pas confondre appartenance religieuse, soupçon et responsabilité établie.</x:v>
      </x:c>
      <x:c r="G11" s="9" t="str">
        <x:v>Contrainte éditoriale : verrouiller les dépendances avant intégration du module.</x:v>
      </x:c>
      <x:c r="H11" s="9" t="str"/>
      <x:c r="I11" s="9" t="str"/>
      <x:c r="J11" s="9" t="str"/>
      <x:c r="K11" s="9" t="str"/>
      <x:c r="L11" s="9" t="str">
        <x:v>continuity/ann.json ; règle documentée et décision de validation datée.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règle est contrôlée dans les textes, cartes, choix et sauvegardes ; incertitude résolue ou affichée.</x:v>
      </x:c>
      <x:c r="O11" s="9" t="str"/>
      <x:c r="P11" s="9" t="str">
        <x:v>Limite de continuité / contrôle transversal</x:v>
      </x:c>
      <x:c r="Q11" s="9" t="str"/>
      <x:c r="R11" s="9" t="str"/>
      <x:c r="S11" s="9" t="str">
        <x:v>Aucun numéro de chapitre ou de page n’est attribué sans exemplaire vérifié.</x:v>
      </x:c>
    </x:row>
    <x:row r="12" ht="82" customHeight="1">
      <x:c r="A12" s="19" t="str">
        <x:v>ANN-CON-06</x:v>
      </x:c>
      <x:c r="B12" s="7" t="str">
        <x:v>Échantillons fictifs</x:v>
      </x:c>
      <x:c r="C12" s="15" t="str">
        <x:v>Défini</x:v>
      </x:c>
      <x:c r="D12" s="17" t="str">
        <x:v>Extrapolation</x:v>
      </x:c>
      <x:c r="E12" s="17" t="str">
        <x:v>P0</x:v>
      </x:c>
      <x:c r="F12" s="7" t="str">
        <x:v>Tous les puzzles médicaux restent abstraits et sans méthode de culture ou synthèse réelle.</x:v>
      </x:c>
      <x:c r="G12" s="7" t="str">
        <x:v>Contrainte éditoriale : verrouiller les dépendances avant intégration du module.</x:v>
      </x:c>
      <x:c r="H12" s="7" t="str"/>
      <x:c r="I12" s="7" t="str"/>
      <x:c r="J12" s="7" t="str"/>
      <x:c r="K12" s="7" t="str"/>
      <x:c r="L12" s="7" t="str">
        <x:v>continuity/ann.json ; règle documentée et décision de validation datée.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82" customHeight="1">
      <x:c r="A13" s="18" t="str">
        <x:v>ANN-CON-07</x:v>
      </x:c>
      <x:c r="B13" s="9" t="str">
        <x:v>Ordre des révélations</x:v>
      </x:c>
      <x:c r="C13" s="15" t="str">
        <x:v>Défini</x:v>
      </x:c>
      <x:c r="D13" s="16" t="str">
        <x:v>À vérifier</x:v>
      </x:c>
      <x:c r="E13" s="16" t="str">
        <x:v>P0</x:v>
      </x:c>
      <x:c r="F13" s="9" t="str">
        <x:v>Valider dans le roman l’étape exacte où chaque responsabilité devient connue avant d’écrire la scène finale.</x:v>
      </x:c>
      <x:c r="G13" s="9" t="str">
        <x:v>Contrainte éditoriale : verrouiller les dépendances avant intégration du module.</x:v>
      </x:c>
      <x:c r="H13" s="9" t="str"/>
      <x:c r="I13" s="9" t="str"/>
      <x:c r="J13" s="9" t="str"/>
      <x:c r="K13" s="9" t="str"/>
      <x:c r="L13" s="9" t="str">
        <x:v>continuity/ann.json ; règle documentée et décision de validation datée.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row r="14" ht="82" customHeight="1">
      <x:c r="A14" s="19" t="str">
        <x:v>ANN-CON-08</x:v>
      </x:c>
      <x:c r="B14" s="7" t="str">
        <x:v>Aucune suite officielle déduite</x:v>
      </x:c>
      <x:c r="C14" s="15" t="str">
        <x:v>Défini</x:v>
      </x:c>
      <x:c r="D14" s="17" t="str">
        <x:v>Extrapolation</x:v>
      </x:c>
      <x:c r="E14" s="17" t="str">
        <x:v>P0</x:v>
      </x:c>
      <x:c r="F14" s="7" t="str">
        <x:v>L’existence du roman ne démontre pas un DLC, une mission jouable ou une résolution complète future de l’arche.</x:v>
      </x:c>
      <x:c r="G14" s="7" t="str">
        <x:v>Contrainte éditoriale : verrouiller les dépendances avant intégration du module.</x:v>
      </x:c>
      <x:c r="H14" s="7" t="str"/>
      <x:c r="I14" s="7" t="str"/>
      <x:c r="J14" s="7" t="str"/>
      <x:c r="K14" s="7" t="str"/>
      <x:c r="L14" s="7" t="str">
        <x:v>continuity/ann.json ; règle documentée et décision de validation datée.</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sheetData>
  <x:conditionalFormatting sqref="D7:D14">
    <x:cfRule type="cellIs" dxfId="100" priority="1" operator="equal">
      <x:formula>"À vérifier"</x:formula>
    </x:cfRule>
    <x:cfRule type="cellIs" dxfId="101" priority="2" operator="equal">
      <x:formula>"Extrapolation"</x:formula>
    </x:cfRule>
  </x:conditionalFormatting>
  <x:conditionalFormatting sqref="C7:C14">
    <x:cfRule type="cellIs" dxfId="102" priority="3" operator="equal">
      <x:formula>"Validé"</x:formula>
    </x:cfRule>
  </x:conditionalFormatting>
  <x:conditionalFormatting sqref="E7:E14">
    <x:cfRule type="cellIs" dxfId="10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52591e72a5a4d27"/>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Annihilation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 Annihilation</x:v>
      </x:c>
      <x:c r="C7" s="2"/>
      <x:c r="D7" s="2"/>
      <x:c r="E7" s="2"/>
      <x:c r="F7" s="2"/>
    </x:row>
    <x:row r="8" ht="30" customHeight="1">
      <x:c r="A8" s="7" t="str">
        <x:v>Support</x:v>
      </x:c>
      <x:c r="B8" s="7" t="str">
        <x:v>Roman</x:v>
      </x:c>
      <x:c r="C8" s="2"/>
      <x:c r="D8" s="2"/>
      <x:c r="E8" s="2"/>
      <x:c r="F8" s="2"/>
    </x:row>
    <x:row r="9" ht="40" customHeight="1">
      <x:c r="A9" s="7" t="str">
        <x:v>Périmètre</x:v>
      </x:c>
      <x:c r="B9" s="7" t="str">
        <x:v>Roman de Catherynne M. Valente ; crise multiespèce sur Keelah Si’yah pendant le voyage.</x:v>
      </x:c>
      <x:c r="C9" s="2"/>
      <x:c r="D9" s="2"/>
      <x:c r="E9" s="2"/>
      <x:c r="F9" s="2"/>
    </x:row>
    <x:row r="10" ht="54" customHeight="1">
      <x:c r="A10" s="7" t="str">
        <x:v>Projet</x:v>
      </x:c>
      <x:c r="B10" s="7" t="str">
        <x:v>161 fiches de production ; 4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Préserver le mystère et l’issue du roman. La maladie ne transforme pas les espèces en bestiaire de zombies ; les procédures médicales restent fictives et abstraites. Aucun sauvetage par Ryder ni prolongement officiel de MEA n’est inventé.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ANN-SRC-PUB</x:v>
      </x:c>
      <x:c r="B27" s="6" t="str">
        <x:v>Titan Books — Annihilation</x:v>
      </x:c>
      <x:c r="C27" s="6" t="str">
        <x:v>source officielle</x:v>
      </x:c>
      <x:c r="D27" s="6" t="str">
        <x:v>https://titanbooks.com/8749-mass-effect-annihilation/</x:v>
      </x:c>
      <x:c r="E27" s="6" t="str">
        <x:v>Auteur, publication effective et prémisse</x:v>
      </x:c>
      <x:c r="F27" s="6" t="str">
        <x:v>Consulté le 22 octobre 2026. Faits courts uniquement ; la publication originale reste nécessaire pour contrôler les détails.</x:v>
      </x:c>
    </x:row>
    <x:row r="28" ht="42" customHeight="1">
      <x:c r="A28" s="6" t="str">
        <x:v>ANN-SRC-BW</x:v>
      </x:c>
      <x:c r="B28" s="6" t="str">
        <x:v>BioWare — annonce d’Annihilation</x:v>
      </x:c>
      <x:c r="C28" s="6" t="str">
        <x:v>source officielle</x:v>
      </x:c>
      <x:c r="D28" s="6" t="str">
        <x:v>https://blog.bioware.com/2017/10/25/mass-effect-anihilation/</x:v>
      </x:c>
      <x:c r="E28" s="6" t="str">
        <x:v>Arche, passagers et menace ; annonce de 2017</x:v>
      </x:c>
      <x:c r="F28" s="6" t="str">
        <x:v>Date prévue dans l’annonce différente de la publication finale indiquée par Titan ; conserver la distinction.</x:v>
      </x:c>
    </x:row>
    <x:row r="29" ht="54" customHeight="1">
      <x:c r="A29" s="6" t="str">
        <x:v>ANN-SRC-WIKI</x:v>
      </x:c>
      <x:c r="B29" s="6" t="str">
        <x:v>Mass Effect Wiki — Annihilation</x:v>
      </x:c>
      <x:c r="C29" s="6" t="str">
        <x:v>wiki</x:v>
      </x:c>
      <x:c r="D29" s="6" t="str">
        <x:v>https://masseffect.fandom.com/wiki/Mass_Effect_Andromeda:_Annihilation</x:v>
      </x:c>
      <x:c r="E29" s="6" t="str">
        <x:v>Bibliographie et crise à bord</x:v>
      </x:c>
      <x:c r="F29" s="6" t="str">
        <x:v>Consulté le 22 octobre 2026. Faits courts uniquement ; la publication originale reste nécessaire pour contrôler les détails.</x:v>
      </x:c>
    </x:row>
    <x:row r="30" ht="54" customHeight="1">
      <x:c r="A30" s="6" t="str">
        <x:v>ANN-SRC-SHIP</x:v>
      </x:c>
      <x:c r="B30" s="6" t="str">
        <x:v>Mass Effect Wiki — Keelah Si’yah</x:v>
      </x:c>
      <x:c r="C30" s="6" t="str">
        <x:v>wiki</x:v>
      </x:c>
      <x:c r="D30" s="6" t="str">
        <x:v>https://masseffect.fandom.com/wiki/Keelah_Si%27yah</x:v>
      </x:c>
      <x:c r="E30" s="6" t="str">
        <x:v>Équipe, espèces et décoration collective ; résultats indexés</x:v>
      </x:c>
      <x:c r="F30" s="6" t="str">
        <x:v>Consulté le 22 octobre 2026. Faits courts uniquement ; la publication originale reste nécessaire pour contrôler les détails.</x:v>
      </x:c>
    </x:row>
    <x:row r="31" ht="54" customHeight="1">
      <x:c r="A31" s="6" t="str">
        <x:v>ANN-SRC-SENNA</x:v>
      </x:c>
      <x:c r="B31" s="6" t="str">
        <x:v>Mass Effect Wiki — Senna’Nir</x:v>
      </x:c>
      <x:c r="C31" s="6" t="str">
        <x:v>wiki</x:v>
      </x:c>
      <x:c r="D31" s="6" t="str">
        <x:v>https://masseffect.fandom.com/wiki/Senna%27Nir_vas_Keelah_Si%27yah</x:v>
      </x:c>
      <x:c r="E31" s="6" t="str">
        <x:v>Chef d’équipe et investigation technique</x:v>
      </x:c>
      <x:c r="F31" s="6" t="str">
        <x:v>Consulté le 22 octobre 2026. Faits courts uniquement ; la publication originale reste nécessaire pour contrôler les détails.</x:v>
      </x:c>
    </x:row>
    <x:row r="32" ht="54" customHeight="1">
      <x:c r="A32" s="6" t="str">
        <x:v>ANN-SRC-ANAX</x:v>
      </x:c>
      <x:c r="B32" s="6" t="str">
        <x:v>Mass Effect Wiki — Anax Therion</x:v>
      </x:c>
      <x:c r="C32" s="6" t="str">
        <x:v>wiki</x:v>
      </x:c>
      <x:c r="D32" s="6" t="str">
        <x:v>https://masseffect.fandom.com/wiki/Anax_Therion</x:v>
      </x:c>
      <x:c r="E32" s="6" t="str">
        <x:v>Analyste drell, biotique et recherche de matériel</x:v>
      </x:c>
      <x:c r="F32" s="6" t="str">
        <x:v>Consulté le 22 octobre 2026. Faits courts uniquement ; la publication originale reste nécessaire pour contrôler les détails.</x:v>
      </x:c>
    </x:row>
    <x:row r="33" ht="54" customHeight="1">
      <x:c r="A33" s="6" t="str">
        <x:v>ANN-SRC-YORRIK</x:v>
      </x:c>
      <x:c r="B33" s="6" t="str">
        <x:v>Mass Effect Wiki — Yorrik</x:v>
      </x:c>
      <x:c r="C33" s="6" t="str">
        <x:v>wiki</x:v>
      </x:c>
      <x:c r="D33" s="6" t="str">
        <x:v>https://masseffect.fandom.com/wiki/Yorrik</x:v>
      </x:c>
      <x:c r="E33" s="6" t="str">
        <x:v>Médecin elcor et crise médicale</x:v>
      </x:c>
      <x:c r="F33" s="6" t="str">
        <x:v>Consulté le 22 octobre 2026. Faits courts uniquement ; la publication originale reste nécessaire pour contrôler les détails.</x:v>
      </x:c>
    </x:row>
    <x:row r="34" ht="54" customHeight="1">
      <x:c r="A34" s="6" t="str">
        <x:v>ANN-SRC-BORBALA</x:v>
      </x:c>
      <x:c r="B34" s="6" t="str">
        <x:v>Mass Effect Wiki — Borbala Ferank</x:v>
      </x:c>
      <x:c r="C34" s="6" t="str">
        <x:v>wiki</x:v>
      </x:c>
      <x:c r="D34" s="6" t="str">
        <x:v>https://masseffect.fandom.com/wiki/Borbala_Ferank</x:v>
      </x:c>
      <x:c r="E34" s="6" t="str">
        <x:v>Batarienne et membre de Blue-7</x:v>
      </x:c>
      <x:c r="F34" s="6" t="str">
        <x:v>Consulté le 22 octobre 2026. Faits courts uniquement ; la publication originale reste nécessaire pour contrôler les détails.</x:v>
      </x:c>
    </x:row>
    <x:row r="35" ht="54" customHeight="1">
      <x:c r="A35" s="6" t="str">
        <x:v>ANN-SRC-YSSES</x:v>
      </x:c>
      <x:c r="B35" s="6" t="str">
        <x:v>Mass Effect Wiki — Ysses</x:v>
      </x:c>
      <x:c r="C35" s="6" t="str">
        <x:v>wiki</x:v>
      </x:c>
      <x:c r="D35" s="6" t="str">
        <x:v>https://masseffect.fandom.com/wiki/Ysses</x:v>
      </x:c>
      <x:c r="E35" s="6" t="str">
        <x:v>Hanar, spécialité et travail avec Yorrik</x:v>
      </x:c>
      <x:c r="F35" s="6" t="str">
        <x:v>Consulté le 22 octobre 2026. Faits courts uniquement ; la publication originale reste nécessaire pour contrôler les détails.</x:v>
      </x:c>
    </x:row>
    <x:row r="36" ht="54" customHeight="1">
      <x:c r="A36" s="6" t="str">
        <x:v>ANN-SRC-IRIT</x:v>
      </x:c>
      <x:c r="B36" s="6" t="str">
        <x:v>Mass Effect Wiki — Irit Non</x:v>
      </x:c>
      <x:c r="C36" s="6" t="str">
        <x:v>wiki</x:v>
      </x:c>
      <x:c r="D36" s="6" t="str">
        <x:v>https://masseffect.fandom.com/wiki/Irit_Non</x:v>
      </x:c>
      <x:c r="E36" s="6" t="str">
        <x:v>Volus et investigation des systèmes</x:v>
      </x:c>
      <x:c r="F36" s="6" t="str">
        <x:v>Consulté le 22 octobre 2026. Faits courts uniquement ; la publication originale reste nécessaire pour contrôler les détails.</x:v>
      </x:c>
    </x:row>
    <x:row r="37" ht="54" customHeight="1">
      <x:c r="A37" s="6" t="str">
        <x:v>ANN-SRC-QETSI</x:v>
      </x:c>
      <x:c r="B37" s="6" t="str">
        <x:v>Mass Effect Wiki — Qetsi’Olam</x:v>
      </x:c>
      <x:c r="C37" s="6" t="str">
        <x:v>wiki</x:v>
      </x:c>
      <x:c r="D37" s="6" t="str">
        <x:v>https://masseffect.fandom.com/wiki/Qetsi%27Olam_vas_Keelah_Si%27yah</x:v>
      </x:c>
      <x:c r="E37" s="6" t="str">
        <x:v>Capitaine et état de sa combinaison ; résultats indexés</x:v>
      </x:c>
      <x:c r="F37" s="6" t="str">
        <x:v>Consulté le 22 octobre 2026. Faits courts uniquement ; la publication originale reste nécessaire pour contrôler les détails.</x:v>
      </x:c>
    </x:row>
    <x:row r="38" ht="54" customHeight="1">
      <x:c r="A38" s="6" t="str">
        <x:v>ANN-SRC-MALAK</x:v>
      </x:c>
      <x:c r="B38" s="6" t="str">
        <x:v>Mass Effect Wiki — Malak’Rafa</x:v>
      </x:c>
      <x:c r="C38" s="6" t="str">
        <x:v>wiki</x:v>
      </x:c>
      <x:c r="D38" s="6" t="str">
        <x:v>https://masseffect.fandom.com/wiki/Malak%27Rafa_vas_Keelah_Si%27yah</x:v>
      </x:c>
      <x:c r="E38" s="6" t="str">
        <x:v>Relations avec Senna et Qetsi ; résultats indexés</x:v>
      </x:c>
      <x:c r="F38" s="6" t="str">
        <x:v>Consulté le 22 octobre 2026. Faits courts uniquement ; la publication originale reste nécessaire pour contrôler les détails.</x:v>
      </x:c>
    </x:row>
    <x:row r="39" ht="54" customHeight="1">
      <x:c r="A39" s="6" t="str">
        <x:v>ANN-SRC-SOVAL</x:v>
      </x:c>
      <x:c r="B39" s="6" t="str">
        <x:v>Mass Effect Wiki — Soval Raxios</x:v>
      </x:c>
      <x:c r="C39" s="6" t="str">
        <x:v>wiki</x:v>
      </x:c>
      <x:c r="D39" s="6" t="str">
        <x:v>https://masseffect.fandom.com/wiki/Soval_Raxios</x:v>
      </x:c>
      <x:c r="E39" s="6" t="str">
        <x:v>Analyste drell, relations et contexte ; résultats indexés</x:v>
      </x:c>
      <x:c r="F39" s="6" t="str">
        <x:v>Consulté le 22 octobre 2026. Faits courts uniquement ; la publication originale reste nécessaire pour contrôler les détails.</x:v>
      </x:c>
    </x:row>
    <x:row r="40" ht="54" customHeight="1">
      <x:c r="A40" s="6" t="str">
        <x:v>ANN-SRC-PLAGUE</x:v>
      </x:c>
      <x:c r="B40" s="6" t="str">
        <x:v>Mass Effect Wiki — Fortinbras Plague</x:v>
      </x:c>
      <x:c r="C40" s="6" t="str">
        <x:v>wiki</x:v>
      </x:c>
      <x:c r="D40" s="6" t="str">
        <x:v>https://masseffect.fandom.com/wiki/Fortinbras_Plague</x:v>
      </x:c>
      <x:c r="E40" s="6" t="str">
        <x:v>Nom et enjeu du remède, sans détail biomédical reproduit</x:v>
      </x:c>
      <x:c r="F40" s="6" t="str">
        <x:v>Consulté le 22 octobre 2026. Faits courts uniquement ; la publication originale reste nécessaire pour contrôler les détails.</x:v>
      </x:c>
    </x:row>
    <x:row r="41" ht="54" customHeight="1">
      <x:c r="A41" s="6" t="str">
        <x:v>ANN-SRC-REVIEW</x:v>
      </x:c>
      <x:c r="B41" s="6" t="str">
        <x:v>Reactor — critique d’Annihilation</x:v>
      </x:c>
      <x:c r="C41" s="6" t="str">
        <x:v>presse</x:v>
      </x:c>
      <x:c r="D41" s="6" t="str">
        <x:v>https://reactormag.com/book-reviews-mass-effect-andromeda-annihilation-by-catherynne-m-valente/</x:v>
      </x:c>
      <x:c r="E41" s="6" t="str">
        <x:v>Rôles de Senna, Anax et Yorrik</x:v>
      </x:c>
      <x:c r="F41" s="6" t="str">
        <x:v>Consulté le 22 octobre 2026. Faits courts uniquement ; la publication originale reste nécessaire pour contrôler les détails.</x:v>
      </x:c>
    </x:row>
    <x:row r="42" ht="22" customHeight="1">
      <x:c r="A42" s="2"/>
      <x:c r="B42" s="2"/>
      <x:c r="C42" s="2"/>
      <x:c r="D42" s="2"/>
      <x:c r="E42" s="2"/>
      <x:c r="F42" s="2"/>
    </x:row>
    <x:row r="43" ht="22" customHeight="1">
      <x:c r="A43" s="2"/>
      <x:c r="B43" s="2"/>
      <x:c r="C43" s="2"/>
      <x:c r="D43" s="2"/>
      <x:c r="E43" s="2"/>
      <x:c r="F43" s="2"/>
    </x:row>
    <x:row r="44" ht="22" customHeight="1">
      <x:c r="A44" s="2"/>
      <x:c r="B44" s="2"/>
      <x:c r="C44" s="2"/>
      <x:c r="D44" s="2"/>
      <x:c r="E44" s="2"/>
      <x:c r="F44" s="2"/>
    </x:row>
    <x:row r="45" ht="34" customHeight="1">
      <x:c r="A45" s="28" t="str">
        <x:v>Domaine</x:v>
      </x:c>
      <x:c r="B45" s="29" t="str">
        <x:v>Couverture actuelle</x:v>
      </x:c>
      <x:c r="C45" s="30" t="str">
        <x:v>Travail restant</x:v>
      </x:c>
      <x:c r="D45" s="2"/>
      <x:c r="E45" s="2"/>
      <x:c r="F45" s="2"/>
    </x:row>
    <x:row r="46" ht="96" customHeight="1">
      <x:c r="A46" s="6" t="str">
        <x:v>Références canoniques</x:v>
      </x:c>
      <x:c r="B46" s="6" t="str">
        <x:v>Équipe Blue-7, passagers et capitaine de l’arche ; enquête originale de production autour de preuves, systèmes trompeurs et soins abstraits.</x:v>
      </x:c>
      <x:c r="C46" s="6" t="str">
        <x:v>Lecture intégrale nécessaire pour résoudre les responsabilités, décès, relations et ordre de révélation. Les fiches ne fournissent ni protocole médical, ni résumé exhaustif de l’enquête, ni fin jouable alternative.</x:v>
      </x:c>
      <x:c r="D46" s="2"/>
      <x:c r="E46" s="2"/>
      <x:c r="F46" s="2"/>
    </x:row>
    <x:row r="47" ht="68" customHeight="1">
      <x:c r="A47" s="6" t="str">
        <x:v>Personnages et direction artistique</x:v>
      </x:c>
      <x:c r="B47" s="6" t="str">
        <x:v>10 personnages/PNJ documentés, avec planches, poses et intentions de dialogues originales distinctes.</x:v>
      </x:c>
      <x:c r="C47" s="6" t="str">
        <x:v>Valider les costumes, accessoires et nuances de caractérisation avec un exemplaire légal de l’œuvre ; pour le film, établir une bible visuelle par visionnage.</x:v>
      </x:c>
      <x:c r="D47" s="2"/>
      <x:c r="E47" s="2"/>
      <x:c r="F47" s="2"/>
    </x:row>
    <x:row r="48" ht="54" customHeight="1">
      <x:c r="A48" s="6" t="str">
        <x:v>Cartes et progression</x:v>
      </x:c>
      <x:c r="B48" s="6" t="str">
        <x:v>8 cartes proposées, leurs kits et transitions ; 8 missions originales avec options, annexes, cinématiques et critères de test.</x:v>
      </x:c>
      <x:c r="C48" s="6" t="str">
        <x:v>Blockouts, distances, budgets mémoire et temps de parcours à mesurer ; aucune carte officielle n’est revendiquée.</x:v>
      </x:c>
      <x:c r="D48" s="2"/>
      <x:c r="E48" s="2"/>
      <x:c r="F48" s="2"/>
    </x:row>
    <x:row r="49" ht="68" customHeight="1">
      <x:c r="A49" s="6" t="str">
        <x:v>Combat, systèmes et médias</x:v>
      </x:c>
      <x:c r="B49" s="6" t="str">
        <x:v>4 rencontres proposées, movesets, VFX, actions alliées, interface, audio et sauvegarde.</x:v>
      </x:c>
      <x:c r="C49" s="6" t="str">
        <x:v>Prototype, équilibrage, réalisation des assets, doublage éventuel et tests encore à faire. Aucune ligne ne signifie que le fan game contient déjà cet élément.</x:v>
      </x:c>
      <x:c r="D49" s="2"/>
      <x:c r="E49" s="2"/>
      <x:c r="F49" s="2"/>
    </x:row>
    <x:row r="50" ht="68" customHeight="1">
      <x:c r="A50" s="6" t="str">
        <x:v>Accès aux pages demandées</x:v>
      </x:c>
      <x:c r="B50" s="6" t="str">
        <x:v>Page wiki demandée ouverte ; sources secondaires utilisées seulement pour les points visibles.</x:v>
      </x:c>
      <x:c r="C50" s="6" t="str">
        <x:v>Les extraits indexés ne remplacent pas une vérification de l’œuvre intégrale. Les traductions françaises des noms et titres restent à contrôler selon l’édition retenue.</x:v>
      </x:c>
      <x:c r="D50" s="2"/>
      <x:c r="E50" s="2"/>
      <x:c r="F50" s="2"/>
    </x:row>
    <x:row r="51" ht="96" customHeight="1">
      <x:c r="A51" s="6" t="str">
        <x:v>Complément pouvoirs, modules et lectures</x:v>
      </x:c>
      <x:c r="B51" s="6" t="str">
        <x:v>0 fiches de pouvoirs utilisées, 0 familles de modules préparables et 4 références consultables dans une lecture documentaire. Les chemins et preuves sont inscrits sur les seules lignes Prototype.</x:v>
      </x:c>
      <x:c r="C51" s="6" t="str">
        <x:v>Arbres et progression complets, modèles et rangs exacts, campagnes et dialogues intégraux, niveaux et ressources visuelles propres à l’œuvre restent à réaliser ou vérifier. Les références lues ne rendent pas leurs personnages jouables.</x:v>
      </x:c>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sheetData>
  <x:pageMargins left="0.7" right="0.7" top="0.75" bottom="0.75" header="0.3" footer="0.3"/>
</x:worksheet>
</file>