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f6bfe66f87b4fea" /></Relationships>
</file>

<file path=xl/workbook.xml><?xml version="1.0" encoding="utf-8"?>
<x:workbook xmlns:x="http://schemas.openxmlformats.org/spreadsheetml/2006/main">
  <x:sheets>
    <x:sheet xmlns:r="http://schemas.openxmlformats.org/officeDocument/2006/relationships" name="Dashboard" sheetId="1" r:id="Raedfcd591ef84806"/>
    <x:sheet xmlns:r="http://schemas.openxmlformats.org/officeDocument/2006/relationships" name="Personnages" sheetId="2" r:id="R669ffe7b83664b7b"/>
    <x:sheet xmlns:r="http://schemas.openxmlformats.org/officeDocument/2006/relationships" name="PNJ" sheetId="3" r:id="Rc4f0779c09404fa0"/>
    <x:sheet xmlns:r="http://schemas.openxmlformats.org/officeDocument/2006/relationships" name="Especes_factions" sheetId="4" r:id="Rf43966fd56414b6f"/>
    <x:sheet xmlns:r="http://schemas.openxmlformats.org/officeDocument/2006/relationships" name="Mondes" sheetId="5" r:id="Ra7fb83c6d29b4fbd"/>
    <x:sheet xmlns:r="http://schemas.openxmlformats.org/officeDocument/2006/relationships" name="Zones" sheetId="6" r:id="Ra0e71f407df24ea6"/>
    <x:sheet xmlns:r="http://schemas.openxmlformats.org/officeDocument/2006/relationships" name="Liaisons" sheetId="7" r:id="R09ed8ccc5e9948d3"/>
    <x:sheet xmlns:r="http://schemas.openxmlformats.org/officeDocument/2006/relationships" name="Decors" sheetId="8" r:id="R9820b8a88ab6414e"/>
    <x:sheet xmlns:r="http://schemas.openxmlformats.org/officeDocument/2006/relationships" name="Props" sheetId="9" r:id="Rb76825a887d94ce8"/>
    <x:sheet xmlns:r="http://schemas.openxmlformats.org/officeDocument/2006/relationships" name="Ennemis_boss" sheetId="10" r:id="R9faf8b240e644a90"/>
    <x:sheet xmlns:r="http://schemas.openxmlformats.org/officeDocument/2006/relationships" name="Missions" sheetId="11" r:id="Ra010205317dc443c"/>
    <x:sheet xmlns:r="http://schemas.openxmlformats.org/officeDocument/2006/relationships" name="Secondaires_DLC" sheetId="12" r:id="R97a703a37e4f4aa1"/>
    <x:sheet xmlns:r="http://schemas.openxmlformats.org/officeDocument/2006/relationships" name="Choix_relations" sheetId="13" r:id="Rcda082f5c52b4410"/>
    <x:sheet xmlns:r="http://schemas.openxmlformats.org/officeDocument/2006/relationships" name="Dialogues" sheetId="14" r:id="R3a67e99f415a49c0"/>
    <x:sheet xmlns:r="http://schemas.openxmlformats.org/officeDocument/2006/relationships" name="Cinematiques" sheetId="15" r:id="R343a05057ae44002"/>
    <x:sheet xmlns:r="http://schemas.openxmlformats.org/officeDocument/2006/relationships" name="Armes" sheetId="16" r:id="Re22b320a501a4ddb"/>
    <x:sheet xmlns:r="http://schemas.openxmlformats.org/officeDocument/2006/relationships" name="Armures_equipement" sheetId="17" r:id="Rfd0f0e43eeb446a8"/>
    <x:sheet xmlns:r="http://schemas.openxmlformats.org/officeDocument/2006/relationships" name="Pouvoirs" sheetId="18" r:id="Rb8a7d52dcae54d9d"/>
    <x:sheet xmlns:r="http://schemas.openxmlformats.org/officeDocument/2006/relationships" name="Movesets_allies" sheetId="19" r:id="Rf3d3167a26d74fcd"/>
    <x:sheet xmlns:r="http://schemas.openxmlformats.org/officeDocument/2006/relationships" name="Movesets_ennemis" sheetId="20" r:id="Rbb28f5226a7d4220"/>
    <x:sheet xmlns:r="http://schemas.openxmlformats.org/officeDocument/2006/relationships" name="Animations" sheetId="21" r:id="Rbac3211fb00a4ad3"/>
    <x:sheet xmlns:r="http://schemas.openxmlformats.org/officeDocument/2006/relationships" name="Sprites" sheetId="22" r:id="R65e192c8b3f8438c"/>
    <x:sheet xmlns:r="http://schemas.openxmlformats.org/officeDocument/2006/relationships" name="VFX" sheetId="23" r:id="Rf42b208a02404920"/>
    <x:sheet xmlns:r="http://schemas.openxmlformats.org/officeDocument/2006/relationships" name="Audio" sheetId="24" r:id="Rbd72da9080f74107"/>
    <x:sheet xmlns:r="http://schemas.openxmlformats.org/officeDocument/2006/relationships" name="UI_systemes" sheetId="25" r:id="R1ed7047058ee475c"/>
    <x:sheet xmlns:r="http://schemas.openxmlformats.org/officeDocument/2006/relationships" name="QA" sheetId="26" r:id="R92a7d795a0504329"/>
    <x:sheet xmlns:r="http://schemas.openxmlformats.org/officeDocument/2006/relationships" name="Continuite" sheetId="27" r:id="Rcbafd0d7695542ba"/>
    <x:sheet xmlns:r="http://schemas.openxmlformats.org/officeDocument/2006/relationships" name="Guide" sheetId="28" r:id="Rba8e7721d55747a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9a979f4f6eaa4ed7" /><Relationship Type="http://schemas.openxmlformats.org/officeDocument/2006/relationships/theme" Target="/xl/theme/theme1.xml" Id="R7f21294eb3a44830" /><Relationship Type="http://schemas.openxmlformats.org/officeDocument/2006/relationships/sharedStrings" Target="/xl/sharedStrings.xml" Id="R6c93bbd1af514925" /><Relationship Type="http://schemas.openxmlformats.org/officeDocument/2006/relationships/worksheet" Target="/xl/worksheets/sheet1.xml" Id="Raedfcd591ef84806" /><Relationship Type="http://schemas.openxmlformats.org/officeDocument/2006/relationships/worksheet" Target="/xl/worksheets/sheet2.xml" Id="R669ffe7b83664b7b" /><Relationship Type="http://schemas.openxmlformats.org/officeDocument/2006/relationships/worksheet" Target="/xl/worksheets/sheet3.xml" Id="Rc4f0779c09404fa0" /><Relationship Type="http://schemas.openxmlformats.org/officeDocument/2006/relationships/worksheet" Target="/xl/worksheets/sheet4.xml" Id="Rf43966fd56414b6f" /><Relationship Type="http://schemas.openxmlformats.org/officeDocument/2006/relationships/worksheet" Target="/xl/worksheets/sheet5.xml" Id="Ra7fb83c6d29b4fbd" /><Relationship Type="http://schemas.openxmlformats.org/officeDocument/2006/relationships/worksheet" Target="/xl/worksheets/sheet6.xml" Id="Ra0e71f407df24ea6" /><Relationship Type="http://schemas.openxmlformats.org/officeDocument/2006/relationships/worksheet" Target="/xl/worksheets/sheet7.xml" Id="R09ed8ccc5e9948d3" /><Relationship Type="http://schemas.openxmlformats.org/officeDocument/2006/relationships/worksheet" Target="/xl/worksheets/sheet8.xml" Id="R9820b8a88ab6414e" /><Relationship Type="http://schemas.openxmlformats.org/officeDocument/2006/relationships/worksheet" Target="/xl/worksheets/sheet9.xml" Id="Rb76825a887d94ce8" /><Relationship Type="http://schemas.openxmlformats.org/officeDocument/2006/relationships/worksheet" Target="/xl/worksheets/sheet10.xml" Id="R9faf8b240e644a90" /><Relationship Type="http://schemas.openxmlformats.org/officeDocument/2006/relationships/worksheet" Target="/xl/worksheets/sheet11.xml" Id="Ra010205317dc443c" /><Relationship Type="http://schemas.openxmlformats.org/officeDocument/2006/relationships/worksheet" Target="/xl/worksheets/sheet12.xml" Id="R97a703a37e4f4aa1" /><Relationship Type="http://schemas.openxmlformats.org/officeDocument/2006/relationships/worksheet" Target="/xl/worksheets/sheet13.xml" Id="Rcda082f5c52b4410" /><Relationship Type="http://schemas.openxmlformats.org/officeDocument/2006/relationships/worksheet" Target="/xl/worksheets/sheet14.xml" Id="R3a67e99f415a49c0" /><Relationship Type="http://schemas.openxmlformats.org/officeDocument/2006/relationships/worksheet" Target="/xl/worksheets/sheet15.xml" Id="R343a05057ae44002" /><Relationship Type="http://schemas.openxmlformats.org/officeDocument/2006/relationships/worksheet" Target="/xl/worksheets/sheet16.xml" Id="Re22b320a501a4ddb" /><Relationship Type="http://schemas.openxmlformats.org/officeDocument/2006/relationships/worksheet" Target="/xl/worksheets/sheet17.xml" Id="Rfd0f0e43eeb446a8" /><Relationship Type="http://schemas.openxmlformats.org/officeDocument/2006/relationships/worksheet" Target="/xl/worksheets/sheet18.xml" Id="Rb8a7d52dcae54d9d" /><Relationship Type="http://schemas.openxmlformats.org/officeDocument/2006/relationships/worksheet" Target="/xl/worksheets/sheet19.xml" Id="Rf3d3167a26d74fcd" /><Relationship Type="http://schemas.openxmlformats.org/officeDocument/2006/relationships/worksheet" Target="/xl/worksheets/sheet20.xml" Id="Rbb28f5226a7d4220" /><Relationship Type="http://schemas.openxmlformats.org/officeDocument/2006/relationships/worksheet" Target="/xl/worksheets/sheet21.xml" Id="Rbac3211fb00a4ad3" /><Relationship Type="http://schemas.openxmlformats.org/officeDocument/2006/relationships/worksheet" Target="/xl/worksheets/sheet22.xml" Id="R65e192c8b3f8438c" /><Relationship Type="http://schemas.openxmlformats.org/officeDocument/2006/relationships/worksheet" Target="/xl/worksheets/sheet23.xml" Id="Rf42b208a02404920" /><Relationship Type="http://schemas.openxmlformats.org/officeDocument/2006/relationships/worksheet" Target="/xl/worksheets/sheet24.xml" Id="Rbd72da9080f74107" /><Relationship Type="http://schemas.openxmlformats.org/officeDocument/2006/relationships/worksheet" Target="/xl/worksheets/sheet25.xml" Id="R1ed7047058ee475c" /><Relationship Type="http://schemas.openxmlformats.org/officeDocument/2006/relationships/worksheet" Target="/xl/worksheets/sheet26.xml" Id="R92a7d795a0504329" /><Relationship Type="http://schemas.openxmlformats.org/officeDocument/2006/relationships/worksheet" Target="/xl/worksheets/sheet27.xml" Id="Rcbafd0d7695542ba" /><Relationship Type="http://schemas.openxmlformats.org/officeDocument/2006/relationships/worksheet" Target="/xl/worksheets/sheet28.xml" Id="Rba8e7721d55747a9" /></Relationships>
</file>

<file path=xl/tables/table1.xml><?xml version="1.0" encoding="utf-8"?>
<x:table xmlns:x="http://schemas.openxmlformats.org/spreadsheetml/2006/main" id="1" name="PL_characters" displayName="PL_character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PL_npcs" displayName="PL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PL_lore" displayName="PL_lore"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PL_worlds" displayName="PL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PL_zones" displayName="PL_zon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PL_links" displayName="PL_link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PL_scenery" displayName="PL_scenery"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PL_props" displayName="PL_prop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PL_enemies" displayName="PL_enemi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PL_main_quests" displayName="PL_main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PL_side_quests" displayName="PL_side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PL_choices" displayName="PL_choic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PL_dialogues" displayName="PL_dialogu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PL_cinematics" displayName="PL_cinematic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PL_weapons" displayName="PL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PL_equipment" displayName="PL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PL_powers" displayName="PL_pow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PL_ally_moves" displayName="PL_ally_mov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PL_enemy_moves" displayName="PL_enemy_mov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PL_animations" displayName="PL_animation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PL_sprites" displayName="PL_sprit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PL_vfx" displayName="PL_vfx"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PL_audio" displayName="PL_audio"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PL_systems" displayName="PL_system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PL_qa" displayName="PL_qa"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PL_continuity" displayName="PL_continuity"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f2acd95e7784189" /></Relationships>
</file>

<file path=xl/worksheets/_rels/sheet3.xml.rels>&#65279;<?xml version="1.0" encoding="utf-8"?><Relationships xmlns="http://schemas.openxmlformats.org/package/2006/relationships"><Relationship Type="http://schemas.openxmlformats.org/officeDocument/2006/relationships/table" Target="/xl/tables/table2.xml" Id="R37481456220c4126" /></Relationships>
</file>

<file path=xl/worksheets/_rels/sheet4.xml.rels>&#65279;<?xml version="1.0" encoding="utf-8"?><Relationships xmlns="http://schemas.openxmlformats.org/package/2006/relationships"><Relationship Type="http://schemas.openxmlformats.org/officeDocument/2006/relationships/table" Target="/xl/tables/table3.xml" Id="R5c07166c47c24d7f" /></Relationships>
</file>

<file path=xl/worksheets/_rels/sheet5.xml.rels>&#65279;<?xml version="1.0" encoding="utf-8"?><Relationships xmlns="http://schemas.openxmlformats.org/package/2006/relationships"><Relationship Type="http://schemas.openxmlformats.org/officeDocument/2006/relationships/table" Target="/xl/tables/table4.xml" Id="R465ab8d6b2da4350" /></Relationships>
</file>

<file path=xl/worksheets/_rels/sheet6.xml.rels>&#65279;<?xml version="1.0" encoding="utf-8"?><Relationships xmlns="http://schemas.openxmlformats.org/package/2006/relationships"><Relationship Type="http://schemas.openxmlformats.org/officeDocument/2006/relationships/table" Target="/xl/tables/table5.xml" Id="R7c63dd5666e44f39" /></Relationships>
</file>

<file path=xl/worksheets/_rels/sheet7.xml.rels>&#65279;<?xml version="1.0" encoding="utf-8"?><Relationships xmlns="http://schemas.openxmlformats.org/package/2006/relationships"><Relationship Type="http://schemas.openxmlformats.org/officeDocument/2006/relationships/table" Target="/xl/tables/table6.xml" Id="Rdd19eec2de6b47ab" /></Relationships>
</file>

<file path=xl/worksheets/_rels/sheet8.xml.rels>&#65279;<?xml version="1.0" encoding="utf-8"?><Relationships xmlns="http://schemas.openxmlformats.org/package/2006/relationships"><Relationship Type="http://schemas.openxmlformats.org/officeDocument/2006/relationships/table" Target="/xl/tables/table7.xml" Id="R34ab4274c84c432a" /></Relationships>
</file>

<file path=xl/worksheets/_rels/sheet9.xml.rels>&#65279;<?xml version="1.0" encoding="utf-8"?><Relationships xmlns="http://schemas.openxmlformats.org/package/2006/relationships"><Relationship Type="http://schemas.openxmlformats.org/officeDocument/2006/relationships/table" Target="/xl/tables/table8.xml" Id="Re44e8b89aac34187" /></Relationships>
</file>

<file path=xl/worksheets/_rels/sheet10.xml.rels>&#65279;<?xml version="1.0" encoding="utf-8"?><Relationships xmlns="http://schemas.openxmlformats.org/package/2006/relationships"><Relationship Type="http://schemas.openxmlformats.org/officeDocument/2006/relationships/table" Target="/xl/tables/table9.xml" Id="Ra4a9c0e04ddf41c2" /></Relationships>
</file>

<file path=xl/worksheets/_rels/sheet11.xml.rels>&#65279;<?xml version="1.0" encoding="utf-8"?><Relationships xmlns="http://schemas.openxmlformats.org/package/2006/relationships"><Relationship Type="http://schemas.openxmlformats.org/officeDocument/2006/relationships/table" Target="/xl/tables/table10.xml" Id="R70d27b32200f4c35" /></Relationships>
</file>

<file path=xl/worksheets/_rels/sheet12.xml.rels>&#65279;<?xml version="1.0" encoding="utf-8"?><Relationships xmlns="http://schemas.openxmlformats.org/package/2006/relationships"><Relationship Type="http://schemas.openxmlformats.org/officeDocument/2006/relationships/table" Target="/xl/tables/table11.xml" Id="R77d11357ef9c457c" /></Relationships>
</file>

<file path=xl/worksheets/_rels/sheet13.xml.rels>&#65279;<?xml version="1.0" encoding="utf-8"?><Relationships xmlns="http://schemas.openxmlformats.org/package/2006/relationships"><Relationship Type="http://schemas.openxmlformats.org/officeDocument/2006/relationships/table" Target="/xl/tables/table12.xml" Id="R1ecb46f230f04c91" /></Relationships>
</file>

<file path=xl/worksheets/_rels/sheet14.xml.rels>&#65279;<?xml version="1.0" encoding="utf-8"?><Relationships xmlns="http://schemas.openxmlformats.org/package/2006/relationships"><Relationship Type="http://schemas.openxmlformats.org/officeDocument/2006/relationships/table" Target="/xl/tables/table13.xml" Id="R9a988301d27446d1" /></Relationships>
</file>

<file path=xl/worksheets/_rels/sheet15.xml.rels>&#65279;<?xml version="1.0" encoding="utf-8"?><Relationships xmlns="http://schemas.openxmlformats.org/package/2006/relationships"><Relationship Type="http://schemas.openxmlformats.org/officeDocument/2006/relationships/table" Target="/xl/tables/table14.xml" Id="R28e0cb1f99de4eb5" /></Relationships>
</file>

<file path=xl/worksheets/_rels/sheet16.xml.rels>&#65279;<?xml version="1.0" encoding="utf-8"?><Relationships xmlns="http://schemas.openxmlformats.org/package/2006/relationships"><Relationship Type="http://schemas.openxmlformats.org/officeDocument/2006/relationships/table" Target="/xl/tables/table15.xml" Id="Rfb83bf639c1d4693" /></Relationships>
</file>

<file path=xl/worksheets/_rels/sheet17.xml.rels>&#65279;<?xml version="1.0" encoding="utf-8"?><Relationships xmlns="http://schemas.openxmlformats.org/package/2006/relationships"><Relationship Type="http://schemas.openxmlformats.org/officeDocument/2006/relationships/table" Target="/xl/tables/table16.xml" Id="Ra4ab8a39c5954e65" /></Relationships>
</file>

<file path=xl/worksheets/_rels/sheet18.xml.rels>&#65279;<?xml version="1.0" encoding="utf-8"?><Relationships xmlns="http://schemas.openxmlformats.org/package/2006/relationships"><Relationship Type="http://schemas.openxmlformats.org/officeDocument/2006/relationships/table" Target="/xl/tables/table17.xml" Id="Re3c15b2c659441ca" /></Relationships>
</file>

<file path=xl/worksheets/_rels/sheet19.xml.rels>&#65279;<?xml version="1.0" encoding="utf-8"?><Relationships xmlns="http://schemas.openxmlformats.org/package/2006/relationships"><Relationship Type="http://schemas.openxmlformats.org/officeDocument/2006/relationships/table" Target="/xl/tables/table18.xml" Id="Rb259fe5d79be4d0d" /></Relationships>
</file>

<file path=xl/worksheets/_rels/sheet20.xml.rels>&#65279;<?xml version="1.0" encoding="utf-8"?><Relationships xmlns="http://schemas.openxmlformats.org/package/2006/relationships"><Relationship Type="http://schemas.openxmlformats.org/officeDocument/2006/relationships/table" Target="/xl/tables/table19.xml" Id="R2aee67a713ba4617" /></Relationships>
</file>

<file path=xl/worksheets/_rels/sheet21.xml.rels>&#65279;<?xml version="1.0" encoding="utf-8"?><Relationships xmlns="http://schemas.openxmlformats.org/package/2006/relationships"><Relationship Type="http://schemas.openxmlformats.org/officeDocument/2006/relationships/table" Target="/xl/tables/table20.xml" Id="R05a9ca831d71410c" /></Relationships>
</file>

<file path=xl/worksheets/_rels/sheet22.xml.rels>&#65279;<?xml version="1.0" encoding="utf-8"?><Relationships xmlns="http://schemas.openxmlformats.org/package/2006/relationships"><Relationship Type="http://schemas.openxmlformats.org/officeDocument/2006/relationships/table" Target="/xl/tables/table21.xml" Id="Rcd7c453fb5be4272" /></Relationships>
</file>

<file path=xl/worksheets/_rels/sheet23.xml.rels>&#65279;<?xml version="1.0" encoding="utf-8"?><Relationships xmlns="http://schemas.openxmlformats.org/package/2006/relationships"><Relationship Type="http://schemas.openxmlformats.org/officeDocument/2006/relationships/table" Target="/xl/tables/table22.xml" Id="Rdfdd9bee726f41f7" /></Relationships>
</file>

<file path=xl/worksheets/_rels/sheet24.xml.rels>&#65279;<?xml version="1.0" encoding="utf-8"?><Relationships xmlns="http://schemas.openxmlformats.org/package/2006/relationships"><Relationship Type="http://schemas.openxmlformats.org/officeDocument/2006/relationships/table" Target="/xl/tables/table23.xml" Id="R8fdae15afc894499" /></Relationships>
</file>

<file path=xl/worksheets/_rels/sheet25.xml.rels>&#65279;<?xml version="1.0" encoding="utf-8"?><Relationships xmlns="http://schemas.openxmlformats.org/package/2006/relationships"><Relationship Type="http://schemas.openxmlformats.org/officeDocument/2006/relationships/table" Target="/xl/tables/table24.xml" Id="Rfef6a877cddd4015" /></Relationships>
</file>

<file path=xl/worksheets/_rels/sheet26.xml.rels>&#65279;<?xml version="1.0" encoding="utf-8"?><Relationships xmlns="http://schemas.openxmlformats.org/package/2006/relationships"><Relationship Type="http://schemas.openxmlformats.org/officeDocument/2006/relationships/table" Target="/xl/tables/table25.xml" Id="Rfa5a24e049ca4a0f" /></Relationships>
</file>

<file path=xl/worksheets/_rels/sheet27.xml.rels>&#65279;<?xml version="1.0" encoding="utf-8"?><Relationships xmlns="http://schemas.openxmlformats.org/package/2006/relationships"><Relationship Type="http://schemas.openxmlformats.org/officeDocument/2006/relationships/table" Target="/xl/tables/table26.xml" Id="R1a93388e5767440c"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Paragon Lost</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199</x:v>
      </x:c>
      <x:c r="C5" s="2"/>
      <x:c r="D5" s="2" t="str">
        <x:v>Intégrés</x:v>
      </x:c>
      <x:c r="E5" s="31" t="n">
        <x:f>SUM(E10:F35)</x:f>
        <x:v>0</x:v>
      </x:c>
      <x:c r="F5" s="2"/>
      <x:c r="G5" s="2" t="str">
        <x:v>À vérifier</x:v>
      </x:c>
      <x:c r="H5" s="31" t="n">
        <x:f>SUM(H10:H35)</x:f>
        <x:v>1</x:v>
      </x:c>
      <x:c r="I5" s="2"/>
      <x:c r="J5" s="2" t="str">
        <x:v>Extrapolations</x:v>
      </x:c>
      <x:c r="K5" s="31" t="n">
        <x:f>SUM(I10:I35)</x:f>
        <x:v>160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COUNTA('Personnages'!$A$7:$A$14)</x:f>
        <x:v>8</x:v>
      </x:c>
      <x:c r="C10" s="37" t="n">
        <x:f>COUNTIFS('Personnages'!$C$7:$C$14,"Défini")</x:f>
        <x:v>7</x:v>
      </x:c>
      <x:c r="D10" s="37" t="n">
        <x:f>COUNTIFS('Personnages'!$C$7:$C$14,"Prototype")</x:f>
        <x:v>1</x:v>
      </x:c>
      <x:c r="E10" s="37" t="n">
        <x:f>COUNTIFS('Personnages'!$C$7:$C$14,"Intégré")</x:f>
        <x:v>0</x:v>
      </x:c>
      <x:c r="F10" s="37" t="n">
        <x:f>COUNTIFS('Personnages'!$C$7:$C$14,"Validé")</x:f>
        <x:v>0</x:v>
      </x:c>
      <x:c r="G10" s="37" t="n">
        <x:f>COUNTIFS('Personnages'!$D$7:$D$14,"Établi")</x:f>
        <x:v>8</x:v>
      </x:c>
      <x:c r="H10" s="37" t="n">
        <x:f>COUNTIFS('Personnages'!$D$7:$D$14,"À vérifier")</x:f>
        <x:v>0</x:v>
      </x:c>
      <x:c r="I10" s="37" t="n">
        <x:f>COUNTIFS('Personnages'!$D$7:$D$14,"Extrapolation")</x:f>
        <x:v>0</x:v>
      </x:c>
      <x:c r="J10" s="37" t="n">
        <x:f>COUNTIFS('Personnages'!$D$7:$D$14,"Coupé attesté")</x:f>
        <x:v>0</x:v>
      </x:c>
      <x:c r="K10" s="37" t="n">
        <x:f>COUNTIFS('Personnages'!$D$7:$D$14,"Concept abandonné")</x:f>
        <x:v>0</x:v>
      </x:c>
      <x:c r="L10" s="37" t="n">
        <x:f>COUNTIFS('Personnages'!$D$7:$D$14,"Allégation écartée")</x:f>
        <x:v>0</x:v>
      </x:c>
      <x:c r="M10" s="37" t="n">
        <x:f>COUNTIFS('Personnages'!$E$7:$E$14,"P0")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COUNTA('Especes_factions'!$A$7:$A$10)</x:f>
        <x:v>4</x:v>
      </x:c>
      <x:c r="C12" s="37" t="n">
        <x:f>COUNTIFS('Especes_factions'!$C$7:$C$10,"Défini")</x:f>
        <x:v>4</x:v>
      </x:c>
      <x:c r="D12" s="37" t="n">
        <x:f>COUNTIFS('Especes_factions'!$C$7:$C$10,"Prototype")</x:f>
        <x:v>0</x:v>
      </x:c>
      <x:c r="E12" s="37" t="n">
        <x:f>COUNTIFS('Especes_factions'!$C$7:$C$10,"Intégré")</x:f>
        <x:v>0</x:v>
      </x:c>
      <x:c r="F12" s="37" t="n">
        <x:f>COUNTIFS('Especes_factions'!$C$7:$C$10,"Validé")</x:f>
        <x:v>0</x:v>
      </x:c>
      <x:c r="G12" s="37" t="n">
        <x:f>COUNTIFS('Especes_factions'!$D$7:$D$10,"Établi")</x:f>
        <x:v>4</x:v>
      </x:c>
      <x:c r="H12" s="37" t="n">
        <x:f>COUNTIFS('Especes_factions'!$D$7:$D$10,"À vérifier")</x:f>
        <x:v>0</x:v>
      </x:c>
      <x:c r="I12" s="37" t="n">
        <x:f>COUNTIFS('Especes_factions'!$D$7:$D$10,"Extrapolation")</x:f>
        <x:v>0</x:v>
      </x:c>
      <x:c r="J12" s="37" t="n">
        <x:f>COUNTIFS('Especes_factions'!$D$7:$D$10,"Coupé attesté")</x:f>
        <x:v>0</x:v>
      </x:c>
      <x:c r="K12" s="37" t="n">
        <x:f>COUNTIFS('Especes_factions'!$D$7:$D$10,"Concept abandonné")</x:f>
        <x:v>0</x:v>
      </x:c>
      <x:c r="L12" s="37" t="n">
        <x:f>COUNTIFS('Especes_factions'!$D$7:$D$10,"Allégation écartée")</x:f>
        <x:v>0</x:v>
      </x:c>
      <x:c r="M12" s="37" t="n">
        <x:f>COUNTIFS('Especes_factions'!$E$7:$E$10,"P0")</x:f>
        <x:v>0</x:v>
      </x:c>
    </x:row>
    <x:row r="13" ht="22" customHeight="1">
      <x:c r="A13" s="2" t="str">
        <x:v>Mondes</x:v>
      </x:c>
      <x:c r="B13" s="38" t="n">
        <x:f>COUNTA('Mondes'!$A$7:$A$8)</x:f>
        <x:v>2</x:v>
      </x:c>
      <x:c r="C13" s="38" t="n">
        <x:f>COUNTIFS('Mondes'!$C$7:$C$8,"Défini")</x:f>
        <x:v>2</x:v>
      </x:c>
      <x:c r="D13" s="38" t="n">
        <x:f>COUNTIFS('Mondes'!$C$7:$C$8,"Prototype")</x:f>
        <x:v>0</x:v>
      </x:c>
      <x:c r="E13" s="38" t="n">
        <x:f>COUNTIFS('Mondes'!$C$7:$C$8,"Intégré")</x:f>
        <x:v>0</x:v>
      </x:c>
      <x:c r="F13" s="38" t="n">
        <x:f>COUNTIFS('Mondes'!$C$7:$C$8,"Validé")</x:f>
        <x:v>0</x:v>
      </x:c>
      <x:c r="G13" s="38" t="n">
        <x:f>COUNTIFS('Mondes'!$D$7:$D$8,"Établi")</x:f>
        <x:v>2</x:v>
      </x:c>
      <x:c r="H13" s="38" t="n">
        <x:f>COUNTIFS('Mondes'!$D$7:$D$8,"À vérifier")</x:f>
        <x:v>0</x:v>
      </x:c>
      <x:c r="I13" s="38" t="n">
        <x:f>COUNTIFS('Mondes'!$D$7:$D$8,"Extrapolation")</x:f>
        <x:v>0</x:v>
      </x:c>
      <x:c r="J13" s="38" t="n">
        <x:f>COUNTIFS('Mondes'!$D$7:$D$8,"Coupé attesté")</x:f>
        <x:v>0</x:v>
      </x:c>
      <x:c r="K13" s="38" t="n">
        <x:f>COUNTIFS('Mondes'!$D$7:$D$8,"Concept abandonné")</x:f>
        <x:v>0</x:v>
      </x:c>
      <x:c r="L13" s="38" t="n">
        <x:f>COUNTIFS('Mondes'!$D$7:$D$8,"Allégation écartée")</x:f>
        <x:v>0</x:v>
      </x:c>
      <x:c r="M13" s="38" t="n">
        <x:f>COUNTIFS('Mondes'!$E$7:$E$8,"P0")</x:f>
        <x:v>0</x:v>
      </x:c>
    </x:row>
    <x:row r="14" ht="22" customHeight="1">
      <x:c r="A14" s="33" t="str">
        <x:v>Zones</x:v>
      </x:c>
      <x:c r="B14" s="37" t="n">
        <x:f>COUNTA('Zones'!$A$7:$A$15)</x:f>
        <x:v>9</x:v>
      </x:c>
      <x:c r="C14" s="37" t="n">
        <x:f>COUNTIFS('Zones'!$C$7:$C$15,"Défini")</x:f>
        <x:v>9</x:v>
      </x:c>
      <x:c r="D14" s="37" t="n">
        <x:f>COUNTIFS('Zones'!$C$7:$C$15,"Prototype")</x:f>
        <x:v>0</x:v>
      </x:c>
      <x:c r="E14" s="37" t="n">
        <x:f>COUNTIFS('Zones'!$C$7:$C$15,"Intégré")</x:f>
        <x:v>0</x:v>
      </x:c>
      <x:c r="F14" s="37" t="n">
        <x:f>COUNTIFS('Zones'!$C$7:$C$15,"Validé")</x:f>
        <x:v>0</x:v>
      </x:c>
      <x:c r="G14" s="37" t="n">
        <x:f>COUNTIFS('Zones'!$D$7:$D$15,"Établi")</x:f>
        <x:v>0</x:v>
      </x:c>
      <x:c r="H14" s="37" t="n">
        <x:f>COUNTIFS('Zones'!$D$7:$D$15,"À vérifier")</x:f>
        <x:v>0</x:v>
      </x:c>
      <x:c r="I14" s="37" t="n">
        <x:f>COUNTIFS('Zones'!$D$7:$D$15,"Extrapolation")</x:f>
        <x:v>9</x:v>
      </x:c>
      <x:c r="J14" s="37" t="n">
        <x:f>COUNTIFS('Zones'!$D$7:$D$15,"Coupé attesté")</x:f>
        <x:v>0</x:v>
      </x:c>
      <x:c r="K14" s="37" t="n">
        <x:f>COUNTIFS('Zones'!$D$7:$D$15,"Concept abandonné")</x:f>
        <x:v>0</x:v>
      </x:c>
      <x:c r="L14" s="37" t="n">
        <x:f>COUNTIFS('Zones'!$D$7:$D$15,"Allégation écartée")</x:f>
        <x:v>0</x:v>
      </x:c>
      <x:c r="M14" s="37" t="n">
        <x:f>COUNTIFS('Zones'!$E$7:$E$15,"P0")</x:f>
        <x:v>0</x:v>
      </x:c>
    </x:row>
    <x:row r="15" ht="22" customHeight="1">
      <x:c r="A15" s="2" t="str">
        <x:v>Liaisons</x:v>
      </x:c>
      <x:c r="B15" s="38" t="n">
        <x:f>COUNTA('Liaisons'!$A$7:$A$15)</x:f>
        <x:v>9</x:v>
      </x:c>
      <x:c r="C15" s="38" t="n">
        <x:f>COUNTIFS('Liaisons'!$C$7:$C$15,"Défini")</x:f>
        <x:v>9</x:v>
      </x:c>
      <x:c r="D15" s="38" t="n">
        <x:f>COUNTIFS('Liaisons'!$C$7:$C$15,"Prototype")</x:f>
        <x:v>0</x:v>
      </x:c>
      <x:c r="E15" s="38" t="n">
        <x:f>COUNTIFS('Liaisons'!$C$7:$C$15,"Intégré")</x:f>
        <x:v>0</x:v>
      </x:c>
      <x:c r="F15" s="38" t="n">
        <x:f>COUNTIFS('Liaisons'!$C$7:$C$15,"Validé")</x:f>
        <x:v>0</x:v>
      </x:c>
      <x:c r="G15" s="38" t="n">
        <x:f>COUNTIFS('Liaisons'!$D$7:$D$15,"Établi")</x:f>
        <x:v>0</x:v>
      </x:c>
      <x:c r="H15" s="38" t="n">
        <x:f>COUNTIFS('Liaisons'!$D$7:$D$15,"À vérifier")</x:f>
        <x:v>0</x:v>
      </x:c>
      <x:c r="I15" s="38" t="n">
        <x:f>COUNTIFS('Liaisons'!$D$7:$D$15,"Extrapolation")</x:f>
        <x:v>9</x:v>
      </x:c>
      <x:c r="J15" s="38" t="n">
        <x:f>COUNTIFS('Liaisons'!$D$7:$D$15,"Coupé attesté")</x:f>
        <x:v>0</x:v>
      </x:c>
      <x:c r="K15" s="38" t="n">
        <x:f>COUNTIFS('Liaisons'!$D$7:$D$15,"Concept abandonné")</x:f>
        <x:v>0</x:v>
      </x:c>
      <x:c r="L15" s="38" t="n">
        <x:f>COUNTIFS('Liaisons'!$D$7:$D$15,"Allégation écartée")</x:f>
        <x:v>0</x:v>
      </x:c>
      <x:c r="M15" s="38" t="n">
        <x:f>COUNTIFS('Liaisons'!$E$7:$E$15,"P0")</x:f>
        <x:v>0</x:v>
      </x:c>
    </x:row>
    <x:row r="16" ht="22" customHeight="1">
      <x:c r="A16" s="33" t="str">
        <x:v>Décors</x:v>
      </x:c>
      <x:c r="B16" s="37" t="n">
        <x:f>COUNTA('Decors'!$A$7:$A$15)</x:f>
        <x:v>9</x:v>
      </x:c>
      <x:c r="C16" s="37" t="n">
        <x:f>COUNTIFS('Decors'!$C$7:$C$15,"Défini")</x:f>
        <x:v>9</x:v>
      </x:c>
      <x:c r="D16" s="37" t="n">
        <x:f>COUNTIFS('Decors'!$C$7:$C$15,"Prototype")</x:f>
        <x:v>0</x:v>
      </x:c>
      <x:c r="E16" s="37" t="n">
        <x:f>COUNTIFS('Decors'!$C$7:$C$15,"Intégré")</x:f>
        <x:v>0</x:v>
      </x:c>
      <x:c r="F16" s="37" t="n">
        <x:f>COUNTIFS('Decors'!$C$7:$C$15,"Validé")</x:f>
        <x:v>0</x:v>
      </x:c>
      <x:c r="G16" s="37" t="n">
        <x:f>COUNTIFS('Decors'!$D$7:$D$15,"Établi")</x:f>
        <x:v>0</x:v>
      </x:c>
      <x:c r="H16" s="37" t="n">
        <x:f>COUNTIFS('Decors'!$D$7:$D$15,"À vérifier")</x:f>
        <x:v>0</x:v>
      </x:c>
      <x:c r="I16" s="37" t="n">
        <x:f>COUNTIFS('Decors'!$D$7:$D$15,"Extrapolation")</x:f>
        <x:v>9</x:v>
      </x:c>
      <x:c r="J16" s="37" t="n">
        <x:f>COUNTIFS('Decors'!$D$7:$D$15,"Coupé attesté")</x:f>
        <x:v>0</x:v>
      </x:c>
      <x:c r="K16" s="37" t="n">
        <x:f>COUNTIFS('Decors'!$D$7:$D$15,"Concept abandonné")</x:f>
        <x:v>0</x:v>
      </x:c>
      <x:c r="L16" s="37" t="n">
        <x:f>COUNTIFS('Decors'!$D$7:$D$15,"Allégation écartée")</x:f>
        <x:v>0</x:v>
      </x:c>
      <x:c r="M16" s="37" t="n">
        <x:f>COUNTIFS('Decors'!$E$7:$E$15,"P0")</x:f>
        <x:v>0</x:v>
      </x:c>
    </x:row>
    <x:row r="17" ht="22" customHeight="1">
      <x:c r="A17" s="2" t="str">
        <x:v>Props</x:v>
      </x:c>
      <x:c r="B17" s="38" t="n">
        <x:f>COUNTA('Props'!$A$7:$A$10)</x:f>
        <x:v>4</x:v>
      </x:c>
      <x:c r="C17" s="38" t="n">
        <x:f>COUNTIFS('Props'!$C$7:$C$10,"Défini")</x:f>
        <x:v>4</x:v>
      </x:c>
      <x:c r="D17" s="38" t="n">
        <x:f>COUNTIFS('Props'!$C$7:$C$10,"Prototype")</x:f>
        <x:v>0</x:v>
      </x:c>
      <x:c r="E17" s="38" t="n">
        <x:f>COUNTIFS('Props'!$C$7:$C$10,"Intégré")</x:f>
        <x:v>0</x:v>
      </x:c>
      <x:c r="F17" s="38" t="n">
        <x:f>COUNTIFS('Props'!$C$7:$C$10,"Validé")</x:f>
        <x:v>0</x:v>
      </x:c>
      <x:c r="G17" s="38" t="n">
        <x:f>COUNTIFS('Props'!$D$7:$D$10,"Établi")</x:f>
        <x:v>4</x:v>
      </x:c>
      <x:c r="H17" s="38" t="n">
        <x:f>COUNTIFS('Props'!$D$7:$D$10,"À vérifier")</x:f>
        <x:v>0</x:v>
      </x:c>
      <x:c r="I17" s="38" t="n">
        <x:f>COUNTIFS('Props'!$D$7:$D$10,"Extrapolation")</x:f>
        <x:v>0</x:v>
      </x:c>
      <x:c r="J17" s="38" t="n">
        <x:f>COUNTIFS('Props'!$D$7:$D$10,"Coupé attesté")</x:f>
        <x:v>0</x:v>
      </x:c>
      <x:c r="K17" s="38" t="n">
        <x:f>COUNTIFS('Props'!$D$7:$D$10,"Concept abandonné")</x:f>
        <x:v>0</x:v>
      </x:c>
      <x:c r="L17" s="38" t="n">
        <x:f>COUNTIFS('Props'!$D$7:$D$10,"Allégation écartée")</x:f>
        <x:v>0</x:v>
      </x:c>
      <x:c r="M17" s="38" t="n">
        <x:f>COUNTIFS('Props'!$E$7:$E$10,"P0")</x:f>
        <x:v>0</x:v>
      </x:c>
    </x:row>
    <x:row r="18" ht="22" customHeight="1">
      <x:c r="A18" s="33" t="str">
        <x:v>Ennemis et boss</x:v>
      </x:c>
      <x:c r="B18" s="37" t="n">
        <x:f>COUNTA('Ennemis_boss'!$A$7:$A$11)</x:f>
        <x:v>5</x:v>
      </x:c>
      <x:c r="C18" s="37" t="n">
        <x:f>COUNTIFS('Ennemis_boss'!$C$7:$C$11,"Défini")</x:f>
        <x:v>5</x:v>
      </x:c>
      <x:c r="D18" s="37" t="n">
        <x:f>COUNTIFS('Ennemis_boss'!$C$7:$C$11,"Prototype")</x:f>
        <x:v>0</x:v>
      </x:c>
      <x:c r="E18" s="37" t="n">
        <x:f>COUNTIFS('Ennemis_boss'!$C$7:$C$11,"Intégré")</x:f>
        <x:v>0</x:v>
      </x:c>
      <x:c r="F18" s="37" t="n">
        <x:f>COUNTIFS('Ennemis_boss'!$C$7:$C$11,"Validé")</x:f>
        <x:v>0</x:v>
      </x:c>
      <x:c r="G18" s="37" t="n">
        <x:f>COUNTIFS('Ennemis_boss'!$D$7:$D$11,"Établi")</x:f>
        <x:v>0</x:v>
      </x:c>
      <x:c r="H18" s="37" t="n">
        <x:f>COUNTIFS('Ennemis_boss'!$D$7:$D$11,"À vérifier")</x:f>
        <x:v>0</x:v>
      </x:c>
      <x:c r="I18" s="37" t="n">
        <x:f>COUNTIFS('Ennemis_boss'!$D$7:$D$11,"Extrapolation")</x:f>
        <x:v>5</x:v>
      </x:c>
      <x:c r="J18" s="37" t="n">
        <x:f>COUNTIFS('Ennemis_boss'!$D$7:$D$11,"Coupé attesté")</x:f>
        <x:v>0</x:v>
      </x:c>
      <x:c r="K18" s="37" t="n">
        <x:f>COUNTIFS('Ennemis_boss'!$D$7:$D$11,"Concept abandonné")</x:f>
        <x:v>0</x:v>
      </x:c>
      <x:c r="L18" s="37" t="n">
        <x:f>COUNTIFS('Ennemis_boss'!$D$7:$D$11,"Allégation écartée")</x:f>
        <x:v>0</x:v>
      </x:c>
      <x:c r="M18" s="37" t="n">
        <x:f>COUNTIFS('Ennemis_boss'!$E$7:$E$11,"P0")</x:f>
        <x:v>0</x:v>
      </x:c>
    </x:row>
    <x:row r="19" ht="22" customHeight="1">
      <x:c r="A19" s="2" t="str">
        <x:v>Missions</x:v>
      </x:c>
      <x:c r="B19" s="38" t="n">
        <x:f>COUNTA('Missions'!$A$7:$A$15)</x:f>
        <x:v>9</x:v>
      </x:c>
      <x:c r="C19" s="38" t="n">
        <x:f>COUNTIFS('Missions'!$C$7:$C$15,"Défini")</x:f>
        <x:v>9</x:v>
      </x:c>
      <x:c r="D19" s="38" t="n">
        <x:f>COUNTIFS('Missions'!$C$7:$C$15,"Prototype")</x:f>
        <x:v>0</x:v>
      </x:c>
      <x:c r="E19" s="38" t="n">
        <x:f>COUNTIFS('Missions'!$C$7:$C$15,"Intégré")</x:f>
        <x:v>0</x:v>
      </x:c>
      <x:c r="F19" s="38" t="n">
        <x:f>COUNTIFS('Missions'!$C$7:$C$15,"Validé")</x:f>
        <x:v>0</x:v>
      </x:c>
      <x:c r="G19" s="38" t="n">
        <x:f>COUNTIFS('Missions'!$D$7:$D$15,"Établi")</x:f>
        <x:v>0</x:v>
      </x:c>
      <x:c r="H19" s="38" t="n">
        <x:f>COUNTIFS('Missions'!$D$7:$D$15,"À vérifier")</x:f>
        <x:v>0</x:v>
      </x:c>
      <x:c r="I19" s="38" t="n">
        <x:f>COUNTIFS('Missions'!$D$7:$D$15,"Extrapolation")</x:f>
        <x:v>9</x:v>
      </x:c>
      <x:c r="J19" s="38" t="n">
        <x:f>COUNTIFS('Missions'!$D$7:$D$15,"Coupé attesté")</x:f>
        <x:v>0</x:v>
      </x:c>
      <x:c r="K19" s="38" t="n">
        <x:f>COUNTIFS('Missions'!$D$7:$D$15,"Concept abandonné")</x:f>
        <x:v>0</x:v>
      </x:c>
      <x:c r="L19" s="38" t="n">
        <x:f>COUNTIFS('Missions'!$D$7:$D$15,"Allégation écartée")</x:f>
        <x:v>0</x:v>
      </x:c>
      <x:c r="M19" s="38" t="n">
        <x:f>COUNTIFS('Missions'!$E$7:$E$15,"P0")</x:f>
        <x:v>9</x:v>
      </x:c>
    </x:row>
    <x:row r="20" ht="22" customHeight="1">
      <x:c r="A20" s="33" t="str">
        <x:v>Secondaires et DLC</x:v>
      </x:c>
      <x:c r="B20" s="37" t="n">
        <x:f>COUNTA('Secondaires_DLC'!$A$7:$A$15)</x:f>
        <x:v>9</x:v>
      </x:c>
      <x:c r="C20" s="37" t="n">
        <x:f>COUNTIFS('Secondaires_DLC'!$C$7:$C$15,"Défini")</x:f>
        <x:v>9</x:v>
      </x:c>
      <x:c r="D20" s="37" t="n">
        <x:f>COUNTIFS('Secondaires_DLC'!$C$7:$C$15,"Prototype")</x:f>
        <x:v>0</x:v>
      </x:c>
      <x:c r="E20" s="37" t="n">
        <x:f>COUNTIFS('Secondaires_DLC'!$C$7:$C$15,"Intégré")</x:f>
        <x:v>0</x:v>
      </x:c>
      <x:c r="F20" s="37" t="n">
        <x:f>COUNTIFS('Secondaires_DLC'!$C$7:$C$15,"Validé")</x:f>
        <x:v>0</x:v>
      </x:c>
      <x:c r="G20" s="37" t="n">
        <x:f>COUNTIFS('Secondaires_DLC'!$D$7:$D$15,"Établi")</x:f>
        <x:v>0</x:v>
      </x:c>
      <x:c r="H20" s="37" t="n">
        <x:f>COUNTIFS('Secondaires_DLC'!$D$7:$D$15,"À vérifier")</x:f>
        <x:v>0</x:v>
      </x:c>
      <x:c r="I20" s="37" t="n">
        <x:f>COUNTIFS('Secondaires_DLC'!$D$7:$D$15,"Extrapolation")</x:f>
        <x:v>9</x:v>
      </x:c>
      <x:c r="J20" s="37" t="n">
        <x:f>COUNTIFS('Secondaires_DLC'!$D$7:$D$15,"Coupé attesté")</x:f>
        <x:v>0</x:v>
      </x:c>
      <x:c r="K20" s="37" t="n">
        <x:f>COUNTIFS('Secondaires_DLC'!$D$7:$D$15,"Concept abandonné")</x:f>
        <x:v>0</x:v>
      </x:c>
      <x:c r="L20" s="37" t="n">
        <x:f>COUNTIFS('Secondaires_DLC'!$D$7:$D$15,"Allégation écartée")</x:f>
        <x:v>0</x:v>
      </x:c>
      <x:c r="M20" s="37" t="n">
        <x:f>COUNTIFS('Secondaires_DLC'!$E$7:$E$15,"P0")</x:f>
        <x:v>0</x:v>
      </x:c>
    </x:row>
    <x:row r="21" ht="22" customHeight="1">
      <x:c r="A21" s="2" t="str">
        <x:v>Choix et relations</x:v>
      </x:c>
      <x:c r="B21" s="38" t="n">
        <x:f>COUNTA('Choix_relations'!$A$7:$A$15)</x:f>
        <x:v>9</x:v>
      </x:c>
      <x:c r="C21" s="38" t="n">
        <x:f>COUNTIFS('Choix_relations'!$C$7:$C$15,"Défini")</x:f>
        <x:v>9</x:v>
      </x:c>
      <x:c r="D21" s="38" t="n">
        <x:f>COUNTIFS('Choix_relations'!$C$7:$C$15,"Prototype")</x:f>
        <x:v>0</x:v>
      </x:c>
      <x:c r="E21" s="38" t="n">
        <x:f>COUNTIFS('Choix_relations'!$C$7:$C$15,"Intégré")</x:f>
        <x:v>0</x:v>
      </x:c>
      <x:c r="F21" s="38" t="n">
        <x:f>COUNTIFS('Choix_relations'!$C$7:$C$15,"Validé")</x:f>
        <x:v>0</x:v>
      </x:c>
      <x:c r="G21" s="38" t="n">
        <x:f>COUNTIFS('Choix_relations'!$D$7:$D$15,"Établi")</x:f>
        <x:v>0</x:v>
      </x:c>
      <x:c r="H21" s="38" t="n">
        <x:f>COUNTIFS('Choix_relations'!$D$7:$D$15,"À vérifier")</x:f>
        <x:v>0</x:v>
      </x:c>
      <x:c r="I21" s="38" t="n">
        <x:f>COUNTIFS('Choix_relations'!$D$7:$D$15,"Extrapolation")</x:f>
        <x:v>9</x:v>
      </x:c>
      <x:c r="J21" s="38" t="n">
        <x:f>COUNTIFS('Choix_relations'!$D$7:$D$15,"Coupé attesté")</x:f>
        <x:v>0</x:v>
      </x:c>
      <x:c r="K21" s="38" t="n">
        <x:f>COUNTIFS('Choix_relations'!$D$7:$D$15,"Concept abandonné")</x:f>
        <x:v>0</x:v>
      </x:c>
      <x:c r="L21" s="38" t="n">
        <x:f>COUNTIFS('Choix_relations'!$D$7:$D$15,"Allégation écartée")</x:f>
        <x:v>0</x:v>
      </x:c>
      <x:c r="M21" s="38" t="n">
        <x:f>COUNTIFS('Choix_relations'!$E$7:$E$15,"P0")</x:f>
        <x:v>0</x:v>
      </x:c>
    </x:row>
    <x:row r="22" ht="22" customHeight="1">
      <x:c r="A22" s="33" t="str">
        <x:v>Dialogues</x:v>
      </x:c>
      <x:c r="B22" s="37" t="n">
        <x:f>COUNTA('Dialogues'!$A$7:$A$21)</x:f>
        <x:v>15</x:v>
      </x:c>
      <x:c r="C22" s="37" t="n">
        <x:f>COUNTIFS('Dialogues'!$C$7:$C$21,"Défini")</x:f>
        <x:v>15</x:v>
      </x:c>
      <x:c r="D22" s="37" t="n">
        <x:f>COUNTIFS('Dialogues'!$C$7:$C$21,"Prototype")</x:f>
        <x:v>0</x:v>
      </x:c>
      <x:c r="E22" s="37" t="n">
        <x:f>COUNTIFS('Dialogues'!$C$7:$C$21,"Intégré")</x:f>
        <x:v>0</x:v>
      </x:c>
      <x:c r="F22" s="37" t="n">
        <x:f>COUNTIFS('Dialogues'!$C$7:$C$21,"Validé")</x:f>
        <x:v>0</x:v>
      </x:c>
      <x:c r="G22" s="37" t="n">
        <x:f>COUNTIFS('Dialogues'!$D$7:$D$21,"Établi")</x:f>
        <x:v>0</x:v>
      </x:c>
      <x:c r="H22" s="37" t="n">
        <x:f>COUNTIFS('Dialogues'!$D$7:$D$21,"À vérifier")</x:f>
        <x:v>0</x:v>
      </x:c>
      <x:c r="I22" s="37" t="n">
        <x:f>COUNTIFS('Dialogues'!$D$7:$D$21,"Extrapolation")</x:f>
        <x:v>15</x:v>
      </x:c>
      <x:c r="J22" s="37" t="n">
        <x:f>COUNTIFS('Dialogues'!$D$7:$D$21,"Coupé attesté")</x:f>
        <x:v>0</x:v>
      </x:c>
      <x:c r="K22" s="37" t="n">
        <x:f>COUNTIFS('Dialogues'!$D$7:$D$21,"Concept abandonné")</x:f>
        <x:v>0</x:v>
      </x:c>
      <x:c r="L22" s="37" t="n">
        <x:f>COUNTIFS('Dialogues'!$D$7:$D$21,"Allégation écartée")</x:f>
        <x:v>0</x:v>
      </x:c>
      <x:c r="M22" s="37" t="n">
        <x:f>COUNTIFS('Dialogues'!$E$7:$E$21,"P0")</x:f>
        <x:v>0</x:v>
      </x:c>
    </x:row>
    <x:row r="23" ht="22" customHeight="1">
      <x:c r="A23" s="2" t="str">
        <x:v>Cinématiques</x:v>
      </x:c>
      <x:c r="B23" s="38" t="n">
        <x:f>COUNTA('Cinematiques'!$A$7:$A$15)</x:f>
        <x:v>9</x:v>
      </x:c>
      <x:c r="C23" s="38" t="n">
        <x:f>COUNTIFS('Cinematiques'!$C$7:$C$15,"Défini")</x:f>
        <x:v>9</x:v>
      </x:c>
      <x:c r="D23" s="38" t="n">
        <x:f>COUNTIFS('Cinematiques'!$C$7:$C$15,"Prototype")</x:f>
        <x:v>0</x:v>
      </x:c>
      <x:c r="E23" s="38" t="n">
        <x:f>COUNTIFS('Cinematiques'!$C$7:$C$15,"Intégré")</x:f>
        <x:v>0</x:v>
      </x:c>
      <x:c r="F23" s="38" t="n">
        <x:f>COUNTIFS('Cinematiques'!$C$7:$C$15,"Validé")</x:f>
        <x:v>0</x:v>
      </x:c>
      <x:c r="G23" s="38" t="n">
        <x:f>COUNTIFS('Cinematiques'!$D$7:$D$15,"Établi")</x:f>
        <x:v>0</x:v>
      </x:c>
      <x:c r="H23" s="38" t="n">
        <x:f>COUNTIFS('Cinematiques'!$D$7:$D$15,"À vérifier")</x:f>
        <x:v>0</x:v>
      </x:c>
      <x:c r="I23" s="38" t="n">
        <x:f>COUNTIFS('Cinematiques'!$D$7:$D$15,"Extrapolation")</x:f>
        <x:v>9</x:v>
      </x:c>
      <x:c r="J23" s="38" t="n">
        <x:f>COUNTIFS('Cinematiques'!$D$7:$D$15,"Coupé attesté")</x:f>
        <x:v>0</x:v>
      </x:c>
      <x:c r="K23" s="38" t="n">
        <x:f>COUNTIFS('Cinematiques'!$D$7:$D$15,"Concept abandonné")</x:f>
        <x:v>0</x:v>
      </x:c>
      <x:c r="L23" s="38" t="n">
        <x:f>COUNTIFS('Cinematiques'!$D$7:$D$15,"Allégation écartée")</x:f>
        <x:v>0</x:v>
      </x:c>
      <x:c r="M23" s="38" t="n">
        <x:f>COUNTIFS('Cinematiques'!$E$7:$E$15,"P0")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2</x:v>
      </x:c>
      <x:c r="H24" s="37" t="n">
        <x:f>COUNTIFS('Armes'!$D$7:$D$8,"À vérifier")</x:f>
        <x:v>0</x:v>
      </x:c>
      <x:c r="I24" s="37" t="n">
        <x:f>COUNTIFS('Armes'!$D$7:$D$8,"Extrapolation")</x:f>
        <x:v>0</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COUNTA('Pouvoirs'!$A$7:$A$8)</x:f>
        <x:v>2</x:v>
      </x:c>
      <x:c r="C26" s="37" t="n">
        <x:f>COUNTIFS('Pouvoirs'!$C$7:$C$8,"Défini")</x:f>
        <x:v>2</x:v>
      </x:c>
      <x:c r="D26" s="37" t="n">
        <x:f>COUNTIFS('Pouvoirs'!$C$7:$C$8,"Prototype")</x:f>
        <x:v>0</x:v>
      </x:c>
      <x:c r="E26" s="37" t="n">
        <x:f>COUNTIFS('Pouvoirs'!$C$7:$C$8,"Intégré")</x:f>
        <x:v>0</x:v>
      </x:c>
      <x:c r="F26" s="37" t="n">
        <x:f>COUNTIFS('Pouvoirs'!$C$7:$C$8,"Validé")</x:f>
        <x:v>0</x:v>
      </x:c>
      <x:c r="G26" s="37" t="n">
        <x:f>COUNTIFS('Pouvoirs'!$D$7:$D$8,"Établi")</x:f>
        <x:v>2</x:v>
      </x:c>
      <x:c r="H26" s="37" t="n">
        <x:f>COUNTIFS('Pouvoirs'!$D$7:$D$8,"À vérifier")</x:f>
        <x:v>0</x:v>
      </x:c>
      <x:c r="I26" s="37" t="n">
        <x:f>COUNTIFS('Pouvoirs'!$D$7:$D$8,"Extrapolation")</x:f>
        <x:v>0</x:v>
      </x:c>
      <x:c r="J26" s="37" t="n">
        <x:f>COUNTIFS('Pouvoirs'!$D$7:$D$8,"Coupé attesté")</x:f>
        <x:v>0</x:v>
      </x:c>
      <x:c r="K26" s="37" t="n">
        <x:f>COUNTIFS('Pouvoirs'!$D$7:$D$8,"Concept abandonné")</x:f>
        <x:v>0</x:v>
      </x:c>
      <x:c r="L26" s="37" t="n">
        <x:f>COUNTIFS('Pouvoirs'!$D$7:$D$8,"Allégation écartée")</x:f>
        <x:v>0</x:v>
      </x:c>
      <x:c r="M26" s="37" t="n">
        <x:f>COUNTIFS('Pouvoirs'!$E$7:$E$8,"P0")</x:f>
        <x:v>0</x:v>
      </x:c>
    </x:row>
    <x:row r="27" ht="22" customHeight="1">
      <x:c r="A27" s="2" t="str">
        <x:v>Movesets alliés</x:v>
      </x:c>
      <x:c r="B27" s="38" t="n">
        <x:f>COUNTA('Movesets_allies'!$A$7:$A$13)</x:f>
        <x:v>7</x:v>
      </x:c>
      <x:c r="C27" s="38" t="n">
        <x:f>COUNTIFS('Movesets_allies'!$C$7:$C$13,"Défini")</x:f>
        <x:v>7</x:v>
      </x:c>
      <x:c r="D27" s="38" t="n">
        <x:f>COUNTIFS('Movesets_allies'!$C$7:$C$13,"Prototype")</x:f>
        <x:v>0</x:v>
      </x:c>
      <x:c r="E27" s="38" t="n">
        <x:f>COUNTIFS('Movesets_allies'!$C$7:$C$13,"Intégré")</x:f>
        <x:v>0</x:v>
      </x:c>
      <x:c r="F27" s="38" t="n">
        <x:f>COUNTIFS('Movesets_allies'!$C$7:$C$13,"Validé")</x:f>
        <x:v>0</x:v>
      </x:c>
      <x:c r="G27" s="38" t="n">
        <x:f>COUNTIFS('Movesets_allies'!$D$7:$D$13,"Établi")</x:f>
        <x:v>0</x:v>
      </x:c>
      <x:c r="H27" s="38" t="n">
        <x:f>COUNTIFS('Movesets_allies'!$D$7:$D$13,"À vérifier")</x:f>
        <x:v>0</x:v>
      </x:c>
      <x:c r="I27" s="38" t="n">
        <x:f>COUNTIFS('Movesets_allies'!$D$7:$D$13,"Extrapolation")</x:f>
        <x:v>7</x:v>
      </x:c>
      <x:c r="J27" s="38" t="n">
        <x:f>COUNTIFS('Movesets_allies'!$D$7:$D$13,"Coupé attesté")</x:f>
        <x:v>0</x:v>
      </x:c>
      <x:c r="K27" s="38" t="n">
        <x:f>COUNTIFS('Movesets_allies'!$D$7:$D$13,"Concept abandonné")</x:f>
        <x:v>0</x:v>
      </x:c>
      <x:c r="L27" s="38" t="n">
        <x:f>COUNTIFS('Movesets_allies'!$D$7:$D$13,"Allégation écartée")</x:f>
        <x:v>0</x:v>
      </x:c>
      <x:c r="M27" s="38" t="n">
        <x:f>COUNTIFS('Movesets_allies'!$E$7:$E$13,"P0")</x:f>
        <x:v>0</x:v>
      </x:c>
    </x:row>
    <x:row r="28" ht="22" customHeight="1">
      <x:c r="A28" s="33" t="str">
        <x:v>Movesets ennemis</x:v>
      </x:c>
      <x:c r="B28" s="37" t="n">
        <x:f>COUNTA('Movesets_ennemis'!$A$7:$A$11)</x:f>
        <x:v>5</x:v>
      </x:c>
      <x:c r="C28" s="37" t="n">
        <x:f>COUNTIFS('Movesets_ennemis'!$C$7:$C$11,"Défini")</x:f>
        <x:v>5</x:v>
      </x:c>
      <x:c r="D28" s="37" t="n">
        <x:f>COUNTIFS('Movesets_ennemis'!$C$7:$C$11,"Prototype")</x:f>
        <x:v>0</x:v>
      </x:c>
      <x:c r="E28" s="37" t="n">
        <x:f>COUNTIFS('Movesets_ennemis'!$C$7:$C$11,"Intégré")</x:f>
        <x:v>0</x:v>
      </x:c>
      <x:c r="F28" s="37" t="n">
        <x:f>COUNTIFS('Movesets_ennemis'!$C$7:$C$11,"Validé")</x:f>
        <x:v>0</x:v>
      </x:c>
      <x:c r="G28" s="37" t="n">
        <x:f>COUNTIFS('Movesets_ennemis'!$D$7:$D$11,"Établi")</x:f>
        <x:v>0</x:v>
      </x:c>
      <x:c r="H28" s="37" t="n">
        <x:f>COUNTIFS('Movesets_ennemis'!$D$7:$D$11,"À vérifier")</x:f>
        <x:v>0</x:v>
      </x:c>
      <x:c r="I28" s="37" t="n">
        <x:f>COUNTIFS('Movesets_ennemis'!$D$7:$D$11,"Extrapolation")</x:f>
        <x:v>5</x:v>
      </x:c>
      <x:c r="J28" s="37" t="n">
        <x:f>COUNTIFS('Movesets_ennemis'!$D$7:$D$11,"Coupé attesté")</x:f>
        <x:v>0</x:v>
      </x:c>
      <x:c r="K28" s="37" t="n">
        <x:f>COUNTIFS('Movesets_ennemis'!$D$7:$D$11,"Concept abandonné")</x:f>
        <x:v>0</x:v>
      </x:c>
      <x:c r="L28" s="37" t="n">
        <x:f>COUNTIFS('Movesets_ennemis'!$D$7:$D$11,"Allégation écartée")</x:f>
        <x:v>0</x:v>
      </x:c>
      <x:c r="M28" s="37" t="n">
        <x:f>COUNTIFS('Movesets_ennemis'!$E$7:$E$11,"P0")</x:f>
        <x:v>0</x:v>
      </x:c>
    </x:row>
    <x:row r="29" ht="22" customHeight="1">
      <x:c r="A29" s="2" t="str">
        <x:v>Animations</x:v>
      </x:c>
      <x:c r="B29" s="38" t="n">
        <x:f>COUNTA('Animations'!$A$7:$A$21)</x:f>
        <x:v>15</x:v>
      </x:c>
      <x:c r="C29" s="38" t="n">
        <x:f>COUNTIFS('Animations'!$C$7:$C$21,"Défini")</x:f>
        <x:v>15</x:v>
      </x:c>
      <x:c r="D29" s="38" t="n">
        <x:f>COUNTIFS('Animations'!$C$7:$C$21,"Prototype")</x:f>
        <x:v>0</x:v>
      </x:c>
      <x:c r="E29" s="38" t="n">
        <x:f>COUNTIFS('Animations'!$C$7:$C$21,"Intégré")</x:f>
        <x:v>0</x:v>
      </x:c>
      <x:c r="F29" s="38" t="n">
        <x:f>COUNTIFS('Animations'!$C$7:$C$21,"Validé")</x:f>
        <x:v>0</x:v>
      </x:c>
      <x:c r="G29" s="38" t="n">
        <x:f>COUNTIFS('Animations'!$D$7:$D$21,"Établi")</x:f>
        <x:v>0</x:v>
      </x:c>
      <x:c r="H29" s="38" t="n">
        <x:f>COUNTIFS('Animations'!$D$7:$D$21,"À vérifier")</x:f>
        <x:v>0</x:v>
      </x:c>
      <x:c r="I29" s="38" t="n">
        <x:f>COUNTIFS('Animations'!$D$7:$D$21,"Extrapolation")</x:f>
        <x:v>15</x:v>
      </x:c>
      <x:c r="J29" s="38" t="n">
        <x:f>COUNTIFS('Animations'!$D$7:$D$21,"Coupé attesté")</x:f>
        <x:v>0</x:v>
      </x:c>
      <x:c r="K29" s="38" t="n">
        <x:f>COUNTIFS('Animations'!$D$7:$D$21,"Concept abandonné")</x:f>
        <x:v>0</x:v>
      </x:c>
      <x:c r="L29" s="38" t="n">
        <x:f>COUNTIFS('Animations'!$D$7:$D$21,"Allégation écartée")</x:f>
        <x:v>0</x:v>
      </x:c>
      <x:c r="M29" s="38" t="n">
        <x:f>COUNTIFS('Animations'!$E$7:$E$21,"P0")</x:f>
        <x:v>0</x:v>
      </x:c>
    </x:row>
    <x:row r="30" ht="22" customHeight="1">
      <x:c r="A30" s="33" t="str">
        <x:v>Sprites</x:v>
      </x:c>
      <x:c r="B30" s="37" t="n">
        <x:f>COUNTA('Sprites'!$A$7:$A$21)</x:f>
        <x:v>15</x:v>
      </x:c>
      <x:c r="C30" s="37" t="n">
        <x:f>COUNTIFS('Sprites'!$C$7:$C$21,"Défini")</x:f>
        <x:v>15</x:v>
      </x:c>
      <x:c r="D30" s="37" t="n">
        <x:f>COUNTIFS('Sprites'!$C$7:$C$21,"Prototype")</x:f>
        <x:v>0</x:v>
      </x:c>
      <x:c r="E30" s="37" t="n">
        <x:f>COUNTIFS('Sprites'!$C$7:$C$21,"Intégré")</x:f>
        <x:v>0</x:v>
      </x:c>
      <x:c r="F30" s="37" t="n">
        <x:f>COUNTIFS('Sprites'!$C$7:$C$21,"Validé")</x:f>
        <x:v>0</x:v>
      </x:c>
      <x:c r="G30" s="37" t="n">
        <x:f>COUNTIFS('Sprites'!$D$7:$D$21,"Établi")</x:f>
        <x:v>0</x:v>
      </x:c>
      <x:c r="H30" s="37" t="n">
        <x:f>COUNTIFS('Sprites'!$D$7:$D$21,"À vérifier")</x:f>
        <x:v>0</x:v>
      </x:c>
      <x:c r="I30" s="37" t="n">
        <x:f>COUNTIFS('Sprites'!$D$7:$D$21,"Extrapolation")</x:f>
        <x:v>15</x:v>
      </x:c>
      <x:c r="J30" s="37" t="n">
        <x:f>COUNTIFS('Sprites'!$D$7:$D$21,"Coupé attesté")</x:f>
        <x:v>0</x:v>
      </x:c>
      <x:c r="K30" s="37" t="n">
        <x:f>COUNTIFS('Sprites'!$D$7:$D$21,"Concept abandonné")</x:f>
        <x:v>0</x:v>
      </x:c>
      <x:c r="L30" s="37" t="n">
        <x:f>COUNTIFS('Sprites'!$D$7:$D$21,"Allégation écartée")</x:f>
        <x:v>0</x:v>
      </x:c>
      <x:c r="M30" s="37" t="n">
        <x:f>COUNTIFS('Sprites'!$E$7:$E$21,"P0")</x:f>
        <x:v>0</x:v>
      </x:c>
    </x:row>
    <x:row r="31" ht="22" customHeight="1">
      <x:c r="A31" s="2" t="str">
        <x:v>VFX</x:v>
      </x:c>
      <x:c r="B31" s="38" t="n">
        <x:f>COUNTA('VFX'!$A$7:$A$11)</x:f>
        <x:v>5</x:v>
      </x:c>
      <x:c r="C31" s="38" t="n">
        <x:f>COUNTIFS('VFX'!$C$7:$C$11,"Défini")</x:f>
        <x:v>5</x:v>
      </x:c>
      <x:c r="D31" s="38" t="n">
        <x:f>COUNTIFS('VFX'!$C$7:$C$11,"Prototype")</x:f>
        <x:v>0</x:v>
      </x:c>
      <x:c r="E31" s="38" t="n">
        <x:f>COUNTIFS('VFX'!$C$7:$C$11,"Intégré")</x:f>
        <x:v>0</x:v>
      </x:c>
      <x:c r="F31" s="38" t="n">
        <x:f>COUNTIFS('VFX'!$C$7:$C$11,"Validé")</x:f>
        <x:v>0</x:v>
      </x:c>
      <x:c r="G31" s="38" t="n">
        <x:f>COUNTIFS('VFX'!$D$7:$D$11,"Établi")</x:f>
        <x:v>0</x:v>
      </x:c>
      <x:c r="H31" s="38" t="n">
        <x:f>COUNTIFS('VFX'!$D$7:$D$11,"À vérifier")</x:f>
        <x:v>0</x:v>
      </x:c>
      <x:c r="I31" s="38" t="n">
        <x:f>COUNTIFS('VFX'!$D$7:$D$11,"Extrapolation")</x:f>
        <x:v>5</x:v>
      </x:c>
      <x:c r="J31" s="38" t="n">
        <x:f>COUNTIFS('VFX'!$D$7:$D$11,"Coupé attesté")</x:f>
        <x:v>0</x:v>
      </x:c>
      <x:c r="K31" s="38" t="n">
        <x:f>COUNTIFS('VFX'!$D$7:$D$11,"Concept abandonné")</x:f>
        <x:v>0</x:v>
      </x:c>
      <x:c r="L31" s="38" t="n">
        <x:f>COUNTIFS('VFX'!$D$7:$D$11,"Allégation écartée")</x:f>
        <x:v>0</x:v>
      </x:c>
      <x:c r="M31" s="38" t="n">
        <x:f>COUNTIFS('VFX'!$E$7:$E$11,"P0")</x:f>
        <x:v>0</x:v>
      </x:c>
    </x:row>
    <x:row r="32" ht="22" customHeight="1">
      <x:c r="A32" s="33" t="str">
        <x:v>Audio</x:v>
      </x:c>
      <x:c r="B32" s="37" t="n">
        <x:f>COUNTA('Audio'!$A$7:$A$12)</x:f>
        <x:v>6</x:v>
      </x:c>
      <x:c r="C32" s="37" t="n">
        <x:f>COUNTIFS('Audio'!$C$7:$C$12,"Défini")</x:f>
        <x:v>6</x:v>
      </x:c>
      <x:c r="D32" s="37" t="n">
        <x:f>COUNTIFS('Audio'!$C$7:$C$12,"Prototype")</x:f>
        <x:v>0</x:v>
      </x:c>
      <x:c r="E32" s="37" t="n">
        <x:f>COUNTIFS('Audio'!$C$7:$C$12,"Intégré")</x:f>
        <x:v>0</x:v>
      </x:c>
      <x:c r="F32" s="37" t="n">
        <x:f>COUNTIFS('Audio'!$C$7:$C$12,"Validé")</x:f>
        <x:v>0</x:v>
      </x:c>
      <x:c r="G32" s="37" t="n">
        <x:f>COUNTIFS('Audio'!$D$7:$D$12,"Établi")</x:f>
        <x:v>0</x:v>
      </x:c>
      <x:c r="H32" s="37" t="n">
        <x:f>COUNTIFS('Audio'!$D$7:$D$12,"À vérifier")</x:f>
        <x:v>0</x:v>
      </x:c>
      <x:c r="I32" s="37" t="n">
        <x:f>COUNTIFS('Audio'!$D$7:$D$12,"Extrapolation")</x:f>
        <x:v>6</x:v>
      </x:c>
      <x:c r="J32" s="37" t="n">
        <x:f>COUNTIFS('Audio'!$D$7:$D$12,"Coupé attesté")</x:f>
        <x:v>0</x:v>
      </x:c>
      <x:c r="K32" s="37" t="n">
        <x:f>COUNTIFS('Audio'!$D$7:$D$12,"Concept abandonné")</x:f>
        <x:v>0</x:v>
      </x:c>
      <x:c r="L32" s="37" t="n">
        <x:f>COUNTIFS('Audio'!$D$7:$D$12,"Allégation écartée")</x:f>
        <x:v>0</x:v>
      </x:c>
      <x:c r="M32" s="37" t="n">
        <x:f>COUNTIFS('Audio'!$E$7:$E$12,"P0")</x:f>
        <x:v>0</x:v>
      </x:c>
    </x:row>
    <x:row r="33" ht="22" customHeight="1">
      <x:c r="A33" s="2" t="str">
        <x:v>Systèmes et UI</x:v>
      </x:c>
      <x:c r="B33" s="38" t="n">
        <x:f>COUNTA('UI_systemes'!$A$7:$A$15)</x:f>
        <x:v>9</x:v>
      </x:c>
      <x:c r="C33" s="38" t="n">
        <x:f>COUNTIFS('UI_systemes'!$C$7:$C$15,"Défini")</x:f>
        <x:v>9</x:v>
      </x:c>
      <x:c r="D33" s="38" t="n">
        <x:f>COUNTIFS('UI_systemes'!$C$7:$C$15,"Prototype")</x:f>
        <x:v>0</x:v>
      </x:c>
      <x:c r="E33" s="38" t="n">
        <x:f>COUNTIFS('UI_systemes'!$C$7:$C$15,"Intégré")</x:f>
        <x:v>0</x:v>
      </x:c>
      <x:c r="F33" s="38" t="n">
        <x:f>COUNTIFS('UI_systemes'!$C$7:$C$15,"Validé")</x:f>
        <x:v>0</x:v>
      </x:c>
      <x:c r="G33" s="38" t="n">
        <x:f>COUNTIFS('UI_systemes'!$D$7:$D$15,"Établi")</x:f>
        <x:v>0</x:v>
      </x:c>
      <x:c r="H33" s="38" t="n">
        <x:f>COUNTIFS('UI_systemes'!$D$7:$D$15,"À vérifier")</x:f>
        <x:v>0</x:v>
      </x:c>
      <x:c r="I33" s="38" t="n">
        <x:f>COUNTIFS('UI_systemes'!$D$7:$D$15,"Extrapolation")</x:f>
        <x:v>9</x:v>
      </x:c>
      <x:c r="J33" s="38" t="n">
        <x:f>COUNTIFS('UI_systemes'!$D$7:$D$15,"Coupé attesté")</x:f>
        <x:v>0</x:v>
      </x:c>
      <x:c r="K33" s="38" t="n">
        <x:f>COUNTIFS('UI_systemes'!$D$7:$D$15,"Concept abandonné")</x:f>
        <x:v>0</x:v>
      </x:c>
      <x:c r="L33" s="38" t="n">
        <x:f>COUNTIFS('UI_systemes'!$D$7:$D$15,"Allégation écartée")</x:f>
        <x:v>0</x:v>
      </x:c>
      <x:c r="M33" s="38" t="n">
        <x:f>COUNTIFS('UI_systemes'!$E$7:$E$15,"P0")</x:f>
        <x:v>2</x:v>
      </x:c>
    </x:row>
    <x:row r="34" ht="22" customHeight="1">
      <x:c r="A34" s="33" t="str">
        <x:v>QA</x:v>
      </x:c>
      <x:c r="B34" s="37" t="n">
        <x:f>COUNTA('QA'!$A$7:$A$19)</x:f>
        <x:v>13</x:v>
      </x:c>
      <x:c r="C34" s="37" t="n">
        <x:f>COUNTIFS('QA'!$C$7:$C$19,"Défini")</x:f>
        <x:v>13</x:v>
      </x:c>
      <x:c r="D34" s="37" t="n">
        <x:f>COUNTIFS('QA'!$C$7:$C$19,"Prototype")</x:f>
        <x:v>0</x:v>
      </x:c>
      <x:c r="E34" s="37" t="n">
        <x:f>COUNTIFS('QA'!$C$7:$C$19,"Intégré")</x:f>
        <x:v>0</x:v>
      </x:c>
      <x:c r="F34" s="37" t="n">
        <x:f>COUNTIFS('QA'!$C$7:$C$19,"Validé")</x:f>
        <x:v>0</x:v>
      </x:c>
      <x:c r="G34" s="37" t="n">
        <x:f>COUNTIFS('QA'!$D$7:$D$19,"Établi")</x:f>
        <x:v>0</x:v>
      </x:c>
      <x:c r="H34" s="37" t="n">
        <x:f>COUNTIFS('QA'!$D$7:$D$19,"À vérifier")</x:f>
        <x:v>0</x:v>
      </x:c>
      <x:c r="I34" s="37" t="n">
        <x:f>COUNTIFS('QA'!$D$7:$D$19,"Extrapolation")</x:f>
        <x:v>13</x:v>
      </x:c>
      <x:c r="J34" s="37" t="n">
        <x:f>COUNTIFS('QA'!$D$7:$D$19,"Coupé attesté")</x:f>
        <x:v>0</x:v>
      </x:c>
      <x:c r="K34" s="37" t="n">
        <x:f>COUNTIFS('QA'!$D$7:$D$19,"Concept abandonné")</x:f>
        <x:v>0</x:v>
      </x:c>
      <x:c r="L34" s="37" t="n">
        <x:f>COUNTIFS('QA'!$D$7:$D$19,"Allégation écartée")</x:f>
        <x:v>0</x:v>
      </x:c>
      <x:c r="M34" s="37" t="n">
        <x:f>COUNTIFS('QA'!$E$7:$E$19,"P0")</x:f>
        <x:v>3</x:v>
      </x:c>
    </x:row>
    <x:row r="35" ht="22" customHeight="1">
      <x:c r="A35" s="2" t="str">
        <x:v>Continuité</x:v>
      </x:c>
      <x:c r="B35" s="38" t="n">
        <x:f>COUNTA('Continuite'!$A$7:$A$16)</x:f>
        <x:v>10</x:v>
      </x:c>
      <x:c r="C35" s="38" t="n">
        <x:f>COUNTIFS('Continuite'!$C$7:$C$16,"Défini")</x:f>
        <x:v>10</x:v>
      </x:c>
      <x:c r="D35" s="38" t="n">
        <x:f>COUNTIFS('Continuite'!$C$7:$C$16,"Prototype")</x:f>
        <x:v>0</x:v>
      </x:c>
      <x:c r="E35" s="38" t="n">
        <x:f>COUNTIFS('Continuite'!$C$7:$C$16,"Intégré")</x:f>
        <x:v>0</x:v>
      </x:c>
      <x:c r="F35" s="38" t="n">
        <x:f>COUNTIFS('Continuite'!$C$7:$C$16,"Validé")</x:f>
        <x:v>0</x:v>
      </x:c>
      <x:c r="G35" s="38" t="n">
        <x:f>COUNTIFS('Continuite'!$D$7:$D$16,"Établi")</x:f>
        <x:v>7</x:v>
      </x:c>
      <x:c r="H35" s="38" t="n">
        <x:f>COUNTIFS('Continuite'!$D$7:$D$16,"À vérifier")</x:f>
        <x:v>1</x:v>
      </x:c>
      <x:c r="I35" s="38" t="n">
        <x:f>COUNTIFS('Continuite'!$D$7:$D$16,"Extrapolation")</x:f>
        <x:v>2</x:v>
      </x:c>
      <x:c r="J35" s="38" t="n">
        <x:f>COUNTIFS('Continuite'!$D$7:$D$16,"Coupé attesté")</x:f>
        <x:v>0</x:v>
      </x:c>
      <x:c r="K35" s="38" t="n">
        <x:f>COUNTIFS('Continuite'!$D$7:$D$16,"Concept abandonné")</x:f>
        <x:v>0</x:v>
      </x:c>
      <x:c r="L35" s="38" t="n">
        <x:f>COUNTIFS('Continuite'!$D$7:$D$16,"Allégation écartée")</x:f>
        <x:v>0</x:v>
      </x:c>
      <x:c r="M35" s="38" t="n">
        <x:f>COUNTIFS('Continuite'!$E$7:$E$16,"P0")</x:f>
        <x:v>10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199</x:v>
      </x:c>
      <x:c r="C37" s="39" t="n">
        <x:f>SUM(C10:C35)</x:f>
        <x:v>198</x:v>
      </x:c>
      <x:c r="D37" s="39" t="n">
        <x:f>SUM(D10:D35)</x:f>
        <x:v>1</x:v>
      </x:c>
      <x:c r="E37" s="39" t="n">
        <x:f>SUM(E10:E35)</x:f>
        <x:v>0</x:v>
      </x:c>
      <x:c r="F37" s="39" t="n">
        <x:f>SUM(F10:F35)</x:f>
        <x:v>0</x:v>
      </x:c>
      <x:c r="G37" s="39" t="n">
        <x:f>SUM(G10:G35)</x:f>
        <x:v>38</x:v>
      </x:c>
      <x:c r="H37" s="39" t="n">
        <x:f>SUM(H10:H35)</x:f>
        <x:v>1</x:v>
      </x:c>
      <x:c r="I37" s="39" t="n">
        <x:f>SUM(I10:I35)</x:f>
        <x:v>160</x:v>
      </x:c>
      <x:c r="J37" s="39" t="n">
        <x:f>SUM(J10:J35)</x:f>
        <x:v>0</x:v>
      </x:c>
      <x:c r="K37" s="39" t="n">
        <x:f>SUM(K10:K35)</x:f>
        <x:v>0</x:v>
      </x:c>
      <x:c r="L37" s="39" t="n">
        <x:f>SUM(L10:L35)</x:f>
        <x:v>0</x:v>
      </x:c>
      <x:c r="M37" s="39" t="n">
        <x:f>SUM(M10:M35)</x:f>
        <x:v>24</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23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Paragon Lost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PL-CHR-VEGA</x:v>
      </x:c>
      <x:c r="B7" s="9" t="str">
        <x:v>James Vega</x:v>
      </x:c>
      <x:c r="C7" s="15" t="str">
        <x:v>Prototype</x:v>
      </x:c>
      <x:c r="D7" s="16" t="str">
        <x:v>Établi</x:v>
      </x:c>
      <x:c r="E7" s="16" t="str">
        <x:v>P1</x:v>
      </x:c>
      <x:c r="F7" s="9" t="str">
        <x:v>Marine de l’Alliance au centre du film, confronté aux Récolteurs.</x:v>
      </x:c>
      <x:c r="G7" s="9" t="str">
        <x:v>Référence narrative ; proposition visuelle et interaction dans les fiches liées.</x:v>
      </x:c>
      <x:c r="H7" s="9" t="str"/>
      <x:c r="I7" s="9" t="str"/>
      <x:c r="J7" s="9" t="str"/>
      <x:c r="K7" s="9" t="str"/>
      <x:c r="L7" s="9" t="str">
        <x:v>Prototype Chroniques : src/universe-actors.js, src/chronicles.js. Identifiant runtime PL-CHR-VEGA ; contexte d’œuvre/segment et sélection de scène obligatoires.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PL-SRC-BW</x:v>
      </x:c>
      <x:c r="R7" s="9" t="str">
        <x:v>https://blog.bioware.com/2013/03/12/mass-effect-paragon-lost-available-now-in-the-uk/</x:v>
      </x:c>
      <x:c r="S7" s="9" t="str">
        <x:v>Contrôler le modèle contre le film avant dessin définitif. Prototype partiel disponible dans les Chroniques indépendantes : profil ATB sans portrait, sprite ou moveset complet ; pouvoirs non implémentés signalés. Aucun transfert vers ME1 ni validation 1:1.</x:v>
      </x:c>
    </x:row>
    <x:row r="8" ht="82" customHeight="1">
      <x:c r="A8" s="19" t="str">
        <x:v>PL-CHR-TREEYA</x:v>
      </x:c>
      <x:c r="B8" s="7" t="str">
        <x:v>Treeya Nuwani</x:v>
      </x:c>
      <x:c r="C8" s="15" t="str">
        <x:v>Défini</x:v>
      </x:c>
      <x:c r="D8" s="17" t="str">
        <x:v>Établi</x:v>
      </x:c>
      <x:c r="E8" s="17" t="str">
        <x:v>P1</x:v>
      </x:c>
      <x:c r="F8" s="7" t="str">
        <x:v>Anthropologue asari installée sur Fehl Prime.</x:v>
      </x:c>
      <x:c r="G8" s="7" t="str">
        <x:v>Référence narrative ; proposition visuelle et interaction dans les fiches liées.</x:v>
      </x:c>
      <x:c r="H8" s="7" t="str"/>
      <x:c r="I8" s="7" t="str"/>
      <x:c r="J8" s="7" t="str"/>
      <x:c r="K8" s="7" t="str"/>
      <x:c r="L8" s="7" t="str">
        <x:v>Réserver actor.pl.treeya ; rôle de référence : équipier.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PL-SRC-TREEYA</x:v>
      </x:c>
      <x:c r="R8" s="7" t="str">
        <x:v>https://masseffect.fandom.com/wiki/Treeya_Nuwani</x:v>
      </x:c>
      <x:c r="S8" s="7" t="str">
        <x:v>Contrôler le modèle contre le film avant dessin définitif.</x:v>
      </x:c>
    </x:row>
    <x:row r="9" ht="82" customHeight="1">
      <x:c r="A9" s="18" t="str">
        <x:v>PL-CHR-MILQUE</x:v>
      </x:c>
      <x:c r="B9" s="9" t="str">
        <x:v>Milque</x:v>
      </x:c>
      <x:c r="C9" s="15" t="str">
        <x:v>Défini</x:v>
      </x:c>
      <x:c r="D9" s="16" t="str">
        <x:v>Établi</x:v>
      </x:c>
      <x:c r="E9" s="16" t="str">
        <x:v>P1</x:v>
      </x:c>
      <x:c r="F9" s="9" t="str">
        <x:v>Membre de Delta Squad, tireur de précision dans le film.</x:v>
      </x:c>
      <x:c r="G9" s="9" t="str">
        <x:v>Référence narrative ; proposition visuelle et interaction dans les fiches liées.</x:v>
      </x:c>
      <x:c r="H9" s="9" t="str"/>
      <x:c r="I9" s="9" t="str"/>
      <x:c r="J9" s="9" t="str"/>
      <x:c r="K9" s="9" t="str"/>
      <x:c r="L9" s="9" t="str">
        <x:v>Réserver actor.pl.milque ; rôle de référence : équipier.</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9" t="str">
        <x:v>https://masseffect.fandom.com/wiki/Mass_Effect:_Paragon_Lost</x:v>
      </x:c>
      <x:c r="S9" s="9" t="str">
        <x:v>Contrôler le modèle contre le film avant dessin définitif.</x:v>
      </x:c>
    </x:row>
    <x:row r="10" ht="82" customHeight="1">
      <x:c r="A10" s="19" t="str">
        <x:v>PL-CHR-ESSEX</x:v>
      </x:c>
      <x:c r="B10" s="7" t="str">
        <x:v>Essex</x:v>
      </x:c>
      <x:c r="C10" s="15" t="str">
        <x:v>Défini</x:v>
      </x:c>
      <x:c r="D10" s="17" t="str">
        <x:v>Établi</x:v>
      </x:c>
      <x:c r="E10" s="17" t="str">
        <x:v>P1</x:v>
      </x:c>
      <x:c r="F10" s="7" t="str">
        <x:v>Marine de Delta Squad utilisant la biotique.</x:v>
      </x:c>
      <x:c r="G10" s="7" t="str">
        <x:v>Référence narrative ; proposition visuelle et interaction dans les fiches liées.</x:v>
      </x:c>
      <x:c r="H10" s="7" t="str"/>
      <x:c r="I10" s="7" t="str"/>
      <x:c r="J10" s="7" t="str"/>
      <x:c r="K10" s="7" t="str"/>
      <x:c r="L10" s="7" t="str">
        <x:v>Réserver actor.pl.essex ; rôle de référence : équipier.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7" t="str">
        <x:v>https://masseffect.fandom.com/wiki/Mass_Effect:_Paragon_Lost</x:v>
      </x:c>
      <x:c r="S10" s="7" t="str">
        <x:v>Contrôler le modèle contre le film avant dessin définitif.</x:v>
      </x:c>
    </x:row>
    <x:row r="11" ht="82" customHeight="1">
      <x:c r="A11" s="18" t="str">
        <x:v>PL-CHR-NICKY</x:v>
      </x:c>
      <x:c r="B11" s="9" t="str">
        <x:v>Nicky</x:v>
      </x:c>
      <x:c r="C11" s="15" t="str">
        <x:v>Défini</x:v>
      </x:c>
      <x:c r="D11" s="16" t="str">
        <x:v>Établi</x:v>
      </x:c>
      <x:c r="E11" s="16" t="str">
        <x:v>P1</x:v>
      </x:c>
      <x:c r="F11" s="9" t="str">
        <x:v>Spécialiste technique de Delta Squad, opérateur d’un drone.</x:v>
      </x:c>
      <x:c r="G11" s="9" t="str">
        <x:v>Référence narrative ; proposition visuelle et interaction dans les fiches liées.</x:v>
      </x:c>
      <x:c r="H11" s="9" t="str"/>
      <x:c r="I11" s="9" t="str"/>
      <x:c r="J11" s="9" t="str"/>
      <x:c r="K11" s="9" t="str"/>
      <x:c r="L11" s="9" t="str">
        <x:v>Réserver actor.pl.nicky ; rôle de référence : équipier.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PL-SRC-NICKY</x:v>
      </x:c>
      <x:c r="R11" s="9" t="str">
        <x:v>https://masseffect.fandom.com/wiki/Nicky</x:v>
      </x:c>
      <x:c r="S11" s="9" t="str">
        <x:v>Contrôler le modèle contre le film avant dessin définitif.</x:v>
      </x:c>
    </x:row>
    <x:row r="12" ht="82" customHeight="1">
      <x:c r="A12" s="19" t="str">
        <x:v>PL-CHR-KAMILLE</x:v>
      </x:c>
      <x:c r="B12" s="7" t="str">
        <x:v>Kamille</x:v>
      </x:c>
      <x:c r="C12" s="15" t="str">
        <x:v>Défini</x:v>
      </x:c>
      <x:c r="D12" s="17" t="str">
        <x:v>Établi</x:v>
      </x:c>
      <x:c r="E12" s="17" t="str">
        <x:v>P1</x:v>
      </x:c>
      <x:c r="F12" s="7" t="str">
        <x:v>Membre de Delta Squad.</x:v>
      </x:c>
      <x:c r="G12" s="7" t="str">
        <x:v>Référence narrative ; proposition visuelle et interaction dans les fiches liées.</x:v>
      </x:c>
      <x:c r="H12" s="7" t="str"/>
      <x:c r="I12" s="7" t="str"/>
      <x:c r="J12" s="7" t="str"/>
      <x:c r="K12" s="7" t="str"/>
      <x:c r="L12" s="7" t="str">
        <x:v>Réserver actor.pl.kamille ; rôle de référence : équipier.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7" t="str">
        <x:v>https://masseffect.fandom.com/wiki/Mass_Effect:_Paragon_Lost</x:v>
      </x:c>
      <x:c r="S12" s="7" t="str">
        <x:v>Contrôler le modèle contre le film avant dessin définitif.</x:v>
      </x:c>
    </x:row>
    <x:row r="13" ht="82" customHeight="1">
      <x:c r="A13" s="18" t="str">
        <x:v>PL-CHR-MASON</x:v>
      </x:c>
      <x:c r="B13" s="9" t="str">
        <x:v>Mason</x:v>
      </x:c>
      <x:c r="C13" s="15" t="str">
        <x:v>Défini</x:v>
      </x:c>
      <x:c r="D13" s="16" t="str">
        <x:v>Établi</x:v>
      </x:c>
      <x:c r="E13" s="16" t="str">
        <x:v>P1</x:v>
      </x:c>
      <x:c r="F13" s="9" t="str">
        <x:v>Membre de Delta Squad.</x:v>
      </x:c>
      <x:c r="G13" s="9" t="str">
        <x:v>Référence narrative ; proposition visuelle et interaction dans les fiches liées.</x:v>
      </x:c>
      <x:c r="H13" s="9" t="str"/>
      <x:c r="I13" s="9" t="str"/>
      <x:c r="J13" s="9" t="str"/>
      <x:c r="K13" s="9" t="str"/>
      <x:c r="L13" s="9" t="str">
        <x:v>Réserver actor.pl.mason ; rôle de référence : équipier.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9" t="str">
        <x:v>https://masseffect.fandom.com/wiki/Mass_Effect:_Paragon_Lost</x:v>
      </x:c>
      <x:c r="S13" s="9" t="str">
        <x:v>Contrôler le modèle contre le film avant dessin définitif.</x:v>
      </x:c>
    </x:row>
    <x:row r="14" ht="82" customHeight="1">
      <x:c r="A14" s="19" t="str">
        <x:v>PL-CHR-BROOD</x:v>
      </x:c>
      <x:c r="B14" s="7" t="str">
        <x:v>Brood</x:v>
      </x:c>
      <x:c r="C14" s="15" t="str">
        <x:v>Défini</x:v>
      </x:c>
      <x:c r="D14" s="17" t="str">
        <x:v>Établi</x:v>
      </x:c>
      <x:c r="E14" s="17" t="str">
        <x:v>P1</x:v>
      </x:c>
      <x:c r="F14" s="7" t="str">
        <x:v>Krogan de la meute d’Archuk, ensuite lié à Vega par une dette.</x:v>
      </x:c>
      <x:c r="G14" s="7" t="str">
        <x:v>Référence narrative ; proposition visuelle et interaction dans les fiches liées.</x:v>
      </x:c>
      <x:c r="H14" s="7" t="str"/>
      <x:c r="I14" s="7" t="str"/>
      <x:c r="J14" s="7" t="str"/>
      <x:c r="K14" s="7" t="str"/>
      <x:c r="L14" s="7" t="str">
        <x:v>Réserver actor.pl.brood ; rôle de référence : équipier.</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Nom, rôle et présence confirmés dans la source indiquée ; aucune compétence chiffrée déduite du roman.</x:v>
      </x:c>
      <x:c r="O14" s="7" t="str"/>
      <x:c r="P14" s="7" t="str">
        <x:v>Notice de personnage ou présentation de l’œuvre ; pas de chapitre attribué.</x:v>
      </x:c>
      <x:c r="Q14" s="7" t="str">
        <x:v>PL-SRC-BROOD</x:v>
      </x:c>
      <x:c r="R14" s="7" t="str">
        <x:v>https://masseffect.fandom.com/wiki/Brood</x:v>
      </x:c>
      <x:c r="S14" s="7" t="str">
        <x:v>Contrôler le modèle contre le film avant dessin définitif.</x:v>
      </x:c>
    </x:row>
  </x:sheetData>
  <x:conditionalFormatting sqref="D7:D14">
    <x:cfRule type="cellIs" dxfId="0" priority="1" operator="equal">
      <x:formula>"À vérifier"</x:formula>
    </x:cfRule>
    <x:cfRule type="cellIs" dxfId="1" priority="2" operator="equal">
      <x:formula>"Extrapolation"</x:formula>
    </x:cfRule>
  </x:conditionalFormatting>
  <x:conditionalFormatting sqref="C7:C14">
    <x:cfRule type="cellIs" dxfId="2" priority="3" operator="equal">
      <x:formula>"Validé"</x:formula>
    </x:cfRule>
  </x:conditionalFormatting>
  <x:conditionalFormatting sqref="E7:E14">
    <x:cfRule type="cellIs" dxfId="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f2acd95e778418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Paragon Lost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PL-CHR-TONI</x:v>
      </x:c>
      <x:c r="B7" s="9" t="str">
        <x:v>Capitaine Toni</x:v>
      </x:c>
      <x:c r="C7" s="15" t="str">
        <x:v>Défini</x:v>
      </x:c>
      <x:c r="D7" s="16" t="str">
        <x:v>Établi</x:v>
      </x:c>
      <x:c r="E7" s="16" t="str">
        <x:v>P1</x:v>
      </x:c>
      <x:c r="F7" s="9" t="str">
        <x:v>Officier commandant Delta Squad.</x:v>
      </x:c>
      <x:c r="G7" s="9" t="str">
        <x:v>Référence narrative ; proposition visuelle et interaction dans les fiches liées.</x:v>
      </x:c>
      <x:c r="H7" s="9" t="str"/>
      <x:c r="I7" s="9" t="str"/>
      <x:c r="J7" s="9" t="str"/>
      <x:c r="K7" s="9" t="str"/>
      <x:c r="L7" s="9" t="str">
        <x:v>Réserver actor.pl.toni ; rôle de référence : interlocuteur.</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PL-SRC-DELTA</x:v>
      </x:c>
      <x:c r="R7" s="9" t="str">
        <x:v>https://masseffect.fandom.com/wiki/Delta_Squad</x:v>
      </x:c>
      <x:c r="S7" s="9" t="str">
        <x:v>Contrôler le modèle contre le film avant dessin définitif.</x:v>
      </x:c>
    </x:row>
    <x:row r="8" ht="82" customHeight="1">
      <x:c r="A8" s="19" t="str">
        <x:v>PL-CHR-MESSNER</x:v>
      </x:c>
      <x:c r="B8" s="7" t="str">
        <x:v>Messner</x:v>
      </x:c>
      <x:c r="C8" s="15" t="str">
        <x:v>Défini</x:v>
      </x:c>
      <x:c r="D8" s="17" t="str">
        <x:v>Établi</x:v>
      </x:c>
      <x:c r="E8" s="17" t="str">
        <x:v>P1</x:v>
      </x:c>
      <x:c r="F8" s="7" t="str">
        <x:v>Marchand de couverture, en réalité agent de Cerberus.</x:v>
      </x:c>
      <x:c r="G8" s="7" t="str">
        <x:v>Référence narrative ; proposition visuelle et interaction dans les fiches liées.</x:v>
      </x:c>
      <x:c r="H8" s="7" t="str"/>
      <x:c r="I8" s="7" t="str"/>
      <x:c r="J8" s="7" t="str"/>
      <x:c r="K8" s="7" t="str"/>
      <x:c r="L8" s="7" t="str">
        <x:v>Réserver actor.pl.messner ; rôle de référence : interlocuteur.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PL-SRC-MESSNER</x:v>
      </x:c>
      <x:c r="R8" s="7" t="str">
        <x:v>https://masseffect.fandom.com/wiki/Messner</x:v>
      </x:c>
      <x:c r="S8" s="7" t="str">
        <x:v>Contrôler le modèle contre le film avant dessin définitif.</x:v>
      </x:c>
    </x:row>
    <x:row r="9" ht="82" customHeight="1">
      <x:c r="A9" s="18" t="str">
        <x:v>PL-CHR-ARCHUK</x:v>
      </x:c>
      <x:c r="B9" s="9" t="str">
        <x:v>Archuk</x:v>
      </x:c>
      <x:c r="C9" s="15" t="str">
        <x:v>Défini</x:v>
      </x:c>
      <x:c r="D9" s="16" t="str">
        <x:v>Établi</x:v>
      </x:c>
      <x:c r="E9" s="16" t="str">
        <x:v>P1</x:v>
      </x:c>
      <x:c r="F9" s="9" t="str">
        <x:v>Chef krogan de l’attaque initiale des mercenaires.</x:v>
      </x:c>
      <x:c r="G9" s="9" t="str">
        <x:v>Référence narrative ; proposition visuelle et interaction dans les fiches liées.</x:v>
      </x:c>
      <x:c r="H9" s="9" t="str"/>
      <x:c r="I9" s="9" t="str"/>
      <x:c r="J9" s="9" t="str"/>
      <x:c r="K9" s="9" t="str"/>
      <x:c r="L9" s="9" t="str">
        <x:v>Réserver actor.pl.archuk ; rôle de référence : adversaire.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9" t="str">
        <x:v>https://masseffect.fandom.com/wiki/Mass_Effect:_Paragon_Lost</x:v>
      </x:c>
      <x:c r="S9" s="9" t="str">
        <x:v>Contrôler le modèle contre le film avant dessin définitif.</x:v>
      </x:c>
    </x:row>
    <x:row r="10" ht="82" customHeight="1">
      <x:c r="A10" s="19" t="str">
        <x:v>PL-CHR-APRIL</x:v>
      </x:c>
      <x:c r="B10" s="7" t="str">
        <x:v>April</x:v>
      </x:c>
      <x:c r="C10" s="15" t="str">
        <x:v>Défini</x:v>
      </x:c>
      <x:c r="D10" s="17" t="str">
        <x:v>Établi</x:v>
      </x:c>
      <x:c r="E10" s="17" t="str">
        <x:v>P1</x:v>
      </x:c>
      <x:c r="F10" s="7" t="str">
        <x:v>Enfant de Fehl Prime, fille de Christine.</x:v>
      </x:c>
      <x:c r="G10" s="7" t="str">
        <x:v>Référence narrative ; proposition visuelle et interaction dans les fiches liées.</x:v>
      </x:c>
      <x:c r="H10" s="7" t="str"/>
      <x:c r="I10" s="7" t="str"/>
      <x:c r="J10" s="7" t="str"/>
      <x:c r="K10" s="7" t="str"/>
      <x:c r="L10" s="7" t="str">
        <x:v>Réserver actor.pl.april ; rôle de référence : interlocuteur.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7" t="str">
        <x:v>https://masseffect.fandom.com/wiki/Mass_Effect:_Paragon_Lost</x:v>
      </x:c>
      <x:c r="S10" s="7" t="str">
        <x:v>Contrôler le modèle contre le film avant dessin définitif.</x:v>
      </x:c>
    </x:row>
    <x:row r="11" ht="82" customHeight="1">
      <x:c r="A11" s="18" t="str">
        <x:v>PL-CHR-CHRISTINE</x:v>
      </x:c>
      <x:c r="B11" s="9" t="str">
        <x:v>Christine</x:v>
      </x:c>
      <x:c r="C11" s="15" t="str">
        <x:v>Défini</x:v>
      </x:c>
      <x:c r="D11" s="16" t="str">
        <x:v>Établi</x:v>
      </x:c>
      <x:c r="E11" s="16" t="str">
        <x:v>P1</x:v>
      </x:c>
      <x:c r="F11" s="9" t="str">
        <x:v>Habitante de Fehl Prime et mère d’April.</x:v>
      </x:c>
      <x:c r="G11" s="9" t="str">
        <x:v>Référence narrative ; proposition visuelle et interaction dans les fiches liées.</x:v>
      </x:c>
      <x:c r="H11" s="9" t="str"/>
      <x:c r="I11" s="9" t="str"/>
      <x:c r="J11" s="9" t="str"/>
      <x:c r="K11" s="9" t="str"/>
      <x:c r="L11" s="9" t="str">
        <x:v>Réserver actor.pl.christine ; rôle de référence : interlocuteur.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PL-SRC-WIKI</x:v>
      </x:c>
      <x:c r="R11" s="9" t="str">
        <x:v>https://masseffect.fandom.com/wiki/Mass_Effect:_Paragon_Lost</x:v>
      </x:c>
      <x:c r="S11" s="9" t="str">
        <x:v>Contrôler le modèle contre le film avant dessin définitif.</x:v>
      </x:c>
    </x:row>
    <x:row r="12" ht="82" customHeight="1">
      <x:c r="A12" s="19" t="str">
        <x:v>PL-CHR-HACKETT</x:v>
      </x:c>
      <x:c r="B12" s="7" t="str">
        <x:v>Steven Hackett</x:v>
      </x:c>
      <x:c r="C12" s="15" t="str">
        <x:v>Défini</x:v>
      </x:c>
      <x:c r="D12" s="17" t="str">
        <x:v>Établi</x:v>
      </x:c>
      <x:c r="E12" s="17" t="str">
        <x:v>P1</x:v>
      </x:c>
      <x:c r="F12" s="7" t="str">
        <x:v>Amiral de l’Alliance donnant un ordre à Delta Squad.</x:v>
      </x:c>
      <x:c r="G12" s="7" t="str">
        <x:v>Référence narrative ; proposition visuelle et interaction dans les fiches liées.</x:v>
      </x:c>
      <x:c r="H12" s="7" t="str"/>
      <x:c r="I12" s="7" t="str"/>
      <x:c r="J12" s="7" t="str"/>
      <x:c r="K12" s="7" t="str"/>
      <x:c r="L12" s="7" t="str">
        <x:v>Réserver actor.pl.hackett ; rôle de référence : interlocuteur.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7" t="str">
        <x:v>https://masseffect.fandom.com/wiki/Mass_Effect:_Paragon_Lost</x:v>
      </x:c>
      <x:c r="S12" s="7" t="str">
        <x:v>Contrôler le modèle contre le film avant dessin définitif.</x:v>
      </x:c>
    </x:row>
    <x:row r="13" ht="82" customHeight="1">
      <x:c r="A13" s="18" t="str">
        <x:v>PL-CHR-LIARA</x:v>
      </x:c>
      <x:c r="B13" s="9" t="str">
        <x:v>Liara T’Soni</x:v>
      </x:c>
      <x:c r="C13" s="15" t="str">
        <x:v>Défini</x:v>
      </x:c>
      <x:c r="D13" s="16" t="str">
        <x:v>Établi</x:v>
      </x:c>
      <x:c r="E13" s="16" t="str">
        <x:v>P1</x:v>
      </x:c>
      <x:c r="F13" s="9" t="str">
        <x:v>Mentore contactée à distance par Treeya.</x:v>
      </x:c>
      <x:c r="G13" s="9" t="str">
        <x:v>Référence narrative ; proposition visuelle et interaction dans les fiches liées.</x:v>
      </x:c>
      <x:c r="H13" s="9" t="str"/>
      <x:c r="I13" s="9" t="str"/>
      <x:c r="J13" s="9" t="str"/>
      <x:c r="K13" s="9" t="str"/>
      <x:c r="L13" s="9" t="str">
        <x:v>Réserver actor.pl.liara ; rôle de référence : interlocuteur.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9" t="str">
        <x:v>https://masseffect.fandom.com/wiki/Mass_Effect:_Paragon_Lost</x:v>
      </x:c>
      <x:c r="S13" s="9" t="str">
        <x:v>Contrôler le modèle contre le film avant dessin définitif.</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37481456220c412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Paragon Lost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PL-REF-DELTA</x:v>
      </x:c>
      <x:c r="B7" s="9" t="str">
        <x:v>Delta Squad</x:v>
      </x:c>
      <x:c r="C7" s="15" t="str">
        <x:v>Défini</x:v>
      </x:c>
      <x:c r="D7" s="16" t="str">
        <x:v>Établi</x:v>
      </x:c>
      <x:c r="E7" s="16" t="str">
        <x:v>P1</x:v>
      </x:c>
      <x:c r="F7" s="9" t="str">
        <x:v>Unité de forces spéciales de l’Alliance.</x:v>
      </x:c>
      <x:c r="G7" s="9" t="str">
        <x:v>Ancrage documentaire du module ; aucune statistique officielle inférée.</x:v>
      </x:c>
      <x:c r="H7" s="9" t="str"/>
      <x:c r="I7" s="9" t="str"/>
      <x:c r="J7" s="9" t="str"/>
      <x:c r="K7" s="9" t="str"/>
      <x:c r="L7" s="9" t="str">
        <x:v>Codex ref.pl.delta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PL-SRC-DELTA</x:v>
      </x:c>
      <x:c r="R7" s="9" t="str">
        <x:v>https://masseffect.fandom.com/wiki/Delta_Squad</x:v>
      </x:c>
      <x:c r="S7" s="9" t="str">
        <x:v>Ce relevé n’est ni un inventaire exhaustif ni un résumé scène par scène.</x:v>
      </x:c>
    </x:row>
    <x:row r="8" ht="82" customHeight="1">
      <x:c r="A8" s="19" t="str">
        <x:v>PL-REF-BLOOD</x:v>
      </x:c>
      <x:c r="B8" s="7" t="str">
        <x:v>Blood Pack</x:v>
      </x:c>
      <x:c r="C8" s="15" t="str">
        <x:v>Défini</x:v>
      </x:c>
      <x:c r="D8" s="17" t="str">
        <x:v>Établi</x:v>
      </x:c>
      <x:c r="E8" s="17" t="str">
        <x:v>P1</x:v>
      </x:c>
      <x:c r="F8" s="7" t="str">
        <x:v>Force mercenaire de l’attaque initiale.</x:v>
      </x:c>
      <x:c r="G8" s="7" t="str">
        <x:v>Ancrage documentaire du module ; aucune statistique officielle inférée.</x:v>
      </x:c>
      <x:c r="H8" s="7" t="str"/>
      <x:c r="I8" s="7" t="str"/>
      <x:c r="J8" s="7" t="str"/>
      <x:c r="K8" s="7" t="str"/>
      <x:c r="L8" s="7" t="str">
        <x:v>Codex ref.pl.blood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7" t="str">
        <x:v>https://masseffect.fandom.com/wiki/Brood</x:v>
      </x:c>
      <x:c r="S8" s="7" t="str">
        <x:v>Ce relevé n’est ni un inventaire exhaustif ni un résumé scène par scène.</x:v>
      </x:c>
    </x:row>
    <x:row r="9" ht="82" customHeight="1">
      <x:c r="A9" s="18" t="str">
        <x:v>PL-REF-COLLECTOR</x:v>
      </x:c>
      <x:c r="B9" s="9" t="str">
        <x:v>Récolteurs</x:v>
      </x:c>
      <x:c r="C9" s="15" t="str">
        <x:v>Défini</x:v>
      </x:c>
      <x:c r="D9" s="16" t="str">
        <x:v>Établi</x:v>
      </x:c>
      <x:c r="E9" s="16" t="str">
        <x:v>P1</x:v>
      </x:c>
      <x:c r="F9" s="9" t="str">
        <x:v>Ils attaquent Fehl Prime et capturent des habitants.</x:v>
      </x:c>
      <x:c r="G9" s="9" t="str">
        <x:v>Ancrage documentaire du module ; aucune statistique officielle inférée.</x:v>
      </x:c>
      <x:c r="H9" s="9" t="str"/>
      <x:c r="I9" s="9" t="str"/>
      <x:c r="J9" s="9" t="str"/>
      <x:c r="K9" s="9" t="str"/>
      <x:c r="L9" s="9" t="str">
        <x:v>Codex ref.pl.collector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PL-SRC-FEHL</x:v>
      </x:c>
      <x:c r="R9" s="9" t="str">
        <x:v>https://masseffect.fandom.com/wiki/Fehl_Prime</x:v>
      </x:c>
      <x:c r="S9" s="9" t="str">
        <x:v>Ce relevé n’est ni un inventaire exhaustif ni un résumé scène par scène.</x:v>
      </x:c>
    </x:row>
    <x:row r="10" ht="82" customHeight="1">
      <x:c r="A10" s="19" t="str">
        <x:v>PL-REF-CERBERUS</x:v>
      </x:c>
      <x:c r="B10" s="7" t="str">
        <x:v>Cerberus</x:v>
      </x:c>
      <x:c r="C10" s="15" t="str">
        <x:v>Défini</x:v>
      </x:c>
      <x:c r="D10" s="17" t="str">
        <x:v>Établi</x:v>
      </x:c>
      <x:c r="E10" s="17" t="str">
        <x:v>P1</x:v>
      </x:c>
      <x:c r="F10" s="7" t="str">
        <x:v>Messner agit au nom de cette organisation.</x:v>
      </x:c>
      <x:c r="G10" s="7" t="str">
        <x:v>Ancrage documentaire du module ; aucune statistique officielle inférée.</x:v>
      </x:c>
      <x:c r="H10" s="7" t="str"/>
      <x:c r="I10" s="7" t="str"/>
      <x:c r="J10" s="7" t="str"/>
      <x:c r="K10" s="7" t="str"/>
      <x:c r="L10" s="7" t="str">
        <x:v>Codex ref.pl.cerberus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PL-SRC-MESSNER</x:v>
      </x:c>
      <x:c r="R10" s="7" t="str">
        <x:v>https://masseffect.fandom.com/wiki/Messner</x:v>
      </x:c>
      <x:c r="S10" s="7" t="str">
        <x:v>Ce relevé n’est ni un inventaire exhaustif ni un résumé scène par scène.</x:v>
      </x:c>
    </x:row>
  </x:sheetData>
  <x:conditionalFormatting sqref="D7:D10">
    <x:cfRule type="cellIs" dxfId="8" priority="1" operator="equal">
      <x:formula>"À vérifier"</x:formula>
    </x:cfRule>
    <x:cfRule type="cellIs" dxfId="9" priority="2" operator="equal">
      <x:formula>"Extrapolation"</x:formula>
    </x:cfRule>
  </x:conditionalFormatting>
  <x:conditionalFormatting sqref="C7:C10">
    <x:cfRule type="cellIs" dxfId="10" priority="3" operator="equal">
      <x:formula>"Validé"</x:formula>
    </x:cfRule>
  </x:conditionalFormatting>
  <x:conditionalFormatting sqref="E7:E10">
    <x:cfRule type="cellIs" dxfId="1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c07166c47c24d7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Paragon Lost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PL-REF-FEHL</x:v>
      </x:c>
      <x:c r="B7" s="9" t="str">
        <x:v>Fehl Prime</x:v>
      </x:c>
      <x:c r="C7" s="15" t="str">
        <x:v>Défini</x:v>
      </x:c>
      <x:c r="D7" s="16" t="str">
        <x:v>Établi</x:v>
      </x:c>
      <x:c r="E7" s="16" t="str">
        <x:v>P1</x:v>
      </x:c>
      <x:c r="F7" s="9" t="str">
        <x:v>Colonie humaine où Delta Squad est stationnée.</x:v>
      </x:c>
      <x:c r="G7" s="9" t="str">
        <x:v>Ancrage documentaire du module ; aucune statistique officielle inférée.</x:v>
      </x:c>
      <x:c r="H7" s="9" t="str"/>
      <x:c r="I7" s="9" t="str"/>
      <x:c r="J7" s="9" t="str"/>
      <x:c r="K7" s="9" t="str"/>
      <x:c r="L7" s="9" t="str">
        <x:v>Codex ref.pl.fehl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PL-SRC-FEHL</x:v>
      </x:c>
      <x:c r="R7" s="9" t="str">
        <x:v>https://masseffect.fandom.com/wiki/Fehl_Prime</x:v>
      </x:c>
      <x:c r="S7" s="9" t="str">
        <x:v>Ce relevé n’est ni un inventaire exhaustif ni un résumé scène par scène.</x:v>
      </x:c>
    </x:row>
    <x:row r="8" ht="82" customHeight="1">
      <x:c r="A8" s="19" t="str">
        <x:v>PL-REF-RUINS</x:v>
      </x:c>
      <x:c r="B8" s="7" t="str">
        <x:v>Vestiges de Fehl Prime</x:v>
      </x:c>
      <x:c r="C8" s="15" t="str">
        <x:v>Défini</x:v>
      </x:c>
      <x:c r="D8" s="17" t="str">
        <x:v>Établi</x:v>
      </x:c>
      <x:c r="E8" s="17" t="str">
        <x:v>P1</x:v>
      </x:c>
      <x:c r="F8" s="7" t="str">
        <x:v>Treeya y poursuit ses recherches et consulte Liara.</x:v>
      </x:c>
      <x:c r="G8" s="7" t="str">
        <x:v>Ancrage documentaire du module ; aucune statistique officielle inférée.</x:v>
      </x:c>
      <x:c r="H8" s="7" t="str"/>
      <x:c r="I8" s="7" t="str"/>
      <x:c r="J8" s="7" t="str"/>
      <x:c r="K8" s="7" t="str"/>
      <x:c r="L8" s="7" t="str">
        <x:v>Codex ref.pl.ruins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PL-SRC-TREEYA</x:v>
      </x:c>
      <x:c r="R8" s="7" t="str">
        <x:v>https://masseffect.fandom.com/wiki/Treeya_Nuwani</x:v>
      </x:c>
      <x:c r="S8" s="7" t="str">
        <x:v>Ce relevé n’est ni un inventaire exhaustif ni un résumé scène par scène.</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65ab8d6b2da4350"/>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Paragon Lost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PL-MAP-LANDING</x:v>
      </x:c>
      <x:c r="B7" s="9" t="str">
        <x:v>Zone d’atterrissage proposée — carte proposée</x:v>
      </x:c>
      <x:c r="C7" s="15" t="str">
        <x:v>Défini</x:v>
      </x:c>
      <x:c r="D7" s="16" t="str">
        <x:v>Extrapolation</x:v>
      </x:c>
      <x:c r="E7" s="16" t="str">
        <x:v>P1</x:v>
      </x:c>
      <x:c r="F7" s="9" t="str">
        <x:v>Bloc de niveau original autour de Zone d’atterrissage proposée. Le plan n’est pas fourni par la source.</x:v>
      </x:c>
      <x:c r="G7" s="9" t="str">
        <x:v>Décor 3D à caméra fixe et personnages sprites. Épave de navette, couverts et route vers l’escouade.</x:v>
      </x:c>
      <x:c r="H7" s="9" t="str">
        <x:v>Le personnage portant assistance ne peut simultanément couvrir la ligne. Les passages importants restent accessibles en mode pause tactique.</x:v>
      </x:c>
      <x:c r="I7" s="9" t="str">
        <x:v>Débris lisibles, fumée réglable et silhouette de colonie en fond. Séparer sol praticable, couvert et fond par valeur lumineuse.</x:v>
      </x:c>
      <x:c r="J7" s="9" t="str">
        <x:v>Occlusion douce des parois devant le groupe ; portes synchronisées avec les collisions.</x:v>
      </x:c>
      <x:c r="K7" s="9" t="str">
        <x:v>Action militaire lisible, ambiance coloniale et tension organomécanique originale. Un signal directionnel accompagne le danger local, doublé par une icône.</x:v>
      </x:c>
      <x:c r="L7" s="9" t="str">
        <x:v>maps/pl/landing.scene ; navmesh, colliders, ancrages d’entrée et sorties nommés.</x:v>
      </x:c>
      <x:c r="M7" s="9" t="str">
        <x:v>Respecter la phase de 2183 et les présences du film.</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PL-MAP-SQUARE</x:v>
      </x:c>
      <x:c r="B8" s="7" t="str">
        <x:v>Rue de regroupement proposée — carte proposée</x:v>
      </x:c>
      <x:c r="C8" s="15" t="str">
        <x:v>Défini</x:v>
      </x:c>
      <x:c r="D8" s="17" t="str">
        <x:v>Extrapolation</x:v>
      </x:c>
      <x:c r="E8" s="17" t="str">
        <x:v>P1</x:v>
      </x:c>
      <x:c r="F8" s="7" t="str">
        <x:v>Bloc de niveau original autour de Rue de regroupement proposée. Le plan n’est pas fourni par la source.</x:v>
      </x:c>
      <x:c r="G8" s="7" t="str">
        <x:v>Décor 3D à caméra fixe et personnages sprites. Deux flancs, place couverte et passage civil.</x:v>
      </x:c>
      <x:c r="H8" s="7" t="str">
        <x:v>La charge ennemie annonce son axe avant l’impact. Les passages importants restent accessibles en mode pause tactique.</x:v>
      </x:c>
      <x:c r="I8" s="7" t="str">
        <x:v>Façades coloniales sobres, sacs de défense et vue sur la route. Séparer sol praticable, couvert et fond par valeur lumineuse.</x:v>
      </x:c>
      <x:c r="J8" s="7" t="str">
        <x:v>Occlusion douce des parois devant le groupe ; portes synchronisées avec les collisions.</x:v>
      </x:c>
      <x:c r="K8" s="7" t="str">
        <x:v>Action militaire lisible, ambiance coloniale et tension organomécanique originale. Un signal directionnel accompagne le danger local, doublé par une icône.</x:v>
      </x:c>
      <x:c r="L8" s="7" t="str">
        <x:v>maps/pl/square.scene ; navmesh, colliders, ancrages d’entrée et sorties nommés.</x:v>
      </x:c>
      <x:c r="M8" s="7" t="str">
        <x:v>Le combat ne change pas le sort canonique d’Archuk.</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PL-MAP-COLONY</x:v>
      </x:c>
      <x:c r="B9" s="9" t="str">
        <x:v>Fehl Prime pendant l’accalmie — carte proposée</x:v>
      </x:c>
      <x:c r="C9" s="15" t="str">
        <x:v>Défini</x:v>
      </x:c>
      <x:c r="D9" s="16" t="str">
        <x:v>Extrapolation</x:v>
      </x:c>
      <x:c r="E9" s="16" t="str">
        <x:v>P1</x:v>
      </x:c>
      <x:c r="F9" s="9" t="str">
        <x:v>Bloc de niveau original autour de Fehl Prime pendant l’accalmie. Le plan n’est pas fourni par la source.</x:v>
      </x:c>
      <x:c r="G9" s="9" t="str">
        <x:v>Décor 3D à caméra fixe et personnages sprites. Atelier de défense, place civile et accès aux recherches.</x:v>
      </x:c>
      <x:c r="H9" s="9" t="str">
        <x:v>Une tâche de maintenance peut être accomplie par plusieurs méthodes. Les passages importants restent accessibles en mode pause tactique.</x:v>
      </x:c>
      <x:c r="I9" s="9" t="str">
        <x:v>Vie coloniale, équipements installés et couleurs plus chaudes. Séparer sol praticable, couvert et fond par valeur lumineuse.</x:v>
      </x:c>
      <x:c r="J9" s="9" t="str">
        <x:v>Occlusion douce des parois devant le groupe ; portes synchronisées avec les collisions.</x:v>
      </x:c>
      <x:c r="K9" s="9" t="str">
        <x:v>Action militaire lisible, ambiance coloniale et tension organomécanique originale. Un signal directionnel accompagne le danger local, doublé par une icône.</x:v>
      </x:c>
      <x:c r="L9" s="9" t="str">
        <x:v>maps/pl/colony.scene ; navmesh, colliders, ancrages d’entrée et sorties nommés.</x:v>
      </x:c>
      <x:c r="M9" s="9" t="str">
        <x:v>La transition temporelle reste explicitement indiquée.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PL-MAP-RUINS</x:v>
      </x:c>
      <x:c r="B10" s="7" t="str">
        <x:v>Annexe des vestiges proposée — carte proposée</x:v>
      </x:c>
      <x:c r="C10" s="15" t="str">
        <x:v>Défini</x:v>
      </x:c>
      <x:c r="D10" s="17" t="str">
        <x:v>Extrapolation</x:v>
      </x:c>
      <x:c r="E10" s="17" t="str">
        <x:v>P1</x:v>
      </x:c>
      <x:c r="F10" s="7" t="str">
        <x:v>Bloc de niveau original autour de Annexe des vestiges proposée. Le plan n’est pas fourni par la source.</x:v>
      </x:c>
      <x:c r="G10" s="7" t="str">
        <x:v>Décor 3D à caméra fixe et personnages sprites. Approche du Mako, dispositif et point de communication.</x:v>
      </x:c>
      <x:c r="H10" s="7" t="str">
        <x:v>Un signal brouillé rend certains relevés inutilisables. Les passages importants restent accessibles en mode pause tactique.</x:v>
      </x:c>
      <x:c r="I10" s="7" t="str">
        <x:v>Pierre ancienne, volumes sci-fi sobres et contraste avec matériel humain. Séparer sol praticable, couvert et fond par valeur lumineuse.</x:v>
      </x:c>
      <x:c r="J10" s="7" t="str">
        <x:v>Occlusion douce des parois devant le groupe ; portes synchronisées avec les collisions.</x:v>
      </x:c>
      <x:c r="K10" s="7" t="str">
        <x:v>Action militaire lisible, ambiance coloniale et tension organomécanique originale. Un signal directionnel accompagne le danger local, doublé par une icône.</x:v>
      </x:c>
      <x:c r="L10" s="7" t="str">
        <x:v>maps/pl/ruins.scene ; navmesh, colliders, ancrages d’entrée et sorties nommés.</x:v>
      </x:c>
      <x:c r="M10" s="7" t="str">
        <x:v>Le plan est original et non un relevé exact du film.</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PL-MAP-DEFENSE</x:v>
      </x:c>
      <x:c r="B11" s="9" t="str">
        <x:v>Poste du canon proposé — carte proposée</x:v>
      </x:c>
      <x:c r="C11" s="15" t="str">
        <x:v>Défini</x:v>
      </x:c>
      <x:c r="D11" s="16" t="str">
        <x:v>Extrapolation</x:v>
      </x:c>
      <x:c r="E11" s="16" t="str">
        <x:v>P1</x:v>
      </x:c>
      <x:c r="F11" s="9" t="str">
        <x:v>Bloc de niveau original autour de Poste du canon proposé. Le plan n’est pas fourni par la source.</x:v>
      </x:c>
      <x:c r="G11" s="9" t="str">
        <x:v>Décor 3D à caméra fixe et personnages sprites. Console, circuit d’énergie et voie d’évacuation.</x:v>
      </x:c>
      <x:c r="H11" s="9" t="str">
        <x:v>La préparation doit garder un trajet de repli. Les passages importants restent accessibles en mode pause tactique.</x:v>
      </x:c>
      <x:c r="I11" s="9" t="str">
        <x:v>Grande silhouette mécanique et ciel occupé par la menace. Séparer sol praticable, couvert et fond par valeur lumineuse.</x:v>
      </x:c>
      <x:c r="J11" s="9" t="str">
        <x:v>Occlusion douce des parois devant le groupe ; portes synchronisées avec les collisions.</x:v>
      </x:c>
      <x:c r="K11" s="9" t="str">
        <x:v>Action militaire lisible, ambiance coloniale et tension organomécanique originale. Un signal directionnel accompagne le danger local, doublé par une icône.</x:v>
      </x:c>
      <x:c r="L11" s="9" t="str">
        <x:v>maps/pl/defense.scene ; navmesh, colliders, ancrages d’entrée et sorties nommés.</x:v>
      </x:c>
      <x:c r="M11" s="9" t="str">
        <x:v>Le canon ne gagne pas soudain une puissance sauvant toute la colonie.</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PL-MAP-LABS</x:v>
      </x:c>
      <x:c r="B12" s="7" t="str">
        <x:v>Couloir des laboratoires proposé — carte proposée</x:v>
      </x:c>
      <x:c r="C12" s="15" t="str">
        <x:v>Défini</x:v>
      </x:c>
      <x:c r="D12" s="17" t="str">
        <x:v>Extrapolation</x:v>
      </x:c>
      <x:c r="E12" s="17" t="str">
        <x:v>P1</x:v>
      </x:c>
      <x:c r="F12" s="7" t="str">
        <x:v>Bloc de niveau original autour de Couloir des laboratoires proposé. Le plan n’est pas fourni par la source.</x:v>
      </x:c>
      <x:c r="G12" s="7" t="str">
        <x:v>Décor 3D à caméra fixe et personnages sprites. Sas principal, réserve et salle de contrôle.</x:v>
      </x:c>
      <x:c r="H12" s="7" t="str">
        <x:v>Maintenir les accès pendant une poursuite ; les soins restent abstraits. Les passages importants restent accessibles en mode pause tactique.</x:v>
      </x:c>
      <x:c r="I12" s="7" t="str">
        <x:v>Surfaces médicales froides, cloisons lourdes et portes de sécurité. Séparer sol praticable, couvert et fond par valeur lumineuse.</x:v>
      </x:c>
      <x:c r="J12" s="7" t="str">
        <x:v>Occlusion douce des parois devant le groupe ; portes synchronisées avec les collisions.</x:v>
      </x:c>
      <x:c r="K12" s="7" t="str">
        <x:v>Action militaire lisible, ambiance coloniale et tension organomécanique originale. Un signal directionnel accompagne le danger local, doublé par une icône.</x:v>
      </x:c>
      <x:c r="L12" s="7" t="str">
        <x:v>maps/pl/labs.scene ; navmesh, colliders, ancrages d’entrée et sorties nommés.</x:v>
      </x:c>
      <x:c r="M12" s="7" t="str">
        <x:v>Ne pas permettre un sauvetage général contredisant le film.</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PL-MAP-BROOD</x:v>
      </x:c>
      <x:c r="B13" s="9" t="str">
        <x:v>Pont du vaisseau de Brood proposé — carte proposée</x:v>
      </x:c>
      <x:c r="C13" s="15" t="str">
        <x:v>Défini</x:v>
      </x:c>
      <x:c r="D13" s="16" t="str">
        <x:v>Extrapolation</x:v>
      </x:c>
      <x:c r="E13" s="16" t="str">
        <x:v>P1</x:v>
      </x:c>
      <x:c r="F13" s="9" t="str">
        <x:v>Bloc de niveau original autour de Pont du vaisseau de Brood proposé. Le plan n’est pas fourni par la source.</x:v>
      </x:c>
      <x:c r="G13" s="9" t="str">
        <x:v>Décor 3D à caméra fixe et personnages sprites. Pilotage, emplacement d’appui et accès à la soute.</x:v>
      </x:c>
      <x:c r="H13" s="9" t="str">
        <x:v>La navigation est un segment scénarisé de commandes abstraites. Les passages importants restent accessibles en mode pause tactique.</x:v>
      </x:c>
      <x:c r="I13" s="9" t="str">
        <x:v>Métal usé, espace compact, fenêtres limitées. Séparer sol praticable, couvert et fond par valeur lumineuse.</x:v>
      </x:c>
      <x:c r="J13" s="9" t="str">
        <x:v>Occlusion douce des parois devant le groupe ; portes synchronisées avec les collisions.</x:v>
      </x:c>
      <x:c r="K13" s="9" t="str">
        <x:v>Action militaire lisible, ambiance coloniale et tension organomécanique originale. Un signal directionnel accompagne le danger local, doublé par une icône.</x:v>
      </x:c>
      <x:c r="L13" s="9" t="str">
        <x:v>maps/pl/brood.scene ; navmesh, colliders, ancrages d’entrée et sorties nommés.</x:v>
      </x:c>
      <x:c r="M13" s="9" t="str">
        <x:v>Le trajet ne devient pas une simulation spatiale libre.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PL-MAP-COLLECTOR</x:v>
      </x:c>
      <x:c r="B14" s="7" t="str">
        <x:v>Secteur du vaisseau récolteur proposé — carte proposée</x:v>
      </x:c>
      <x:c r="C14" s="15" t="str">
        <x:v>Défini</x:v>
      </x:c>
      <x:c r="D14" s="17" t="str">
        <x:v>Extrapolation</x:v>
      </x:c>
      <x:c r="E14" s="17" t="str">
        <x:v>P1</x:v>
      </x:c>
      <x:c r="F14" s="7" t="str">
        <x:v>Bloc de niveau original autour de Secteur du vaisseau récolteur proposé. Le plan n’est pas fourni par la source.</x:v>
      </x:c>
      <x:c r="G14" s="7" t="str">
        <x:v>Décor 3D à caméra fixe et personnages sprites. Passage organique, capsules et embranchement vers archive.</x:v>
      </x:c>
      <x:c r="H14" s="7" t="str">
        <x:v>Deux objectifs locaux partagent une ressource d’accès. Les passages importants restent accessibles en mode pause tactique.</x:v>
      </x:c>
      <x:c r="I14" s="7" t="str">
        <x:v>Matières organomécaniques stylisées, éclats limités et silhouettes sombres. Séparer sol praticable, couvert et fond par valeur lumineuse.</x:v>
      </x:c>
      <x:c r="J14" s="7" t="str">
        <x:v>Occlusion douce des parois devant le groupe ; portes synchronisées avec les collisions.</x:v>
      </x:c>
      <x:c r="K14" s="7" t="str">
        <x:v>Action militaire lisible, ambiance coloniale et tension organomécanique originale. Un signal directionnel accompagne le danger local, doublé par une icône.</x:v>
      </x:c>
      <x:c r="L14" s="7" t="str">
        <x:v>maps/pl/collector.scene ; navmesh, colliders, ancrages d’entrée et sorties nommés.</x:v>
      </x:c>
      <x:c r="M14" s="7" t="str">
        <x:v>Ne pas reconstruire toute la géographie interne à partir du résumé.</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row r="15" ht="68" customHeight="1">
      <x:c r="A15" s="18" t="str">
        <x:v>PL-MAP-MEMORY</x:v>
      </x:c>
      <x:c r="B15" s="9" t="str">
        <x:v>Espace du mémorial — carte proposée</x:v>
      </x:c>
      <x:c r="C15" s="15" t="str">
        <x:v>Défini</x:v>
      </x:c>
      <x:c r="D15" s="16" t="str">
        <x:v>Extrapolation</x:v>
      </x:c>
      <x:c r="E15" s="16" t="str">
        <x:v>P1</x:v>
      </x:c>
      <x:c r="F15" s="9" t="str">
        <x:v>Bloc de niveau original autour de Espace du mémorial. Le plan n’est pas fourni par la source.</x:v>
      </x:c>
      <x:c r="G15" s="9" t="str">
        <x:v>Décor 3D à caméra fixe et personnages sprites. Approche courte, monument et point de dialogue.</x:v>
      </x:c>
      <x:c r="H15" s="9" t="str">
        <x:v>Aucune récompense de score sur les pertes. Les passages importants restent accessibles en mode pause tactique.</x:v>
      </x:c>
      <x:c r="I15" s="9" t="str">
        <x:v>Décor dépouillé, silhouettes séparées et horizon calme. Séparer sol praticable, couvert et fond par valeur lumineuse.</x:v>
      </x:c>
      <x:c r="J15" s="9" t="str">
        <x:v>Occlusion douce des parois devant le groupe ; portes synchronisées avec les collisions.</x:v>
      </x:c>
      <x:c r="K15" s="9" t="str">
        <x:v>Action militaire lisible, ambiance coloniale et tension organomécanique originale. Un signal directionnel accompagne le danger local, doublé par une icône.</x:v>
      </x:c>
      <x:c r="L15" s="9" t="str">
        <x:v>maps/pl/memory.scene ; navmesh, colliders, ancrages d’entrée et sorties nommés.</x:v>
      </x:c>
      <x:c r="M15" s="9" t="str">
        <x:v>Épilogue de conséquence ; retour au menu de consultation séparé.</x:v>
      </x:c>
      <x:c r="N15" s="9" t="str">
        <x:v>Entrée, objectif et sortie sont reliés sans traverser une collision ; lisibilité des sprites aux carrefours.</x:v>
      </x:c>
      <x:c r="O15" s="9" t="str"/>
      <x:c r="P15" s="9" t="str"/>
      <x:c r="Q15" s="9" t="str"/>
      <x:c r="R15" s="9" t="str"/>
      <x:c r="S15" s="9" t="str">
        <x:v>Dimensions, connexions et accessoires de cette carte sont des propositions originales.</x:v>
      </x:c>
    </x:row>
  </x:sheetData>
  <x:conditionalFormatting sqref="D7:D15">
    <x:cfRule type="cellIs" dxfId="16" priority="1" operator="equal">
      <x:formula>"À vérifier"</x:formula>
    </x:cfRule>
    <x:cfRule type="cellIs" dxfId="17" priority="2" operator="equal">
      <x:formula>"Extrapolation"</x:formula>
    </x:cfRule>
  </x:conditionalFormatting>
  <x:conditionalFormatting sqref="C7:C15">
    <x:cfRule type="cellIs" dxfId="18" priority="3" operator="equal">
      <x:formula>"Validé"</x:formula>
    </x:cfRule>
  </x:conditionalFormatting>
  <x:conditionalFormatting sqref="E7:E15">
    <x:cfRule type="cellIs" dxfId="1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c63dd5666e44f3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Paragon Lost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PL-LNK-LANDING</x:v>
      </x:c>
      <x:c r="B7" s="9" t="str">
        <x:v>Zone d’atterrissage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Zone d’atterrissage proposée au bloc Rue de regroupement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links/pl.json : landing -&gt; square; sauvegarde avant transit, restauration à un ancrage sûr.</x:v>
      </x:c>
      <x:c r="M7" s="9" t="str">
        <x:v>Respecter la phase de 2183 et les présences du film.</x:v>
      </x:c>
      <x:c r="N7" s="9" t="str">
        <x:v>Le groupe arrive au bon ancrage après chargement ; aller-retour ne duplique ni objet ni dialogue.</x:v>
      </x:c>
      <x:c r="O7" s="9" t="str">
        <x:v>PL-MAP-LANDING, PL-MAP-SQUARE</x:v>
      </x:c>
      <x:c r="P7" s="9" t="str"/>
      <x:c r="Q7" s="9" t="str"/>
      <x:c r="R7" s="9" t="str"/>
      <x:c r="S7" s="9" t="str">
        <x:v>Boucle de parcours de production ; la dernière liaison sert à la consultation post-module, pas à remonter le temps.</x:v>
      </x:c>
    </x:row>
    <x:row r="8" ht="54" customHeight="1">
      <x:c r="A8" s="19" t="str">
        <x:v>PL-LNK-SQUARE</x:v>
      </x:c>
      <x:c r="B8" s="7" t="str">
        <x:v>Rue de regroupement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Rue de regroupement proposée au bloc Fehl Prime pendant l’accalmie;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links/pl.json : square -&gt; colony; sauvegarde avant transit, restauration à un ancrage sûr.</x:v>
      </x:c>
      <x:c r="M8" s="7" t="str">
        <x:v>Le combat ne change pas le sort canonique d’Archuk.</x:v>
      </x:c>
      <x:c r="N8" s="7" t="str">
        <x:v>Le groupe arrive au bon ancrage après chargement ; aller-retour ne duplique ni objet ni dialogue.</x:v>
      </x:c>
      <x:c r="O8" s="7" t="str">
        <x:v>PL-MAP-SQUARE, PL-MAP-COLONY</x:v>
      </x:c>
      <x:c r="P8" s="7" t="str"/>
      <x:c r="Q8" s="7" t="str"/>
      <x:c r="R8" s="7" t="str"/>
      <x:c r="S8" s="7" t="str">
        <x:v>Boucle de parcours de production ; la dernière liaison sert à la consultation post-module, pas à remonter le temps.</x:v>
      </x:c>
    </x:row>
    <x:row r="9" ht="54" customHeight="1">
      <x:c r="A9" s="18" t="str">
        <x:v>PL-LNK-COLONY</x:v>
      </x:c>
      <x:c r="B9" s="9" t="str">
        <x:v>Fehl Prime pendant l’accalmie — transition de module</x:v>
      </x:c>
      <x:c r="C9" s="15" t="str">
        <x:v>Défini</x:v>
      </x:c>
      <x:c r="D9" s="16" t="str">
        <x:v>Extrapolation</x:v>
      </x:c>
      <x:c r="E9" s="16" t="str">
        <x:v>P1</x:v>
      </x:c>
      <x:c r="F9" s="9" t="str">
        <x:v>Liaison de niveau proposée, sans prétendre établir une géographie officielle.</x:v>
      </x:c>
      <x:c r="G9" s="9" t="str">
        <x:v>Associer un point de départ dans Fehl Prime pendant l’accalmie au bloc Annexe des vestiges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links/pl.json : colony -&gt; ruins; sauvegarde avant transit, restauration à un ancrage sûr.</x:v>
      </x:c>
      <x:c r="M9" s="9" t="str">
        <x:v>La transition temporelle reste explicitement indiquée.</x:v>
      </x:c>
      <x:c r="N9" s="9" t="str">
        <x:v>Le groupe arrive au bon ancrage après chargement ; aller-retour ne duplique ni objet ni dialogue.</x:v>
      </x:c>
      <x:c r="O9" s="9" t="str">
        <x:v>PL-MAP-COLONY, PL-MAP-RUINS</x:v>
      </x:c>
      <x:c r="P9" s="9" t="str"/>
      <x:c r="Q9" s="9" t="str"/>
      <x:c r="R9" s="9" t="str"/>
      <x:c r="S9" s="9" t="str">
        <x:v>Boucle de parcours de production ; la dernière liaison sert à la consultation post-module, pas à remonter le temps.</x:v>
      </x:c>
    </x:row>
    <x:row r="10" ht="54" customHeight="1">
      <x:c r="A10" s="19" t="str">
        <x:v>PL-LNK-RUINS</x:v>
      </x:c>
      <x:c r="B10" s="7" t="str">
        <x:v>Annexe des vestiges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Annexe des vestiges proposée au bloc Poste du canon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links/pl.json : ruins -&gt; defense; sauvegarde avant transit, restauration à un ancrage sûr.</x:v>
      </x:c>
      <x:c r="M10" s="7" t="str">
        <x:v>Le plan est original et non un relevé exact du film.</x:v>
      </x:c>
      <x:c r="N10" s="7" t="str">
        <x:v>Le groupe arrive au bon ancrage après chargement ; aller-retour ne duplique ni objet ni dialogue.</x:v>
      </x:c>
      <x:c r="O10" s="7" t="str">
        <x:v>PL-MAP-RUINS, PL-MAP-DEFENSE</x:v>
      </x:c>
      <x:c r="P10" s="7" t="str"/>
      <x:c r="Q10" s="7" t="str"/>
      <x:c r="R10" s="7" t="str"/>
      <x:c r="S10" s="7" t="str">
        <x:v>Boucle de parcours de production ; la dernière liaison sert à la consultation post-module, pas à remonter le temps.</x:v>
      </x:c>
    </x:row>
    <x:row r="11" ht="54" customHeight="1">
      <x:c r="A11" s="18" t="str">
        <x:v>PL-LNK-DEFENSE</x:v>
      </x:c>
      <x:c r="B11" s="9" t="str">
        <x:v>Poste du canon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Poste du canon proposé au bloc Couloir des laboratoires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links/pl.json : defense -&gt; labs; sauvegarde avant transit, restauration à un ancrage sûr.</x:v>
      </x:c>
      <x:c r="M11" s="9" t="str">
        <x:v>Le canon ne gagne pas soudain une puissance sauvant toute la colonie.</x:v>
      </x:c>
      <x:c r="N11" s="9" t="str">
        <x:v>Le groupe arrive au bon ancrage après chargement ; aller-retour ne duplique ni objet ni dialogue.</x:v>
      </x:c>
      <x:c r="O11" s="9" t="str">
        <x:v>PL-MAP-DEFENSE, PL-MAP-LABS</x:v>
      </x:c>
      <x:c r="P11" s="9" t="str"/>
      <x:c r="Q11" s="9" t="str"/>
      <x:c r="R11" s="9" t="str"/>
      <x:c r="S11" s="9" t="str">
        <x:v>Boucle de parcours de production ; la dernière liaison sert à la consultation post-module, pas à remonter le temps.</x:v>
      </x:c>
    </x:row>
    <x:row r="12" ht="68" customHeight="1">
      <x:c r="A12" s="19" t="str">
        <x:v>PL-LNK-LABS</x:v>
      </x:c>
      <x:c r="B12" s="7" t="str">
        <x:v>Couloir des laboratoires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Couloir des laboratoires proposé au bloc Pont du vaisseau de Brood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links/pl.json : labs -&gt; brood; sauvegarde avant transit, restauration à un ancrage sûr.</x:v>
      </x:c>
      <x:c r="M12" s="7" t="str">
        <x:v>Ne pas permettre un sauvetage général contredisant le film.</x:v>
      </x:c>
      <x:c r="N12" s="7" t="str">
        <x:v>Le groupe arrive au bon ancrage après chargement ; aller-retour ne duplique ni objet ni dialogue.</x:v>
      </x:c>
      <x:c r="O12" s="7" t="str">
        <x:v>PL-MAP-LABS, PL-MAP-BROOD</x:v>
      </x:c>
      <x:c r="P12" s="7" t="str"/>
      <x:c r="Q12" s="7" t="str"/>
      <x:c r="R12" s="7" t="str"/>
      <x:c r="S12" s="7" t="str">
        <x:v>Boucle de parcours de production ; la dernière liaison sert à la consultation post-module, pas à remonter le temps.</x:v>
      </x:c>
    </x:row>
    <x:row r="13" ht="68" customHeight="1">
      <x:c r="A13" s="18" t="str">
        <x:v>PL-LNK-BROOD</x:v>
      </x:c>
      <x:c r="B13" s="9" t="str">
        <x:v>Pont du vaisseau de Brood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Pont du vaisseau de Brood proposé au bloc Secteur du vaisseau récolteur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links/pl.json : brood -&gt; collector; sauvegarde avant transit, restauration à un ancrage sûr.</x:v>
      </x:c>
      <x:c r="M13" s="9" t="str">
        <x:v>Le trajet ne devient pas une simulation spatiale libre.</x:v>
      </x:c>
      <x:c r="N13" s="9" t="str">
        <x:v>Le groupe arrive au bon ancrage après chargement ; aller-retour ne duplique ni objet ni dialogue.</x:v>
      </x:c>
      <x:c r="O13" s="9" t="str">
        <x:v>PL-MAP-BROOD, PL-MAP-COLLECTOR</x:v>
      </x:c>
      <x:c r="P13" s="9" t="str"/>
      <x:c r="Q13" s="9" t="str"/>
      <x:c r="R13" s="9" t="str"/>
      <x:c r="S13" s="9" t="str">
        <x:v>Boucle de parcours de production ; la dernière liaison sert à la consultation post-module, pas à remonter le temps.</x:v>
      </x:c>
    </x:row>
    <x:row r="14" ht="54" customHeight="1">
      <x:c r="A14" s="19" t="str">
        <x:v>PL-LNK-COLLECTOR</x:v>
      </x:c>
      <x:c r="B14" s="7" t="str">
        <x:v>Secteur du vaisseau récolteur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du vaisseau récolteur proposé au bloc Espace du mémorial;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links/pl.json : collector -&gt; memory; sauvegarde avant transit, restauration à un ancrage sûr.</x:v>
      </x:c>
      <x:c r="M14" s="7" t="str">
        <x:v>Ne pas reconstruire toute la géographie interne à partir du résumé.</x:v>
      </x:c>
      <x:c r="N14" s="7" t="str">
        <x:v>Le groupe arrive au bon ancrage après chargement ; aller-retour ne duplique ni objet ni dialogue.</x:v>
      </x:c>
      <x:c r="O14" s="7" t="str">
        <x:v>PL-MAP-COLLECTOR, PL-MAP-MEMORY</x:v>
      </x:c>
      <x:c r="P14" s="7" t="str"/>
      <x:c r="Q14" s="7" t="str"/>
      <x:c r="R14" s="7" t="str"/>
      <x:c r="S14" s="7" t="str">
        <x:v>Boucle de parcours de production ; la dernière liaison sert à la consultation post-module, pas à remonter le temps.</x:v>
      </x:c>
    </x:row>
    <x:row r="15" ht="54" customHeight="1">
      <x:c r="A15" s="18" t="str">
        <x:v>PL-LNK-MEMORY</x:v>
      </x:c>
      <x:c r="B15" s="9" t="str">
        <x:v>Espace du mémorial — transition de module</x:v>
      </x:c>
      <x:c r="C15" s="15" t="str">
        <x:v>Défini</x:v>
      </x:c>
      <x:c r="D15" s="16" t="str">
        <x:v>Extrapolation</x:v>
      </x:c>
      <x:c r="E15" s="16" t="str">
        <x:v>P1</x:v>
      </x:c>
      <x:c r="F15" s="9" t="str">
        <x:v>Liaison de niveau proposée, sans prétendre établir une géographie officielle.</x:v>
      </x:c>
      <x:c r="G15" s="9" t="str">
        <x:v>Associer un point de départ dans Espace du mémorial au bloc Zone d’atterrissage proposée; transit masqué lorsque les lieux sont éloignés.</x:v>
      </x:c>
      <x:c r="H15" s="9" t="str">
        <x:v>Sortie inactive pendant une interaction critique ; confirmation uniquement si le retour est temporairement fermé.</x:v>
      </x:c>
      <x:c r="I15" s="9" t="str">
        <x:v>Flèche de sortie et nom du lieu cible ; distinguer voyage spatial et porte adjacente.</x:v>
      </x:c>
      <x:c r="J15" s="9" t="str">
        <x:v>Regroupement des sprites avant fondu ; aucun personnage laissé derrière hors cadre.</x:v>
      </x:c>
      <x:c r="K15" s="9" t="str">
        <x:v>Transition d’ambiance progressive ; sous-titre de lieu affiché après chargement.</x:v>
      </x:c>
      <x:c r="L15" s="9" t="str">
        <x:v>links/pl.json : memory -&gt; landing; sauvegarde avant transit, restauration à un ancrage sûr.</x:v>
      </x:c>
      <x:c r="M15" s="9" t="str">
        <x:v>Épilogue de conséquence ; retour au menu de consultation séparé.</x:v>
      </x:c>
      <x:c r="N15" s="9" t="str">
        <x:v>Le groupe arrive au bon ancrage après chargement ; aller-retour ne duplique ni objet ni dialogue.</x:v>
      </x:c>
      <x:c r="O15" s="9" t="str">
        <x:v>PL-MAP-MEMORY, PL-MAP-LANDING</x:v>
      </x:c>
      <x:c r="P15" s="9" t="str"/>
      <x:c r="Q15" s="9" t="str"/>
      <x:c r="R15" s="9" t="str"/>
      <x:c r="S15" s="9" t="str">
        <x:v>Boucle de parcours de production ; la dernière liaison sert à la consultation post-module, pas à remonter le temps.</x:v>
      </x:c>
    </x:row>
  </x:sheetData>
  <x:conditionalFormatting sqref="D7:D15">
    <x:cfRule type="cellIs" dxfId="20" priority="1" operator="equal">
      <x:formula>"À vérifier"</x:formula>
    </x:cfRule>
    <x:cfRule type="cellIs" dxfId="21" priority="2" operator="equal">
      <x:formula>"Extrapolation"</x:formula>
    </x:cfRule>
  </x:conditionalFormatting>
  <x:conditionalFormatting sqref="C7:C15">
    <x:cfRule type="cellIs" dxfId="22" priority="3" operator="equal">
      <x:formula>"Validé"</x:formula>
    </x:cfRule>
  </x:conditionalFormatting>
  <x:conditionalFormatting sqref="E7:E15">
    <x:cfRule type="cellIs" dxfId="2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dd19eec2de6b47ab"/>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Paragon Lost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PL-SET-LANDING</x:v>
      </x:c>
      <x:c r="B7" s="9" t="str">
        <x:v>Zone d’atterrissage proposée — kit de décor</x:v>
      </x:c>
      <x:c r="C7" s="15" t="str">
        <x:v>Défini</x:v>
      </x:c>
      <x:c r="D7" s="16" t="str">
        <x:v>Extrapolation</x:v>
      </x:c>
      <x:c r="E7" s="16" t="str">
        <x:v>P1</x:v>
      </x:c>
      <x:c r="F7" s="9" t="str">
        <x:v>Production originale des éléments fixes de la carte liée.</x:v>
      </x:c>
      <x:c r="G7" s="9" t="str">
        <x:v>Débris lisibles, fumée réglable et silhouette de colonie en fond. Construire trois profondeurs de décor avec variantes intacte et perturbée si utiles.</x:v>
      </x:c>
      <x:c r="H7" s="9" t="str">
        <x:v>Le décor signale la règle : Le personnage portant assistance ne peut simultanément couvrir la ligne.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assets/pl/sets/landing/ ; collider séparé du mesh et des ornements.</x:v>
      </x:c>
      <x:c r="M7" s="9" t="str">
        <x:v>Respecter la phase de 2183 et les présences du film.</x:v>
      </x:c>
      <x:c r="N7" s="9" t="str">
        <x:v>Aucun détail décoratif ne ressemble à tort à une porte ; vue complète vérifiée en petite résolution.</x:v>
      </x:c>
      <x:c r="O7" s="9" t="str">
        <x:v>PL-MAP-LANDING</x:v>
      </x:c>
      <x:c r="P7" s="9" t="str"/>
      <x:c r="Q7" s="9" t="str"/>
      <x:c r="R7" s="9" t="str"/>
      <x:c r="S7" s="9" t="str"/>
    </x:row>
    <x:row r="8" ht="54" customHeight="1">
      <x:c r="A8" s="19" t="str">
        <x:v>PL-SET-SQUARE</x:v>
      </x:c>
      <x:c r="B8" s="7" t="str">
        <x:v>Rue de regroupement proposée — kit de décor</x:v>
      </x:c>
      <x:c r="C8" s="15" t="str">
        <x:v>Défini</x:v>
      </x:c>
      <x:c r="D8" s="17" t="str">
        <x:v>Extrapolation</x:v>
      </x:c>
      <x:c r="E8" s="17" t="str">
        <x:v>P1</x:v>
      </x:c>
      <x:c r="F8" s="7" t="str">
        <x:v>Production originale des éléments fixes de la carte liée.</x:v>
      </x:c>
      <x:c r="G8" s="7" t="str">
        <x:v>Façades coloniales sobres, sacs de défense et vue sur la route. Construire trois profondeurs de décor avec variantes intacte et perturbée si utiles.</x:v>
      </x:c>
      <x:c r="H8" s="7" t="str">
        <x:v>Le décor signale la règle : La charge ennemie annonce son axe avant l’impact.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assets/pl/sets/square/ ; collider séparé du mesh et des ornements.</x:v>
      </x:c>
      <x:c r="M8" s="7" t="str">
        <x:v>Le combat ne change pas le sort canonique d’Archuk.</x:v>
      </x:c>
      <x:c r="N8" s="7" t="str">
        <x:v>Aucun détail décoratif ne ressemble à tort à une porte ; vue complète vérifiée en petite résolution.</x:v>
      </x:c>
      <x:c r="O8" s="7" t="str">
        <x:v>PL-MAP-SQUARE</x:v>
      </x:c>
      <x:c r="P8" s="7" t="str"/>
      <x:c r="Q8" s="7" t="str"/>
      <x:c r="R8" s="7" t="str"/>
      <x:c r="S8" s="7" t="str"/>
    </x:row>
    <x:row r="9" ht="54" customHeight="1">
      <x:c r="A9" s="18" t="str">
        <x:v>PL-SET-COLONY</x:v>
      </x:c>
      <x:c r="B9" s="9" t="str">
        <x:v>Fehl Prime pendant l’accalmie — kit de décor</x:v>
      </x:c>
      <x:c r="C9" s="15" t="str">
        <x:v>Défini</x:v>
      </x:c>
      <x:c r="D9" s="16" t="str">
        <x:v>Extrapolation</x:v>
      </x:c>
      <x:c r="E9" s="16" t="str">
        <x:v>P1</x:v>
      </x:c>
      <x:c r="F9" s="9" t="str">
        <x:v>Production originale des éléments fixes de la carte liée.</x:v>
      </x:c>
      <x:c r="G9" s="9" t="str">
        <x:v>Vie coloniale, équipements installés et couleurs plus chaudes. Construire trois profondeurs de décor avec variantes intacte et perturbée si utiles.</x:v>
      </x:c>
      <x:c r="H9" s="9" t="str">
        <x:v>Le décor signale la règle : Une tâche de maintenance peut être accomplie par plusieurs méthodes.</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assets/pl/sets/colony/ ; collider séparé du mesh et des ornements.</x:v>
      </x:c>
      <x:c r="M9" s="9" t="str">
        <x:v>La transition temporelle reste explicitement indiquée.</x:v>
      </x:c>
      <x:c r="N9" s="9" t="str">
        <x:v>Aucun détail décoratif ne ressemble à tort à une porte ; vue complète vérifiée en petite résolution.</x:v>
      </x:c>
      <x:c r="O9" s="9" t="str">
        <x:v>PL-MAP-COLONY</x:v>
      </x:c>
      <x:c r="P9" s="9" t="str"/>
      <x:c r="Q9" s="9" t="str"/>
      <x:c r="R9" s="9" t="str"/>
      <x:c r="S9" s="9" t="str"/>
    </x:row>
    <x:row r="10" ht="54" customHeight="1">
      <x:c r="A10" s="19" t="str">
        <x:v>PL-SET-RUINS</x:v>
      </x:c>
      <x:c r="B10" s="7" t="str">
        <x:v>Annexe des vestiges proposée — kit de décor</x:v>
      </x:c>
      <x:c r="C10" s="15" t="str">
        <x:v>Défini</x:v>
      </x:c>
      <x:c r="D10" s="17" t="str">
        <x:v>Extrapolation</x:v>
      </x:c>
      <x:c r="E10" s="17" t="str">
        <x:v>P1</x:v>
      </x:c>
      <x:c r="F10" s="7" t="str">
        <x:v>Production originale des éléments fixes de la carte liée.</x:v>
      </x:c>
      <x:c r="G10" s="7" t="str">
        <x:v>Pierre ancienne, volumes sci-fi sobres et contraste avec matériel humain. Construire trois profondeurs de décor avec variantes intacte et perturbée si utiles.</x:v>
      </x:c>
      <x:c r="H10" s="7" t="str">
        <x:v>Le décor signale la règle : Un signal brouillé rend certains relevés inutilisables.</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assets/pl/sets/ruins/ ; collider séparé du mesh et des ornements.</x:v>
      </x:c>
      <x:c r="M10" s="7" t="str">
        <x:v>Le plan est original et non un relevé exact du film.</x:v>
      </x:c>
      <x:c r="N10" s="7" t="str">
        <x:v>Aucun détail décoratif ne ressemble à tort à une porte ; vue complète vérifiée en petite résolution.</x:v>
      </x:c>
      <x:c r="O10" s="7" t="str">
        <x:v>PL-MAP-RUINS</x:v>
      </x:c>
      <x:c r="P10" s="7" t="str"/>
      <x:c r="Q10" s="7" t="str"/>
      <x:c r="R10" s="7" t="str"/>
      <x:c r="S10" s="7" t="str"/>
    </x:row>
    <x:row r="11" ht="54" customHeight="1">
      <x:c r="A11" s="18" t="str">
        <x:v>PL-SET-DEFENSE</x:v>
      </x:c>
      <x:c r="B11" s="9" t="str">
        <x:v>Poste du canon proposé — kit de décor</x:v>
      </x:c>
      <x:c r="C11" s="15" t="str">
        <x:v>Défini</x:v>
      </x:c>
      <x:c r="D11" s="16" t="str">
        <x:v>Extrapolation</x:v>
      </x:c>
      <x:c r="E11" s="16" t="str">
        <x:v>P1</x:v>
      </x:c>
      <x:c r="F11" s="9" t="str">
        <x:v>Production originale des éléments fixes de la carte liée.</x:v>
      </x:c>
      <x:c r="G11" s="9" t="str">
        <x:v>Grande silhouette mécanique et ciel occupé par la menace. Construire trois profondeurs de décor avec variantes intacte et perturbée si utiles.</x:v>
      </x:c>
      <x:c r="H11" s="9" t="str">
        <x:v>Le décor signale la règle : La préparation doit garder un trajet de repli.</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assets/pl/sets/defense/ ; collider séparé du mesh et des ornements.</x:v>
      </x:c>
      <x:c r="M11" s="9" t="str">
        <x:v>Le canon ne gagne pas soudain une puissance sauvant toute la colonie.</x:v>
      </x:c>
      <x:c r="N11" s="9" t="str">
        <x:v>Aucun détail décoratif ne ressemble à tort à une porte ; vue complète vérifiée en petite résolution.</x:v>
      </x:c>
      <x:c r="O11" s="9" t="str">
        <x:v>PL-MAP-DEFENSE</x:v>
      </x:c>
      <x:c r="P11" s="9" t="str"/>
      <x:c r="Q11" s="9" t="str"/>
      <x:c r="R11" s="9" t="str"/>
      <x:c r="S11" s="9" t="str"/>
    </x:row>
    <x:row r="12" ht="54" customHeight="1">
      <x:c r="A12" s="19" t="str">
        <x:v>PL-SET-LABS</x:v>
      </x:c>
      <x:c r="B12" s="7" t="str">
        <x:v>Couloir des laboratoires proposé — kit de décor</x:v>
      </x:c>
      <x:c r="C12" s="15" t="str">
        <x:v>Défini</x:v>
      </x:c>
      <x:c r="D12" s="17" t="str">
        <x:v>Extrapolation</x:v>
      </x:c>
      <x:c r="E12" s="17" t="str">
        <x:v>P1</x:v>
      </x:c>
      <x:c r="F12" s="7" t="str">
        <x:v>Production originale des éléments fixes de la carte liée.</x:v>
      </x:c>
      <x:c r="G12" s="7" t="str">
        <x:v>Surfaces médicales froides, cloisons lourdes et portes de sécurité. Construire trois profondeurs de décor avec variantes intacte et perturbée si utiles.</x:v>
      </x:c>
      <x:c r="H12" s="7" t="str">
        <x:v>Le décor signale la règle : Maintenir les accès pendant une poursuite ; les soins restent abstraits.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assets/pl/sets/labs/ ; collider séparé du mesh et des ornements.</x:v>
      </x:c>
      <x:c r="M12" s="7" t="str">
        <x:v>Ne pas permettre un sauvetage général contredisant le film.</x:v>
      </x:c>
      <x:c r="N12" s="7" t="str">
        <x:v>Aucun détail décoratif ne ressemble à tort à une porte ; vue complète vérifiée en petite résolution.</x:v>
      </x:c>
      <x:c r="O12" s="7" t="str">
        <x:v>PL-MAP-LABS</x:v>
      </x:c>
      <x:c r="P12" s="7" t="str"/>
      <x:c r="Q12" s="7" t="str"/>
      <x:c r="R12" s="7" t="str"/>
      <x:c r="S12" s="7" t="str"/>
    </x:row>
    <x:row r="13" ht="54" customHeight="1">
      <x:c r="A13" s="18" t="str">
        <x:v>PL-SET-BROOD</x:v>
      </x:c>
      <x:c r="B13" s="9" t="str">
        <x:v>Pont du vaisseau de Brood proposé — kit de décor</x:v>
      </x:c>
      <x:c r="C13" s="15" t="str">
        <x:v>Défini</x:v>
      </x:c>
      <x:c r="D13" s="16" t="str">
        <x:v>Extrapolation</x:v>
      </x:c>
      <x:c r="E13" s="16" t="str">
        <x:v>P1</x:v>
      </x:c>
      <x:c r="F13" s="9" t="str">
        <x:v>Production originale des éléments fixes de la carte liée.</x:v>
      </x:c>
      <x:c r="G13" s="9" t="str">
        <x:v>Métal usé, espace compact, fenêtres limitées. Construire trois profondeurs de décor avec variantes intacte et perturbée si utiles.</x:v>
      </x:c>
      <x:c r="H13" s="9" t="str">
        <x:v>Le décor signale la règle : La navigation est un segment scénarisé de commandes abstraites.</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assets/pl/sets/brood/ ; collider séparé du mesh et des ornements.</x:v>
      </x:c>
      <x:c r="M13" s="9" t="str">
        <x:v>Le trajet ne devient pas une simulation spatiale libre.</x:v>
      </x:c>
      <x:c r="N13" s="9" t="str">
        <x:v>Aucun détail décoratif ne ressemble à tort à une porte ; vue complète vérifiée en petite résolution.</x:v>
      </x:c>
      <x:c r="O13" s="9" t="str">
        <x:v>PL-MAP-BROOD</x:v>
      </x:c>
      <x:c r="P13" s="9" t="str"/>
      <x:c r="Q13" s="9" t="str"/>
      <x:c r="R13" s="9" t="str"/>
      <x:c r="S13" s="9" t="str"/>
    </x:row>
    <x:row r="14" ht="54" customHeight="1">
      <x:c r="A14" s="19" t="str">
        <x:v>PL-SET-COLLECTOR</x:v>
      </x:c>
      <x:c r="B14" s="7" t="str">
        <x:v>Secteur du vaisseau récolteur proposé — kit de décor</x:v>
      </x:c>
      <x:c r="C14" s="15" t="str">
        <x:v>Défini</x:v>
      </x:c>
      <x:c r="D14" s="17" t="str">
        <x:v>Extrapolation</x:v>
      </x:c>
      <x:c r="E14" s="17" t="str">
        <x:v>P1</x:v>
      </x:c>
      <x:c r="F14" s="7" t="str">
        <x:v>Production originale des éléments fixes de la carte liée.</x:v>
      </x:c>
      <x:c r="G14" s="7" t="str">
        <x:v>Matières organomécaniques stylisées, éclats limités et silhouettes sombres. Construire trois profondeurs de décor avec variantes intacte et perturbée si utiles.</x:v>
      </x:c>
      <x:c r="H14" s="7" t="str">
        <x:v>Le décor signale la règle : Deux objectifs locaux partagent une ressource d’accès.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assets/pl/sets/collector/ ; collider séparé du mesh et des ornements.</x:v>
      </x:c>
      <x:c r="M14" s="7" t="str">
        <x:v>Ne pas reconstruire toute la géographie interne à partir du résumé.</x:v>
      </x:c>
      <x:c r="N14" s="7" t="str">
        <x:v>Aucun détail décoratif ne ressemble à tort à une porte ; vue complète vérifiée en petite résolution.</x:v>
      </x:c>
      <x:c r="O14" s="7" t="str">
        <x:v>PL-MAP-COLLECTOR</x:v>
      </x:c>
      <x:c r="P14" s="7" t="str"/>
      <x:c r="Q14" s="7" t="str"/>
      <x:c r="R14" s="7" t="str"/>
      <x:c r="S14" s="7" t="str"/>
    </x:row>
    <x:row r="15" ht="54" customHeight="1">
      <x:c r="A15" s="18" t="str">
        <x:v>PL-SET-MEMORY</x:v>
      </x:c>
      <x:c r="B15" s="9" t="str">
        <x:v>Espace du mémorial — kit de décor</x:v>
      </x:c>
      <x:c r="C15" s="15" t="str">
        <x:v>Défini</x:v>
      </x:c>
      <x:c r="D15" s="16" t="str">
        <x:v>Extrapolation</x:v>
      </x:c>
      <x:c r="E15" s="16" t="str">
        <x:v>P1</x:v>
      </x:c>
      <x:c r="F15" s="9" t="str">
        <x:v>Production originale des éléments fixes de la carte liée.</x:v>
      </x:c>
      <x:c r="G15" s="9" t="str">
        <x:v>Décor dépouillé, silhouettes séparées et horizon calme. Construire trois profondeurs de décor avec variantes intacte et perturbée si utiles.</x:v>
      </x:c>
      <x:c r="H15" s="9" t="str">
        <x:v>Le décor signale la règle : Aucune récompense de score sur les pertes.</x:v>
      </x:c>
      <x:c r="I15" s="9" t="str">
        <x:v>Volumes sans microdétails illisibles ; surfaces dangereuses reconnues également en niveaux de gris.</x:v>
      </x:c>
      <x:c r="J15" s="9" t="str">
        <x:v>Animer seulement les repères actifs ; ne pas déplacer un obstacle statique après le calcul du chemin.</x:v>
      </x:c>
      <x:c r="K15" s="9" t="str">
        <x:v>Boucles très courtes évitées ; matériaux sonores propres aux interactions de cette zone.</x:v>
      </x:c>
      <x:c r="L15" s="9" t="str">
        <x:v>assets/pl/sets/memory/ ; collider séparé du mesh et des ornements.</x:v>
      </x:c>
      <x:c r="M15" s="9" t="str">
        <x:v>Épilogue de conséquence ; retour au menu de consultation séparé.</x:v>
      </x:c>
      <x:c r="N15" s="9" t="str">
        <x:v>Aucun détail décoratif ne ressemble à tort à une porte ; vue complète vérifiée en petite résolution.</x:v>
      </x:c>
      <x:c r="O15" s="9" t="str">
        <x:v>PL-MAP-MEMORY</x:v>
      </x:c>
      <x:c r="P15" s="9" t="str"/>
      <x:c r="Q15" s="9" t="str"/>
      <x:c r="R15" s="9" t="str"/>
      <x:c r="S15" s="9" t="str"/>
    </x:row>
  </x:sheetData>
  <x:conditionalFormatting sqref="D7:D15">
    <x:cfRule type="cellIs" dxfId="24" priority="1" operator="equal">
      <x:formula>"À vérifier"</x:formula>
    </x:cfRule>
    <x:cfRule type="cellIs" dxfId="25" priority="2" operator="equal">
      <x:formula>"Extrapolation"</x:formula>
    </x:cfRule>
  </x:conditionalFormatting>
  <x:conditionalFormatting sqref="C7:C15">
    <x:cfRule type="cellIs" dxfId="26" priority="3" operator="equal">
      <x:formula>"Validé"</x:formula>
    </x:cfRule>
  </x:conditionalFormatting>
  <x:conditionalFormatting sqref="E7:E15">
    <x:cfRule type="cellIs" dxfId="2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34ab4274c84c432a"/>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Paragon Lost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PL-REF-CELL</x:v>
      </x:c>
      <x:c r="B7" s="9" t="str">
        <x:v>Cellule d’énergie de Brood</x:v>
      </x:c>
      <x:c r="C7" s="15" t="str">
        <x:v>Défini</x:v>
      </x:c>
      <x:c r="D7" s="16" t="str">
        <x:v>Établi</x:v>
      </x:c>
      <x:c r="E7" s="16" t="str">
        <x:v>P1</x:v>
      </x:c>
      <x:c r="F7" s="9" t="str">
        <x:v>Brood remet sa dernière cellule à Vega.</x:v>
      </x:c>
      <x:c r="G7" s="9" t="str">
        <x:v>Ancrage documentaire du module ; aucune statistique officielle inférée.</x:v>
      </x:c>
      <x:c r="H7" s="9" t="str"/>
      <x:c r="I7" s="9" t="str"/>
      <x:c r="J7" s="9" t="str"/>
      <x:c r="K7" s="9" t="str"/>
      <x:c r="L7" s="9" t="str">
        <x:v>Codex ref.pl.cell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PL-SRC-BROOD</x:v>
      </x:c>
      <x:c r="R7" s="9" t="str">
        <x:v>https://masseffect.fandom.com/wiki/Brood</x:v>
      </x:c>
      <x:c r="S7" s="9" t="str">
        <x:v>Ce relevé n’est ni un inventaire exhaustif ni un résumé scène par scène.</x:v>
      </x:c>
    </x:row>
    <x:row r="8" ht="82" customHeight="1">
      <x:c r="A8" s="19" t="str">
        <x:v>PL-REF-BRACELET</x:v>
      </x:c>
      <x:c r="B8" s="7" t="str">
        <x:v>Bracelet de stockage</x:v>
      </x:c>
      <x:c r="C8" s="15" t="str">
        <x:v>Défini</x:v>
      </x:c>
      <x:c r="D8" s="17" t="str">
        <x:v>Établi</x:v>
      </x:c>
      <x:c r="E8" s="17" t="str">
        <x:v>P1</x:v>
      </x:c>
      <x:c r="F8" s="7" t="str">
        <x:v>Messner y conserve les renseignements de l’archive.</x:v>
      </x:c>
      <x:c r="G8" s="7" t="str">
        <x:v>Ancrage documentaire du module ; aucune statistique officielle inférée.</x:v>
      </x:c>
      <x:c r="H8" s="7" t="str"/>
      <x:c r="I8" s="7" t="str"/>
      <x:c r="J8" s="7" t="str"/>
      <x:c r="K8" s="7" t="str"/>
      <x:c r="L8" s="7" t="str">
        <x:v>Codex ref.pl.bracelet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PL-SRC-MESSNER</x:v>
      </x:c>
      <x:c r="R8" s="7" t="str">
        <x:v>https://masseffect.fandom.com/wiki/Messner</x:v>
      </x:c>
      <x:c r="S8" s="7" t="str">
        <x:v>Ce relevé n’est ni un inventaire exhaustif ni un résumé scène par scène.</x:v>
      </x:c>
    </x:row>
    <x:row r="9" ht="82" customHeight="1">
      <x:c r="A9" s="18" t="str">
        <x:v>PL-REF-ARCHIVE</x:v>
      </x:c>
      <x:c r="B9" s="9" t="str">
        <x:v>Archive prothéenne</x:v>
      </x:c>
      <x:c r="C9" s="15" t="str">
        <x:v>Défini</x:v>
      </x:c>
      <x:c r="D9" s="16" t="str">
        <x:v>Établi</x:v>
      </x:c>
      <x:c r="E9" s="16" t="str">
        <x:v>P1</x:v>
      </x:c>
      <x:c r="F9" s="9" t="str">
        <x:v>Une archive se trouve dans les systèmes du vaisseau récolteur.</x:v>
      </x:c>
      <x:c r="G9" s="9" t="str">
        <x:v>Ancrage documentaire du module ; aucune statistique officielle inférée.</x:v>
      </x:c>
      <x:c r="H9" s="9" t="str"/>
      <x:c r="I9" s="9" t="str"/>
      <x:c r="J9" s="9" t="str"/>
      <x:c r="K9" s="9" t="str"/>
      <x:c r="L9" s="9" t="str">
        <x:v>Codex ref.pl.archive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PL-SRC-MESSNER</x:v>
      </x:c>
      <x:c r="R9" s="9" t="str">
        <x:v>https://masseffect.fandom.com/wiki/Messner</x:v>
      </x:c>
      <x:c r="S9" s="9" t="str">
        <x:v>Ce relevé n’est ni un inventaire exhaustif ni un résumé scène par scène.</x:v>
      </x:c>
    </x:row>
    <x:row r="10" ht="82" customHeight="1">
      <x:c r="A10" s="19" t="str">
        <x:v>PL-REF-MEMORIAL</x:v>
      </x:c>
      <x:c r="B10" s="7" t="str">
        <x:v>Mémorial de Fehl Prime</x:v>
      </x:c>
      <x:c r="C10" s="15" t="str">
        <x:v>Défini</x:v>
      </x:c>
      <x:c r="D10" s="17" t="str">
        <x:v>Établi</x:v>
      </x:c>
      <x:c r="E10" s="17" t="str">
        <x:v>P1</x:v>
      </x:c>
      <x:c r="F10" s="7" t="str">
        <x:v>Milque rejoint Vega et Treeya au mémorial.</x:v>
      </x:c>
      <x:c r="G10" s="7" t="str">
        <x:v>Ancrage documentaire du module ; aucune statistique officielle inférée.</x:v>
      </x:c>
      <x:c r="H10" s="7" t="str"/>
      <x:c r="I10" s="7" t="str"/>
      <x:c r="J10" s="7" t="str"/>
      <x:c r="K10" s="7" t="str"/>
      <x:c r="L10" s="7" t="str">
        <x:v>Codex ref.pl.memorial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PL-SRC-MILQUE</x:v>
      </x:c>
      <x:c r="R10" s="7" t="str">
        <x:v>https://masseffect.fandom.com/wiki/Milque</x:v>
      </x:c>
      <x:c r="S10" s="7" t="str">
        <x:v>Ce relevé n’est ni un inventaire exhaustif ni un résumé scène par scène.</x:v>
      </x:c>
    </x:row>
  </x:sheetData>
  <x:conditionalFormatting sqref="D7:D10">
    <x:cfRule type="cellIs" dxfId="28" priority="1" operator="equal">
      <x:formula>"À vérifier"</x:formula>
    </x:cfRule>
    <x:cfRule type="cellIs" dxfId="29" priority="2" operator="equal">
      <x:formula>"Extrapolation"</x:formula>
    </x:cfRule>
  </x:conditionalFormatting>
  <x:conditionalFormatting sqref="C7:C10">
    <x:cfRule type="cellIs" dxfId="30" priority="3" operator="equal">
      <x:formula>"Validé"</x:formula>
    </x:cfRule>
  </x:conditionalFormatting>
  <x:conditionalFormatting sqref="E7:E10">
    <x:cfRule type="cellIs" dxfId="3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e44e8b89aac34187"/>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Paragon Lost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PL-ENC-PACK</x:v>
      </x:c>
      <x:c r="B7" s="9" t="str">
        <x:v>Mercenaires du Blood Pack — rencontre proposée</x:v>
      </x:c>
      <x:c r="C7" s="15" t="str">
        <x:v>Défini</x:v>
      </x:c>
      <x:c r="D7" s="16" t="str">
        <x:v>Extrapolation</x:v>
      </x:c>
      <x:c r="E7" s="16" t="str">
        <x:v>P1</x:v>
      </x:c>
      <x:c r="F7" s="9" t="str">
        <x:v>Rencontre originale proposée : Opposition locale inspirée de l’attaque initiale.</x:v>
      </x:c>
      <x:c r="G7" s="9" t="str">
        <x:v>Opposition ou crise scénarisée pour le groupe ; ne pas attribuer au film une barre de vie ou un rang de boss.</x:v>
      </x:c>
      <x:c r="H7" s="9" t="str">
        <x:v>Alternent tir de maintien et changement de couverture. Réponse du joueur : Utiliser le flanc ouvert par le soutien.</x:v>
      </x:c>
      <x:c r="I7" s="9" t="str">
        <x:v>Préparation de l’arme et arc de tir au sol.</x:v>
      </x:c>
      <x:c r="J7" s="9" t="str">
        <x:v>Anticipation identifiable, action, récupération exploitable ; variante de sortie non létale lorsque pertinente.</x:v>
      </x:c>
      <x:c r="K7" s="9" t="str">
        <x:v>Motif de danger spécifique, sous-titre bref et avertissement visuel.</x:v>
      </x:c>
      <x:c r="L7" s="9" t="str">
        <x:v>encounters/pl/pack.json ; activer seulement dans les zones prévues.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PL-ENC-ARCHUK</x:v>
      </x:c>
      <x:c r="B8" s="7" t="str">
        <x:v>Archuk — boss tactique proposé</x:v>
      </x:c>
      <x:c r="C8" s="15" t="str">
        <x:v>Défini</x:v>
      </x:c>
      <x:c r="D8" s="17" t="str">
        <x:v>Extrapolation</x:v>
      </x:c>
      <x:c r="E8" s="17" t="str">
        <x:v>P1</x:v>
      </x:c>
      <x:c r="F8" s="7" t="str">
        <x:v>Rencontre originale proposée : Confrontation de coordination sans statistiques officielles.</x:v>
      </x:c>
      <x:c r="G8" s="7" t="str">
        <x:v>Opposition ou crise scénarisée pour le groupe ; ne pas attribuer au film une barre de vie ou un rang de boss.</x:v>
      </x:c>
      <x:c r="H8" s="7" t="str">
        <x:v>Menace une prise rapprochée puis expose une ouverture pendant sa récupération. Réponse du joueur : Éviter l’axe, attirer son attention et coordonner l’appui.</x:v>
      </x:c>
      <x:c r="I8" s="7" t="str">
        <x:v>Épaules abaissées et trajet de charge matérialisé.</x:v>
      </x:c>
      <x:c r="J8" s="7" t="str">
        <x:v>Anticipation identifiable, action, récupération exploitable ; variante de sortie non létale lorsque pertinente.</x:v>
      </x:c>
      <x:c r="K8" s="7" t="str">
        <x:v>Motif de danger spécifique, sous-titre bref et avertissement visuel.</x:v>
      </x:c>
      <x:c r="L8" s="7" t="str">
        <x:v>encounters/pl/archuk.json ; activer seulement dans les zones prévues.</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PL-ENC-SEEKERS</x:v>
      </x:c>
      <x:c r="B9" s="9" t="str">
        <x:v>Essaim de chercheurs — danger proposé</x:v>
      </x:c>
      <x:c r="C9" s="15" t="str">
        <x:v>Défini</x:v>
      </x:c>
      <x:c r="D9" s="16" t="str">
        <x:v>Extrapolation</x:v>
      </x:c>
      <x:c r="E9" s="16" t="str">
        <x:v>P1</x:v>
      </x:c>
      <x:c r="F9" s="9" t="str">
        <x:v>Rencontre originale proposée : Menace de déplacement inspirée des essaims du film.</x:v>
      </x:c>
      <x:c r="G9" s="9" t="str">
        <x:v>Opposition ou crise scénarisée pour le groupe ; ne pas attribuer au film une barre de vie ou un rang de boss.</x:v>
      </x:c>
      <x:c r="H9" s="9" t="str">
        <x:v>Ferme une portion de terrain et force une route abritée. Réponse du joueur : Utiliser le couvert autorisé et attendre une fenêtre sûre.</x:v>
      </x:c>
      <x:c r="I9" s="9" t="str">
        <x:v>Nuage identifiable avec bord externe et icône de paralysie de fiction.</x:v>
      </x:c>
      <x:c r="J9" s="9" t="str">
        <x:v>Anticipation identifiable, action, récupération exploitable ; variante de sortie non létale lorsque pertinente.</x:v>
      </x:c>
      <x:c r="K9" s="9" t="str">
        <x:v>Motif de danger spécifique, sous-titre bref et avertissement visuel.</x:v>
      </x:c>
      <x:c r="L9" s="9" t="str">
        <x:v>encounters/pl/seekers.json ; activer seulement dans les zones prévues.</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PL-ENC-PRAETORIAN</x:v>
      </x:c>
      <x:c r="B10" s="7" t="str">
        <x:v>Prétorien — poursuite proposée</x:v>
      </x:c>
      <x:c r="C10" s="15" t="str">
        <x:v>Défini</x:v>
      </x:c>
      <x:c r="D10" s="17" t="str">
        <x:v>Extrapolation</x:v>
      </x:c>
      <x:c r="E10" s="17" t="str">
        <x:v>P1</x:v>
      </x:c>
      <x:c r="F10" s="7" t="str">
        <x:v>Rencontre originale proposée : Boss de recul et d’extraction, pas simple sac de points de vie.</x:v>
      </x:c>
      <x:c r="G10" s="7" t="str">
        <x:v>Opposition ou crise scénarisée pour le groupe ; ne pas attribuer au film une barre de vie ou un rang de boss.</x:v>
      </x:c>
      <x:c r="H10" s="7" t="str">
        <x:v>Avance sur un couloir et prépare une frappe de zone. Réponse du joueur : Ouvrir le sas suivant puis interrompre l’approche par une action coordonnée.</x:v>
      </x:c>
      <x:c r="I10" s="7" t="str">
        <x:v>Silhouette entière visible, appui des membres et cercle de menace.</x:v>
      </x:c>
      <x:c r="J10" s="7" t="str">
        <x:v>Anticipation identifiable, action, récupération exploitable ; variante de sortie non létale lorsque pertinente.</x:v>
      </x:c>
      <x:c r="K10" s="7" t="str">
        <x:v>Motif de danger spécifique, sous-titre bref et avertissement visuel.</x:v>
      </x:c>
      <x:c r="L10" s="7" t="str">
        <x:v>encounters/pl/praetorian.json ; activer seulement dans les zones prévues.</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row r="11" ht="82" customHeight="1">
      <x:c r="A11" s="18" t="str">
        <x:v>PL-ENC-DRONES</x:v>
      </x:c>
      <x:c r="B11" s="9" t="str">
        <x:v>Escouade de Récolteurs proposée</x:v>
      </x:c>
      <x:c r="C11" s="15" t="str">
        <x:v>Défini</x:v>
      </x:c>
      <x:c r="D11" s="16" t="str">
        <x:v>Extrapolation</x:v>
      </x:c>
      <x:c r="E11" s="16" t="str">
        <x:v>P1</x:v>
      </x:c>
      <x:c r="F11" s="9" t="str">
        <x:v>Rencontre originale proposée : Opposition ajoutée dans une annexe du vaisseau.</x:v>
      </x:c>
      <x:c r="G11" s="9" t="str">
        <x:v>Opposition ou crise scénarisée pour le groupe ; ne pas attribuer au film une barre de vie ou un rang de boss.</x:v>
      </x:c>
      <x:c r="H11" s="9" t="str">
        <x:v>Protège un poste et tente d’isoler le porteur de preuve. Réponse du joueur : Rompre la ligne et déplacer le porteur sous couverture.</x:v>
      </x:c>
      <x:c r="I11" s="9" t="str">
        <x:v>Cibles de verrouillage et formation clairement espacée.</x:v>
      </x:c>
      <x:c r="J11" s="9" t="str">
        <x:v>Anticipation identifiable, action, récupération exploitable ; variante de sortie non létale lorsque pertinente.</x:v>
      </x:c>
      <x:c r="K11" s="9" t="str">
        <x:v>Motif de danger spécifique, sous-titre bref et avertissement visuel.</x:v>
      </x:c>
      <x:c r="L11" s="9" t="str">
        <x:v>encounters/pl/drones.json ; activer seulement dans les zones prévues.</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 joueur découvre la contre-mesure par le télégraphe ; la résolution ne modifie aucun destin établi.</x:v>
      </x:c>
      <x:c r="O11" s="9" t="str"/>
      <x:c r="P11" s="9" t="str"/>
      <x:c r="Q11" s="9" t="str"/>
      <x:c r="R11" s="9" t="str"/>
      <x:c r="S11" s="9" t="str">
        <x:v>Tous comportements et réglages de combat sont du design original.</x:v>
      </x:c>
    </x:row>
  </x:sheetData>
  <x:conditionalFormatting sqref="D7:D11">
    <x:cfRule type="cellIs" dxfId="32" priority="1" operator="equal">
      <x:formula>"À vérifier"</x:formula>
    </x:cfRule>
    <x:cfRule type="cellIs" dxfId="33" priority="2" operator="equal">
      <x:formula>"Extrapolation"</x:formula>
    </x:cfRule>
  </x:conditionalFormatting>
  <x:conditionalFormatting sqref="C7:C11">
    <x:cfRule type="cellIs" dxfId="34" priority="3" operator="equal">
      <x:formula>"Validé"</x:formula>
    </x:cfRule>
  </x:conditionalFormatting>
  <x:conditionalFormatting sqref="E7:E11">
    <x:cfRule type="cellIs" dxfId="3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a4a9c0e04ddf41c2"/>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Paragon Lost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PL-MIS-LAND</x:v>
      </x:c>
      <x:c r="B7" s="9" t="str">
        <x:v>Rallier l’escouade</x:v>
      </x:c>
      <x:c r="C7" s="15" t="str">
        <x:v>Défini</x:v>
      </x:c>
      <x:c r="D7" s="16" t="str">
        <x:v>Extrapolation</x:v>
      </x:c>
      <x:c r="E7" s="16" t="str">
        <x:v>P0</x:v>
      </x:c>
      <x:c r="F7" s="9" t="str">
        <x:v>Mission originale d’adaptation, inspirée d’un enjeu général de l’œuvre.</x:v>
      </x:c>
      <x:c r="G7" s="9" t="str">
        <x:v>Créer une manœuvre d’assistance et regroupement dans une zone annexe originale.</x:v>
      </x:c>
      <x:c r="H7" s="9" t="str">
        <x:v>Alterner déplacement assisté, couverture et repérage de sortie.</x:v>
      </x:c>
      <x:c r="I7" s="9" t="str">
        <x:v>Objectif spatial associé à Zone d’atterrissage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quests/pl/land.json ; états offered/active/resolved ; clés de progression propres au module.</x:v>
      </x:c>
      <x:c r="M7" s="9" t="str">
        <x:v>Le contexte de 2183 est distingué du reste du film.</x:v>
      </x:c>
      <x:c r="N7" s="9" t="str">
        <x:v>Le joueur peut accomplir « Créer une manœuvre d’assistance et regroupement dans une zone annexe originale. » et la sortie confirme le résultat ; Le contexte de 2183 est distingué du reste du film.</x:v>
      </x:c>
      <x:c r="O7" s="9" t="str">
        <x:v>PL-MAP-LANDING</x:v>
      </x:c>
      <x:c r="P7" s="9" t="str"/>
      <x:c r="Q7" s="9" t="str"/>
      <x:c r="R7" s="9" t="str"/>
      <x:c r="S7" s="9" t="str"/>
    </x:row>
    <x:row r="8" ht="68" customHeight="1">
      <x:c r="A8" s="19" t="str">
        <x:v>PL-MIS-FLANK</x:v>
      </x:c>
      <x:c r="B8" s="7" t="str">
        <x:v>Coordonner un flanc</x:v>
      </x:c>
      <x:c r="C8" s="15" t="str">
        <x:v>Défini</x:v>
      </x:c>
      <x:c r="D8" s="17" t="str">
        <x:v>Extrapolation</x:v>
      </x:c>
      <x:c r="E8" s="17" t="str">
        <x:v>P0</x:v>
      </x:c>
      <x:c r="F8" s="7" t="str">
        <x:v>Mission originale d’adaptation, inspirée d’un enjeu général de l’œuvre.</x:v>
      </x:c>
      <x:c r="G8" s="7" t="str">
        <x:v>Faire comprendre la coopération de Delta par un engagement court.</x:v>
      </x:c>
      <x:c r="H8" s="7" t="str">
        <x:v>Vega attire la pression pendant que drone et appui ouvrent une ligne de passage.</x:v>
      </x:c>
      <x:c r="I8" s="7" t="str">
        <x:v>Objectif spatial associé à Rue de regroupement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quests/pl/flank.json ; états offered/active/resolved ; clés de progression propres au module.</x:v>
      </x:c>
      <x:c r="M8" s="7" t="str">
        <x:v>Le destin d’Archuk ne devient pas une option de recrutement.</x:v>
      </x:c>
      <x:c r="N8" s="7" t="str">
        <x:v>Le joueur peut accomplir « Faire comprendre la coopération de Delta par un engagement court. » et la sortie confirme le résultat ; Le destin d’Archuk ne devient pas une option de recrutement.</x:v>
      </x:c>
      <x:c r="O8" s="7" t="str">
        <x:v>PL-MAP-SQUARE</x:v>
      </x:c>
      <x:c r="P8" s="7" t="str"/>
      <x:c r="Q8" s="7" t="str"/>
      <x:c r="R8" s="7" t="str"/>
      <x:c r="S8" s="7" t="str"/>
    </x:row>
    <x:row r="9" ht="54" customHeight="1">
      <x:c r="A9" s="18" t="str">
        <x:v>PL-MIS-CARE</x:v>
      </x:c>
      <x:c r="B9" s="9" t="str">
        <x:v>Entretenir la défense d’une colonie</x:v>
      </x:c>
      <x:c r="C9" s="15" t="str">
        <x:v>Défini</x:v>
      </x:c>
      <x:c r="D9" s="16" t="str">
        <x:v>Extrapolation</x:v>
      </x:c>
      <x:c r="E9" s="16" t="str">
        <x:v>P0</x:v>
      </x:c>
      <x:c r="F9" s="9" t="str">
        <x:v>Mission originale d’adaptation, inspirée d’un enjeu général de l’œuvre.</x:v>
      </x:c>
      <x:c r="G9" s="9" t="str">
        <x:v>Montrer la vie civile par une tâche originale de maintenance.</x:v>
      </x:c>
      <x:c r="H9" s="9" t="str">
        <x:v>Répartir diagnostic, livraison et essai de sécurité ; pas de combat nécessaire.</x:v>
      </x:c>
      <x:c r="I9" s="9" t="str">
        <x:v>Objectif spatial associé à Fehl Prime pendant l’accalmie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quests/pl/care.json ; états offered/active/resolved ; clés de progression propres au module.</x:v>
      </x:c>
      <x:c r="M9" s="9" t="str">
        <x:v>Aucun risque imposé à April comme mini-jeu.</x:v>
      </x:c>
      <x:c r="N9" s="9" t="str">
        <x:v>Le joueur peut accomplir « Montrer la vie civile par une tâche originale de maintenance. » et la sortie confirme le résultat ; Aucun risque imposé à April comme mini-jeu.</x:v>
      </x:c>
      <x:c r="O9" s="9" t="str">
        <x:v>PL-MAP-COLONY</x:v>
      </x:c>
      <x:c r="P9" s="9" t="str"/>
      <x:c r="Q9" s="9" t="str"/>
      <x:c r="R9" s="9" t="str"/>
      <x:c r="S9" s="9" t="str"/>
    </x:row>
    <x:row r="10" ht="68" customHeight="1">
      <x:c r="A10" s="19" t="str">
        <x:v>PL-MIS-SIGNAL</x:v>
      </x:c>
      <x:c r="B10" s="7" t="str">
        <x:v>Délimiter un signal inconnu</x:v>
      </x:c>
      <x:c r="C10" s="15" t="str">
        <x:v>Défini</x:v>
      </x:c>
      <x:c r="D10" s="17" t="str">
        <x:v>Extrapolation</x:v>
      </x:c>
      <x:c r="E10" s="17" t="str">
        <x:v>P0</x:v>
      </x:c>
      <x:c r="F10" s="7" t="str">
        <x:v>Mission originale d’adaptation, inspirée d’un enjeu général de l’œuvre.</x:v>
      </x:c>
      <x:c r="G10" s="7" t="str">
        <x:v>Donner au groupe une raison de coopérer entre recherche et sécurité.</x:v>
      </x:c>
      <x:c r="H10" s="7" t="str">
        <x:v>Triangulation abstraite, protection du périmètre et vérification d’un relevé.</x:v>
      </x:c>
      <x:c r="I10" s="7" t="str">
        <x:v>Objectif spatial associé à Annexe des vestiges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quests/pl/signal.json ; états offered/active/resolved ; clés de progression propres au module.</x:v>
      </x:c>
      <x:c r="M10" s="7" t="str">
        <x:v>Liara reste une interlocutrice distante.</x:v>
      </x:c>
      <x:c r="N10" s="7" t="str">
        <x:v>Le joueur peut accomplir « Donner au groupe une raison de coopérer entre recherche et sécurité. » et la sortie confirme le résultat ; Liara reste une interlocutrice distante.</x:v>
      </x:c>
      <x:c r="O10" s="7" t="str">
        <x:v>PL-MAP-RUINS</x:v>
      </x:c>
      <x:c r="P10" s="7" t="str"/>
      <x:c r="Q10" s="7" t="str"/>
      <x:c r="R10" s="7" t="str"/>
      <x:c r="S10" s="7" t="str"/>
    </x:row>
    <x:row r="11" ht="68" customHeight="1">
      <x:c r="A11" s="18" t="str">
        <x:v>PL-MIS-CANNON</x:v>
      </x:c>
      <x:c r="B11" s="9" t="str">
        <x:v>Garder une issue de repli</x:v>
      </x:c>
      <x:c r="C11" s="15" t="str">
        <x:v>Défini</x:v>
      </x:c>
      <x:c r="D11" s="16" t="str">
        <x:v>Extrapolation</x:v>
      </x:c>
      <x:c r="E11" s="16" t="str">
        <x:v>P0</x:v>
      </x:c>
      <x:c r="F11" s="9" t="str">
        <x:v>Mission originale d’adaptation, inspirée d’un enjeu général de l’œuvre.</x:v>
      </x:c>
      <x:c r="G11" s="9" t="str">
        <x:v>Préparer un poste défensif sans masquer la vulnérabilité des habitants.</x:v>
      </x:c>
      <x:c r="H11" s="9" t="str">
        <x:v>Activer alimentation, vérification et couverture ; afficher le coût local des actions.</x:v>
      </x:c>
      <x:c r="I11" s="9" t="str">
        <x:v>Objectif spatial associé à Poste du canon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quests/pl/cannon.json ; états offered/active/resolved ; clés de progression propres au module.</x:v>
      </x:c>
      <x:c r="M11" s="9" t="str">
        <x:v>Ne pas créer un tir parfait qui annule l’attaque canonique.</x:v>
      </x:c>
      <x:c r="N11" s="9" t="str">
        <x:v>Le joueur peut accomplir « Préparer un poste défensif sans masquer la vulnérabilité des habitants. » et la sortie confirme le résultat ; Ne pas créer un tir parfait qui annule l’attaque canonique.</x:v>
      </x:c>
      <x:c r="O11" s="9" t="str">
        <x:v>PL-MAP-DEFENSE</x:v>
      </x:c>
      <x:c r="P11" s="9" t="str"/>
      <x:c r="Q11" s="9" t="str"/>
      <x:c r="R11" s="9" t="str"/>
      <x:c r="S11" s="9" t="str"/>
    </x:row>
    <x:row r="12" ht="68" customHeight="1">
      <x:c r="A12" s="19" t="str">
        <x:v>PL-MIS-REFUGE</x:v>
      </x:c>
      <x:c r="B12" s="7" t="str">
        <x:v>Tenir les portes du refuge</x:v>
      </x:c>
      <x:c r="C12" s="15" t="str">
        <x:v>Défini</x:v>
      </x:c>
      <x:c r="D12" s="17" t="str">
        <x:v>Extrapolation</x:v>
      </x:c>
      <x:c r="E12" s="17" t="str">
        <x:v>P0</x:v>
      </x:c>
      <x:c r="F12" s="7" t="str">
        <x:v>Mission originale d’adaptation, inspirée d’un enjeu général de l’œuvre.</x:v>
      </x:c>
      <x:c r="G12" s="7" t="str">
        <x:v>Coopérer dans une poursuite de laboratoires proposée.</x:v>
      </x:c>
      <x:c r="H12" s="7" t="str">
        <x:v>Nicky contrôle un accès, un autre couvre et Treeya vérifie une information.</x:v>
      </x:c>
      <x:c r="I12" s="7" t="str">
        <x:v>Objectif spatial associé à Couloir des laboratoires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quests/pl/refuge.json ; états offered/active/resolved ; clés de progression propres au module.</x:v>
      </x:c>
      <x:c r="M12" s="7" t="str">
        <x:v>Présence et pertes de l’équipe doivent suivre les fenêtres du film.</x:v>
      </x:c>
      <x:c r="N12" s="7" t="str">
        <x:v>Le joueur peut accomplir « Coopérer dans une poursuite de laboratoires proposée. » et la sortie confirme le résultat ; Présence et pertes de l’équipe doivent suivre les fenêtres du film.</x:v>
      </x:c>
      <x:c r="O12" s="7" t="str">
        <x:v>PL-MAP-LABS</x:v>
      </x:c>
      <x:c r="P12" s="7" t="str"/>
      <x:c r="Q12" s="7" t="str"/>
      <x:c r="R12" s="7" t="str"/>
      <x:c r="S12" s="7" t="str"/>
    </x:row>
    <x:row r="13" ht="68" customHeight="1">
      <x:c r="A13" s="18" t="str">
        <x:v>PL-MIS-BOARD</x:v>
      </x:c>
      <x:c r="B13" s="9" t="str">
        <x:v>Préparer un abordage local</x:v>
      </x:c>
      <x:c r="C13" s="15" t="str">
        <x:v>Défini</x:v>
      </x:c>
      <x:c r="D13" s="16" t="str">
        <x:v>Extrapolation</x:v>
      </x:c>
      <x:c r="E13" s="16" t="str">
        <x:v>P0</x:v>
      </x:c>
      <x:c r="F13" s="9" t="str">
        <x:v>Mission originale d’adaptation, inspirée d’un enjeu général de l’œuvre.</x:v>
      </x:c>
      <x:c r="G13" s="9" t="str">
        <x:v>Concevoir un segment court d’appui à bord du vaisseau de Brood.</x:v>
      </x:c>
      <x:c r="H13" s="9" t="str">
        <x:v>Protéger un poste, répondre à des alertes directionnelles et maintenir l’accès de groupe.</x:v>
      </x:c>
      <x:c r="I13" s="9" t="str">
        <x:v>Objectif spatial associé à Pont du vaisseau de Brood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quests/pl/board.json ; états offered/active/resolved ; clés de progression propres au module.</x:v>
      </x:c>
      <x:c r="M13" s="9" t="str">
        <x:v>L’issue ne supprime pas les événements ultérieurs du film.</x:v>
      </x:c>
      <x:c r="N13" s="9" t="str">
        <x:v>Le joueur peut accomplir « Concevoir un segment court d’appui à bord du vaisseau de Brood. » et la sortie confirme le résultat ; L’issue ne supprime pas les événements ultérieurs du film.</x:v>
      </x:c>
      <x:c r="O13" s="9" t="str">
        <x:v>PL-MAP-BROOD</x:v>
      </x:c>
      <x:c r="P13" s="9" t="str"/>
      <x:c r="Q13" s="9" t="str"/>
      <x:c r="R13" s="9" t="str"/>
      <x:c r="S13" s="9" t="str"/>
    </x:row>
    <x:row r="14" ht="68" customHeight="1">
      <x:c r="A14" s="19" t="str">
        <x:v>PL-MIS-INTEL</x:v>
      </x:c>
      <x:c r="B14" s="7" t="str">
        <x:v>Protéger une information sous pression</x:v>
      </x:c>
      <x:c r="C14" s="15" t="str">
        <x:v>Défini</x:v>
      </x:c>
      <x:c r="D14" s="17" t="str">
        <x:v>Extrapolation</x:v>
      </x:c>
      <x:c r="E14" s="17" t="str">
        <x:v>P0</x:v>
      </x:c>
      <x:c r="F14" s="7" t="str">
        <x:v>Mission originale d’adaptation, inspirée d’un enjeu général de l’œuvre.</x:v>
      </x:c>
      <x:c r="G14" s="7" t="str">
        <x:v>Faire choisir une méthode locale de transport de preuve.</x:v>
      </x:c>
      <x:c r="H14" s="7" t="str">
        <x:v>Identifier le conteneur, garantir sa présence et ouvrir un trajet autorisé.</x:v>
      </x:c>
      <x:c r="I14" s="7" t="str">
        <x:v>Objectif spatial associé à Secteur du vaisseau récolteur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quests/pl/intel.json ; états offered/active/resolved ; clés de progression propres au module.</x:v>
      </x:c>
      <x:c r="M14" s="7" t="str">
        <x:v>La décision finale de Vega reste celle du film ; pas de fin parfaite.</x:v>
      </x:c>
      <x:c r="N14" s="7" t="str">
        <x:v>Le joueur peut accomplir « Faire choisir une méthode locale de transport de preuve. » et la sortie confirme le résultat ; La décision finale de Vega reste celle du film ; pas de fin parfaite.</x:v>
      </x:c>
      <x:c r="O14" s="7" t="str">
        <x:v>PL-MAP-COLLECTOR</x:v>
      </x:c>
      <x:c r="P14" s="7" t="str"/>
      <x:c r="Q14" s="7" t="str"/>
      <x:c r="R14" s="7" t="str"/>
      <x:c r="S14" s="7" t="str"/>
    </x:row>
    <x:row r="15" ht="68" customHeight="1">
      <x:c r="A15" s="18" t="str">
        <x:v>PL-MIS-REMEMBER</x:v>
      </x:c>
      <x:c r="B15" s="9" t="str">
        <x:v>Rendre compte des absents</x:v>
      </x:c>
      <x:c r="C15" s="15" t="str">
        <x:v>Défini</x:v>
      </x:c>
      <x:c r="D15" s="16" t="str">
        <x:v>Extrapolation</x:v>
      </x:c>
      <x:c r="E15" s="16" t="str">
        <x:v>P0</x:v>
      </x:c>
      <x:c r="F15" s="9" t="str">
        <x:v>Mission originale d’adaptation, inspirée d’un enjeu général de l’œuvre.</x:v>
      </x:c>
      <x:c r="G15" s="9" t="str">
        <x:v>Conclure par une interaction de mémoire et de responsabilité.</x:v>
      </x:c>
      <x:c r="H15" s="9" t="str">
        <x:v>Consulter le registre du groupe et choisir une intention de parole originale.</x:v>
      </x:c>
      <x:c r="I15" s="9" t="str">
        <x:v>Objectif spatial associé à Espace du mémorial ; états non commencé/en cours/résolu distingués.</x:v>
      </x:c>
      <x:c r="J15" s="9" t="str">
        <x:v>Entrée contrôlée, actions de groupe et fin interruptible avant sauvegarde ; aucune animation ne décide seule du résultat.</x:v>
      </x:c>
      <x:c r="K15" s="9" t="str">
        <x:v>Briefing original concis ; changement de musique à la résolution d’objectif, pas après un délai arbitraire.</x:v>
      </x:c>
      <x:c r="L15" s="9" t="str">
        <x:v>quests/pl/remember.json ; états offered/active/resolved ; clés de progression propres au module.</x:v>
      </x:c>
      <x:c r="M15" s="9" t="str">
        <x:v>Ni résurrection, ni score de victoire basé sur les victimes.</x:v>
      </x:c>
      <x:c r="N15" s="9" t="str">
        <x:v>Le joueur peut accomplir « Conclure par une interaction de mémoire et de responsabilité. » et la sortie confirme le résultat ; Ni résurrection, ni score de victoire basé sur les victimes.</x:v>
      </x:c>
      <x:c r="O15" s="9" t="str">
        <x:v>PL-MAP-MEMORY</x:v>
      </x:c>
      <x:c r="P15" s="9" t="str"/>
      <x:c r="Q15" s="9" t="str"/>
      <x:c r="R15" s="9" t="str"/>
      <x:c r="S15" s="9" t="str"/>
    </x:row>
  </x:sheetData>
  <x:conditionalFormatting sqref="D7:D15">
    <x:cfRule type="cellIs" dxfId="36" priority="1" operator="equal">
      <x:formula>"À vérifier"</x:formula>
    </x:cfRule>
    <x:cfRule type="cellIs" dxfId="37" priority="2" operator="equal">
      <x:formula>"Extrapolation"</x:formula>
    </x:cfRule>
  </x:conditionalFormatting>
  <x:conditionalFormatting sqref="C7:C15">
    <x:cfRule type="cellIs" dxfId="38" priority="3" operator="equal">
      <x:formula>"Validé"</x:formula>
    </x:cfRule>
  </x:conditionalFormatting>
  <x:conditionalFormatting sqref="E7:E15">
    <x:cfRule type="cellIs" dxfId="3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0d27b32200f4c3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Paragon Lost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PL-OPT-LAND</x:v>
      </x:c>
      <x:c r="B7" s="9" t="str">
        <x:v>Rallier l’escouade — tâche annexe</x:v>
      </x:c>
      <x:c r="C7" s="15" t="str">
        <x:v>Défini</x:v>
      </x:c>
      <x:c r="D7" s="16" t="str">
        <x:v>Extrapolation</x:v>
      </x:c>
      <x:c r="E7" s="16" t="str">
        <x:v>P1</x:v>
      </x:c>
      <x:c r="F7" s="9" t="str">
        <x:v>Objectif annexe créé pour l’adaptation.</x:v>
      </x:c>
      <x:c r="G7" s="9" t="str">
        <x:v>Récupérer un émetteur de détresse utilisable localement.</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optional.pl.land ; persister done/skipped, récompenser une seule fois.</x:v>
      </x:c>
      <x:c r="M7" s="9" t="str">
        <x:v>Facultatif ; peut être ignoré sans bloquer la mission. Le contexte de 2183 est distingué du reste du film.</x:v>
      </x:c>
      <x:c r="N7" s="9" t="str">
        <x:v>Ignorer puis terminer la mission fonctionne ; compléter ne verse la récompense qu’une fois.</x:v>
      </x:c>
      <x:c r="O7" s="9" t="str">
        <x:v>PL-MIS-LAND</x:v>
      </x:c>
      <x:c r="P7" s="9" t="str"/>
      <x:c r="Q7" s="9" t="str"/>
      <x:c r="R7" s="9" t="str"/>
      <x:c r="S7" s="9" t="str"/>
    </x:row>
    <x:row r="8" ht="54" customHeight="1">
      <x:c r="A8" s="19" t="str">
        <x:v>PL-OPT-FLANK</x:v>
      </x:c>
      <x:c r="B8" s="7" t="str">
        <x:v>Coordonner un flanc — tâche annexe</x:v>
      </x:c>
      <x:c r="C8" s="15" t="str">
        <x:v>Défini</x:v>
      </x:c>
      <x:c r="D8" s="17" t="str">
        <x:v>Extrapolation</x:v>
      </x:c>
      <x:c r="E8" s="17" t="str">
        <x:v>P1</x:v>
      </x:c>
      <x:c r="F8" s="7" t="str">
        <x:v>Objectif annexe créé pour l’adaptation.</x:v>
      </x:c>
      <x:c r="G8" s="7" t="str">
        <x:v>Fermer un accès arrière pour protéger un civil original.</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optional.pl.flank ; persister done/skipped, récompenser une seule fois.</x:v>
      </x:c>
      <x:c r="M8" s="7" t="str">
        <x:v>Facultatif ; peut être ignoré sans bloquer la mission. Le destin d’Archuk ne devient pas une option de recrutement.</x:v>
      </x:c>
      <x:c r="N8" s="7" t="str">
        <x:v>Ignorer puis terminer la mission fonctionne ; compléter ne verse la récompense qu’une fois.</x:v>
      </x:c>
      <x:c r="O8" s="7" t="str">
        <x:v>PL-MIS-FLANK</x:v>
      </x:c>
      <x:c r="P8" s="7" t="str"/>
      <x:c r="Q8" s="7" t="str"/>
      <x:c r="R8" s="7" t="str"/>
      <x:c r="S8" s="7" t="str"/>
    </x:row>
    <x:row r="9" ht="54" customHeight="1">
      <x:c r="A9" s="18" t="str">
        <x:v>PL-OPT-CARE</x:v>
      </x:c>
      <x:c r="B9" s="9" t="str">
        <x:v>Entretenir la défense d’une colonie — tâche annexe</x:v>
      </x:c>
      <x:c r="C9" s="15" t="str">
        <x:v>Défini</x:v>
      </x:c>
      <x:c r="D9" s="16" t="str">
        <x:v>Extrapolation</x:v>
      </x:c>
      <x:c r="E9" s="16" t="str">
        <x:v>P1</x:v>
      </x:c>
      <x:c r="F9" s="9" t="str">
        <x:v>Objectif annexe créé pour l’adaptation.</x:v>
      </x:c>
      <x:c r="G9" s="9" t="str">
        <x:v>Retrouver un objet de jeu d’April dans un endroit sûr.</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optional.pl.care ; persister done/skipped, récompenser une seule fois.</x:v>
      </x:c>
      <x:c r="M9" s="9" t="str">
        <x:v>Facultatif ; peut être ignoré sans bloquer la mission. Aucun risque imposé à April comme mini-jeu.</x:v>
      </x:c>
      <x:c r="N9" s="9" t="str">
        <x:v>Ignorer puis terminer la mission fonctionne ; compléter ne verse la récompense qu’une fois.</x:v>
      </x:c>
      <x:c r="O9" s="9" t="str">
        <x:v>PL-MIS-CARE</x:v>
      </x:c>
      <x:c r="P9" s="9" t="str"/>
      <x:c r="Q9" s="9" t="str"/>
      <x:c r="R9" s="9" t="str"/>
      <x:c r="S9" s="9" t="str"/>
    </x:row>
    <x:row r="10" ht="54" customHeight="1">
      <x:c r="A10" s="19" t="str">
        <x:v>PL-OPT-SIGNAL</x:v>
      </x:c>
      <x:c r="B10" s="7" t="str">
        <x:v>Délimiter un signal inconnu — tâche annexe</x:v>
      </x:c>
      <x:c r="C10" s="15" t="str">
        <x:v>Défini</x:v>
      </x:c>
      <x:c r="D10" s="17" t="str">
        <x:v>Extrapolation</x:v>
      </x:c>
      <x:c r="E10" s="17" t="str">
        <x:v>P1</x:v>
      </x:c>
      <x:c r="F10" s="7" t="str">
        <x:v>Objectif annexe créé pour l’adaptation.</x:v>
      </x:c>
      <x:c r="G10" s="7" t="str">
        <x:v>Photographier un détail archéologique original sans texte ancien inventé comme canon.</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optional.pl.signal ; persister done/skipped, récompenser une seule fois.</x:v>
      </x:c>
      <x:c r="M10" s="7" t="str">
        <x:v>Facultatif ; peut être ignoré sans bloquer la mission. Liara reste une interlocutrice distante.</x:v>
      </x:c>
      <x:c r="N10" s="7" t="str">
        <x:v>Ignorer puis terminer la mission fonctionne ; compléter ne verse la récompense qu’une fois.</x:v>
      </x:c>
      <x:c r="O10" s="7" t="str">
        <x:v>PL-MIS-SIGNAL</x:v>
      </x:c>
      <x:c r="P10" s="7" t="str"/>
      <x:c r="Q10" s="7" t="str"/>
      <x:c r="R10" s="7" t="str"/>
      <x:c r="S10" s="7" t="str"/>
    </x:row>
    <x:row r="11" ht="54" customHeight="1">
      <x:c r="A11" s="18" t="str">
        <x:v>PL-OPT-CANNON</x:v>
      </x:c>
      <x:c r="B11" s="9" t="str">
        <x:v>Garder une issue de repli — tâche annexe</x:v>
      </x:c>
      <x:c r="C11" s="15" t="str">
        <x:v>Défini</x:v>
      </x:c>
      <x:c r="D11" s="16" t="str">
        <x:v>Extrapolation</x:v>
      </x:c>
      <x:c r="E11" s="16" t="str">
        <x:v>P1</x:v>
      </x:c>
      <x:c r="F11" s="9" t="str">
        <x:v>Objectif annexe créé pour l’adaptation.</x:v>
      </x:c>
      <x:c r="G11" s="9" t="str">
        <x:v>Déplacer une réserve de matériel hors de la voie d’évacuation.</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optional.pl.cannon ; persister done/skipped, récompenser une seule fois.</x:v>
      </x:c>
      <x:c r="M11" s="9" t="str">
        <x:v>Facultatif ; peut être ignoré sans bloquer la mission. Ne pas créer un tir parfait qui annule l’attaque canonique.</x:v>
      </x:c>
      <x:c r="N11" s="9" t="str">
        <x:v>Ignorer puis terminer la mission fonctionne ; compléter ne verse la récompense qu’une fois.</x:v>
      </x:c>
      <x:c r="O11" s="9" t="str">
        <x:v>PL-MIS-CANNON</x:v>
      </x:c>
      <x:c r="P11" s="9" t="str"/>
      <x:c r="Q11" s="9" t="str"/>
      <x:c r="R11" s="9" t="str"/>
      <x:c r="S11" s="9" t="str"/>
    </x:row>
    <x:row r="12" ht="54" customHeight="1">
      <x:c r="A12" s="19" t="str">
        <x:v>PL-OPT-REFUGE</x:v>
      </x:c>
      <x:c r="B12" s="7" t="str">
        <x:v>Tenir les portes du refuge — tâche annexe</x:v>
      </x:c>
      <x:c r="C12" s="15" t="str">
        <x:v>Défini</x:v>
      </x:c>
      <x:c r="D12" s="17" t="str">
        <x:v>Extrapolation</x:v>
      </x:c>
      <x:c r="E12" s="17" t="str">
        <x:v>P1</x:v>
      </x:c>
      <x:c r="F12" s="7" t="str">
        <x:v>Objectif annexe créé pour l’adaptation.</x:v>
      </x:c>
      <x:c r="G12" s="7" t="str">
        <x:v>Retrouver une réserve de matériel étiquetée pour les secouristes.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optional.pl.refuge ; persister done/skipped, récompenser une seule fois.</x:v>
      </x:c>
      <x:c r="M12" s="7" t="str">
        <x:v>Facultatif ; peut être ignoré sans bloquer la mission. Présence et pertes de l’équipe doivent suivre les fenêtres du film.</x:v>
      </x:c>
      <x:c r="N12" s="7" t="str">
        <x:v>Ignorer puis terminer la mission fonctionne ; compléter ne verse la récompense qu’une fois.</x:v>
      </x:c>
      <x:c r="O12" s="7" t="str">
        <x:v>PL-MIS-REFUGE</x:v>
      </x:c>
      <x:c r="P12" s="7" t="str"/>
      <x:c r="Q12" s="7" t="str"/>
      <x:c r="R12" s="7" t="str"/>
      <x:c r="S12" s="7" t="str"/>
    </x:row>
    <x:row r="13" ht="54" customHeight="1">
      <x:c r="A13" s="18" t="str">
        <x:v>PL-OPT-BOARD</x:v>
      </x:c>
      <x:c r="B13" s="9" t="str">
        <x:v>Préparer un abordage local — tâche annexe</x:v>
      </x:c>
      <x:c r="C13" s="15" t="str">
        <x:v>Défini</x:v>
      </x:c>
      <x:c r="D13" s="16" t="str">
        <x:v>Extrapolation</x:v>
      </x:c>
      <x:c r="E13" s="16" t="str">
        <x:v>P1</x:v>
      </x:c>
      <x:c r="F13" s="9" t="str">
        <x:v>Objectif annexe créé pour l’adaptation.</x:v>
      </x:c>
      <x:c r="G13" s="9" t="str">
        <x:v>Fixer une caisse pour empêcher une obstruction de passage.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optional.pl.board ; persister done/skipped, récompenser une seule fois.</x:v>
      </x:c>
      <x:c r="M13" s="9" t="str">
        <x:v>Facultatif ; peut être ignoré sans bloquer la mission. L’issue ne supprime pas les événements ultérieurs du film.</x:v>
      </x:c>
      <x:c r="N13" s="9" t="str">
        <x:v>Ignorer puis terminer la mission fonctionne ; compléter ne verse la récompense qu’une fois.</x:v>
      </x:c>
      <x:c r="O13" s="9" t="str">
        <x:v>PL-MIS-BOARD</x:v>
      </x:c>
      <x:c r="P13" s="9" t="str"/>
      <x:c r="Q13" s="9" t="str"/>
      <x:c r="R13" s="9" t="str"/>
      <x:c r="S13" s="9" t="str"/>
    </x:row>
    <x:row r="14" ht="54" customHeight="1">
      <x:c r="A14" s="19" t="str">
        <x:v>PL-OPT-INTEL</x:v>
      </x:c>
      <x:c r="B14" s="7" t="str">
        <x:v>Protéger une information sous pression — tâche annexe</x:v>
      </x:c>
      <x:c r="C14" s="15" t="str">
        <x:v>Défini</x:v>
      </x:c>
      <x:c r="D14" s="17" t="str">
        <x:v>Extrapolation</x:v>
      </x:c>
      <x:c r="E14" s="17" t="str">
        <x:v>P1</x:v>
      </x:c>
      <x:c r="F14" s="7" t="str">
        <x:v>Objectif annexe créé pour l’adaptation.</x:v>
      </x:c>
      <x:c r="G14" s="7" t="str">
        <x:v>Sauvegarder un journal local destiné au compte rendu.</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optional.pl.intel ; persister done/skipped, récompenser une seule fois.</x:v>
      </x:c>
      <x:c r="M14" s="7" t="str">
        <x:v>Facultatif ; peut être ignoré sans bloquer la mission. La décision finale de Vega reste celle du film ; pas de fin parfaite.</x:v>
      </x:c>
      <x:c r="N14" s="7" t="str">
        <x:v>Ignorer puis terminer la mission fonctionne ; compléter ne verse la récompense qu’une fois.</x:v>
      </x:c>
      <x:c r="O14" s="7" t="str">
        <x:v>PL-MIS-INTEL</x:v>
      </x:c>
      <x:c r="P14" s="7" t="str"/>
      <x:c r="Q14" s="7" t="str"/>
      <x:c r="R14" s="7" t="str"/>
      <x:c r="S14" s="7" t="str"/>
    </x:row>
    <x:row r="15" ht="54" customHeight="1">
      <x:c r="A15" s="18" t="str">
        <x:v>PL-OPT-REMEMBER</x:v>
      </x:c>
      <x:c r="B15" s="9" t="str">
        <x:v>Rendre compte des absents — tâche annexe</x:v>
      </x:c>
      <x:c r="C15" s="15" t="str">
        <x:v>Défini</x:v>
      </x:c>
      <x:c r="D15" s="16" t="str">
        <x:v>Extrapolation</x:v>
      </x:c>
      <x:c r="E15" s="16" t="str">
        <x:v>P1</x:v>
      </x:c>
      <x:c r="F15" s="9" t="str">
        <x:v>Objectif annexe créé pour l’adaptation.</x:v>
      </x:c>
      <x:c r="G15" s="9" t="str">
        <x:v>Déposer un objet symbolique créé pour le module, clairement non officiel.</x:v>
      </x:c>
      <x:c r="H15" s="9" t="str">
        <x:v>Récompense proposée : renseignement de terrain, raccourci ou consommable local. Ne débloque aucun savoir anticipé sur la saga.</x:v>
      </x:c>
      <x:c r="I15" s="9" t="str">
        <x:v>Marqueur secondaire distinct du chemin critique et objet d’intérêt cadré lisiblement.</x:v>
      </x:c>
      <x:c r="J15" s="9" t="str">
        <x:v>Interaction brève réutilisant les poses du métier concerné, avec interruption possible.</x:v>
      </x:c>
      <x:c r="K15" s="9" t="str">
        <x:v>Petit signal de découverte ; résultat textuel consultable sans audio.</x:v>
      </x:c>
      <x:c r="L15" s="9" t="str">
        <x:v>optional.pl.remember ; persister done/skipped, récompenser une seule fois.</x:v>
      </x:c>
      <x:c r="M15" s="9" t="str">
        <x:v>Facultatif ; peut être ignoré sans bloquer la mission. Ni résurrection, ni score de victoire basé sur les victimes.</x:v>
      </x:c>
      <x:c r="N15" s="9" t="str">
        <x:v>Ignorer puis terminer la mission fonctionne ; compléter ne verse la récompense qu’une fois.</x:v>
      </x:c>
      <x:c r="O15" s="9" t="str">
        <x:v>PL-MIS-REMEMBER</x:v>
      </x:c>
      <x:c r="P15" s="9" t="str"/>
      <x:c r="Q15" s="9" t="str"/>
      <x:c r="R15" s="9" t="str"/>
      <x:c r="S15" s="9" t="str"/>
    </x:row>
  </x:sheetData>
  <x:conditionalFormatting sqref="D7:D15">
    <x:cfRule type="cellIs" dxfId="40" priority="1" operator="equal">
      <x:formula>"À vérifier"</x:formula>
    </x:cfRule>
    <x:cfRule type="cellIs" dxfId="41" priority="2" operator="equal">
      <x:formula>"Extrapolation"</x:formula>
    </x:cfRule>
  </x:conditionalFormatting>
  <x:conditionalFormatting sqref="C7:C15">
    <x:cfRule type="cellIs" dxfId="42" priority="3" operator="equal">
      <x:formula>"Validé"</x:formula>
    </x:cfRule>
  </x:conditionalFormatting>
  <x:conditionalFormatting sqref="E7:E15">
    <x:cfRule type="cellIs" dxfId="4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7d11357ef9c457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Paragon Lost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PL-CHO-LAND</x:v>
      </x:c>
      <x:c r="B7" s="9" t="str">
        <x:v>Rallier l’escouade — méthode optionnelle</x:v>
      </x:c>
      <x:c r="C7" s="15" t="str">
        <x:v>Défini</x:v>
      </x:c>
      <x:c r="D7" s="16" t="str">
        <x:v>Extrapolation</x:v>
      </x:c>
      <x:c r="E7" s="16" t="str">
        <x:v>P1</x:v>
      </x:c>
      <x:c r="F7" s="9" t="str">
        <x:v>Bifurcation locale originale ; elle ne crée pas une autre fin officielle.</x:v>
      </x:c>
      <x:c r="G7" s="9" t="str">
        <x:v>Chemin protégé long ou ouverture d’un couvert intermédiaire.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choice.pl.land ; stocker la méthode et le coût, jamais une réécriture d’événement source.</x:v>
      </x:c>
      <x:c r="M7" s="9" t="str">
        <x:v>Le contexte de 2183 est distingué du reste du film.</x:v>
      </x:c>
      <x:c r="N7" s="9" t="str">
        <x:v>Les deux branches sont atteignables ; l’état canonique final du module est identique.</x:v>
      </x:c>
      <x:c r="O7" s="9" t="str">
        <x:v>PL-MIS-LAND</x:v>
      </x:c>
      <x:c r="P7" s="9" t="str"/>
      <x:c r="Q7" s="9" t="str"/>
      <x:c r="R7" s="9" t="str"/>
      <x:c r="S7" s="9" t="str"/>
    </x:row>
    <x:row r="8" ht="54" customHeight="1">
      <x:c r="A8" s="19" t="str">
        <x:v>PL-CHO-FLANK</x:v>
      </x:c>
      <x:c r="B8" s="7" t="str">
        <x:v>Coordonner un flanc — méthode optionnelle</x:v>
      </x:c>
      <x:c r="C8" s="15" t="str">
        <x:v>Défini</x:v>
      </x:c>
      <x:c r="D8" s="17" t="str">
        <x:v>Extrapolation</x:v>
      </x:c>
      <x:c r="E8" s="17" t="str">
        <x:v>P1</x:v>
      </x:c>
      <x:c r="F8" s="7" t="str">
        <x:v>Bifurcation locale originale ; elle ne crée pas une autre fin officielle.</x:v>
      </x:c>
      <x:c r="G8" s="7" t="str">
        <x:v>Diversion du drone ou déplacement coordonné ; même issue scénarisée.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choice.pl.flank ; stocker la méthode et le coût, jamais une réécriture d’événement source.</x:v>
      </x:c>
      <x:c r="M8" s="7" t="str">
        <x:v>Le destin d’Archuk ne devient pas une option de recrutement.</x:v>
      </x:c>
      <x:c r="N8" s="7" t="str">
        <x:v>Les deux branches sont atteignables ; l’état canonique final du module est identique.</x:v>
      </x:c>
      <x:c r="O8" s="7" t="str">
        <x:v>PL-MIS-FLANK</x:v>
      </x:c>
      <x:c r="P8" s="7" t="str"/>
      <x:c r="Q8" s="7" t="str"/>
      <x:c r="R8" s="7" t="str"/>
      <x:c r="S8" s="7" t="str"/>
    </x:row>
    <x:row r="9" ht="54" customHeight="1">
      <x:c r="A9" s="18" t="str">
        <x:v>PL-CHO-CARE</x:v>
      </x:c>
      <x:c r="B9" s="9" t="str">
        <x:v>Entretenir la défense d’une colonie — méthode optionnelle</x:v>
      </x:c>
      <x:c r="C9" s="15" t="str">
        <x:v>Défini</x:v>
      </x:c>
      <x:c r="D9" s="16" t="str">
        <x:v>Extrapolation</x:v>
      </x:c>
      <x:c r="E9" s="16" t="str">
        <x:v>P1</x:v>
      </x:c>
      <x:c r="F9" s="9" t="str">
        <x:v>Bifurcation locale originale ; elle ne crée pas une autre fin officielle.</x:v>
      </x:c>
      <x:c r="G9" s="9" t="str">
        <x:v>Aider d’abord l’atelier ou le poste civil ; mêmes capacités finales.</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choice.pl.care ; stocker la méthode et le coût, jamais une réécriture d’événement source.</x:v>
      </x:c>
      <x:c r="M9" s="9" t="str">
        <x:v>Aucun risque imposé à April comme mini-jeu.</x:v>
      </x:c>
      <x:c r="N9" s="9" t="str">
        <x:v>Les deux branches sont atteignables ; l’état canonique final du module est identique.</x:v>
      </x:c>
      <x:c r="O9" s="9" t="str">
        <x:v>PL-MIS-CARE</x:v>
      </x:c>
      <x:c r="P9" s="9" t="str"/>
      <x:c r="Q9" s="9" t="str"/>
      <x:c r="R9" s="9" t="str"/>
      <x:c r="S9" s="9" t="str"/>
    </x:row>
    <x:row r="10" ht="54" customHeight="1">
      <x:c r="A10" s="19" t="str">
        <x:v>PL-CHO-SIGNAL</x:v>
      </x:c>
      <x:c r="B10" s="7" t="str">
        <x:v>Délimiter un signal inconnu — méthode optionnelle</x:v>
      </x:c>
      <x:c r="C10" s="15" t="str">
        <x:v>Défini</x:v>
      </x:c>
      <x:c r="D10" s="17" t="str">
        <x:v>Extrapolation</x:v>
      </x:c>
      <x:c r="E10" s="17" t="str">
        <x:v>P1</x:v>
      </x:c>
      <x:c r="F10" s="7" t="str">
        <x:v>Bifurcation locale originale ; elle ne crée pas une autre fin officielle.</x:v>
      </x:c>
      <x:c r="G10" s="7" t="str">
        <x:v>Examiner le signal à distance ou inspecter une borne proche.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choice.pl.signal ; stocker la méthode et le coût, jamais une réécriture d’événement source.</x:v>
      </x:c>
      <x:c r="M10" s="7" t="str">
        <x:v>Liara reste une interlocutrice distante.</x:v>
      </x:c>
      <x:c r="N10" s="7" t="str">
        <x:v>Les deux branches sont atteignables ; l’état canonique final du module est identique.</x:v>
      </x:c>
      <x:c r="O10" s="7" t="str">
        <x:v>PL-MIS-SIGNAL</x:v>
      </x:c>
      <x:c r="P10" s="7" t="str"/>
      <x:c r="Q10" s="7" t="str"/>
      <x:c r="R10" s="7" t="str"/>
      <x:c r="S10" s="7" t="str"/>
    </x:row>
    <x:row r="11" ht="54" customHeight="1">
      <x:c r="A11" s="18" t="str">
        <x:v>PL-CHO-CANNON</x:v>
      </x:c>
      <x:c r="B11" s="9" t="str">
        <x:v>Garder une issue de repli — méthode optionnelle</x:v>
      </x:c>
      <x:c r="C11" s="15" t="str">
        <x:v>Défini</x:v>
      </x:c>
      <x:c r="D11" s="16" t="str">
        <x:v>Extrapolation</x:v>
      </x:c>
      <x:c r="E11" s="16" t="str">
        <x:v>P1</x:v>
      </x:c>
      <x:c r="F11" s="9" t="str">
        <x:v>Bifurcation locale originale ; elle ne crée pas une autre fin officielle.</x:v>
      </x:c>
      <x:c r="G11" s="9" t="str">
        <x:v>Priorité au contrôle de ligne ou à la route de secours.</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choice.pl.cannon ; stocker la méthode et le coût, jamais une réécriture d’événement source.</x:v>
      </x:c>
      <x:c r="M11" s="9" t="str">
        <x:v>Ne pas créer un tir parfait qui annule l’attaque canonique.</x:v>
      </x:c>
      <x:c r="N11" s="9" t="str">
        <x:v>Les deux branches sont atteignables ; l’état canonique final du module est identique.</x:v>
      </x:c>
      <x:c r="O11" s="9" t="str">
        <x:v>PL-MIS-CANNON</x:v>
      </x:c>
      <x:c r="P11" s="9" t="str"/>
      <x:c r="Q11" s="9" t="str"/>
      <x:c r="R11" s="9" t="str"/>
      <x:c r="S11" s="9" t="str"/>
    </x:row>
    <x:row r="12" ht="54" customHeight="1">
      <x:c r="A12" s="19" t="str">
        <x:v>PL-CHO-REFUGE</x:v>
      </x:c>
      <x:c r="B12" s="7" t="str">
        <x:v>Tenir les portes du refuge — méthode optionnelle</x:v>
      </x:c>
      <x:c r="C12" s="15" t="str">
        <x:v>Défini</x:v>
      </x:c>
      <x:c r="D12" s="17" t="str">
        <x:v>Extrapolation</x:v>
      </x:c>
      <x:c r="E12" s="17" t="str">
        <x:v>P1</x:v>
      </x:c>
      <x:c r="F12" s="7" t="str">
        <x:v>Bifurcation locale originale ; elle ne crée pas une autre fin officielle.</x:v>
      </x:c>
      <x:c r="G12" s="7" t="str">
        <x:v>Fermer un sas ou emprunter une galerie ; chaque choix conserve une sortie.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choice.pl.refuge ; stocker la méthode et le coût, jamais une réécriture d’événement source.</x:v>
      </x:c>
      <x:c r="M12" s="7" t="str">
        <x:v>Présence et pertes de l’équipe doivent suivre les fenêtres du film.</x:v>
      </x:c>
      <x:c r="N12" s="7" t="str">
        <x:v>Les deux branches sont atteignables ; l’état canonique final du module est identique.</x:v>
      </x:c>
      <x:c r="O12" s="7" t="str">
        <x:v>PL-MIS-REFUGE</x:v>
      </x:c>
      <x:c r="P12" s="7" t="str"/>
      <x:c r="Q12" s="7" t="str"/>
      <x:c r="R12" s="7" t="str"/>
      <x:c r="S12" s="7" t="str"/>
    </x:row>
    <x:row r="13" ht="54" customHeight="1">
      <x:c r="A13" s="18" t="str">
        <x:v>PL-CHO-BOARD</x:v>
      </x:c>
      <x:c r="B13" s="9" t="str">
        <x:v>Préparer un abordage local — méthode optionnelle</x:v>
      </x:c>
      <x:c r="C13" s="15" t="str">
        <x:v>Défini</x:v>
      </x:c>
      <x:c r="D13" s="16" t="str">
        <x:v>Extrapolation</x:v>
      </x:c>
      <x:c r="E13" s="16" t="str">
        <x:v>P1</x:v>
      </x:c>
      <x:c r="F13" s="9" t="str">
        <x:v>Bifurcation locale originale ; elle ne crée pas une autre fin officielle.</x:v>
      </x:c>
      <x:c r="G13" s="9" t="str">
        <x:v>Appui offensif bref ou défense du moteur ; pas de libre destruction du vaisseau récolteur.</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choice.pl.board ; stocker la méthode et le coût, jamais une réécriture d’événement source.</x:v>
      </x:c>
      <x:c r="M13" s="9" t="str">
        <x:v>L’issue ne supprime pas les événements ultérieurs du film.</x:v>
      </x:c>
      <x:c r="N13" s="9" t="str">
        <x:v>Les deux branches sont atteignables ; l’état canonique final du module est identique.</x:v>
      </x:c>
      <x:c r="O13" s="9" t="str">
        <x:v>PL-MIS-BOARD</x:v>
      </x:c>
      <x:c r="P13" s="9" t="str"/>
      <x:c r="Q13" s="9" t="str"/>
      <x:c r="R13" s="9" t="str"/>
      <x:c r="S13" s="9" t="str"/>
    </x:row>
    <x:row r="14" ht="54" customHeight="1">
      <x:c r="A14" s="19" t="str">
        <x:v>PL-CHO-INTEL</x:v>
      </x:c>
      <x:c r="B14" s="7" t="str">
        <x:v>Protéger une information sous pression — méthode optionnelle</x:v>
      </x:c>
      <x:c r="C14" s="15" t="str">
        <x:v>Défini</x:v>
      </x:c>
      <x:c r="D14" s="17" t="str">
        <x:v>Extrapolation</x:v>
      </x:c>
      <x:c r="E14" s="17" t="str">
        <x:v>P1</x:v>
      </x:c>
      <x:c r="F14" s="7" t="str">
        <x:v>Bifurcation locale originale ; elle ne crée pas une autre fin officielle.</x:v>
      </x:c>
      <x:c r="G14" s="7" t="str">
        <x:v>Répartir protection entre porte et porteur ou alterner les gardes.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choice.pl.intel ; stocker la méthode et le coût, jamais une réécriture d’événement source.</x:v>
      </x:c>
      <x:c r="M14" s="7" t="str">
        <x:v>La décision finale de Vega reste celle du film ; pas de fin parfaite.</x:v>
      </x:c>
      <x:c r="N14" s="7" t="str">
        <x:v>Les deux branches sont atteignables ; l’état canonique final du module est identique.</x:v>
      </x:c>
      <x:c r="O14" s="7" t="str">
        <x:v>PL-MIS-INTEL</x:v>
      </x:c>
      <x:c r="P14" s="7" t="str"/>
      <x:c r="Q14" s="7" t="str"/>
      <x:c r="R14" s="7" t="str"/>
      <x:c r="S14" s="7" t="str"/>
    </x:row>
    <x:row r="15" ht="54" customHeight="1">
      <x:c r="A15" s="18" t="str">
        <x:v>PL-CHO-REMEMBER</x:v>
      </x:c>
      <x:c r="B15" s="9" t="str">
        <x:v>Rendre compte des absents — méthode optionnelle</x:v>
      </x:c>
      <x:c r="C15" s="15" t="str">
        <x:v>Défini</x:v>
      </x:c>
      <x:c r="D15" s="16" t="str">
        <x:v>Extrapolation</x:v>
      </x:c>
      <x:c r="E15" s="16" t="str">
        <x:v>P1</x:v>
      </x:c>
      <x:c r="F15" s="9" t="str">
        <x:v>Bifurcation locale originale ; elle ne crée pas une autre fin officielle.</x:v>
      </x:c>
      <x:c r="G15" s="9" t="str">
        <x:v>Parler brièvement ou rester silencieux ; aucun gain de moralité.</x:v>
      </x:c>
      <x:c r="H15" s="9" t="str">
        <x:v>Afficher coût, bénéfice local et condition de retour avant validation ; deux méthodes rejoignent le même verrou de continuité.</x:v>
      </x:c>
      <x:c r="I15" s="9" t="str">
        <x:v>Libellés d’action concrets ; symbole d’effet local ; aucune option désactivée sans motif.</x:v>
      </x:c>
      <x:c r="J15" s="9" t="str">
        <x:v>Réaction courte du groupe ; reprise immédiate des contrôles après résultat.</x:v>
      </x:c>
      <x:c r="K15" s="9" t="str">
        <x:v>Confirmation discrète ; lecture du résultat disponible dans le journal.</x:v>
      </x:c>
      <x:c r="L15" s="9" t="str">
        <x:v>choice.pl.remember ; stocker la méthode et le coût, jamais une réécriture d’événement source.</x:v>
      </x:c>
      <x:c r="M15" s="9" t="str">
        <x:v>Ni résurrection, ni score de victoire basé sur les victimes.</x:v>
      </x:c>
      <x:c r="N15" s="9" t="str">
        <x:v>Les deux branches sont atteignables ; l’état canonique final du module est identique.</x:v>
      </x:c>
      <x:c r="O15" s="9" t="str">
        <x:v>PL-MIS-REMEMBER</x:v>
      </x:c>
      <x:c r="P15" s="9" t="str"/>
      <x:c r="Q15" s="9" t="str"/>
      <x:c r="R15" s="9" t="str"/>
      <x:c r="S15" s="9" t="str"/>
    </x:row>
  </x:sheetData>
  <x:conditionalFormatting sqref="D7:D15">
    <x:cfRule type="cellIs" dxfId="44" priority="1" operator="equal">
      <x:formula>"À vérifier"</x:formula>
    </x:cfRule>
    <x:cfRule type="cellIs" dxfId="45" priority="2" operator="equal">
      <x:formula>"Extrapolation"</x:formula>
    </x:cfRule>
  </x:conditionalFormatting>
  <x:conditionalFormatting sqref="C7:C15">
    <x:cfRule type="cellIs" dxfId="46" priority="3" operator="equal">
      <x:formula>"Validé"</x:formula>
    </x:cfRule>
  </x:conditionalFormatting>
  <x:conditionalFormatting sqref="E7:E15">
    <x:cfRule type="cellIs" dxfId="4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1ecb46f230f04c91"/>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Paragon Lost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PL-DIA-VEGA</x:v>
      </x:c>
      <x:c r="B7" s="9" t="str">
        <x:v>James Vega — échange : responsabilité et coût d’une décision</x:v>
      </x:c>
      <x:c r="C7" s="15" t="str">
        <x:v>Défini</x:v>
      </x:c>
      <x:c r="D7" s="16" t="str">
        <x:v>Extrapolation</x:v>
      </x:c>
      <x:c r="E7" s="16" t="str">
        <x:v>P1</x:v>
      </x:c>
      <x:c r="F7" s="9" t="str">
        <x:v>Dialogue original à écrire, sans reproduire les répliques de la publication.</x:v>
      </x:c>
      <x:c r="G7" s="9" t="str">
        <x:v>Intentions : aborder responsabilité et coût d’une décision, poser une question de clarification, puis revenir à l’objectif local.</x:v>
      </x:c>
      <x:c r="H7" s="9" t="str">
        <x:v>Trois intentions proposées : demander un fait, exprimer une réserve, clore. Débloquer un indice local sans imposer une opinion au joueur.</x:v>
      </x:c>
      <x:c r="I7" s="9" t="str">
        <x:v>Portrait James Vega,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pl.vega.responsabilite-et-cout-dune-decision ; drapeaux de connaissance locaux.</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Aucune option ne révèle un savoir futur ; quitter puis reprendre conserve les sujets déjà abordés.</x:v>
      </x:c>
      <x:c r="O7" s="9" t="str">
        <x:v>PL-CHR-VEGA</x:v>
      </x:c>
      <x:c r="P7" s="9" t="str"/>
      <x:c r="Q7" s="9" t="str"/>
      <x:c r="R7" s="9" t="str"/>
      <x:c r="S7" s="9" t="str">
        <x:v>Sujet et intentions sont du design original, pas une transcription.</x:v>
      </x:c>
    </x:row>
    <x:row r="8" ht="82" customHeight="1">
      <x:c r="A8" s="19" t="str">
        <x:v>PL-DIA-TREEYA</x:v>
      </x:c>
      <x:c r="B8" s="7" t="str">
        <x:v>Treeya Nuwani — échange : préservation des vestiges et sécurité</x:v>
      </x:c>
      <x:c r="C8" s="15" t="str">
        <x:v>Défini</x:v>
      </x:c>
      <x:c r="D8" s="17" t="str">
        <x:v>Extrapolation</x:v>
      </x:c>
      <x:c r="E8" s="17" t="str">
        <x:v>P1</x:v>
      </x:c>
      <x:c r="F8" s="7" t="str">
        <x:v>Dialogue original à écrire, sans reproduire les répliques de la publication.</x:v>
      </x:c>
      <x:c r="G8" s="7" t="str">
        <x:v>Intentions : aborder préservation des vestiges et sécurité, poser une question de clarification, puis revenir à l’objectif local.</x:v>
      </x:c>
      <x:c r="H8" s="7" t="str">
        <x:v>Trois intentions proposées : demander un fait, exprimer une réserve, clore. Débloquer un indice local sans imposer une opinion au joueur.</x:v>
      </x:c>
      <x:c r="I8" s="7" t="str">
        <x:v>Portrait Treeya Nuwani,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pl.treeya.preservation-des-vestiges-et-securite ; drapeaux de connaissance locaux.</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Aucune option ne révèle un savoir futur ; quitter puis reprendre conserve les sujets déjà abordés.</x:v>
      </x:c>
      <x:c r="O8" s="7" t="str">
        <x:v>PL-CHR-TREEYA</x:v>
      </x:c>
      <x:c r="P8" s="7" t="str"/>
      <x:c r="Q8" s="7" t="str"/>
      <x:c r="R8" s="7" t="str"/>
      <x:c r="S8" s="7" t="str">
        <x:v>Sujet et intentions sont du design original, pas une transcription.</x:v>
      </x:c>
    </x:row>
    <x:row r="9" ht="82" customHeight="1">
      <x:c r="A9" s="18" t="str">
        <x:v>PL-DIA-MILQUE</x:v>
      </x:c>
      <x:c r="B9" s="9" t="str">
        <x:v>Milque — échange : précision et protection du groupe</x:v>
      </x:c>
      <x:c r="C9" s="15" t="str">
        <x:v>Défini</x:v>
      </x:c>
      <x:c r="D9" s="16" t="str">
        <x:v>Extrapolation</x:v>
      </x:c>
      <x:c r="E9" s="16" t="str">
        <x:v>P1</x:v>
      </x:c>
      <x:c r="F9" s="9" t="str">
        <x:v>Dialogue original à écrire, sans reproduire les répliques de la publication.</x:v>
      </x:c>
      <x:c r="G9" s="9" t="str">
        <x:v>Intentions : aborder précision et protection du groupe, poser une question de clarification, puis revenir à l’objectif local.</x:v>
      </x:c>
      <x:c r="H9" s="9" t="str">
        <x:v>Trois intentions proposées : demander un fait, exprimer une réserve, clore. Débloquer un indice local sans imposer une opinion au joueur.</x:v>
      </x:c>
      <x:c r="I9" s="9" t="str">
        <x:v>Portrait Milque,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pl.milque.precision-et-protection-du-groupe ; drapeaux de connaissance locaux.</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Aucune option ne révèle un savoir futur ; quitter puis reprendre conserve les sujets déjà abordés.</x:v>
      </x:c>
      <x:c r="O9" s="9" t="str">
        <x:v>PL-CHR-MILQUE</x:v>
      </x:c>
      <x:c r="P9" s="9" t="str"/>
      <x:c r="Q9" s="9" t="str"/>
      <x:c r="R9" s="9" t="str"/>
      <x:c r="S9" s="9" t="str">
        <x:v>Sujet et intentions sont du design original, pas une transcription.</x:v>
      </x:c>
    </x:row>
    <x:row r="10" ht="82" customHeight="1">
      <x:c r="A10" s="19" t="str">
        <x:v>PL-DIA-ESSEX</x:v>
      </x:c>
      <x:c r="B10" s="7" t="str">
        <x:v>Essex — échange : usage de la force sous contrainte</x:v>
      </x:c>
      <x:c r="C10" s="15" t="str">
        <x:v>Défini</x:v>
      </x:c>
      <x:c r="D10" s="17" t="str">
        <x:v>Extrapolation</x:v>
      </x:c>
      <x:c r="E10" s="17" t="str">
        <x:v>P1</x:v>
      </x:c>
      <x:c r="F10" s="7" t="str">
        <x:v>Dialogue original à écrire, sans reproduire les répliques de la publication.</x:v>
      </x:c>
      <x:c r="G10" s="7" t="str">
        <x:v>Intentions : aborder usage de la force sous contrainte, poser une question de clarification, puis revenir à l’objectif local.</x:v>
      </x:c>
      <x:c r="H10" s="7" t="str">
        <x:v>Trois intentions proposées : demander un fait, exprimer une réserve, clore. Débloquer un indice local sans imposer une opinion au joueur.</x:v>
      </x:c>
      <x:c r="I10" s="7" t="str">
        <x:v>Portrait Essex,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pl.essex.usage-de-la-force-sous-contrainte ; drapeaux de connaissance locaux.</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Aucune option ne révèle un savoir futur ; quitter puis reprendre conserve les sujets déjà abordés.</x:v>
      </x:c>
      <x:c r="O10" s="7" t="str">
        <x:v>PL-CHR-ESSEX</x:v>
      </x:c>
      <x:c r="P10" s="7" t="str"/>
      <x:c r="Q10" s="7" t="str"/>
      <x:c r="R10" s="7" t="str"/>
      <x:c r="S10" s="7" t="str">
        <x:v>Sujet et intentions sont du design original, pas une transcription.</x:v>
      </x:c>
    </x:row>
    <x:row r="11" ht="82" customHeight="1">
      <x:c r="A11" s="18" t="str">
        <x:v>PL-DIA-NICKY</x:v>
      </x:c>
      <x:c r="B11" s="9" t="str">
        <x:v>Nicky — échange : préparation et confiance dans l’équipe</x:v>
      </x:c>
      <x:c r="C11" s="15" t="str">
        <x:v>Défini</x:v>
      </x:c>
      <x:c r="D11" s="16" t="str">
        <x:v>Extrapolation</x:v>
      </x:c>
      <x:c r="E11" s="16" t="str">
        <x:v>P1</x:v>
      </x:c>
      <x:c r="F11" s="9" t="str">
        <x:v>Dialogue original à écrire, sans reproduire les répliques de la publication.</x:v>
      </x:c>
      <x:c r="G11" s="9" t="str">
        <x:v>Intentions : aborder préparation et confiance dans l’équipe, poser une question de clarification, puis revenir à l’objectif local.</x:v>
      </x:c>
      <x:c r="H11" s="9" t="str">
        <x:v>Trois intentions proposées : demander un fait, exprimer une réserve, clore. Débloquer un indice local sans imposer une opinion au joueur.</x:v>
      </x:c>
      <x:c r="I11" s="9" t="str">
        <x:v>Portrait Nicky,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pl.nicky.preparation-et-confiance-dans-lequipe ; drapeaux de connaissance locaux.</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Aucune option ne révèle un savoir futur ; quitter puis reprendre conserve les sujets déjà abordés.</x:v>
      </x:c>
      <x:c r="O11" s="9" t="str">
        <x:v>PL-CHR-NICKY</x:v>
      </x:c>
      <x:c r="P11" s="9" t="str"/>
      <x:c r="Q11" s="9" t="str"/>
      <x:c r="R11" s="9" t="str"/>
      <x:c r="S11" s="9" t="str">
        <x:v>Sujet et intentions sont du design original, pas une transcription.</x:v>
      </x:c>
    </x:row>
    <x:row r="12" ht="82" customHeight="1">
      <x:c r="A12" s="19" t="str">
        <x:v>PL-DIA-KAMILLE</x:v>
      </x:c>
      <x:c r="B12" s="7" t="str">
        <x:v>Kamille — échange : solidarité de terrain</x:v>
      </x:c>
      <x:c r="C12" s="15" t="str">
        <x:v>Défini</x:v>
      </x:c>
      <x:c r="D12" s="17" t="str">
        <x:v>Extrapolation</x:v>
      </x:c>
      <x:c r="E12" s="17" t="str">
        <x:v>P1</x:v>
      </x:c>
      <x:c r="F12" s="7" t="str">
        <x:v>Dialogue original à écrire, sans reproduire les répliques de la publication.</x:v>
      </x:c>
      <x:c r="G12" s="7" t="str">
        <x:v>Intentions : aborder solidarité de terrain, poser une question de clarification, puis revenir à l’objectif local.</x:v>
      </x:c>
      <x:c r="H12" s="7" t="str">
        <x:v>Trois intentions proposées : demander un fait, exprimer une réserve, clore. Débloquer un indice local sans imposer une opinion au joueur.</x:v>
      </x:c>
      <x:c r="I12" s="7" t="str">
        <x:v>Portrait Kamille,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pl.kamille.solidarite-de-terrain ; drapeaux de connaissance locaux.</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Aucune option ne révèle un savoir futur ; quitter puis reprendre conserve les sujets déjà abordés.</x:v>
      </x:c>
      <x:c r="O12" s="7" t="str">
        <x:v>PL-CHR-KAMILLE</x:v>
      </x:c>
      <x:c r="P12" s="7" t="str"/>
      <x:c r="Q12" s="7" t="str"/>
      <x:c r="R12" s="7" t="str"/>
      <x:c r="S12" s="7" t="str">
        <x:v>Sujet et intentions sont du design original, pas une transcription.</x:v>
      </x:c>
    </x:row>
    <x:row r="13" ht="82" customHeight="1">
      <x:c r="A13" s="18" t="str">
        <x:v>PL-DIA-MASON</x:v>
      </x:c>
      <x:c r="B13" s="9" t="str">
        <x:v>Mason — échange : réaction à une perte et devoir de groupe</x:v>
      </x:c>
      <x:c r="C13" s="15" t="str">
        <x:v>Défini</x:v>
      </x:c>
      <x:c r="D13" s="16" t="str">
        <x:v>Extrapolation</x:v>
      </x:c>
      <x:c r="E13" s="16" t="str">
        <x:v>P1</x:v>
      </x:c>
      <x:c r="F13" s="9" t="str">
        <x:v>Dialogue original à écrire, sans reproduire les répliques de la publication.</x:v>
      </x:c>
      <x:c r="G13" s="9" t="str">
        <x:v>Intentions : aborder réaction à une perte et devoir de groupe, poser une question de clarification, puis revenir à l’objectif local.</x:v>
      </x:c>
      <x:c r="H13" s="9" t="str">
        <x:v>Trois intentions proposées : demander un fait, exprimer une réserve, clore. Débloquer un indice local sans imposer une opinion au joueur.</x:v>
      </x:c>
      <x:c r="I13" s="9" t="str">
        <x:v>Portrait Mason,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pl.mason.reaction-a-une-perte-et-devoir-de-groupe ; drapeaux de connaissance locaux.</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Aucune option ne révèle un savoir futur ; quitter puis reprendre conserve les sujets déjà abordés.</x:v>
      </x:c>
      <x:c r="O13" s="9" t="str">
        <x:v>PL-CHR-MASON</x:v>
      </x:c>
      <x:c r="P13" s="9" t="str"/>
      <x:c r="Q13" s="9" t="str"/>
      <x:c r="R13" s="9" t="str"/>
      <x:c r="S13" s="9" t="str">
        <x:v>Sujet et intentions sont du design original, pas une transcription.</x:v>
      </x:c>
    </x:row>
    <x:row r="14" ht="82" customHeight="1">
      <x:c r="A14" s="19" t="str">
        <x:v>PL-DIA-TONI</x:v>
      </x:c>
      <x:c r="B14" s="7" t="str">
        <x:v>Capitaine Toni — échange : chaîne de commandement</x:v>
      </x:c>
      <x:c r="C14" s="15" t="str">
        <x:v>Défini</x:v>
      </x:c>
      <x:c r="D14" s="17" t="str">
        <x:v>Extrapolation</x:v>
      </x:c>
      <x:c r="E14" s="17" t="str">
        <x:v>P1</x:v>
      </x:c>
      <x:c r="F14" s="7" t="str">
        <x:v>Dialogue original à écrire, sans reproduire les répliques de la publication.</x:v>
      </x:c>
      <x:c r="G14" s="7" t="str">
        <x:v>Intentions : aborder chaîne de commandement, poser une question de clarification, puis revenir à l’objectif local.</x:v>
      </x:c>
      <x:c r="H14" s="7" t="str">
        <x:v>Trois intentions proposées : demander un fait, exprimer une réserve, clore. Débloquer un indice local sans imposer une opinion au joueur.</x:v>
      </x:c>
      <x:c r="I14" s="7" t="str">
        <x:v>Portrait Capitaine Toni,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pl.toni.chaine-de-commandement ; drapeaux de connaissance locaux.</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Aucune option ne révèle un savoir futur ; quitter puis reprendre conserve les sujets déjà abordés.</x:v>
      </x:c>
      <x:c r="O14" s="7" t="str">
        <x:v>PL-CHR-TONI</x:v>
      </x:c>
      <x:c r="P14" s="7" t="str"/>
      <x:c r="Q14" s="7" t="str"/>
      <x:c r="R14" s="7" t="str"/>
      <x:c r="S14" s="7" t="str">
        <x:v>Sujet et intentions sont du design original, pas une transcription.</x:v>
      </x:c>
    </x:row>
    <x:row r="15" ht="82" customHeight="1">
      <x:c r="A15" s="18" t="str">
        <x:v>PL-DIA-MESSNER</x:v>
      </x:c>
      <x:c r="B15" s="9" t="str">
        <x:v>Messner — échange : utilité et fiabilité</x:v>
      </x:c>
      <x:c r="C15" s="15" t="str">
        <x:v>Défini</x:v>
      </x:c>
      <x:c r="D15" s="16" t="str">
        <x:v>Extrapolation</x:v>
      </x:c>
      <x:c r="E15" s="16" t="str">
        <x:v>P1</x:v>
      </x:c>
      <x:c r="F15" s="9" t="str">
        <x:v>Dialogue original à écrire, sans reproduire les répliques de la publication.</x:v>
      </x:c>
      <x:c r="G15" s="9" t="str">
        <x:v>Intentions : aborder utilité et fiabilité, poser une question de clarification, puis revenir à l’objectif local.</x:v>
      </x:c>
      <x:c r="H15" s="9" t="str">
        <x:v>Trois intentions proposées : demander un fait, exprimer une réserve, clore. Débloquer un indice local sans imposer une opinion au joueur.</x:v>
      </x:c>
      <x:c r="I15" s="9" t="str">
        <x:v>Portrait Messner,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pl.messner.utilite-et-fiabilite ; drapeaux de connaissance locaux.</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Aucune option ne révèle un savoir futur ; quitter puis reprendre conserve les sujets déjà abordés.</x:v>
      </x:c>
      <x:c r="O15" s="9" t="str">
        <x:v>PL-CHR-MESSNER</x:v>
      </x:c>
      <x:c r="P15" s="9" t="str"/>
      <x:c r="Q15" s="9" t="str"/>
      <x:c r="R15" s="9" t="str"/>
      <x:c r="S15" s="9" t="str">
        <x:v>Sujet et intentions sont du design original, pas une transcription.</x:v>
      </x:c>
    </x:row>
    <x:row r="16" ht="82" customHeight="1">
      <x:c r="A16" s="19" t="str">
        <x:v>PL-DIA-BROOD</x:v>
      </x:c>
      <x:c r="B16" s="7" t="str">
        <x:v>Brood — échange : dette et choix personnel</x:v>
      </x:c>
      <x:c r="C16" s="15" t="str">
        <x:v>Défini</x:v>
      </x:c>
      <x:c r="D16" s="17" t="str">
        <x:v>Extrapolation</x:v>
      </x:c>
      <x:c r="E16" s="17" t="str">
        <x:v>P1</x:v>
      </x:c>
      <x:c r="F16" s="7" t="str">
        <x:v>Dialogue original à écrire, sans reproduire les répliques de la publication.</x:v>
      </x:c>
      <x:c r="G16" s="7" t="str">
        <x:v>Intentions : aborder dette et choix personnel, poser une question de clarification, puis revenir à l’objectif local.</x:v>
      </x:c>
      <x:c r="H16" s="7" t="str">
        <x:v>Trois intentions proposées : demander un fait, exprimer une réserve, clore. Débloquer un indice local sans imposer une opinion au joueur.</x:v>
      </x:c>
      <x:c r="I16" s="7" t="str">
        <x:v>Portrait Brood,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pl.brood.dette-et-choix-personnel ; drapeaux de connaissance locaux.</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Aucune option ne révèle un savoir futur ; quitter puis reprendre conserve les sujets déjà abordés.</x:v>
      </x:c>
      <x:c r="O16" s="7" t="str">
        <x:v>PL-CHR-BROOD</x:v>
      </x:c>
      <x:c r="P16" s="7" t="str"/>
      <x:c r="Q16" s="7" t="str"/>
      <x:c r="R16" s="7" t="str"/>
      <x:c r="S16" s="7" t="str">
        <x:v>Sujet et intentions sont du design original, pas une transcription.</x:v>
      </x:c>
    </x:row>
    <x:row r="17" ht="82" customHeight="1">
      <x:c r="A17" s="18" t="str">
        <x:v>PL-DIA-ARCHUK</x:v>
      </x:c>
      <x:c r="B17" s="9" t="str">
        <x:v>Archuk — échange : pression sur l’escouade</x:v>
      </x:c>
      <x:c r="C17" s="15" t="str">
        <x:v>Défini</x:v>
      </x:c>
      <x:c r="D17" s="16" t="str">
        <x:v>Extrapolation</x:v>
      </x:c>
      <x:c r="E17" s="16" t="str">
        <x:v>P1</x:v>
      </x:c>
      <x:c r="F17" s="9" t="str">
        <x:v>Dialogue original à écrire, sans reproduire les répliques de la publication.</x:v>
      </x:c>
      <x:c r="G17" s="9" t="str">
        <x:v>Intentions : aborder pression sur l’escouade, poser une question de clarification, puis revenir à l’objectif local.</x:v>
      </x:c>
      <x:c r="H17" s="9" t="str">
        <x:v>Trois intentions proposées : demander un fait, exprimer une réserve, clore. Débloquer un indice local sans imposer une opinion au joueur.</x:v>
      </x:c>
      <x:c r="I17" s="9" t="str">
        <x:v>Portrait Archuk, interlocuteur actif et indication de la personne qui connaît le fait.</x:v>
      </x:c>
      <x:c r="J17" s="9" t="str">
        <x:v>Pose d’écoute puis réaction sobre ; ne pas boucler une émotion pendant une pause de lecture.</x:v>
      </x:c>
      <x:c r="K17" s="9" t="str">
        <x:v>Texte intégral affiché ; éventuelle voix originale avec débit réglable, sans imitation du casting.</x:v>
      </x:c>
      <x:c r="L17" s="9" t="str">
        <x:v>Dialogue graph pl.archuk.pression-sur-lescouade ; drapeaux de connaissance locaux.</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Aucune option ne révèle un savoir futur ; quitter puis reprendre conserve les sujets déjà abordés.</x:v>
      </x:c>
      <x:c r="O17" s="9" t="str">
        <x:v>PL-CHR-ARCHUK</x:v>
      </x:c>
      <x:c r="P17" s="9" t="str"/>
      <x:c r="Q17" s="9" t="str"/>
      <x:c r="R17" s="9" t="str"/>
      <x:c r="S17" s="9" t="str">
        <x:v>Sujet et intentions sont du design original, pas une transcription.</x:v>
      </x:c>
    </x:row>
    <x:row r="18" ht="82" customHeight="1">
      <x:c r="A18" s="19" t="str">
        <x:v>PL-DIA-APRIL</x:v>
      </x:c>
      <x:c r="B18" s="7" t="str">
        <x:v>April — échange : confiance accordée à un protecteur</x:v>
      </x:c>
      <x:c r="C18" s="15" t="str">
        <x:v>Défini</x:v>
      </x:c>
      <x:c r="D18" s="17" t="str">
        <x:v>Extrapolation</x:v>
      </x:c>
      <x:c r="E18" s="17" t="str">
        <x:v>P1</x:v>
      </x:c>
      <x:c r="F18" s="7" t="str">
        <x:v>Dialogue original à écrire, sans reproduire les répliques de la publication.</x:v>
      </x:c>
      <x:c r="G18" s="7" t="str">
        <x:v>Intentions : aborder confiance accordée à un protecteur, poser une question de clarification, puis revenir à l’objectif local.</x:v>
      </x:c>
      <x:c r="H18" s="7" t="str">
        <x:v>Trois intentions proposées : demander un fait, exprimer une réserve, clore. Débloquer un indice local sans imposer une opinion au joueur.</x:v>
      </x:c>
      <x:c r="I18" s="7" t="str">
        <x:v>Portrait April, interlocuteur actif et indication de la personne qui connaît le fait.</x:v>
      </x:c>
      <x:c r="J18" s="7" t="str">
        <x:v>Pose d’écoute puis réaction sobre ; ne pas boucler une émotion pendant une pause de lecture.</x:v>
      </x:c>
      <x:c r="K18" s="7" t="str">
        <x:v>Texte intégral affiché ; éventuelle voix originale avec débit réglable, sans imitation du casting.</x:v>
      </x:c>
      <x:c r="L18" s="7" t="str">
        <x:v>Dialogue graph pl.april.confiance-accordee-a-un-protecteur ; drapeaux de connaissance locaux.</x:v>
      </x:c>
      <x:c r="M1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8" s="7" t="str">
        <x:v>Aucune option ne révèle un savoir futur ; quitter puis reprendre conserve les sujets déjà abordés.</x:v>
      </x:c>
      <x:c r="O18" s="7" t="str">
        <x:v>PL-CHR-APRIL</x:v>
      </x:c>
      <x:c r="P18" s="7" t="str"/>
      <x:c r="Q18" s="7" t="str"/>
      <x:c r="R18" s="7" t="str"/>
      <x:c r="S18" s="7" t="str">
        <x:v>Sujet et intentions sont du design original, pas une transcription.</x:v>
      </x:c>
    </x:row>
    <x:row r="19" ht="82" customHeight="1">
      <x:c r="A19" s="18" t="str">
        <x:v>PL-DIA-CHRISTINE</x:v>
      </x:c>
      <x:c r="B19" s="9" t="str">
        <x:v>Christine — échange : vie quotidienne et sécurité</x:v>
      </x:c>
      <x:c r="C19" s="15" t="str">
        <x:v>Défini</x:v>
      </x:c>
      <x:c r="D19" s="16" t="str">
        <x:v>Extrapolation</x:v>
      </x:c>
      <x:c r="E19" s="16" t="str">
        <x:v>P1</x:v>
      </x:c>
      <x:c r="F19" s="9" t="str">
        <x:v>Dialogue original à écrire, sans reproduire les répliques de la publication.</x:v>
      </x:c>
      <x:c r="G19" s="9" t="str">
        <x:v>Intentions : aborder vie quotidienne et sécurité, poser une question de clarification, puis revenir à l’objectif local.</x:v>
      </x:c>
      <x:c r="H19" s="9" t="str">
        <x:v>Trois intentions proposées : demander un fait, exprimer une réserve, clore. Débloquer un indice local sans imposer une opinion au joueur.</x:v>
      </x:c>
      <x:c r="I19" s="9" t="str">
        <x:v>Portrait Christine, interlocuteur actif et indication de la personne qui connaît le fait.</x:v>
      </x:c>
      <x:c r="J19" s="9" t="str">
        <x:v>Pose d’écoute puis réaction sobre ; ne pas boucler une émotion pendant une pause de lecture.</x:v>
      </x:c>
      <x:c r="K19" s="9" t="str">
        <x:v>Texte intégral affiché ; éventuelle voix originale avec débit réglable, sans imitation du casting.</x:v>
      </x:c>
      <x:c r="L19" s="9" t="str">
        <x:v>Dialogue graph pl.christine.vie-quotidienne-et-securite ; drapeaux de connaissance locaux.</x:v>
      </x:c>
      <x:c r="M1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9" s="9" t="str">
        <x:v>Aucune option ne révèle un savoir futur ; quitter puis reprendre conserve les sujets déjà abordés.</x:v>
      </x:c>
      <x:c r="O19" s="9" t="str">
        <x:v>PL-CHR-CHRISTINE</x:v>
      </x:c>
      <x:c r="P19" s="9" t="str"/>
      <x:c r="Q19" s="9" t="str"/>
      <x:c r="R19" s="9" t="str"/>
      <x:c r="S19" s="9" t="str">
        <x:v>Sujet et intentions sont du design original, pas une transcription.</x:v>
      </x:c>
    </x:row>
    <x:row r="20" ht="82" customHeight="1">
      <x:c r="A20" s="19" t="str">
        <x:v>PL-DIA-HACKETT</x:v>
      </x:c>
      <x:c r="B20" s="7" t="str">
        <x:v>Steven Hackett — échange : mission accomplie et pertes</x:v>
      </x:c>
      <x:c r="C20" s="15" t="str">
        <x:v>Défini</x:v>
      </x:c>
      <x:c r="D20" s="17" t="str">
        <x:v>Extrapolation</x:v>
      </x:c>
      <x:c r="E20" s="17" t="str">
        <x:v>P1</x:v>
      </x:c>
      <x:c r="F20" s="7" t="str">
        <x:v>Dialogue original à écrire, sans reproduire les répliques de la publication.</x:v>
      </x:c>
      <x:c r="G20" s="7" t="str">
        <x:v>Intentions : aborder mission accomplie et pertes, poser une question de clarification, puis revenir à l’objectif local.</x:v>
      </x:c>
      <x:c r="H20" s="7" t="str">
        <x:v>Trois intentions proposées : demander un fait, exprimer une réserve, clore. Débloquer un indice local sans imposer une opinion au joueur.</x:v>
      </x:c>
      <x:c r="I20" s="7" t="str">
        <x:v>Portrait Steven Hackett, interlocuteur actif et indication de la personne qui connaît le fait.</x:v>
      </x:c>
      <x:c r="J20" s="7" t="str">
        <x:v>Pose d’écoute puis réaction sobre ; ne pas boucler une émotion pendant une pause de lecture.</x:v>
      </x:c>
      <x:c r="K20" s="7" t="str">
        <x:v>Texte intégral affiché ; éventuelle voix originale avec débit réglable, sans imitation du casting.</x:v>
      </x:c>
      <x:c r="L20" s="7" t="str">
        <x:v>Dialogue graph pl.hackett.mission-accomplie-et-pertes ; drapeaux de connaissance locaux.</x:v>
      </x:c>
      <x:c r="M2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0" s="7" t="str">
        <x:v>Aucune option ne révèle un savoir futur ; quitter puis reprendre conserve les sujets déjà abordés.</x:v>
      </x:c>
      <x:c r="O20" s="7" t="str">
        <x:v>PL-CHR-HACKETT</x:v>
      </x:c>
      <x:c r="P20" s="7" t="str"/>
      <x:c r="Q20" s="7" t="str"/>
      <x:c r="R20" s="7" t="str"/>
      <x:c r="S20" s="7" t="str">
        <x:v>Sujet et intentions sont du design original, pas une transcription.</x:v>
      </x:c>
    </x:row>
    <x:row r="21" ht="82" customHeight="1">
      <x:c r="A21" s="18" t="str">
        <x:v>PL-DIA-LIARA</x:v>
      </x:c>
      <x:c r="B21" s="9" t="str">
        <x:v>Liara T’Soni — échange : interprétation d’un vestige</x:v>
      </x:c>
      <x:c r="C21" s="15" t="str">
        <x:v>Défini</x:v>
      </x:c>
      <x:c r="D21" s="16" t="str">
        <x:v>Extrapolation</x:v>
      </x:c>
      <x:c r="E21" s="16" t="str">
        <x:v>P1</x:v>
      </x:c>
      <x:c r="F21" s="9" t="str">
        <x:v>Dialogue original à écrire, sans reproduire les répliques de la publication.</x:v>
      </x:c>
      <x:c r="G21" s="9" t="str">
        <x:v>Intentions : aborder interprétation d’un vestige, poser une question de clarification, puis revenir à l’objectif local.</x:v>
      </x:c>
      <x:c r="H21" s="9" t="str">
        <x:v>Trois intentions proposées : demander un fait, exprimer une réserve, clore. Débloquer un indice local sans imposer une opinion au joueur.</x:v>
      </x:c>
      <x:c r="I21" s="9" t="str">
        <x:v>Portrait Liara T’Soni, interlocuteur actif et indication de la personne qui connaît le fait.</x:v>
      </x:c>
      <x:c r="J21" s="9" t="str">
        <x:v>Pose d’écoute puis réaction sobre ; ne pas boucler une émotion pendant une pause de lecture.</x:v>
      </x:c>
      <x:c r="K21" s="9" t="str">
        <x:v>Texte intégral affiché ; éventuelle voix originale avec débit réglable, sans imitation du casting.</x:v>
      </x:c>
      <x:c r="L21" s="9" t="str">
        <x:v>Dialogue graph pl.liara.interpretation-dun-vestige ; drapeaux de connaissance locaux.</x:v>
      </x:c>
      <x:c r="M2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1" s="9" t="str">
        <x:v>Aucune option ne révèle un savoir futur ; quitter puis reprendre conserve les sujets déjà abordés.</x:v>
      </x:c>
      <x:c r="O21" s="9" t="str">
        <x:v>PL-CHR-LIARA</x:v>
      </x:c>
      <x:c r="P21" s="9" t="str"/>
      <x:c r="Q21" s="9" t="str"/>
      <x:c r="R21" s="9" t="str"/>
      <x:c r="S21" s="9" t="str">
        <x:v>Sujet et intentions sont du design original, pas une transcription.</x:v>
      </x:c>
    </x:row>
  </x:sheetData>
  <x:conditionalFormatting sqref="D7:D21">
    <x:cfRule type="cellIs" dxfId="48" priority="1" operator="equal">
      <x:formula>"À vérifier"</x:formula>
    </x:cfRule>
    <x:cfRule type="cellIs" dxfId="49" priority="2" operator="equal">
      <x:formula>"Extrapolation"</x:formula>
    </x:cfRule>
  </x:conditionalFormatting>
  <x:conditionalFormatting sqref="C7:C21">
    <x:cfRule type="cellIs" dxfId="50" priority="3" operator="equal">
      <x:formula>"Validé"</x:formula>
    </x:cfRule>
  </x:conditionalFormatting>
  <x:conditionalFormatting sqref="E7:E21">
    <x:cfRule type="cellIs" dxfId="5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9a988301d27446d1"/>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Paragon Lost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PL-CIN-LAND</x:v>
      </x:c>
      <x:c r="B7" s="9" t="str">
        <x:v>Rallier l’escouade — transition narrative</x:v>
      </x:c>
      <x:c r="C7" s="15" t="str">
        <x:v>Défini</x:v>
      </x:c>
      <x:c r="D7" s="16" t="str">
        <x:v>Extrapolation</x:v>
      </x:c>
      <x:c r="E7" s="16" t="str">
        <x:v>P1</x:v>
      </x:c>
      <x:c r="F7" s="9" t="str">
        <x:v>Mise en scène originale compacte, sans reconstituer les dialogues de l’œuvre.</x:v>
      </x:c>
      <x:c r="G7" s="9" t="str">
        <x:v>Plan bref de la navette endommagée puis retour aux survivants.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cinematics/pl/land.timeline ; événements idempotents.</x:v>
      </x:c>
      <x:c r="M7" s="9" t="str">
        <x:v>Le contexte de 2183 est distingué du reste du film.</x:v>
      </x:c>
      <x:c r="N7" s="9" t="str">
        <x:v>Version regardée et version sautée donnent les mêmes inventaire, équipe, carte et objectifs.</x:v>
      </x:c>
      <x:c r="O7" s="9" t="str">
        <x:v>PL-MIS-LAND</x:v>
      </x:c>
      <x:c r="P7" s="9" t="str"/>
      <x:c r="Q7" s="9" t="str"/>
      <x:c r="R7" s="9" t="str"/>
      <x:c r="S7" s="9" t="str"/>
    </x:row>
    <x:row r="8" ht="54" customHeight="1">
      <x:c r="A8" s="19" t="str">
        <x:v>PL-CIN-FLANK</x:v>
      </x:c>
      <x:c r="B8" s="7" t="str">
        <x:v>Coordonner un flanc — transition narrative</x:v>
      </x:c>
      <x:c r="C8" s="15" t="str">
        <x:v>Défini</x:v>
      </x:c>
      <x:c r="D8" s="17" t="str">
        <x:v>Extrapolation</x:v>
      </x:c>
      <x:c r="E8" s="17" t="str">
        <x:v>P1</x:v>
      </x:c>
      <x:c r="F8" s="7" t="str">
        <x:v>Mise en scène originale compacte, sans reconstituer les dialogues de l’œuvre.</x:v>
      </x:c>
      <x:c r="G8" s="7" t="str">
        <x:v>Trois silhouettes se répondent sans reprendre le montage du film.</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cinematics/pl/flank.timeline ; événements idempotents.</x:v>
      </x:c>
      <x:c r="M8" s="7" t="str">
        <x:v>Le destin d’Archuk ne devient pas une option de recrutement.</x:v>
      </x:c>
      <x:c r="N8" s="7" t="str">
        <x:v>Version regardée et version sautée donnent les mêmes inventaire, équipe, carte et objectifs.</x:v>
      </x:c>
      <x:c r="O8" s="7" t="str">
        <x:v>PL-MIS-FLANK</x:v>
      </x:c>
      <x:c r="P8" s="7" t="str"/>
      <x:c r="Q8" s="7" t="str"/>
      <x:c r="R8" s="7" t="str"/>
      <x:c r="S8" s="7" t="str"/>
    </x:row>
    <x:row r="9" ht="54" customHeight="1">
      <x:c r="A9" s="18" t="str">
        <x:v>PL-CIN-CARE</x:v>
      </x:c>
      <x:c r="B9" s="9" t="str">
        <x:v>Entretenir la défense d’une colonie — transition narrative</x:v>
      </x:c>
      <x:c r="C9" s="15" t="str">
        <x:v>Défini</x:v>
      </x:c>
      <x:c r="D9" s="16" t="str">
        <x:v>Extrapolation</x:v>
      </x:c>
      <x:c r="E9" s="16" t="str">
        <x:v>P1</x:v>
      </x:c>
      <x:c r="F9" s="9" t="str">
        <x:v>Mise en scène originale compacte, sans reconstituer les dialogues de l’œuvre.</x:v>
      </x:c>
      <x:c r="G9" s="9" t="str">
        <x:v>Transition temporelle lisible vers une colonie remise en état.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cinematics/pl/care.timeline ; événements idempotents.</x:v>
      </x:c>
      <x:c r="M9" s="9" t="str">
        <x:v>Aucun risque imposé à April comme mini-jeu.</x:v>
      </x:c>
      <x:c r="N9" s="9" t="str">
        <x:v>Version regardée et version sautée donnent les mêmes inventaire, équipe, carte et objectifs.</x:v>
      </x:c>
      <x:c r="O9" s="9" t="str">
        <x:v>PL-MIS-CARE</x:v>
      </x:c>
      <x:c r="P9" s="9" t="str"/>
      <x:c r="Q9" s="9" t="str"/>
      <x:c r="R9" s="9" t="str"/>
      <x:c r="S9" s="9" t="str"/>
    </x:row>
    <x:row r="10" ht="54" customHeight="1">
      <x:c r="A10" s="19" t="str">
        <x:v>PL-CIN-SIGNAL</x:v>
      </x:c>
      <x:c r="B10" s="7" t="str">
        <x:v>Délimiter un signal inconnu — transition narrative</x:v>
      </x:c>
      <x:c r="C10" s="15" t="str">
        <x:v>Défini</x:v>
      </x:c>
      <x:c r="D10" s="17" t="str">
        <x:v>Extrapolation</x:v>
      </x:c>
      <x:c r="E10" s="17" t="str">
        <x:v>P1</x:v>
      </x:c>
      <x:c r="F10" s="7" t="str">
        <x:v>Mise en scène originale compacte, sans reconstituer les dialogues de l’œuvre.</x:v>
      </x:c>
      <x:c r="G10" s="7" t="str">
        <x:v>Silhouette du Mako près des vestiges et message de liaison court.</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cinematics/pl/signal.timeline ; événements idempotents.</x:v>
      </x:c>
      <x:c r="M10" s="7" t="str">
        <x:v>Liara reste une interlocutrice distante.</x:v>
      </x:c>
      <x:c r="N10" s="7" t="str">
        <x:v>Version regardée et version sautée donnent les mêmes inventaire, équipe, carte et objectifs.</x:v>
      </x:c>
      <x:c r="O10" s="7" t="str">
        <x:v>PL-MIS-SIGNAL</x:v>
      </x:c>
      <x:c r="P10" s="7" t="str"/>
      <x:c r="Q10" s="7" t="str"/>
      <x:c r="R10" s="7" t="str"/>
      <x:c r="S10" s="7" t="str"/>
    </x:row>
    <x:row r="11" ht="54" customHeight="1">
      <x:c r="A11" s="18" t="str">
        <x:v>PL-CIN-CANNON</x:v>
      </x:c>
      <x:c r="B11" s="9" t="str">
        <x:v>Garder une issue de repli — transition narrative</x:v>
      </x:c>
      <x:c r="C11" s="15" t="str">
        <x:v>Défini</x:v>
      </x:c>
      <x:c r="D11" s="16" t="str">
        <x:v>Extrapolation</x:v>
      </x:c>
      <x:c r="E11" s="16" t="str">
        <x:v>P1</x:v>
      </x:c>
      <x:c r="F11" s="9" t="str">
        <x:v>Mise en scène originale compacte, sans reconstituer les dialogues de l’œuvre.</x:v>
      </x:c>
      <x:c r="G11" s="9" t="str">
        <x:v>La caméra montre les personnes avant la machine.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cinematics/pl/cannon.timeline ; événements idempotents.</x:v>
      </x:c>
      <x:c r="M11" s="9" t="str">
        <x:v>Ne pas créer un tir parfait qui annule l’attaque canonique.</x:v>
      </x:c>
      <x:c r="N11" s="9" t="str">
        <x:v>Version regardée et version sautée donnent les mêmes inventaire, équipe, carte et objectifs.</x:v>
      </x:c>
      <x:c r="O11" s="9" t="str">
        <x:v>PL-MIS-CANNON</x:v>
      </x:c>
      <x:c r="P11" s="9" t="str"/>
      <x:c r="Q11" s="9" t="str"/>
      <x:c r="R11" s="9" t="str"/>
      <x:c r="S11" s="9" t="str"/>
    </x:row>
    <x:row r="12" ht="54" customHeight="1">
      <x:c r="A12" s="19" t="str">
        <x:v>PL-CIN-REFUGE</x:v>
      </x:c>
      <x:c r="B12" s="7" t="str">
        <x:v>Tenir les portes du refuge — transition narrative</x:v>
      </x:c>
      <x:c r="C12" s="15" t="str">
        <x:v>Défini</x:v>
      </x:c>
      <x:c r="D12" s="17" t="str">
        <x:v>Extrapolation</x:v>
      </x:c>
      <x:c r="E12" s="17" t="str">
        <x:v>P1</x:v>
      </x:c>
      <x:c r="F12" s="7" t="str">
        <x:v>Mise en scène originale compacte, sans reconstituer les dialogues de l’œuvre.</x:v>
      </x:c>
      <x:c r="G12" s="7" t="str">
        <x:v>La porte lourde réduit le bruit extérieur, sans apaisement complet.</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cinematics/pl/refuge.timeline ; événements idempotents.</x:v>
      </x:c>
      <x:c r="M12" s="7" t="str">
        <x:v>Présence et pertes de l’équipe doivent suivre les fenêtres du film.</x:v>
      </x:c>
      <x:c r="N12" s="7" t="str">
        <x:v>Version regardée et version sautée donnent les mêmes inventaire, équipe, carte et objectifs.</x:v>
      </x:c>
      <x:c r="O12" s="7" t="str">
        <x:v>PL-MIS-REFUGE</x:v>
      </x:c>
      <x:c r="P12" s="7" t="str"/>
      <x:c r="Q12" s="7" t="str"/>
      <x:c r="R12" s="7" t="str"/>
      <x:c r="S12" s="7" t="str"/>
    </x:row>
    <x:row r="13" ht="54" customHeight="1">
      <x:c r="A13" s="18" t="str">
        <x:v>PL-CIN-BOARD</x:v>
      </x:c>
      <x:c r="B13" s="9" t="str">
        <x:v>Préparer un abordage local — transition narrative</x:v>
      </x:c>
      <x:c r="C13" s="15" t="str">
        <x:v>Défini</x:v>
      </x:c>
      <x:c r="D13" s="16" t="str">
        <x:v>Extrapolation</x:v>
      </x:c>
      <x:c r="E13" s="16" t="str">
        <x:v>P1</x:v>
      </x:c>
      <x:c r="F13" s="9" t="str">
        <x:v>Mise en scène originale compacte, sans reconstituer les dialogues de l’œuvre.</x:v>
      </x:c>
      <x:c r="G13" s="9" t="str">
        <x:v>Un plan extérieur original situe l’échelle des deux vaisseaux.</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cinematics/pl/board.timeline ; événements idempotents.</x:v>
      </x:c>
      <x:c r="M13" s="9" t="str">
        <x:v>L’issue ne supprime pas les événements ultérieurs du film.</x:v>
      </x:c>
      <x:c r="N13" s="9" t="str">
        <x:v>Version regardée et version sautée donnent les mêmes inventaire, équipe, carte et objectifs.</x:v>
      </x:c>
      <x:c r="O13" s="9" t="str">
        <x:v>PL-MIS-BOARD</x:v>
      </x:c>
      <x:c r="P13" s="9" t="str"/>
      <x:c r="Q13" s="9" t="str"/>
      <x:c r="R13" s="9" t="str"/>
      <x:c r="S13" s="9" t="str"/>
    </x:row>
    <x:row r="14" ht="54" customHeight="1">
      <x:c r="A14" s="19" t="str">
        <x:v>PL-CIN-INTEL</x:v>
      </x:c>
      <x:c r="B14" s="7" t="str">
        <x:v>Protéger une information sous pression — transition narrative</x:v>
      </x:c>
      <x:c r="C14" s="15" t="str">
        <x:v>Défini</x:v>
      </x:c>
      <x:c r="D14" s="17" t="str">
        <x:v>Extrapolation</x:v>
      </x:c>
      <x:c r="E14" s="17" t="str">
        <x:v>P1</x:v>
      </x:c>
      <x:c r="F14" s="7" t="str">
        <x:v>Mise en scène originale compacte, sans reconstituer les dialogues de l’œuvre.</x:v>
      </x:c>
      <x:c r="G14" s="7" t="str">
        <x:v>Le bracelet devient un repère visuel, sans reproduire le contenu intégral de l’archive.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cinematics/pl/intel.timeline ; événements idempotents.</x:v>
      </x:c>
      <x:c r="M14" s="7" t="str">
        <x:v>La décision finale de Vega reste celle du film ; pas de fin parfaite.</x:v>
      </x:c>
      <x:c r="N14" s="7" t="str">
        <x:v>Version regardée et version sautée donnent les mêmes inventaire, équipe, carte et objectifs.</x:v>
      </x:c>
      <x:c r="O14" s="7" t="str">
        <x:v>PL-MIS-INTEL</x:v>
      </x:c>
      <x:c r="P14" s="7" t="str"/>
      <x:c r="Q14" s="7" t="str"/>
      <x:c r="R14" s="7" t="str"/>
      <x:c r="S14" s="7" t="str"/>
    </x:row>
    <x:row r="15" ht="54" customHeight="1">
      <x:c r="A15" s="18" t="str">
        <x:v>PL-CIN-REMEMBER</x:v>
      </x:c>
      <x:c r="B15" s="9" t="str">
        <x:v>Rendre compte des absents — transition narrative</x:v>
      </x:c>
      <x:c r="C15" s="15" t="str">
        <x:v>Défini</x:v>
      </x:c>
      <x:c r="D15" s="16" t="str">
        <x:v>Extrapolation</x:v>
      </x:c>
      <x:c r="E15" s="16" t="str">
        <x:v>P1</x:v>
      </x:c>
      <x:c r="F15" s="9" t="str">
        <x:v>Mise en scène originale compacte, sans reconstituer les dialogues de l’œuvre.</x:v>
      </x:c>
      <x:c r="G15" s="9" t="str">
        <x:v>Plan fixe sur les survivants espacés près du mémorial.</x:v>
      </x:c>
      <x:c r="H15" s="9" t="str">
        <x:v>Caméra et texte uniquement ; aucune commande de combat pendant la transition ; reprise au même état en cas de saut.</x:v>
      </x:c>
      <x:c r="I15" s="9" t="str">
        <x:v>Composition 3D sobre, silhouettes 2D au premier plan ; contrôler l’échelle des personnages.</x:v>
      </x:c>
      <x:c r="J15" s="9" t="str">
        <x:v>Deux ou trois plans courts proposés ; sortie anticipée applique les mêmes drapeaux que lecture complète.</x:v>
      </x:c>
      <x:c r="K15" s="9" t="str">
        <x:v>Musique originale sous les sous-titres ; aucun extrait de bande sonore officielle.</x:v>
      </x:c>
      <x:c r="L15" s="9" t="str">
        <x:v>cinematics/pl/remember.timeline ; événements idempotents.</x:v>
      </x:c>
      <x:c r="M15" s="9" t="str">
        <x:v>Ni résurrection, ni score de victoire basé sur les victimes.</x:v>
      </x:c>
      <x:c r="N15" s="9" t="str">
        <x:v>Version regardée et version sautée donnent les mêmes inventaire, équipe, carte et objectifs.</x:v>
      </x:c>
      <x:c r="O15" s="9" t="str">
        <x:v>PL-MIS-REMEMBER</x:v>
      </x:c>
      <x:c r="P15" s="9" t="str"/>
      <x:c r="Q15" s="9" t="str"/>
      <x:c r="R15" s="9" t="str"/>
      <x:c r="S15" s="9" t="str"/>
    </x:row>
  </x:sheetData>
  <x:conditionalFormatting sqref="D7:D15">
    <x:cfRule type="cellIs" dxfId="52" priority="1" operator="equal">
      <x:formula>"À vérifier"</x:formula>
    </x:cfRule>
    <x:cfRule type="cellIs" dxfId="53" priority="2" operator="equal">
      <x:formula>"Extrapolation"</x:formula>
    </x:cfRule>
  </x:conditionalFormatting>
  <x:conditionalFormatting sqref="C7:C15">
    <x:cfRule type="cellIs" dxfId="54" priority="3" operator="equal">
      <x:formula>"Validé"</x:formula>
    </x:cfRule>
  </x:conditionalFormatting>
  <x:conditionalFormatting sqref="E7:E15">
    <x:cfRule type="cellIs" dxfId="5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28e0cb1f99de4eb5"/>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Paragon Lost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PL-REF-CANNON</x:v>
      </x:c>
      <x:c r="B7" s="9" t="str">
        <x:v>Canon de défense de la colonie</x:v>
      </x:c>
      <x:c r="C7" s="15" t="str">
        <x:v>Défini</x:v>
      </x:c>
      <x:c r="D7" s="16" t="str">
        <x:v>Établi</x:v>
      </x:c>
      <x:c r="E7" s="16" t="str">
        <x:v>P1</x:v>
      </x:c>
      <x:c r="F7" s="9" t="str">
        <x:v>Un canon antinavire équipe les défenses de Fehl Prime.</x:v>
      </x:c>
      <x:c r="G7" s="9" t="str">
        <x:v>Ancrage documentaire du module ; aucune statistique officielle inférée.</x:v>
      </x:c>
      <x:c r="H7" s="9" t="str"/>
      <x:c r="I7" s="9" t="str"/>
      <x:c r="J7" s="9" t="str"/>
      <x:c r="K7" s="9" t="str"/>
      <x:c r="L7" s="9" t="str">
        <x:v>Codex ref.pl.cannon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PL-SRC-WIKI</x:v>
      </x:c>
      <x:c r="R7" s="9" t="str">
        <x:v>https://masseffect.fandom.com/wiki/Mass_Effect:_Paragon_Lost</x:v>
      </x:c>
      <x:c r="S7" s="9" t="str">
        <x:v>Ce relevé n’est ni un inventaire exhaustif ni un résumé scène par scène.</x:v>
      </x:c>
    </x:row>
    <x:row r="8" ht="82" customHeight="1">
      <x:c r="A8" s="19" t="str">
        <x:v>PL-REF-SNIPER</x:v>
      </x:c>
      <x:c r="B8" s="7" t="str">
        <x:v>Fusil de précision de Milque</x:v>
      </x:c>
      <x:c r="C8" s="15" t="str">
        <x:v>Défini</x:v>
      </x:c>
      <x:c r="D8" s="17" t="str">
        <x:v>Établi</x:v>
      </x:c>
      <x:c r="E8" s="17" t="str">
        <x:v>P1</x:v>
      </x:c>
      <x:c r="F8" s="7" t="str">
        <x:v>Milque fournit un appui à longue portée.</x:v>
      </x:c>
      <x:c r="G8" s="7" t="str">
        <x:v>Ancrage documentaire du module ; aucune statistique officielle inférée.</x:v>
      </x:c>
      <x:c r="H8" s="7" t="str"/>
      <x:c r="I8" s="7" t="str"/>
      <x:c r="J8" s="7" t="str"/>
      <x:c r="K8" s="7" t="str"/>
      <x:c r="L8" s="7" t="str">
        <x:v>Codex ref.pl.sniper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7" t="str">
        <x:v>https://masseffect.fandom.com/wiki/Mass_Effect:_Paragon_Lost</x:v>
      </x:c>
      <x:c r="S8" s="7" t="str">
        <x:v>Ce relevé n’est ni un inventaire exhaustif ni un résumé scène par scène.</x:v>
      </x:c>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b83bf639c1d4693"/>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Paragon Lost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PL-REF-MAKO</x:v>
      </x:c>
      <x:c r="B7" s="9" t="str">
        <x:v>M35 Mako</x:v>
      </x:c>
      <x:c r="C7" s="15" t="str">
        <x:v>Défini</x:v>
      </x:c>
      <x:c r="D7" s="16" t="str">
        <x:v>Établi</x:v>
      </x:c>
      <x:c r="E7" s="16" t="str">
        <x:v>P1</x:v>
      </x:c>
      <x:c r="F7" s="9" t="str">
        <x:v>Messner fournit le véhicule pour le déplacement vers les ruines.</x:v>
      </x:c>
      <x:c r="G7" s="9" t="str">
        <x:v>Ancrage documentaire du module ; aucune statistique officielle inférée.</x:v>
      </x:c>
      <x:c r="H7" s="9" t="str"/>
      <x:c r="I7" s="9" t="str"/>
      <x:c r="J7" s="9" t="str"/>
      <x:c r="K7" s="9" t="str"/>
      <x:c r="L7" s="9" t="str">
        <x:v>Codex ref.pl.mako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PL-SRC-MAKO</x:v>
      </x:c>
      <x:c r="R7" s="9" t="str">
        <x:v>https://masseffect.fandom.com/wiki/M35_Mako</x:v>
      </x:c>
      <x:c r="S7" s="9" t="str">
        <x:v>Ce relevé n’est ni un inventaire exhaustif ni un résumé scène par scène.</x:v>
      </x:c>
    </x:row>
    <x:row r="8" ht="82" customHeight="1">
      <x:c r="A8" s="19" t="str">
        <x:v>PL-REF-BROODSHIP</x:v>
      </x:c>
      <x:c r="B8" s="7" t="str">
        <x:v>Vaisseau de Brood</x:v>
      </x:c>
      <x:c r="C8" s="15" t="str">
        <x:v>Défini</x:v>
      </x:c>
      <x:c r="D8" s="17" t="str">
        <x:v>Établi</x:v>
      </x:c>
      <x:c r="E8" s="17" t="str">
        <x:v>P1</x:v>
      </x:c>
      <x:c r="F8" s="7" t="str">
        <x:v>Il sert au passage vers le vaisseau des Récolteurs.</x:v>
      </x:c>
      <x:c r="G8" s="7" t="str">
        <x:v>Ancrage documentaire du module ; aucune statistique officielle inférée.</x:v>
      </x:c>
      <x:c r="H8" s="7" t="str"/>
      <x:c r="I8" s="7" t="str"/>
      <x:c r="J8" s="7" t="str"/>
      <x:c r="K8" s="7" t="str"/>
      <x:c r="L8" s="7" t="str">
        <x:v>Codex ref.pl.broodship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7" t="str">
        <x:v>https://masseffect.fandom.com/wiki/Brood</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4ab8a39c5954e65"/>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Paragon Lost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PL-REF-DRONE</x:v>
      </x:c>
      <x:c r="B7" s="9" t="str">
        <x:v>Drone de combat de Nicky</x:v>
      </x:c>
      <x:c r="C7" s="15" t="str">
        <x:v>Défini</x:v>
      </x:c>
      <x:c r="D7" s="16" t="str">
        <x:v>Établi</x:v>
      </x:c>
      <x:c r="E7" s="16" t="str">
        <x:v>P1</x:v>
      </x:c>
      <x:c r="F7" s="9" t="str">
        <x:v>Le spécialiste déploie un drone pendant l’affrontement initial.</x:v>
      </x:c>
      <x:c r="G7" s="9" t="str">
        <x:v>Ancrage documentaire du module ; aucune statistique officielle inférée.</x:v>
      </x:c>
      <x:c r="H7" s="9" t="str"/>
      <x:c r="I7" s="9" t="str"/>
      <x:c r="J7" s="9" t="str"/>
      <x:c r="K7" s="9" t="str"/>
      <x:c r="L7" s="9" t="str">
        <x:v>Codex ref.pl.drone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PL-SRC-NICKY</x:v>
      </x:c>
      <x:c r="R7" s="9" t="str">
        <x:v>https://masseffect.fandom.com/wiki/Nicky</x:v>
      </x:c>
      <x:c r="S7" s="9" t="str">
        <x:v>Ce relevé n’est ni un inventaire exhaustif ni un résumé scène par scène.</x:v>
      </x:c>
    </x:row>
    <x:row r="8" ht="82" customHeight="1">
      <x:c r="A8" s="19" t="str">
        <x:v>PL-REF-BIO</x:v>
      </x:c>
      <x:c r="B8" s="7" t="str">
        <x:v>Biotique d’Essex</x:v>
      </x:c>
      <x:c r="C8" s="15" t="str">
        <x:v>Défini</x:v>
      </x:c>
      <x:c r="D8" s="17" t="str">
        <x:v>Établi</x:v>
      </x:c>
      <x:c r="E8" s="17" t="str">
        <x:v>P1</x:v>
      </x:c>
      <x:c r="F8" s="7" t="str">
        <x:v>Essex emploie la biotique dans le film.</x:v>
      </x:c>
      <x:c r="G8" s="7" t="str">
        <x:v>Ancrage documentaire du module ; aucune statistique officielle inférée.</x:v>
      </x:c>
      <x:c r="H8" s="7" t="str"/>
      <x:c r="I8" s="7" t="str"/>
      <x:c r="J8" s="7" t="str"/>
      <x:c r="K8" s="7" t="str"/>
      <x:c r="L8" s="7" t="str">
        <x:v>Codex ref.pl.bio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7" t="str">
        <x:v>https://masseffect.fandom.com/wiki/Mass_Effect:_Paragon_Lost</x:v>
      </x:c>
      <x:c r="S8" s="7" t="str">
        <x:v>Ce relevé n’est ni un inventaire exhaustif ni un résumé scène par scène.</x:v>
      </x:c>
    </x:row>
  </x:sheetData>
  <x:conditionalFormatting sqref="D7:D8">
    <x:cfRule type="cellIs" dxfId="64" priority="1" operator="equal">
      <x:formula>"À vérifier"</x:formula>
    </x:cfRule>
    <x:cfRule type="cellIs" dxfId="65" priority="2" operator="equal">
      <x:formula>"Extrapolation"</x:formula>
    </x:cfRule>
  </x:conditionalFormatting>
  <x:conditionalFormatting sqref="C7:C8">
    <x:cfRule type="cellIs" dxfId="66" priority="3" operator="equal">
      <x:formula>"Validé"</x:formula>
    </x:cfRule>
  </x:conditionalFormatting>
  <x:conditionalFormatting sqref="E7:E8">
    <x:cfRule type="cellIs" dxfId="6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e3c15b2c659441ca"/>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Paragon Lost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PL-MOV-COMMAND</x:v>
      </x:c>
      <x:c r="B7" s="9" t="str">
        <x:v>Coordination Delta</x:v>
      </x:c>
      <x:c r="C7" s="15" t="str">
        <x:v>Défini</x:v>
      </x:c>
      <x:c r="D7" s="16" t="str">
        <x:v>Extrapolation</x:v>
      </x:c>
      <x:c r="E7" s="16" t="str">
        <x:v>P1</x:v>
      </x:c>
      <x:c r="F7" s="9" t="str">
        <x:v>Action de groupe originale ; elle n’est pas une compétence officielle de cette œuvre.</x:v>
      </x:c>
      <x:c r="G7" s="9" t="str">
        <x:v>Vega : Accorder une fenêtre de déplacement à un allié en concentrant l’appui de l’équipe.</x:v>
      </x:c>
      <x:c r="H7" s="9" t="str">
        <x:v>Accorder une fenêtre de déplacement à un allié en concentrant l’appui de l’équipe. Coût initial proposé : une action ATB ; coût et délai restent des paramètres de prototype.</x:v>
      </x:c>
      <x:c r="I7" s="9" t="str">
        <x:v>Flèches entre les deux acteurs concernés.</x:v>
      </x:c>
      <x:c r="J7" s="9" t="str">
        <x:v>Préparation, validation de cible, engagement et récupération ; prévoir animation de refus avec motif.</x:v>
      </x:c>
      <x:c r="K7" s="9" t="str">
        <x:v>Confirmation et refus distingués ; texte d’état accessible au clavier.</x:v>
      </x:c>
      <x:c r="L7" s="9" t="str">
        <x:v>actions/pl/command.json ; commande, cibles autorisées, coût, effets, nettoyage.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Une cible incompatible ne consomme rien ; l’effet est réversible au rechargement du point de contrôle.</x:v>
      </x:c>
      <x:c r="O7" s="9" t="str"/>
      <x:c r="P7" s="9" t="str"/>
      <x:c r="Q7" s="9" t="str"/>
      <x:c r="R7" s="9" t="str"/>
      <x:c r="S7" s="9" t="str"/>
    </x:row>
    <x:row r="8" ht="82" customHeight="1">
      <x:c r="A8" s="19" t="str">
        <x:v>PL-MOV-DRONE</x:v>
      </x:c>
      <x:c r="B8" s="7" t="str">
        <x:v>Diversion de drone</x:v>
      </x:c>
      <x:c r="C8" s="15" t="str">
        <x:v>Défini</x:v>
      </x:c>
      <x:c r="D8" s="17" t="str">
        <x:v>Extrapolation</x:v>
      </x:c>
      <x:c r="E8" s="17" t="str">
        <x:v>P1</x:v>
      </x:c>
      <x:c r="F8" s="7" t="str">
        <x:v>Action de groupe originale ; elle n’est pas une compétence officielle de cette œuvre.</x:v>
      </x:c>
      <x:c r="G8" s="7" t="str">
        <x:v>Nicky : Déployer un leurre de combat temporaire dans une zone choisie ; durée réglage proposé.</x:v>
      </x:c>
      <x:c r="H8" s="7" t="str">
        <x:v>Déployer un leurre de combat temporaire dans une zone choisie ; durée réglage proposé. Coût initial proposé : une action ATB ; coût et délai restent des paramètres de prototype.</x:v>
      </x:c>
      <x:c r="I8" s="7" t="str">
        <x:v>Drone distinct de l’ennemi et aire d’influence.</x:v>
      </x:c>
      <x:c r="J8" s="7" t="str">
        <x:v>Préparation, validation de cible, engagement et récupération ; prévoir animation de refus avec motif.</x:v>
      </x:c>
      <x:c r="K8" s="7" t="str">
        <x:v>Confirmation et refus distingués ; texte d’état accessible au clavier.</x:v>
      </x:c>
      <x:c r="L8" s="7" t="str">
        <x:v>actions/pl/drone.json ; commande, cibles autorisées, coût, effets, nettoyage.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Une cible incompatible ne consomme rien ; l’effet est réversible au rechargement du point de contrôle.</x:v>
      </x:c>
      <x:c r="O8" s="7" t="str"/>
      <x:c r="P8" s="7" t="str"/>
      <x:c r="Q8" s="7" t="str"/>
      <x:c r="R8" s="7" t="str"/>
      <x:c r="S8" s="7" t="str"/>
    </x:row>
    <x:row r="9" ht="82" customHeight="1">
      <x:c r="A9" s="18" t="str">
        <x:v>PL-MOV-SNIPE</x:v>
      </x:c>
      <x:c r="B9" s="9" t="str">
        <x:v>Appui de précision</x:v>
      </x:c>
      <x:c r="C9" s="15" t="str">
        <x:v>Défini</x:v>
      </x:c>
      <x:c r="D9" s="16" t="str">
        <x:v>Extrapolation</x:v>
      </x:c>
      <x:c r="E9" s="16" t="str">
        <x:v>P1</x:v>
      </x:c>
      <x:c r="F9" s="9" t="str">
        <x:v>Action de groupe originale ; elle n’est pas une compétence officielle de cette œuvre.</x:v>
      </x:c>
      <x:c r="G9" s="9" t="str">
        <x:v>Milque : Préparer un tir pour interrompre une menace annoncée ; perte de préparation si le tireur se déplace.</x:v>
      </x:c>
      <x:c r="H9" s="9" t="str">
        <x:v>Préparer un tir pour interrompre une menace annoncée ; perte de préparation si le tireur se déplace. Coût initial proposé : une action ATB ; coût et délai restent des paramètres de prototype.</x:v>
      </x:c>
      <x:c r="I9" s="9" t="str">
        <x:v>Ligne fine visible et symbole prêt.</x:v>
      </x:c>
      <x:c r="J9" s="9" t="str">
        <x:v>Préparation, validation de cible, engagement et récupération ; prévoir animation de refus avec motif.</x:v>
      </x:c>
      <x:c r="K9" s="9" t="str">
        <x:v>Confirmation et refus distingués ; texte d’état accessible au clavier.</x:v>
      </x:c>
      <x:c r="L9" s="9" t="str">
        <x:v>actions/pl/snipe.json ; commande, cibles autorisées, coût, effets, nettoyage.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Une cible incompatible ne consomme rien ; l’effet est réversible au rechargement du point de contrôle.</x:v>
      </x:c>
      <x:c r="O9" s="9" t="str"/>
      <x:c r="P9" s="9" t="str"/>
      <x:c r="Q9" s="9" t="str"/>
      <x:c r="R9" s="9" t="str"/>
      <x:c r="S9" s="9" t="str"/>
    </x:row>
    <x:row r="10" ht="82" customHeight="1">
      <x:c r="A10" s="19" t="str">
        <x:v>PL-MOV-BIOTIC</x:v>
      </x:c>
      <x:c r="B10" s="7" t="str">
        <x:v>Dégagement biotique</x:v>
      </x:c>
      <x:c r="C10" s="15" t="str">
        <x:v>Défini</x:v>
      </x:c>
      <x:c r="D10" s="17" t="str">
        <x:v>Extrapolation</x:v>
      </x:c>
      <x:c r="E10" s="17" t="str">
        <x:v>P1</x:v>
      </x:c>
      <x:c r="F10" s="7" t="str">
        <x:v>Action de groupe originale ; elle n’est pas une compétence officielle de cette œuvre.</x:v>
      </x:c>
      <x:c r="G10" s="7" t="str">
        <x:v>Essex : Repousser un obstacle ou une menace ajoutée hors d’une voie de passage autorisée.</x:v>
      </x:c>
      <x:c r="H10" s="7" t="str">
        <x:v>Repousser un obstacle ou une menace ajoutée hors d’une voie de passage autorisée. Coût initial proposé : une action ATB ; coût et délai restent des paramètres de prototype.</x:v>
      </x:c>
      <x:c r="I10" s="7" t="str">
        <x:v>Onde locale bleue sans flash plein écran.</x:v>
      </x:c>
      <x:c r="J10" s="7" t="str">
        <x:v>Préparation, validation de cible, engagement et récupération ; prévoir animation de refus avec motif.</x:v>
      </x:c>
      <x:c r="K10" s="7" t="str">
        <x:v>Confirmation et refus distingués ; texte d’état accessible au clavier.</x:v>
      </x:c>
      <x:c r="L10" s="7" t="str">
        <x:v>actions/pl/biotic.json ; commande, cibles autorisées, coût, effets, nettoyage.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Une cible incompatible ne consomme rien ; l’effet est réversible au rechargement du point de contrôle.</x:v>
      </x:c>
      <x:c r="O10" s="7" t="str"/>
      <x:c r="P10" s="7" t="str"/>
      <x:c r="Q10" s="7" t="str"/>
      <x:c r="R10" s="7" t="str"/>
      <x:c r="S10" s="7" t="str"/>
    </x:row>
    <x:row r="11" ht="82" customHeight="1">
      <x:c r="A11" s="18" t="str">
        <x:v>PL-MOV-READ</x:v>
      </x:c>
      <x:c r="B11" s="9" t="str">
        <x:v>Lecture de vestige</x:v>
      </x:c>
      <x:c r="C11" s="15" t="str">
        <x:v>Défini</x:v>
      </x:c>
      <x:c r="D11" s="16" t="str">
        <x:v>Extrapolation</x:v>
      </x:c>
      <x:c r="E11" s="16" t="str">
        <x:v>P1</x:v>
      </x:c>
      <x:c r="F11" s="9" t="str">
        <x:v>Action de groupe originale ; elle n’est pas une compétence officielle de cette œuvre.</x:v>
      </x:c>
      <x:c r="G11" s="9" t="str">
        <x:v>Treeya : Interpréter une trace locale abstraite et afficher ce qui reste incertain.</x:v>
      </x:c>
      <x:c r="H11" s="9" t="str">
        <x:v>Interpréter une trace locale abstraite et afficher ce qui reste incertain. Coût initial proposé : une action ATB ; coût et délai restent des paramètres de prototype.</x:v>
      </x:c>
      <x:c r="I11" s="9" t="str">
        <x:v>Panneau de comparaison sans texte prothéen prétendu authentique.</x:v>
      </x:c>
      <x:c r="J11" s="9" t="str">
        <x:v>Préparation, validation de cible, engagement et récupération ; prévoir animation de refus avec motif.</x:v>
      </x:c>
      <x:c r="K11" s="9" t="str">
        <x:v>Confirmation et refus distingués ; texte d’état accessible au clavier.</x:v>
      </x:c>
      <x:c r="L11" s="9" t="str">
        <x:v>actions/pl/read.json ; commande, cibles autorisées, coût, effets, nettoyage.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Une cible incompatible ne consomme rien ; l’effet est réversible au rechargement du point de contrôle.</x:v>
      </x:c>
      <x:c r="O11" s="9" t="str"/>
      <x:c r="P11" s="9" t="str"/>
      <x:c r="Q11" s="9" t="str"/>
      <x:c r="R11" s="9" t="str"/>
      <x:c r="S11" s="9" t="str"/>
    </x:row>
    <x:row r="12" ht="82" customHeight="1">
      <x:c r="A12" s="19" t="str">
        <x:v>PL-MOV-FLANK</x:v>
      </x:c>
      <x:c r="B12" s="7" t="str">
        <x:v>Progression latérale</x:v>
      </x:c>
      <x:c r="C12" s="15" t="str">
        <x:v>Défini</x:v>
      </x:c>
      <x:c r="D12" s="17" t="str">
        <x:v>Extrapolation</x:v>
      </x:c>
      <x:c r="E12" s="17" t="str">
        <x:v>P1</x:v>
      </x:c>
      <x:c r="F12" s="7" t="str">
        <x:v>Action de groupe originale ; elle n’est pas une compétence officielle de cette œuvre.</x:v>
      </x:c>
      <x:c r="G12" s="7" t="str">
        <x:v>Kamille et Mason : Changer de couvert en tandem pendant qu’un troisième acteur fixe la menace.</x:v>
      </x:c>
      <x:c r="H12" s="7" t="str">
        <x:v>Changer de couvert en tandem pendant qu’un troisième acteur fixe la menace. Coût initial proposé : une action ATB ; coût et délai restent des paramètres de prototype.</x:v>
      </x:c>
      <x:c r="I12" s="7" t="str">
        <x:v>Deux trajectoires qui restent visibles en pause.</x:v>
      </x:c>
      <x:c r="J12" s="7" t="str">
        <x:v>Préparation, validation de cible, engagement et récupération ; prévoir animation de refus avec motif.</x:v>
      </x:c>
      <x:c r="K12" s="7" t="str">
        <x:v>Confirmation et refus distingués ; texte d’état accessible au clavier.</x:v>
      </x:c>
      <x:c r="L12" s="7" t="str">
        <x:v>actions/pl/flank.json ; commande, cibles autorisées, coût, effets, nettoyage.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Une cible incompatible ne consomme rien ; l’effet est réversible au rechargement du point de contrôle.</x:v>
      </x:c>
      <x:c r="O12" s="7" t="str"/>
      <x:c r="P12" s="7" t="str"/>
      <x:c r="Q12" s="7" t="str"/>
      <x:c r="R12" s="7" t="str"/>
      <x:c r="S12" s="7" t="str"/>
    </x:row>
    <x:row r="13" ht="82" customHeight="1">
      <x:c r="A13" s="18" t="str">
        <x:v>PL-MOV-PILOT</x:v>
      </x:c>
      <x:c r="B13" s="9" t="str">
        <x:v>Appui de pilote</x:v>
      </x:c>
      <x:c r="C13" s="15" t="str">
        <x:v>Défini</x:v>
      </x:c>
      <x:c r="D13" s="16" t="str">
        <x:v>Extrapolation</x:v>
      </x:c>
      <x:c r="E13" s="16" t="str">
        <x:v>P1</x:v>
      </x:c>
      <x:c r="F13" s="9" t="str">
        <x:v>Action de groupe originale ; elle n’est pas une compétence officielle de cette œuvre.</x:v>
      </x:c>
      <x:c r="G13" s="9" t="str">
        <x:v>Brood : Ouvrir un créneau de transit scénarisé ; aucune navigation libre dans le monde.</x:v>
      </x:c>
      <x:c r="H13" s="9" t="str">
        <x:v>Ouvrir un créneau de transit scénarisé ; aucune navigation libre dans le monde. Coût initial proposé : une action ATB ; coût et délai restent des paramètres de prototype.</x:v>
      </x:c>
      <x:c r="I13" s="9" t="str">
        <x:v>Signal moteur et route d’embarquement.</x:v>
      </x:c>
      <x:c r="J13" s="9" t="str">
        <x:v>Préparation, validation de cible, engagement et récupération ; prévoir animation de refus avec motif.</x:v>
      </x:c>
      <x:c r="K13" s="9" t="str">
        <x:v>Confirmation et refus distingués ; texte d’état accessible au clavier.</x:v>
      </x:c>
      <x:c r="L13" s="9" t="str">
        <x:v>actions/pl/pilot.json ; commande, cibles autorisées, coût, effets, nettoyage.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Une cible incompatible ne consomme rien ; l’effet est réversible au rechargement du point de contrôle.</x:v>
      </x:c>
      <x:c r="O13" s="9" t="str"/>
      <x:c r="P13" s="9" t="str"/>
      <x:c r="Q13" s="9" t="str"/>
      <x:c r="R13" s="9" t="str"/>
      <x:c r="S13" s="9" t="str"/>
    </x:row>
  </x:sheetData>
  <x:conditionalFormatting sqref="D7:D13">
    <x:cfRule type="cellIs" dxfId="68" priority="1" operator="equal">
      <x:formula>"À vérifier"</x:formula>
    </x:cfRule>
    <x:cfRule type="cellIs" dxfId="69" priority="2" operator="equal">
      <x:formula>"Extrapolation"</x:formula>
    </x:cfRule>
  </x:conditionalFormatting>
  <x:conditionalFormatting sqref="C7:C13">
    <x:cfRule type="cellIs" dxfId="70" priority="3" operator="equal">
      <x:formula>"Validé"</x:formula>
    </x:cfRule>
  </x:conditionalFormatting>
  <x:conditionalFormatting sqref="E7:E13">
    <x:cfRule type="cellIs" dxfId="7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b259fe5d79be4d0d"/>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Paragon Lost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PL-EMV-PACK</x:v>
      </x:c>
      <x:c r="B7" s="9" t="str">
        <x:v>Mercenaires du Blood Pack — rencontre proposée — comportement principal</x:v>
      </x:c>
      <x:c r="C7" s="15" t="str">
        <x:v>Défini</x:v>
      </x:c>
      <x:c r="D7" s="16" t="str">
        <x:v>Extrapolation</x:v>
      </x:c>
      <x:c r="E7" s="16" t="str">
        <x:v>P1</x:v>
      </x:c>
      <x:c r="F7" s="9" t="str">
        <x:v>Comportement proposé pour la rencontre liée.</x:v>
      </x:c>
      <x:c r="G7" s="9" t="str">
        <x:v>Alternent tir de maintien et changement de couverture.</x:v>
      </x:c>
      <x:c r="H7" s="9" t="str">
        <x:v>Télégraphe : Préparation de l’arme et arc de tir au sol. Contre-mesure : Utiliser le flanc ouvert par le soutien.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behaviors/pl/pack : prepare/commit/recover ; paramètres séparés du code.</x:v>
      </x:c>
      <x:c r="M7" s="9" t="str">
        <x:v>Uniquement quand la rencontre correspondante est active.</x:v>
      </x:c>
      <x:c r="N7" s="9" t="str">
        <x:v>L’indicateur apparaît avant la conséquence ; la contre-mesure fonctionne en pause et à vitesse normale.</x:v>
      </x:c>
      <x:c r="O7" s="9" t="str">
        <x:v>PL-ENC-PACK</x:v>
      </x:c>
      <x:c r="P7" s="9" t="str"/>
      <x:c r="Q7" s="9" t="str"/>
      <x:c r="R7" s="9" t="str"/>
      <x:c r="S7" s="9" t="str"/>
    </x:row>
    <x:row r="8" ht="68" customHeight="1">
      <x:c r="A8" s="19" t="str">
        <x:v>PL-EMV-ARCHUK</x:v>
      </x:c>
      <x:c r="B8" s="7" t="str">
        <x:v>Archuk — boss tactique proposé — comportement principal</x:v>
      </x:c>
      <x:c r="C8" s="15" t="str">
        <x:v>Défini</x:v>
      </x:c>
      <x:c r="D8" s="17" t="str">
        <x:v>Extrapolation</x:v>
      </x:c>
      <x:c r="E8" s="17" t="str">
        <x:v>P1</x:v>
      </x:c>
      <x:c r="F8" s="7" t="str">
        <x:v>Comportement proposé pour la rencontre liée.</x:v>
      </x:c>
      <x:c r="G8" s="7" t="str">
        <x:v>Menace une prise rapprochée puis expose une ouverture pendant sa récupération.</x:v>
      </x:c>
      <x:c r="H8" s="7" t="str">
        <x:v>Télégraphe : Épaules abaissées et trajet de charge matérialisé. Contre-mesure : Éviter l’axe, attirer son attention et coordonner l’appui.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behaviors/pl/archuk : prepare/commit/recover ; paramètres séparés du code.</x:v>
      </x:c>
      <x:c r="M8" s="7" t="str">
        <x:v>Uniquement quand la rencontre correspondante est active.</x:v>
      </x:c>
      <x:c r="N8" s="7" t="str">
        <x:v>L’indicateur apparaît avant la conséquence ; la contre-mesure fonctionne en pause et à vitesse normale.</x:v>
      </x:c>
      <x:c r="O8" s="7" t="str">
        <x:v>PL-ENC-ARCHUK</x:v>
      </x:c>
      <x:c r="P8" s="7" t="str"/>
      <x:c r="Q8" s="7" t="str"/>
      <x:c r="R8" s="7" t="str"/>
      <x:c r="S8" s="7" t="str"/>
    </x:row>
    <x:row r="9" ht="82" customHeight="1">
      <x:c r="A9" s="18" t="str">
        <x:v>PL-EMV-SEEKERS</x:v>
      </x:c>
      <x:c r="B9" s="9" t="str">
        <x:v>Essaim de chercheurs — danger proposé — comportement principal</x:v>
      </x:c>
      <x:c r="C9" s="15" t="str">
        <x:v>Défini</x:v>
      </x:c>
      <x:c r="D9" s="16" t="str">
        <x:v>Extrapolation</x:v>
      </x:c>
      <x:c r="E9" s="16" t="str">
        <x:v>P1</x:v>
      </x:c>
      <x:c r="F9" s="9" t="str">
        <x:v>Comportement proposé pour la rencontre liée.</x:v>
      </x:c>
      <x:c r="G9" s="9" t="str">
        <x:v>Ferme une portion de terrain et force une route abritée.</x:v>
      </x:c>
      <x:c r="H9" s="9" t="str">
        <x:v>Télégraphe : Nuage identifiable avec bord externe et icône de paralysie de fiction. Contre-mesure : Utiliser le couvert autorisé et attendre une fenêtre sûre.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behaviors/pl/seekers : prepare/commit/recover ; paramètres séparés du code.</x:v>
      </x:c>
      <x:c r="M9" s="9" t="str">
        <x:v>Uniquement quand la rencontre correspondante est active.</x:v>
      </x:c>
      <x:c r="N9" s="9" t="str">
        <x:v>L’indicateur apparaît avant la conséquence ; la contre-mesure fonctionne en pause et à vitesse normale.</x:v>
      </x:c>
      <x:c r="O9" s="9" t="str">
        <x:v>PL-ENC-SEEKERS</x:v>
      </x:c>
      <x:c r="P9" s="9" t="str"/>
      <x:c r="Q9" s="9" t="str"/>
      <x:c r="R9" s="9" t="str"/>
      <x:c r="S9" s="9" t="str"/>
    </x:row>
    <x:row r="10" ht="82" customHeight="1">
      <x:c r="A10" s="19" t="str">
        <x:v>PL-EMV-PRAETORIAN</x:v>
      </x:c>
      <x:c r="B10" s="7" t="str">
        <x:v>Prétorien — poursuite proposée — comportement principal</x:v>
      </x:c>
      <x:c r="C10" s="15" t="str">
        <x:v>Défini</x:v>
      </x:c>
      <x:c r="D10" s="17" t="str">
        <x:v>Extrapolation</x:v>
      </x:c>
      <x:c r="E10" s="17" t="str">
        <x:v>P1</x:v>
      </x:c>
      <x:c r="F10" s="7" t="str">
        <x:v>Comportement proposé pour la rencontre liée.</x:v>
      </x:c>
      <x:c r="G10" s="7" t="str">
        <x:v>Avance sur un couloir et prépare une frappe de zone.</x:v>
      </x:c>
      <x:c r="H10" s="7" t="str">
        <x:v>Télégraphe : Silhouette entière visible, appui des membres et cercle de menace. Contre-mesure : Ouvrir le sas suivant puis interrompre l’approche par une action coordonnée.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behaviors/pl/praetorian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PL-ENC-PRAETORIAN</x:v>
      </x:c>
      <x:c r="P10" s="7" t="str"/>
      <x:c r="Q10" s="7" t="str"/>
      <x:c r="R10" s="7" t="str"/>
      <x:c r="S10" s="7" t="str"/>
    </x:row>
    <x:row r="11" ht="68" customHeight="1">
      <x:c r="A11" s="18" t="str">
        <x:v>PL-EMV-DRONES</x:v>
      </x:c>
      <x:c r="B11" s="9" t="str">
        <x:v>Escouade de Récolteurs proposée — comportement principal</x:v>
      </x:c>
      <x:c r="C11" s="15" t="str">
        <x:v>Défini</x:v>
      </x:c>
      <x:c r="D11" s="16" t="str">
        <x:v>Extrapolation</x:v>
      </x:c>
      <x:c r="E11" s="16" t="str">
        <x:v>P1</x:v>
      </x:c>
      <x:c r="F11" s="9" t="str">
        <x:v>Comportement proposé pour la rencontre liée.</x:v>
      </x:c>
      <x:c r="G11" s="9" t="str">
        <x:v>Protège un poste et tente d’isoler le porteur de preuve.</x:v>
      </x:c>
      <x:c r="H11" s="9" t="str">
        <x:v>Télégraphe : Cibles de verrouillage et formation clairement espacée. Contre-mesure : Rompre la ligne et déplacer le porteur sous couverture. Consommer une action ATB à l’engagement ; équilibrage à mesurer au prototype.</x:v>
      </x:c>
      <x:c r="I11" s="9" t="str">
        <x:v>Rendre l’aire touchée lisible au sol et sur le HUD ; ne jamais dépendre seulement de la couleur.</x:v>
      </x:c>
      <x:c r="J11" s="9" t="str">
        <x:v>Bloquer la cible au début de l’engagement ; annuler proprement si les préconditions disparaissent.</x:v>
      </x:c>
      <x:c r="K11" s="9" t="str">
        <x:v>Signal préalable distinct du son d’impact ; option pour réduire les sons agressifs.</x:v>
      </x:c>
      <x:c r="L11" s="9" t="str">
        <x:v>behaviors/pl/drones : prepare/commit/recover ; paramètres séparés du code.</x:v>
      </x:c>
      <x:c r="M11" s="9" t="str">
        <x:v>Uniquement quand la rencontre correspondante est active.</x:v>
      </x:c>
      <x:c r="N11" s="9" t="str">
        <x:v>L’indicateur apparaît avant la conséquence ; la contre-mesure fonctionne en pause et à vitesse normale.</x:v>
      </x:c>
      <x:c r="O11" s="9" t="str">
        <x:v>PL-ENC-DRONES</x:v>
      </x:c>
      <x:c r="P11" s="9" t="str"/>
      <x:c r="Q11" s="9" t="str"/>
      <x:c r="R11" s="9" t="str"/>
      <x:c r="S11" s="9" t="str"/>
    </x:row>
  </x:sheetData>
  <x:conditionalFormatting sqref="D7:D11">
    <x:cfRule type="cellIs" dxfId="72" priority="1" operator="equal">
      <x:formula>"À vérifier"</x:formula>
    </x:cfRule>
    <x:cfRule type="cellIs" dxfId="73" priority="2" operator="equal">
      <x:formula>"Extrapolation"</x:formula>
    </x:cfRule>
  </x:conditionalFormatting>
  <x:conditionalFormatting sqref="C7:C11">
    <x:cfRule type="cellIs" dxfId="74" priority="3" operator="equal">
      <x:formula>"Validé"</x:formula>
    </x:cfRule>
  </x:conditionalFormatting>
  <x:conditionalFormatting sqref="E7:E11">
    <x:cfRule type="cellIs" dxfId="7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2aee67a713ba461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Paragon Lost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PL-ANI-VEGA</x:v>
      </x:c>
      <x:c r="B7" s="9" t="str">
        <x:v>James Vega — jeu de poses contextuelles</x:v>
      </x:c>
      <x:c r="C7" s="15" t="str">
        <x:v>Défini</x:v>
      </x:c>
      <x:c r="D7" s="16" t="str">
        <x:v>Extrapolation</x:v>
      </x:c>
      <x:c r="E7" s="16" t="str">
        <x:v>P1</x:v>
      </x:c>
      <x:c r="F7" s="9" t="str">
        <x:v>Création proposée : poses nécessaires à l’interaction « Commander une manœuvre de groupe et protéger un déplacement. ».</x:v>
      </x:c>
      <x:c r="G7" s="9" t="str">
        <x:v>Blocage animé de James Vega : anticipation, action, récupération, retour au repos ; prévoir une interruption propre.</x:v>
      </x:c>
      <x:c r="H7" s="9" t="str">
        <x:v>Commander une manœuvre de groupe et protéger un déplacement. L’effet logique ne dépend jamais de la cadence du rendu.</x:v>
      </x:c>
      <x:c r="I7" s="9" t="str">
        <x:v>Conserver les repères de silhouette : Corps puissant, armure du film à contrôler ; ne pas remplacer automatiquement par le modèle de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actor.pl.vega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PL-SPR-VEGA</x:v>
      </x:c>
      <x:c r="P7" s="9" t="str"/>
      <x:c r="Q7" s="9" t="str"/>
      <x:c r="R7" s="9" t="str"/>
      <x:c r="S7" s="9" t="str"/>
    </x:row>
    <x:row r="8" ht="54" customHeight="1">
      <x:c r="A8" s="19" t="str">
        <x:v>PL-ANI-TREEYA</x:v>
      </x:c>
      <x:c r="B8" s="7" t="str">
        <x:v>Treeya Nuwani — jeu de poses contextuelles</x:v>
      </x:c>
      <x:c r="C8" s="15" t="str">
        <x:v>Défini</x:v>
      </x:c>
      <x:c r="D8" s="17" t="str">
        <x:v>Extrapolation</x:v>
      </x:c>
      <x:c r="E8" s="17" t="str">
        <x:v>P1</x:v>
      </x:c>
      <x:c r="F8" s="7" t="str">
        <x:v>Création proposée : poses nécessaires à l’interaction « Examiner une trace archéologique sans devenir un soldat par défaut. ».</x:v>
      </x:c>
      <x:c r="G8" s="7" t="str">
        <x:v>Blocage animé de Treeya Nuwani : anticipation, action, récupération, retour au repos ; prévoir une interruption propre.</x:v>
      </x:c>
      <x:c r="H8" s="7" t="str">
        <x:v>Examiner une trace archéologique sans devenir un soldat par défaut. L’effet logique ne dépend jamais de la cadence du rendu.</x:v>
      </x:c>
      <x:c r="I8" s="7" t="str">
        <x:v>Conserver les repères de silhouette : Tenue de recherche du film à relever, silhouette civile distincte de l’escouade.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actor.pl.treeya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PL-SPR-TREEYA</x:v>
      </x:c>
      <x:c r="P8" s="7" t="str"/>
      <x:c r="Q8" s="7" t="str"/>
      <x:c r="R8" s="7" t="str"/>
      <x:c r="S8" s="7" t="str"/>
    </x:row>
    <x:row r="9" ht="54" customHeight="1">
      <x:c r="A9" s="18" t="str">
        <x:v>PL-ANI-MILQUE</x:v>
      </x:c>
      <x:c r="B9" s="9" t="str">
        <x:v>Milque — jeu de poses contextuelles</x:v>
      </x:c>
      <x:c r="C9" s="15" t="str">
        <x:v>Défini</x:v>
      </x:c>
      <x:c r="D9" s="16" t="str">
        <x:v>Extrapolation</x:v>
      </x:c>
      <x:c r="E9" s="16" t="str">
        <x:v>P1</x:v>
      </x:c>
      <x:c r="F9" s="9" t="str">
        <x:v>Création proposée : poses nécessaires à l’interaction « Couvrir une ligne de passage après une préparation visible. ».</x:v>
      </x:c>
      <x:c r="G9" s="9" t="str">
        <x:v>Blocage animé de Milque : anticipation, action, récupération, retour au repos ; prévoir une interruption propre.</x:v>
      </x:c>
      <x:c r="H9" s="9" t="str">
        <x:v>Couvrir une ligne de passage après une préparation visible. L’effet logique ne dépend jamais de la cadence du rendu.</x:v>
      </x:c>
      <x:c r="I9" s="9" t="str">
        <x:v>Conserver les repères de silhouette : Silhouette allongée et fusil long ; accessoires exacts à relever.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actor.pl.milque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PL-SPR-MILQUE</x:v>
      </x:c>
      <x:c r="P9" s="9" t="str"/>
      <x:c r="Q9" s="9" t="str"/>
      <x:c r="R9" s="9" t="str"/>
      <x:c r="S9" s="9" t="str"/>
    </x:row>
    <x:row r="10" ht="54" customHeight="1">
      <x:c r="A10" s="19" t="str">
        <x:v>PL-ANI-ESSEX</x:v>
      </x:c>
      <x:c r="B10" s="7" t="str">
        <x:v>Essex — jeu de poses contextuelles</x:v>
      </x:c>
      <x:c r="C10" s="15" t="str">
        <x:v>Défini</x:v>
      </x:c>
      <x:c r="D10" s="17" t="str">
        <x:v>Extrapolation</x:v>
      </x:c>
      <x:c r="E10" s="17" t="str">
        <x:v>P1</x:v>
      </x:c>
      <x:c r="F10" s="7" t="str">
        <x:v>Création proposée : poses nécessaires à l’interaction « Déplacer un obstacle ou maintenir un créneau de défense. ».</x:v>
      </x:c>
      <x:c r="G10" s="7" t="str">
        <x:v>Blocage animé de Essex : anticipation, action, récupération, retour au repos ; prévoir une interruption propre.</x:v>
      </x:c>
      <x:c r="H10" s="7" t="str">
        <x:v>Déplacer un obstacle ou maintenir un créneau de défense. L’effet logique ne dépend jamais de la cadence du rendu.</x:v>
      </x:c>
      <x:c r="I10" s="7" t="str">
        <x:v>Conserver les repères de silhouette : Armure de film et silhouette à vérifier ; posture d’action biotique lisible.</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actor.pl.essex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PL-SPR-ESSEX</x:v>
      </x:c>
      <x:c r="P10" s="7" t="str"/>
      <x:c r="Q10" s="7" t="str"/>
      <x:c r="R10" s="7" t="str"/>
      <x:c r="S10" s="7" t="str"/>
    </x:row>
    <x:row r="11" ht="54" customHeight="1">
      <x:c r="A11" s="18" t="str">
        <x:v>PL-ANI-NICKY</x:v>
      </x:c>
      <x:c r="B11" s="9" t="str">
        <x:v>Nicky — jeu de poses contextuelles</x:v>
      </x:c>
      <x:c r="C11" s="15" t="str">
        <x:v>Défini</x:v>
      </x:c>
      <x:c r="D11" s="16" t="str">
        <x:v>Extrapolation</x:v>
      </x:c>
      <x:c r="E11" s="16" t="str">
        <x:v>P1</x:v>
      </x:c>
      <x:c r="F11" s="9" t="str">
        <x:v>Création proposée : poses nécessaires à l’interaction « Analyser une menace et créer une diversion de drone. ».</x:v>
      </x:c>
      <x:c r="G11" s="9" t="str">
        <x:v>Blocage animé de Nicky : anticipation, action, récupération, retour au repos ; prévoir une interruption propre.</x:v>
      </x:c>
      <x:c r="H11" s="9" t="str">
        <x:v>Analyser une menace et créer une diversion de drone. L’effet logique ne dépend jamais de la cadence du rendu.</x:v>
      </x:c>
      <x:c r="I11" s="9" t="str">
        <x:v>Conserver les repères de silhouette : Silhouette technique, omni-outil et drone distincts ; modèle du film requis.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actor.pl.nicky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PL-SPR-NICKY</x:v>
      </x:c>
      <x:c r="P11" s="9" t="str"/>
      <x:c r="Q11" s="9" t="str"/>
      <x:c r="R11" s="9" t="str"/>
      <x:c r="S11" s="9" t="str"/>
    </x:row>
    <x:row r="12" ht="68" customHeight="1">
      <x:c r="A12" s="19" t="str">
        <x:v>PL-ANI-KAMILLE</x:v>
      </x:c>
      <x:c r="B12" s="7" t="str">
        <x:v>Kamille — jeu de poses contextuelles</x:v>
      </x:c>
      <x:c r="C12" s="15" t="str">
        <x:v>Défini</x:v>
      </x:c>
      <x:c r="D12" s="17" t="str">
        <x:v>Extrapolation</x:v>
      </x:c>
      <x:c r="E12" s="17" t="str">
        <x:v>P1</x:v>
      </x:c>
      <x:c r="F12" s="7" t="str">
        <x:v>Création proposée : poses nécessaires à l’interaction « Participer à une manœuvre de flanc dans les séquences où sa présence est permise. ».</x:v>
      </x:c>
      <x:c r="G12" s="7" t="str">
        <x:v>Blocage animé de Kamille : anticipation, action, récupération, retour au repos ; prévoir une interruption propre.</x:v>
      </x:c>
      <x:c r="H12" s="7" t="str">
        <x:v>Participer à une manœuvre de flanc dans les séquences où sa présence est permise. L’effet logique ne dépend jamais de la cadence du rendu.</x:v>
      </x:c>
      <x:c r="I12" s="7" t="str">
        <x:v>Conserver les repères de silhouette : Armure et coiffure du film à relever sans invention de modèle officiel.</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actor.pl.kamille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PL-SPR-KAMILLE</x:v>
      </x:c>
      <x:c r="P12" s="7" t="str"/>
      <x:c r="Q12" s="7" t="str"/>
      <x:c r="R12" s="7" t="str"/>
      <x:c r="S12" s="7" t="str"/>
    </x:row>
    <x:row r="13" ht="54" customHeight="1">
      <x:c r="A13" s="18" t="str">
        <x:v>PL-ANI-MASON</x:v>
      </x:c>
      <x:c r="B13" s="9" t="str">
        <x:v>Mason — jeu de poses contextuelles</x:v>
      </x:c>
      <x:c r="C13" s="15" t="str">
        <x:v>Défini</x:v>
      </x:c>
      <x:c r="D13" s="16" t="str">
        <x:v>Extrapolation</x:v>
      </x:c>
      <x:c r="E13" s="16" t="str">
        <x:v>P1</x:v>
      </x:c>
      <x:c r="F13" s="9" t="str">
        <x:v>Création proposée : poses nécessaires à l’interaction « Renforcer une position de repli pendant une séquence locale. ».</x:v>
      </x:c>
      <x:c r="G13" s="9" t="str">
        <x:v>Blocage animé de Mason : anticipation, action, récupération, retour au repos ; prévoir une interruption propre.</x:v>
      </x:c>
      <x:c r="H13" s="9" t="str">
        <x:v>Renforcer une position de repli pendant une séquence locale. L’effet logique ne dépend jamais de la cadence du rendu.</x:v>
      </x:c>
      <x:c r="I13" s="9" t="str">
        <x:v>Conserver les repères de silhouette : Silhouette militaire propre au film, équipement à contrôler.</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actor.pl.mason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PL-SPR-MASON</x:v>
      </x:c>
      <x:c r="P13" s="9" t="str"/>
      <x:c r="Q13" s="9" t="str"/>
      <x:c r="R13" s="9" t="str"/>
      <x:c r="S13" s="9" t="str"/>
    </x:row>
    <x:row r="14" ht="54" customHeight="1">
      <x:c r="A14" s="19" t="str">
        <x:v>PL-ANI-TONI</x:v>
      </x:c>
      <x:c r="B14" s="7" t="str">
        <x:v>Capitaine Toni — jeu de poses contextuelles</x:v>
      </x:c>
      <x:c r="C14" s="15" t="str">
        <x:v>Défini</x:v>
      </x:c>
      <x:c r="D14" s="17" t="str">
        <x:v>Extrapolation</x:v>
      </x:c>
      <x:c r="E14" s="17" t="str">
        <x:v>P1</x:v>
      </x:c>
      <x:c r="F14" s="7" t="str">
        <x:v>Création proposée : poses nécessaires à l’interaction « Donner une consigne et déléguer une tâche à Vega. ».</x:v>
      </x:c>
      <x:c r="G14" s="7" t="str">
        <x:v>Blocage animé de Capitaine Toni : anticipation, action, récupération, retour au repos ; prévoir une interruption propre.</x:v>
      </x:c>
      <x:c r="H14" s="7" t="str">
        <x:v>Donner une consigne et déléguer une tâche à Vega. L’effet logique ne dépend jamais de la cadence du rendu.</x:v>
      </x:c>
      <x:c r="I14" s="7" t="str">
        <x:v>Conserver les repères de silhouette : Uniforme et variante blessée à relever sur le film.</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actor.pl.toni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PL-SPR-TONI</x:v>
      </x:c>
      <x:c r="P14" s="7" t="str"/>
      <x:c r="Q14" s="7" t="str"/>
      <x:c r="R14" s="7" t="str"/>
      <x:c r="S14" s="7" t="str"/>
    </x:row>
    <x:row r="15" ht="54" customHeight="1">
      <x:c r="A15" s="18" t="str">
        <x:v>PL-ANI-MESSNER</x:v>
      </x:c>
      <x:c r="B15" s="9" t="str">
        <x:v>Messner — jeu de poses contextuelles</x:v>
      </x:c>
      <x:c r="C15" s="15" t="str">
        <x:v>Défini</x:v>
      </x:c>
      <x:c r="D15" s="16" t="str">
        <x:v>Extrapolation</x:v>
      </x:c>
      <x:c r="E15" s="16" t="str">
        <x:v>P1</x:v>
      </x:c>
      <x:c r="F15" s="9" t="str">
        <x:v>Création proposée : poses nécessaires à l’interaction « Proposer une ressource utile dont l’usage est surveillé. ».</x:v>
      </x:c>
      <x:c r="G15" s="9" t="str">
        <x:v>Blocage animé de Messner : anticipation, action, récupération, retour au repos ; prévoir une interruption propre.</x:v>
      </x:c>
      <x:c r="H15" s="9" t="str">
        <x:v>Proposer une ressource utile dont l’usage est surveillé. L’effet logique ne dépend jamais de la cadence du rendu.</x:v>
      </x:c>
      <x:c r="I15" s="9" t="str">
        <x:v>Conserver les repères de silhouette : Tenue civile, équipement de transport et bracelet à contrôler.</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actor.pl.messner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PL-SPR-MESSNER</x:v>
      </x:c>
      <x:c r="P15" s="9" t="str"/>
      <x:c r="Q15" s="9" t="str"/>
      <x:c r="R15" s="9" t="str"/>
      <x:c r="S15" s="9" t="str"/>
    </x:row>
    <x:row r="16" ht="54" customHeight="1">
      <x:c r="A16" s="19" t="str">
        <x:v>PL-ANI-BROOD</x:v>
      </x:c>
      <x:c r="B16" s="7" t="str">
        <x:v>Brood — jeu de poses contextuelles</x:v>
      </x:c>
      <x:c r="C16" s="15" t="str">
        <x:v>Défini</x:v>
      </x:c>
      <x:c r="D16" s="17" t="str">
        <x:v>Extrapolation</x:v>
      </x:c>
      <x:c r="E16" s="17" t="str">
        <x:v>P1</x:v>
      </x:c>
      <x:c r="F16" s="7" t="str">
        <x:v>Création proposée : poses nécessaires à l’interaction « Piloter un segment de transit et donner un appui contextuel. ».</x:v>
      </x:c>
      <x:c r="G16" s="7" t="str">
        <x:v>Blocage animé de Brood : anticipation, action, récupération, retour au repos ; prévoir une interruption propre.</x:v>
      </x:c>
      <x:c r="H16" s="7" t="str">
        <x:v>Piloter un segment de transit et donner un appui contextuel. L’effet logique ne dépend jamais de la cadence du rendu.</x:v>
      </x:c>
      <x:c r="I16" s="7" t="str">
        <x:v>Conserver les repères de silhouette : Silhouette krogan du film et dégâts visuels selon la scène, sans gore ajouté.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actor.pl.brood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PL-SPR-BROOD</x:v>
      </x:c>
      <x:c r="P16" s="7" t="str"/>
      <x:c r="Q16" s="7" t="str"/>
      <x:c r="R16" s="7" t="str"/>
      <x:c r="S16" s="7" t="str"/>
    </x:row>
    <x:row r="17" ht="54" customHeight="1">
      <x:c r="A17" s="18" t="str">
        <x:v>PL-ANI-ARCHUK</x:v>
      </x:c>
      <x:c r="B17" s="9" t="str">
        <x:v>Archuk — jeu de poses contextuelles</x:v>
      </x:c>
      <x:c r="C17" s="15" t="str">
        <x:v>Défini</x:v>
      </x:c>
      <x:c r="D17" s="16" t="str">
        <x:v>Extrapolation</x:v>
      </x:c>
      <x:c r="E17" s="16" t="str">
        <x:v>P1</x:v>
      </x:c>
      <x:c r="F17" s="9" t="str">
        <x:v>Création proposée : poses nécessaires à l’interaction « Opposer une défense que le groupe contourne par coordination. ».</x:v>
      </x:c>
      <x:c r="G17" s="9" t="str">
        <x:v>Blocage animé de Archuk : anticipation, action, récupération, retour au repos ; prévoir une interruption propre.</x:v>
      </x:c>
      <x:c r="H17" s="9" t="str">
        <x:v>Opposer une défense que le groupe contourne par coordination. L’effet logique ne dépend jamais de la cadence du rendu.</x:v>
      </x:c>
      <x:c r="I17" s="9" t="str">
        <x:v>Conserver les repères de silhouette : Armure massive, silhouette de charge, détails pris du film lors de validation.</x:v>
      </x:c>
      <x:c r="J17" s="9" t="str">
        <x:v>Repos, déplacement, interaction et réaction ; nombre d’images ajusté après essai sur écran ; ne pas ajouter une attaque aux personnages civils.</x:v>
      </x:c>
      <x:c r="K17" s="9" t="str">
        <x:v>Marqueurs animation distincts du fichier audio ; sous-titre court si l’action porte une information.</x:v>
      </x:c>
      <x:c r="L17" s="9" t="str">
        <x:v>Animator actor.pl.archuk ; événements start/commit/recover ; annulation avant commit sans effet.</x:v>
      </x:c>
      <x:c r="M17" s="9" t="str">
        <x:v>Animation de blessure ou de décès uniquement si le contexte la justifie ; pas de mort libre d’un personnage établi.</x:v>
      </x:c>
      <x:c r="N17" s="9" t="str">
        <x:v>Une interruption avant commit ne dépense pas la ressource ; aucune pose résiduelle après changement de carte.</x:v>
      </x:c>
      <x:c r="O17" s="9" t="str">
        <x:v>PL-SPR-ARCHUK</x:v>
      </x:c>
      <x:c r="P17" s="9" t="str"/>
      <x:c r="Q17" s="9" t="str"/>
      <x:c r="R17" s="9" t="str"/>
      <x:c r="S17" s="9" t="str"/>
    </x:row>
    <x:row r="18" ht="54" customHeight="1">
      <x:c r="A18" s="19" t="str">
        <x:v>PL-ANI-APRIL</x:v>
      </x:c>
      <x:c r="B18" s="7" t="str">
        <x:v>April — jeu de poses contextuelles</x:v>
      </x:c>
      <x:c r="C18" s="15" t="str">
        <x:v>Défini</x:v>
      </x:c>
      <x:c r="D18" s="17" t="str">
        <x:v>Extrapolation</x:v>
      </x:c>
      <x:c r="E18" s="17" t="str">
        <x:v>P1</x:v>
      </x:c>
      <x:c r="F18" s="7" t="str">
        <x:v>Création proposée : poses nécessaires à l’interaction « Participer à une scène civile originale située dans la période autorisée. ».</x:v>
      </x:c>
      <x:c r="G18" s="7" t="str">
        <x:v>Blocage animé de April : anticipation, action, récupération, retour au repos ; prévoir une interruption propre.</x:v>
      </x:c>
      <x:c r="H18" s="7" t="str">
        <x:v>Participer à une scène civile originale située dans la période autorisée. L’effet logique ne dépend jamais de la cadence du rendu.</x:v>
      </x:c>
      <x:c r="I18" s="7" t="str">
        <x:v>Conserver les repères de silhouette : Silhouette enfantine du film, animation calme hors combat.</x:v>
      </x:c>
      <x:c r="J18" s="7" t="str">
        <x:v>Repos, déplacement, interaction et réaction ; nombre d’images ajusté après essai sur écran ; ne pas ajouter une attaque aux personnages civils.</x:v>
      </x:c>
      <x:c r="K18" s="7" t="str">
        <x:v>Marqueurs animation distincts du fichier audio ; sous-titre court si l’action porte une information.</x:v>
      </x:c>
      <x:c r="L18" s="7" t="str">
        <x:v>Animator actor.pl.april ; événements start/commit/recover ; annulation avant commit sans effet.</x:v>
      </x:c>
      <x:c r="M18" s="7" t="str">
        <x:v>Animation de blessure ou de décès uniquement si le contexte la justifie ; pas de mort libre d’un personnage établi.</x:v>
      </x:c>
      <x:c r="N18" s="7" t="str">
        <x:v>Une interruption avant commit ne dépense pas la ressource ; aucune pose résiduelle après changement de carte.</x:v>
      </x:c>
      <x:c r="O18" s="7" t="str">
        <x:v>PL-SPR-APRIL</x:v>
      </x:c>
      <x:c r="P18" s="7" t="str"/>
      <x:c r="Q18" s="7" t="str"/>
      <x:c r="R18" s="7" t="str"/>
      <x:c r="S18" s="7" t="str"/>
    </x:row>
    <x:row r="19" ht="54" customHeight="1">
      <x:c r="A19" s="18" t="str">
        <x:v>PL-ANI-CHRISTINE</x:v>
      </x:c>
      <x:c r="B19" s="9" t="str">
        <x:v>Christine — jeu de poses contextuelles</x:v>
      </x:c>
      <x:c r="C19" s="15" t="str">
        <x:v>Défini</x:v>
      </x:c>
      <x:c r="D19" s="16" t="str">
        <x:v>Extrapolation</x:v>
      </x:c>
      <x:c r="E19" s="16" t="str">
        <x:v>P1</x:v>
      </x:c>
      <x:c r="F19" s="9" t="str">
        <x:v>Création proposée : poses nécessaires à l’interaction « Expliquer un besoin de la colonie dans une tâche annexe originale. ».</x:v>
      </x:c>
      <x:c r="G19" s="9" t="str">
        <x:v>Blocage animé de Christine : anticipation, action, récupération, retour au repos ; prévoir une interruption propre.</x:v>
      </x:c>
      <x:c r="H19" s="9" t="str">
        <x:v>Expliquer un besoin de la colonie dans une tâche annexe originale. L’effet logique ne dépend jamais de la cadence du rendu.</x:v>
      </x:c>
      <x:c r="I19" s="9" t="str">
        <x:v>Conserver les repères de silhouette : Tenue civile du film à relever, posture protectrice.</x:v>
      </x:c>
      <x:c r="J19" s="9" t="str">
        <x:v>Repos, déplacement, interaction et réaction ; nombre d’images ajusté après essai sur écran ; ne pas ajouter une attaque aux personnages civils.</x:v>
      </x:c>
      <x:c r="K19" s="9" t="str">
        <x:v>Marqueurs animation distincts du fichier audio ; sous-titre court si l’action porte une information.</x:v>
      </x:c>
      <x:c r="L19" s="9" t="str">
        <x:v>Animator actor.pl.christine ; événements start/commit/recover ; annulation avant commit sans effet.</x:v>
      </x:c>
      <x:c r="M19" s="9" t="str">
        <x:v>Animation de blessure ou de décès uniquement si le contexte la justifie ; pas de mort libre d’un personnage établi.</x:v>
      </x:c>
      <x:c r="N19" s="9" t="str">
        <x:v>Une interruption avant commit ne dépense pas la ressource ; aucune pose résiduelle après changement de carte.</x:v>
      </x:c>
      <x:c r="O19" s="9" t="str">
        <x:v>PL-SPR-CHRISTINE</x:v>
      </x:c>
      <x:c r="P19" s="9" t="str"/>
      <x:c r="Q19" s="9" t="str"/>
      <x:c r="R19" s="9" t="str"/>
      <x:c r="S19" s="9" t="str"/>
    </x:row>
    <x:row r="20" ht="54" customHeight="1">
      <x:c r="A20" s="19" t="str">
        <x:v>PL-ANI-HACKETT</x:v>
      </x:c>
      <x:c r="B20" s="7" t="str">
        <x:v>Steven Hackett — jeu de poses contextuelles</x:v>
      </x:c>
      <x:c r="C20" s="15" t="str">
        <x:v>Défini</x:v>
      </x:c>
      <x:c r="D20" s="17" t="str">
        <x:v>Extrapolation</x:v>
      </x:c>
      <x:c r="E20" s="17" t="str">
        <x:v>P1</x:v>
      </x:c>
      <x:c r="F20" s="7" t="str">
        <x:v>Création proposée : poses nécessaires à l’interaction « Recevoir un rapport limité aux faits disponibles. ».</x:v>
      </x:c>
      <x:c r="G20" s="7" t="str">
        <x:v>Prévoir ouverture de liaison, écoute, réponse et coupure ; pas de déplacement physique.</x:v>
      </x:c>
      <x:c r="H20" s="7" t="str">
        <x:v>Recevoir un rapport limité aux faits disponibles. L’effet logique ne dépend jamais de la cadence du rendu.</x:v>
      </x:c>
      <x:c r="I20" s="7" t="str">
        <x:v>Conserver les repères de silhouette : Portrait de communication de période, pas de sprite combattant nécessaire.</x:v>
      </x:c>
      <x:c r="J20" s="7" t="str">
        <x:v>Transitions de liaison et poses de portrait seulement ; sous-titres synchronisés indépendamment.</x:v>
      </x:c>
      <x:c r="K20" s="7" t="str">
        <x:v>Marqueurs animation distincts du fichier audio ; sous-titre court si l’action porte une information.</x:v>
      </x:c>
      <x:c r="L20" s="7" t="str">
        <x:v>Contrôleur de communication ; aucun acteur physique instancié.</x:v>
      </x:c>
      <x:c r="M20" s="7" t="str">
        <x:v>Animation de blessure ou de décès uniquement si le contexte la justifie ; pas de mort libre d’un personnage établi.</x:v>
      </x:c>
      <x:c r="N20" s="7" t="str">
        <x:v>Une interruption avant commit ne dépense pas la ressource ; aucune pose résiduelle après changement de carte.</x:v>
      </x:c>
      <x:c r="O20" s="7" t="str">
        <x:v>PL-SPR-HACKETT</x:v>
      </x:c>
      <x:c r="P20" s="7" t="str"/>
      <x:c r="Q20" s="7" t="str"/>
      <x:c r="R20" s="7" t="str"/>
      <x:c r="S20" s="7" t="str"/>
    </x:row>
    <x:row r="21" ht="54" customHeight="1">
      <x:c r="A21" s="18" t="str">
        <x:v>PL-ANI-LIARA</x:v>
      </x:c>
      <x:c r="B21" s="9" t="str">
        <x:v>Liara T’Soni — jeu de poses contextuelles</x:v>
      </x:c>
      <x:c r="C21" s="15" t="str">
        <x:v>Défini</x:v>
      </x:c>
      <x:c r="D21" s="16" t="str">
        <x:v>Extrapolation</x:v>
      </x:c>
      <x:c r="E21" s="16" t="str">
        <x:v>P1</x:v>
      </x:c>
      <x:c r="F21" s="9" t="str">
        <x:v>Création proposée : poses nécessaires à l’interaction « Répondre à une question de recherche sans rejoindre l’équipe. ».</x:v>
      </x:c>
      <x:c r="G21" s="9" t="str">
        <x:v>Prévoir ouverture de liaison, écoute, réponse et coupure ; pas de déplacement physique.</x:v>
      </x:c>
      <x:c r="H21" s="9" t="str">
        <x:v>Répondre à une question de recherche sans rejoindre l’équipe. L’effet logique ne dépend jamais de la cadence du rendu.</x:v>
      </x:c>
      <x:c r="I21" s="9" t="str">
        <x:v>Conserver les repères de silhouette : Portrait de liaison à confirmer ; aucune présence physique ajoutée.</x:v>
      </x:c>
      <x:c r="J21" s="9" t="str">
        <x:v>Transitions de liaison et poses de portrait seulement ; sous-titres synchronisés indépendamment.</x:v>
      </x:c>
      <x:c r="K21" s="9" t="str">
        <x:v>Marqueurs animation distincts du fichier audio ; sous-titre court si l’action porte une information.</x:v>
      </x:c>
      <x:c r="L21" s="9" t="str">
        <x:v>Contrôleur de communication ; aucun acteur physique instancié.</x:v>
      </x:c>
      <x:c r="M21" s="9" t="str">
        <x:v>Animation de blessure ou de décès uniquement si le contexte la justifie ; pas de mort libre d’un personnage établi.</x:v>
      </x:c>
      <x:c r="N21" s="9" t="str">
        <x:v>Une interruption avant commit ne dépense pas la ressource ; aucune pose résiduelle après changement de carte.</x:v>
      </x:c>
      <x:c r="O21" s="9" t="str">
        <x:v>PL-SPR-LIARA</x:v>
      </x:c>
      <x:c r="P21" s="9" t="str"/>
      <x:c r="Q21" s="9" t="str"/>
      <x:c r="R21" s="9" t="str"/>
      <x:c r="S21" s="9" t="str"/>
    </x:row>
  </x:sheetData>
  <x:conditionalFormatting sqref="D7:D21">
    <x:cfRule type="cellIs" dxfId="76" priority="1" operator="equal">
      <x:formula>"À vérifier"</x:formula>
    </x:cfRule>
    <x:cfRule type="cellIs" dxfId="77" priority="2" operator="equal">
      <x:formula>"Extrapolation"</x:formula>
    </x:cfRule>
  </x:conditionalFormatting>
  <x:conditionalFormatting sqref="C7:C21">
    <x:cfRule type="cellIs" dxfId="78" priority="3" operator="equal">
      <x:formula>"Validé"</x:formula>
    </x:cfRule>
  </x:conditionalFormatting>
  <x:conditionalFormatting sqref="E7:E21">
    <x:cfRule type="cellIs" dxfId="79"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05a9ca831d71410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Paragon Lost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PL-SPR-VEGA</x:v>
      </x:c>
      <x:c r="B7" s="9" t="str">
        <x:v>James Vega — planche sprite</x:v>
      </x:c>
      <x:c r="C7" s="15" t="str">
        <x:v>Défini</x:v>
      </x:c>
      <x:c r="D7" s="16" t="str">
        <x:v>Extrapolation</x:v>
      </x:c>
      <x:c r="E7" s="16" t="str">
        <x:v>P1</x:v>
      </x:c>
      <x:c r="F7" s="9" t="str">
        <x:v>Création proposée : représentation 2D de James Vega pour ce module.</x:v>
      </x:c>
      <x:c r="G7" s="9" t="str">
        <x:v>Corps puissant, armure du film à contrôler ; ne pas remplacer automatiquement par le modèle de ME3. Préparer silhouette entière, portrait de dialogue et masque de sélection.</x:v>
      </x:c>
      <x:c r="H7" s="9" t="str">
        <x:v>La zone interactive reste stable entre les poses ; la tenue ne confère aucun bonus implicite.</x:v>
      </x:c>
      <x:c r="I7" s="9" t="str">
        <x:v>Corps puissant, armure du film à contrôler ; ne pas remplacer automatiquement par le modèle de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assets/pl/actors/vega/atlas.png + atlas.json, pivot aux pieds.</x:v>
      </x:c>
      <x:c r="M7" s="9" t="str">
        <x:v>Visible uniquement quand James Vega est autorisé par l’état narratif.</x:v>
      </x:c>
      <x:c r="N7" s="9" t="str">
        <x:v>Silhouette reconnue sans nom ; pieds sans glissement ; portrait et sprite cohérents à échelle réelle.</x:v>
      </x:c>
      <x:c r="O7" s="9" t="str">
        <x:v>PL-CHR-VEGA</x:v>
      </x:c>
      <x:c r="P7" s="9" t="str"/>
      <x:c r="Q7" s="9" t="str"/>
      <x:c r="R7" s="9" t="str"/>
      <x:c r="S7" s="9" t="str"/>
    </x:row>
    <x:row r="8" ht="68" customHeight="1">
      <x:c r="A8" s="19" t="str">
        <x:v>PL-SPR-TREEYA</x:v>
      </x:c>
      <x:c r="B8" s="7" t="str">
        <x:v>Treeya Nuwani — planche sprite</x:v>
      </x:c>
      <x:c r="C8" s="15" t="str">
        <x:v>Défini</x:v>
      </x:c>
      <x:c r="D8" s="17" t="str">
        <x:v>Extrapolation</x:v>
      </x:c>
      <x:c r="E8" s="17" t="str">
        <x:v>P1</x:v>
      </x:c>
      <x:c r="F8" s="7" t="str">
        <x:v>Création proposée : représentation 2D de Treeya Nuwani pour ce module.</x:v>
      </x:c>
      <x:c r="G8" s="7" t="str">
        <x:v>Tenue de recherche du film à relever, silhouette civile distincte de l’escouade. Préparer silhouette entière, portrait de dialogue et masque de sélection.</x:v>
      </x:c>
      <x:c r="H8" s="7" t="str">
        <x:v>La zone interactive reste stable entre les poses ; la tenue ne confère aucun bonus implicite.</x:v>
      </x:c>
      <x:c r="I8" s="7" t="str">
        <x:v>Tenue de recherche du film à relever, silhouette civile distincte de l’escouade.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assets/pl/actors/treeya/atlas.png + atlas.json, pivot aux pieds.</x:v>
      </x:c>
      <x:c r="M8" s="7" t="str">
        <x:v>Visible uniquement quand Treeya Nuwani est autorisé par l’état narratif.</x:v>
      </x:c>
      <x:c r="N8" s="7" t="str">
        <x:v>Silhouette reconnue sans nom ; pieds sans glissement ; portrait et sprite cohérents à échelle réelle.</x:v>
      </x:c>
      <x:c r="O8" s="7" t="str">
        <x:v>PL-CHR-TREEYA</x:v>
      </x:c>
      <x:c r="P8" s="7" t="str"/>
      <x:c r="Q8" s="7" t="str"/>
      <x:c r="R8" s="7" t="str"/>
      <x:c r="S8" s="7" t="str"/>
    </x:row>
    <x:row r="9" ht="68" customHeight="1">
      <x:c r="A9" s="18" t="str">
        <x:v>PL-SPR-MILQUE</x:v>
      </x:c>
      <x:c r="B9" s="9" t="str">
        <x:v>Milque — planche sprite</x:v>
      </x:c>
      <x:c r="C9" s="15" t="str">
        <x:v>Défini</x:v>
      </x:c>
      <x:c r="D9" s="16" t="str">
        <x:v>Extrapolation</x:v>
      </x:c>
      <x:c r="E9" s="16" t="str">
        <x:v>P1</x:v>
      </x:c>
      <x:c r="F9" s="9" t="str">
        <x:v>Création proposée : représentation 2D de Milque pour ce module.</x:v>
      </x:c>
      <x:c r="G9" s="9" t="str">
        <x:v>Silhouette allongée et fusil long ; accessoires exacts à relever. Préparer silhouette entière, portrait de dialogue et masque de sélection.</x:v>
      </x:c>
      <x:c r="H9" s="9" t="str">
        <x:v>La zone interactive reste stable entre les poses ; la tenue ne confère aucun bonus implicite.</x:v>
      </x:c>
      <x:c r="I9" s="9" t="str">
        <x:v>Silhouette allongée et fusil long ; accessoires exacts à relever.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assets/pl/actors/milque/atlas.png + atlas.json, pivot aux pieds.</x:v>
      </x:c>
      <x:c r="M9" s="9" t="str">
        <x:v>Visible uniquement quand Milque est autorisé par l’état narratif.</x:v>
      </x:c>
      <x:c r="N9" s="9" t="str">
        <x:v>Silhouette reconnue sans nom ; pieds sans glissement ; portrait et sprite cohérents à échelle réelle.</x:v>
      </x:c>
      <x:c r="O9" s="9" t="str">
        <x:v>PL-CHR-MILQUE</x:v>
      </x:c>
      <x:c r="P9" s="9" t="str"/>
      <x:c r="Q9" s="9" t="str"/>
      <x:c r="R9" s="9" t="str"/>
      <x:c r="S9" s="9" t="str"/>
    </x:row>
    <x:row r="10" ht="68" customHeight="1">
      <x:c r="A10" s="19" t="str">
        <x:v>PL-SPR-ESSEX</x:v>
      </x:c>
      <x:c r="B10" s="7" t="str">
        <x:v>Essex — planche sprite</x:v>
      </x:c>
      <x:c r="C10" s="15" t="str">
        <x:v>Défini</x:v>
      </x:c>
      <x:c r="D10" s="17" t="str">
        <x:v>Extrapolation</x:v>
      </x:c>
      <x:c r="E10" s="17" t="str">
        <x:v>P1</x:v>
      </x:c>
      <x:c r="F10" s="7" t="str">
        <x:v>Création proposée : représentation 2D de Essex pour ce module.</x:v>
      </x:c>
      <x:c r="G10" s="7" t="str">
        <x:v>Armure de film et silhouette à vérifier ; posture d’action biotique lisible. Préparer silhouette entière, portrait de dialogue et masque de sélection.</x:v>
      </x:c>
      <x:c r="H10" s="7" t="str">
        <x:v>La zone interactive reste stable entre les poses ; la tenue ne confère aucun bonus implicite.</x:v>
      </x:c>
      <x:c r="I10" s="7" t="str">
        <x:v>Armure de film et silhouette à vérifier ; posture d’action biotique lisible.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assets/pl/actors/essex/atlas.png + atlas.json, pivot aux pieds.</x:v>
      </x:c>
      <x:c r="M10" s="7" t="str">
        <x:v>Visible uniquement quand Essex est autorisé par l’état narratif.</x:v>
      </x:c>
      <x:c r="N10" s="7" t="str">
        <x:v>Silhouette reconnue sans nom ; pieds sans glissement ; portrait et sprite cohérents à échelle réelle.</x:v>
      </x:c>
      <x:c r="O10" s="7" t="str">
        <x:v>PL-CHR-ESSEX</x:v>
      </x:c>
      <x:c r="P10" s="7" t="str"/>
      <x:c r="Q10" s="7" t="str"/>
      <x:c r="R10" s="7" t="str"/>
      <x:c r="S10" s="7" t="str"/>
    </x:row>
    <x:row r="11" ht="68" customHeight="1">
      <x:c r="A11" s="18" t="str">
        <x:v>PL-SPR-NICKY</x:v>
      </x:c>
      <x:c r="B11" s="9" t="str">
        <x:v>Nicky — planche sprite</x:v>
      </x:c>
      <x:c r="C11" s="15" t="str">
        <x:v>Défini</x:v>
      </x:c>
      <x:c r="D11" s="16" t="str">
        <x:v>Extrapolation</x:v>
      </x:c>
      <x:c r="E11" s="16" t="str">
        <x:v>P1</x:v>
      </x:c>
      <x:c r="F11" s="9" t="str">
        <x:v>Création proposée : représentation 2D de Nicky pour ce module.</x:v>
      </x:c>
      <x:c r="G11" s="9" t="str">
        <x:v>Silhouette technique, omni-outil et drone distincts ; modèle du film requis. Préparer silhouette entière, portrait de dialogue et masque de sélection.</x:v>
      </x:c>
      <x:c r="H11" s="9" t="str">
        <x:v>La zone interactive reste stable entre les poses ; la tenue ne confère aucun bonus implicite.</x:v>
      </x:c>
      <x:c r="I11" s="9" t="str">
        <x:v>Silhouette technique, omni-outil et drone distincts ; modèle du film requis.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assets/pl/actors/nicky/atlas.png + atlas.json, pivot aux pieds.</x:v>
      </x:c>
      <x:c r="M11" s="9" t="str">
        <x:v>Visible uniquement quand Nicky est autorisé par l’état narratif.</x:v>
      </x:c>
      <x:c r="N11" s="9" t="str">
        <x:v>Silhouette reconnue sans nom ; pieds sans glissement ; portrait et sprite cohérents à échelle réelle.</x:v>
      </x:c>
      <x:c r="O11" s="9" t="str">
        <x:v>PL-CHR-NICKY</x:v>
      </x:c>
      <x:c r="P11" s="9" t="str"/>
      <x:c r="Q11" s="9" t="str"/>
      <x:c r="R11" s="9" t="str"/>
      <x:c r="S11" s="9" t="str"/>
    </x:row>
    <x:row r="12" ht="68" customHeight="1">
      <x:c r="A12" s="19" t="str">
        <x:v>PL-SPR-KAMILLE</x:v>
      </x:c>
      <x:c r="B12" s="7" t="str">
        <x:v>Kamille — planche sprite</x:v>
      </x:c>
      <x:c r="C12" s="15" t="str">
        <x:v>Défini</x:v>
      </x:c>
      <x:c r="D12" s="17" t="str">
        <x:v>Extrapolation</x:v>
      </x:c>
      <x:c r="E12" s="17" t="str">
        <x:v>P1</x:v>
      </x:c>
      <x:c r="F12" s="7" t="str">
        <x:v>Création proposée : représentation 2D de Kamille pour ce module.</x:v>
      </x:c>
      <x:c r="G12" s="7" t="str">
        <x:v>Armure et coiffure du film à relever sans invention de modèle officiel. Préparer silhouette entière, portrait de dialogue et masque de sélection.</x:v>
      </x:c>
      <x:c r="H12" s="7" t="str">
        <x:v>La zone interactive reste stable entre les poses ; la tenue ne confère aucun bonus implicite.</x:v>
      </x:c>
      <x:c r="I12" s="7" t="str">
        <x:v>Armure et coiffure du film à relever sans invention de modèle officiel.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assets/pl/actors/kamille/atlas.png + atlas.json, pivot aux pieds.</x:v>
      </x:c>
      <x:c r="M12" s="7" t="str">
        <x:v>Visible uniquement quand Kamille est autorisé par l’état narratif.</x:v>
      </x:c>
      <x:c r="N12" s="7" t="str">
        <x:v>Silhouette reconnue sans nom ; pieds sans glissement ; portrait et sprite cohérents à échelle réelle.</x:v>
      </x:c>
      <x:c r="O12" s="7" t="str">
        <x:v>PL-CHR-KAMILLE</x:v>
      </x:c>
      <x:c r="P12" s="7" t="str"/>
      <x:c r="Q12" s="7" t="str"/>
      <x:c r="R12" s="7" t="str"/>
      <x:c r="S12" s="7" t="str"/>
    </x:row>
    <x:row r="13" ht="54" customHeight="1">
      <x:c r="A13" s="18" t="str">
        <x:v>PL-SPR-MASON</x:v>
      </x:c>
      <x:c r="B13" s="9" t="str">
        <x:v>Mason — planche sprite</x:v>
      </x:c>
      <x:c r="C13" s="15" t="str">
        <x:v>Défini</x:v>
      </x:c>
      <x:c r="D13" s="16" t="str">
        <x:v>Extrapolation</x:v>
      </x:c>
      <x:c r="E13" s="16" t="str">
        <x:v>P1</x:v>
      </x:c>
      <x:c r="F13" s="9" t="str">
        <x:v>Création proposée : représentation 2D de Mason pour ce module.</x:v>
      </x:c>
      <x:c r="G13" s="9" t="str">
        <x:v>Silhouette militaire propre au film, équipement à contrôler. Préparer silhouette entière, portrait de dialogue et masque de sélection.</x:v>
      </x:c>
      <x:c r="H13" s="9" t="str">
        <x:v>La zone interactive reste stable entre les poses ; la tenue ne confère aucun bonus implicite.</x:v>
      </x:c>
      <x:c r="I13" s="9" t="str">
        <x:v>Silhouette militaire propre au film, équipement à contrôler.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assets/pl/actors/mason/atlas.png + atlas.json, pivot aux pieds.</x:v>
      </x:c>
      <x:c r="M13" s="9" t="str">
        <x:v>Visible uniquement quand Mason est autorisé par l’état narratif.</x:v>
      </x:c>
      <x:c r="N13" s="9" t="str">
        <x:v>Silhouette reconnue sans nom ; pieds sans glissement ; portrait et sprite cohérents à échelle réelle.</x:v>
      </x:c>
      <x:c r="O13" s="9" t="str">
        <x:v>PL-CHR-MASON</x:v>
      </x:c>
      <x:c r="P13" s="9" t="str"/>
      <x:c r="Q13" s="9" t="str"/>
      <x:c r="R13" s="9" t="str"/>
      <x:c r="S13" s="9" t="str"/>
    </x:row>
    <x:row r="14" ht="54" customHeight="1">
      <x:c r="A14" s="19" t="str">
        <x:v>PL-SPR-TONI</x:v>
      </x:c>
      <x:c r="B14" s="7" t="str">
        <x:v>Capitaine Toni — planche sprite</x:v>
      </x:c>
      <x:c r="C14" s="15" t="str">
        <x:v>Défini</x:v>
      </x:c>
      <x:c r="D14" s="17" t="str">
        <x:v>Extrapolation</x:v>
      </x:c>
      <x:c r="E14" s="17" t="str">
        <x:v>P1</x:v>
      </x:c>
      <x:c r="F14" s="7" t="str">
        <x:v>Création proposée : représentation 2D de Capitaine Toni pour ce module.</x:v>
      </x:c>
      <x:c r="G14" s="7" t="str">
        <x:v>Uniforme et variante blessée à relever sur le film. Préparer silhouette entière, portrait de dialogue et masque de sélection.</x:v>
      </x:c>
      <x:c r="H14" s="7" t="str">
        <x:v>La zone interactive reste stable entre les poses ; la tenue ne confère aucun bonus implicite.</x:v>
      </x:c>
      <x:c r="I14" s="7" t="str">
        <x:v>Uniforme et variante blessée à relever sur le film.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assets/pl/actors/toni/atlas.png + atlas.json, pivot aux pieds.</x:v>
      </x:c>
      <x:c r="M14" s="7" t="str">
        <x:v>Visible uniquement quand Capitaine Toni est autorisé par l’état narratif.</x:v>
      </x:c>
      <x:c r="N14" s="7" t="str">
        <x:v>Silhouette reconnue sans nom ; pieds sans glissement ; portrait et sprite cohérents à échelle réelle.</x:v>
      </x:c>
      <x:c r="O14" s="7" t="str">
        <x:v>PL-CHR-TONI</x:v>
      </x:c>
      <x:c r="P14" s="7" t="str"/>
      <x:c r="Q14" s="7" t="str"/>
      <x:c r="R14" s="7" t="str"/>
      <x:c r="S14" s="7" t="str"/>
    </x:row>
    <x:row r="15" ht="54" customHeight="1">
      <x:c r="A15" s="18" t="str">
        <x:v>PL-SPR-MESSNER</x:v>
      </x:c>
      <x:c r="B15" s="9" t="str">
        <x:v>Messner — planche sprite</x:v>
      </x:c>
      <x:c r="C15" s="15" t="str">
        <x:v>Défini</x:v>
      </x:c>
      <x:c r="D15" s="16" t="str">
        <x:v>Extrapolation</x:v>
      </x:c>
      <x:c r="E15" s="16" t="str">
        <x:v>P1</x:v>
      </x:c>
      <x:c r="F15" s="9" t="str">
        <x:v>Création proposée : représentation 2D de Messner pour ce module.</x:v>
      </x:c>
      <x:c r="G15" s="9" t="str">
        <x:v>Tenue civile, équipement de transport et bracelet à contrôler. Préparer silhouette entière, portrait de dialogue et masque de sélection.</x:v>
      </x:c>
      <x:c r="H15" s="9" t="str">
        <x:v>La zone interactive reste stable entre les poses ; la tenue ne confère aucun bonus implicite.</x:v>
      </x:c>
      <x:c r="I15" s="9" t="str">
        <x:v>Tenue civile, équipement de transport et bracelet à contrôler.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assets/pl/actors/messner/atlas.png + atlas.json, pivot aux pieds.</x:v>
      </x:c>
      <x:c r="M15" s="9" t="str">
        <x:v>Visible uniquement quand Messner est autorisé par l’état narratif.</x:v>
      </x:c>
      <x:c r="N15" s="9" t="str">
        <x:v>Silhouette reconnue sans nom ; pieds sans glissement ; portrait et sprite cohérents à échelle réelle.</x:v>
      </x:c>
      <x:c r="O15" s="9" t="str">
        <x:v>PL-CHR-MESSNER</x:v>
      </x:c>
      <x:c r="P15" s="9" t="str"/>
      <x:c r="Q15" s="9" t="str"/>
      <x:c r="R15" s="9" t="str"/>
      <x:c r="S15" s="9" t="str"/>
    </x:row>
    <x:row r="16" ht="68" customHeight="1">
      <x:c r="A16" s="19" t="str">
        <x:v>PL-SPR-BROOD</x:v>
      </x:c>
      <x:c r="B16" s="7" t="str">
        <x:v>Brood — planche sprite</x:v>
      </x:c>
      <x:c r="C16" s="15" t="str">
        <x:v>Défini</x:v>
      </x:c>
      <x:c r="D16" s="17" t="str">
        <x:v>Extrapolation</x:v>
      </x:c>
      <x:c r="E16" s="17" t="str">
        <x:v>P1</x:v>
      </x:c>
      <x:c r="F16" s="7" t="str">
        <x:v>Création proposée : représentation 2D de Brood pour ce module.</x:v>
      </x:c>
      <x:c r="G16" s="7" t="str">
        <x:v>Silhouette krogan du film et dégâts visuels selon la scène, sans gore ajouté. Préparer silhouette entière, portrait de dialogue et masque de sélection.</x:v>
      </x:c>
      <x:c r="H16" s="7" t="str">
        <x:v>La zone interactive reste stable entre les poses ; la tenue ne confère aucun bonus implicite.</x:v>
      </x:c>
      <x:c r="I16" s="7" t="str">
        <x:v>Silhouette krogan du film et dégâts visuels selon la scène, sans gore ajouté.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assets/pl/actors/brood/atlas.png + atlas.json, pivot aux pieds.</x:v>
      </x:c>
      <x:c r="M16" s="7" t="str">
        <x:v>Visible uniquement quand Brood est autorisé par l’état narratif.</x:v>
      </x:c>
      <x:c r="N16" s="7" t="str">
        <x:v>Silhouette reconnue sans nom ; pieds sans glissement ; portrait et sprite cohérents à échelle réelle.</x:v>
      </x:c>
      <x:c r="O16" s="7" t="str">
        <x:v>PL-CHR-BROOD</x:v>
      </x:c>
      <x:c r="P16" s="7" t="str"/>
      <x:c r="Q16" s="7" t="str"/>
      <x:c r="R16" s="7" t="str"/>
      <x:c r="S16" s="7" t="str"/>
    </x:row>
    <x:row r="17" ht="68" customHeight="1">
      <x:c r="A17" s="18" t="str">
        <x:v>PL-SPR-ARCHUK</x:v>
      </x:c>
      <x:c r="B17" s="9" t="str">
        <x:v>Archuk — planche sprite</x:v>
      </x:c>
      <x:c r="C17" s="15" t="str">
        <x:v>Défini</x:v>
      </x:c>
      <x:c r="D17" s="16" t="str">
        <x:v>Extrapolation</x:v>
      </x:c>
      <x:c r="E17" s="16" t="str">
        <x:v>P1</x:v>
      </x:c>
      <x:c r="F17" s="9" t="str">
        <x:v>Création proposée : représentation 2D de Archuk pour ce module.</x:v>
      </x:c>
      <x:c r="G17" s="9" t="str">
        <x:v>Armure massive, silhouette de charge, détails pris du film lors de validation. Préparer silhouette entière, portrait de dialogue et masque de sélection.</x:v>
      </x:c>
      <x:c r="H17" s="9" t="str">
        <x:v>La zone interactive reste stable entre les poses ; la tenue ne confère aucun bonus implicite.</x:v>
      </x:c>
      <x:c r="I17" s="9" t="str">
        <x:v>Armure massive, silhouette de charge, détails pris du film lors de validation. Palette proposée à valider ; comparaison en miniature et sur le décor le plus sombre.</x:v>
      </x:c>
      <x:c r="J17" s="9" t="str">
        <x:v>Vue de trois quarts ; pivots dans huit directions proposées ; symétrie interdite si elle inverse un accessoire identifiable.</x:v>
      </x:c>
      <x:c r="K17" s="9" t="str">
        <x:v>Aucun échantillon du jeu ou du film ; le changement de sélection utilise le son UI du module.</x:v>
      </x:c>
      <x:c r="L17" s="9" t="str">
        <x:v>Prévoir assets/pl/actors/archuk/atlas.png + atlas.json, pivot aux pieds.</x:v>
      </x:c>
      <x:c r="M17" s="9" t="str">
        <x:v>Visible uniquement quand Archuk est autorisé par l’état narratif.</x:v>
      </x:c>
      <x:c r="N17" s="9" t="str">
        <x:v>Silhouette reconnue sans nom ; pieds sans glissement ; portrait et sprite cohérents à échelle réelle.</x:v>
      </x:c>
      <x:c r="O17" s="9" t="str">
        <x:v>PL-CHR-ARCHUK</x:v>
      </x:c>
      <x:c r="P17" s="9" t="str"/>
      <x:c r="Q17" s="9" t="str"/>
      <x:c r="R17" s="9" t="str"/>
      <x:c r="S17" s="9" t="str"/>
    </x:row>
    <x:row r="18" ht="54" customHeight="1">
      <x:c r="A18" s="19" t="str">
        <x:v>PL-SPR-APRIL</x:v>
      </x:c>
      <x:c r="B18" s="7" t="str">
        <x:v>April — planche sprite</x:v>
      </x:c>
      <x:c r="C18" s="15" t="str">
        <x:v>Défini</x:v>
      </x:c>
      <x:c r="D18" s="17" t="str">
        <x:v>Extrapolation</x:v>
      </x:c>
      <x:c r="E18" s="17" t="str">
        <x:v>P1</x:v>
      </x:c>
      <x:c r="F18" s="7" t="str">
        <x:v>Création proposée : représentation 2D de April pour ce module.</x:v>
      </x:c>
      <x:c r="G18" s="7" t="str">
        <x:v>Silhouette enfantine du film, animation calme hors combat. Préparer silhouette entière, portrait de dialogue et masque de sélection.</x:v>
      </x:c>
      <x:c r="H18" s="7" t="str">
        <x:v>La zone interactive reste stable entre les poses ; la tenue ne confère aucun bonus implicite.</x:v>
      </x:c>
      <x:c r="I18" s="7" t="str">
        <x:v>Silhouette enfantine du film, animation calme hors combat. Palette proposée à valider ; comparaison en miniature et sur le décor le plus sombre.</x:v>
      </x:c>
      <x:c r="J18" s="7" t="str">
        <x:v>Vue de trois quarts ; pivots dans huit directions proposées ; symétrie interdite si elle inverse un accessoire identifiable.</x:v>
      </x:c>
      <x:c r="K18" s="7" t="str">
        <x:v>Aucun échantillon du jeu ou du film ; le changement de sélection utilise le son UI du module.</x:v>
      </x:c>
      <x:c r="L18" s="7" t="str">
        <x:v>Prévoir assets/pl/actors/april/atlas.png + atlas.json, pivot aux pieds.</x:v>
      </x:c>
      <x:c r="M18" s="7" t="str">
        <x:v>Visible uniquement quand April est autorisé par l’état narratif.</x:v>
      </x:c>
      <x:c r="N18" s="7" t="str">
        <x:v>Silhouette reconnue sans nom ; pieds sans glissement ; portrait et sprite cohérents à échelle réelle.</x:v>
      </x:c>
      <x:c r="O18" s="7" t="str">
        <x:v>PL-CHR-APRIL</x:v>
      </x:c>
      <x:c r="P18" s="7" t="str"/>
      <x:c r="Q18" s="7" t="str"/>
      <x:c r="R18" s="7" t="str"/>
      <x:c r="S18" s="7" t="str"/>
    </x:row>
    <x:row r="19" ht="54" customHeight="1">
      <x:c r="A19" s="18" t="str">
        <x:v>PL-SPR-CHRISTINE</x:v>
      </x:c>
      <x:c r="B19" s="9" t="str">
        <x:v>Christine — planche sprite</x:v>
      </x:c>
      <x:c r="C19" s="15" t="str">
        <x:v>Défini</x:v>
      </x:c>
      <x:c r="D19" s="16" t="str">
        <x:v>Extrapolation</x:v>
      </x:c>
      <x:c r="E19" s="16" t="str">
        <x:v>P1</x:v>
      </x:c>
      <x:c r="F19" s="9" t="str">
        <x:v>Création proposée : représentation 2D de Christine pour ce module.</x:v>
      </x:c>
      <x:c r="G19" s="9" t="str">
        <x:v>Tenue civile du film à relever, posture protectrice. Préparer silhouette entière, portrait de dialogue et masque de sélection.</x:v>
      </x:c>
      <x:c r="H19" s="9" t="str">
        <x:v>La zone interactive reste stable entre les poses ; la tenue ne confère aucun bonus implicite.</x:v>
      </x:c>
      <x:c r="I19" s="9" t="str">
        <x:v>Tenue civile du film à relever, posture protectrice. Palette proposée à valider ; comparaison en miniature et sur le décor le plus sombre.</x:v>
      </x:c>
      <x:c r="J19" s="9" t="str">
        <x:v>Vue de trois quarts ; pivots dans huit directions proposées ; symétrie interdite si elle inverse un accessoire identifiable.</x:v>
      </x:c>
      <x:c r="K19" s="9" t="str">
        <x:v>Aucun échantillon du jeu ou du film ; le changement de sélection utilise le son UI du module.</x:v>
      </x:c>
      <x:c r="L19" s="9" t="str">
        <x:v>Prévoir assets/pl/actors/christine/atlas.png + atlas.json, pivot aux pieds.</x:v>
      </x:c>
      <x:c r="M19" s="9" t="str">
        <x:v>Visible uniquement quand Christine est autorisé par l’état narratif.</x:v>
      </x:c>
      <x:c r="N19" s="9" t="str">
        <x:v>Silhouette reconnue sans nom ; pieds sans glissement ; portrait et sprite cohérents à échelle réelle.</x:v>
      </x:c>
      <x:c r="O19" s="9" t="str">
        <x:v>PL-CHR-CHRISTINE</x:v>
      </x:c>
      <x:c r="P19" s="9" t="str"/>
      <x:c r="Q19" s="9" t="str"/>
      <x:c r="R19" s="9" t="str"/>
      <x:c r="S19" s="9" t="str"/>
    </x:row>
    <x:row r="20" ht="68" customHeight="1">
      <x:c r="A20" s="19" t="str">
        <x:v>PL-SPR-HACKETT</x:v>
      </x:c>
      <x:c r="B20" s="7" t="str">
        <x:v>Steven Hackett — planche sprite</x:v>
      </x:c>
      <x:c r="C20" s="15" t="str">
        <x:v>Défini</x:v>
      </x:c>
      <x:c r="D20" s="17" t="str">
        <x:v>Extrapolation</x:v>
      </x:c>
      <x:c r="E20" s="17" t="str">
        <x:v>P1</x:v>
      </x:c>
      <x:c r="F20" s="7" t="str">
        <x:v>Création proposée : représentation 2D de Steven Hackett pour ce module.</x:v>
      </x:c>
      <x:c r="G20" s="7" t="str">
        <x:v>Créer un portrait de communication et ses états de liaison ; aucune présence physique ajoutée au groupe.</x:v>
      </x:c>
      <x:c r="H20" s="7" t="str">
        <x:v>La zone interactive reste stable entre les poses ; la tenue ne confère aucun bonus implicite.</x:v>
      </x:c>
      <x:c r="I20" s="7" t="str">
        <x:v>Portrait de communication de période, pas de sprite combattant nécessaire. Palette proposée à valider ; comparaison en miniature et sur le décor le plus sombre.</x:v>
      </x:c>
      <x:c r="J20" s="7" t="str">
        <x:v>Portrait fixe et légères variations de liaison ; absence de locomotion et de hitbox.</x:v>
      </x:c>
      <x:c r="K20" s="7" t="str">
        <x:v>Aucun échantillon du jeu ou du film ; le changement de sélection utilise le son UI du module.</x:v>
      </x:c>
      <x:c r="L20" s="7" t="str">
        <x:v>assets/pl/comms/ ; portrait, vignette de liaison et état hors ligne.</x:v>
      </x:c>
      <x:c r="M20" s="7" t="str">
        <x:v>Visible uniquement quand Steven Hackett est autorisé par l’état narratif.</x:v>
      </x:c>
      <x:c r="N20" s="7" t="str">
        <x:v>Le portrait apparaît seulement pendant les communications prévues ; aucun sprite combattant n’est créé sur la carte.</x:v>
      </x:c>
      <x:c r="O20" s="7" t="str">
        <x:v>PL-CHR-HACKETT</x:v>
      </x:c>
      <x:c r="P20" s="7" t="str"/>
      <x:c r="Q20" s="7" t="str"/>
      <x:c r="R20" s="7" t="str"/>
      <x:c r="S20" s="7" t="str"/>
    </x:row>
    <x:row r="21" ht="68" customHeight="1">
      <x:c r="A21" s="18" t="str">
        <x:v>PL-SPR-LIARA</x:v>
      </x:c>
      <x:c r="B21" s="9" t="str">
        <x:v>Liara T’Soni — planche sprite</x:v>
      </x:c>
      <x:c r="C21" s="15" t="str">
        <x:v>Défini</x:v>
      </x:c>
      <x:c r="D21" s="16" t="str">
        <x:v>Extrapolation</x:v>
      </x:c>
      <x:c r="E21" s="16" t="str">
        <x:v>P1</x:v>
      </x:c>
      <x:c r="F21" s="9" t="str">
        <x:v>Création proposée : représentation 2D de Liara T’Soni pour ce module.</x:v>
      </x:c>
      <x:c r="G21" s="9" t="str">
        <x:v>Créer un portrait de communication et ses états de liaison ; aucune présence physique ajoutée au groupe.</x:v>
      </x:c>
      <x:c r="H21" s="9" t="str">
        <x:v>La zone interactive reste stable entre les poses ; la tenue ne confère aucun bonus implicite.</x:v>
      </x:c>
      <x:c r="I21" s="9" t="str">
        <x:v>Portrait de liaison à confirmer ; aucune présence physique ajoutée. Palette proposée à valider ; comparaison en miniature et sur le décor le plus sombre.</x:v>
      </x:c>
      <x:c r="J21" s="9" t="str">
        <x:v>Portrait fixe et légères variations de liaison ; absence de locomotion et de hitbox.</x:v>
      </x:c>
      <x:c r="K21" s="9" t="str">
        <x:v>Aucun échantillon du jeu ou du film ; le changement de sélection utilise le son UI du module.</x:v>
      </x:c>
      <x:c r="L21" s="9" t="str">
        <x:v>assets/pl/comms/ ; portrait, vignette de liaison et état hors ligne.</x:v>
      </x:c>
      <x:c r="M21" s="9" t="str">
        <x:v>Visible uniquement quand Liara T’Soni est autorisé par l’état narratif.</x:v>
      </x:c>
      <x:c r="N21" s="9" t="str">
        <x:v>Le portrait apparaît seulement pendant les communications prévues ; aucun sprite combattant n’est créé sur la carte.</x:v>
      </x:c>
      <x:c r="O21" s="9" t="str">
        <x:v>PL-CHR-LIARA</x:v>
      </x:c>
      <x:c r="P21" s="9" t="str"/>
      <x:c r="Q21" s="9" t="str"/>
      <x:c r="R21" s="9" t="str"/>
      <x:c r="S21" s="9" t="str"/>
    </x:row>
  </x:sheetData>
  <x:conditionalFormatting sqref="D7:D21">
    <x:cfRule type="cellIs" dxfId="80" priority="1" operator="equal">
      <x:formula>"À vérifier"</x:formula>
    </x:cfRule>
    <x:cfRule type="cellIs" dxfId="81" priority="2" operator="equal">
      <x:formula>"Extrapolation"</x:formula>
    </x:cfRule>
  </x:conditionalFormatting>
  <x:conditionalFormatting sqref="C7:C21">
    <x:cfRule type="cellIs" dxfId="82" priority="3" operator="equal">
      <x:formula>"Validé"</x:formula>
    </x:cfRule>
  </x:conditionalFormatting>
  <x:conditionalFormatting sqref="E7:E21">
    <x:cfRule type="cellIs" dxfId="8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cd7c453fb5be4272"/>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Paragon Lost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PL-VFX-PACK</x:v>
      </x:c>
      <x:c r="B7" s="9" t="str">
        <x:v>Mercenaires du Blood Pack — rencontre proposée — effet lisible</x:v>
      </x:c>
      <x:c r="C7" s="15" t="str">
        <x:v>Défini</x:v>
      </x:c>
      <x:c r="D7" s="16" t="str">
        <x:v>Extrapolation</x:v>
      </x:c>
      <x:c r="E7" s="16" t="str">
        <x:v>P1</x:v>
      </x:c>
      <x:c r="F7" s="9" t="str">
        <x:v>Effet original de prévision et de résultat pour la rencontre.</x:v>
      </x:c>
      <x:c r="G7" s="9" t="str">
        <x:v>Préparation de l’arme et arc de tir au sol.</x:v>
      </x:c>
      <x:c r="H7" s="9" t="str">
        <x:v>Aire de prévision égale à l’aire logique ; masque de cible conservé en daltonisme.</x:v>
      </x:c>
      <x:c r="I7" s="9" t="str">
        <x:v>Préparation de l’arme et arc de tir au sol.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fx/pl/pack ; pool local nettoyé au changement de scène.</x:v>
      </x:c>
      <x:c r="M7" s="9" t="str">
        <x:v>Effet lié au comportement, jamais déclenché par une animation décorative.</x:v>
      </x:c>
      <x:c r="N7" s="9" t="str">
        <x:v>Aucune cible hors aire n’est affectée ; mode réduit conserve la compréhension.</x:v>
      </x:c>
      <x:c r="O7" s="9" t="str">
        <x:v>PL-EMV-PACK</x:v>
      </x:c>
      <x:c r="P7" s="9" t="str"/>
      <x:c r="Q7" s="9" t="str"/>
      <x:c r="R7" s="9" t="str"/>
      <x:c r="S7" s="9" t="str"/>
    </x:row>
    <x:row r="8" ht="54" customHeight="1">
      <x:c r="A8" s="19" t="str">
        <x:v>PL-VFX-ARCHUK</x:v>
      </x:c>
      <x:c r="B8" s="7" t="str">
        <x:v>Archuk — boss tactique proposé — effet lisible</x:v>
      </x:c>
      <x:c r="C8" s="15" t="str">
        <x:v>Défini</x:v>
      </x:c>
      <x:c r="D8" s="17" t="str">
        <x:v>Extrapolation</x:v>
      </x:c>
      <x:c r="E8" s="17" t="str">
        <x:v>P1</x:v>
      </x:c>
      <x:c r="F8" s="7" t="str">
        <x:v>Effet original de prévision et de résultat pour la rencontre.</x:v>
      </x:c>
      <x:c r="G8" s="7" t="str">
        <x:v>Épaules abaissées et trajet de charge matérialisé.</x:v>
      </x:c>
      <x:c r="H8" s="7" t="str">
        <x:v>Aire de prévision égale à l’aire logique ; masque de cible conservé en daltonisme.</x:v>
      </x:c>
      <x:c r="I8" s="7" t="str">
        <x:v>Épaules abaissées et trajet de charge matérialisé.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fx/pl/archuk ; pool local nettoyé au changement de scène.</x:v>
      </x:c>
      <x:c r="M8" s="7" t="str">
        <x:v>Effet lié au comportement, jamais déclenché par une animation décorative.</x:v>
      </x:c>
      <x:c r="N8" s="7" t="str">
        <x:v>Aucune cible hors aire n’est affectée ; mode réduit conserve la compréhension.</x:v>
      </x:c>
      <x:c r="O8" s="7" t="str">
        <x:v>PL-EMV-ARCHUK</x:v>
      </x:c>
      <x:c r="P8" s="7" t="str"/>
      <x:c r="Q8" s="7" t="str"/>
      <x:c r="R8" s="7" t="str"/>
      <x:c r="S8" s="7" t="str"/>
    </x:row>
    <x:row r="9" ht="68" customHeight="1">
      <x:c r="A9" s="18" t="str">
        <x:v>PL-VFX-SEEKERS</x:v>
      </x:c>
      <x:c r="B9" s="9" t="str">
        <x:v>Essaim de chercheurs — danger proposé — effet lisible</x:v>
      </x:c>
      <x:c r="C9" s="15" t="str">
        <x:v>Défini</x:v>
      </x:c>
      <x:c r="D9" s="16" t="str">
        <x:v>Extrapolation</x:v>
      </x:c>
      <x:c r="E9" s="16" t="str">
        <x:v>P1</x:v>
      </x:c>
      <x:c r="F9" s="9" t="str">
        <x:v>Effet original de prévision et de résultat pour la rencontre.</x:v>
      </x:c>
      <x:c r="G9" s="9" t="str">
        <x:v>Nuage identifiable avec bord externe et icône de paralysie de fiction.</x:v>
      </x:c>
      <x:c r="H9" s="9" t="str">
        <x:v>Aire de prévision égale à l’aire logique ; masque de cible conservé en daltonisme.</x:v>
      </x:c>
      <x:c r="I9" s="9" t="str">
        <x:v>Nuage identifiable avec bord externe et icône de paralysie de fiction.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fx/pl/seekers ; pool local nettoyé au changement de scène.</x:v>
      </x:c>
      <x:c r="M9" s="9" t="str">
        <x:v>Effet lié au comportement, jamais déclenché par une animation décorative.</x:v>
      </x:c>
      <x:c r="N9" s="9" t="str">
        <x:v>Aucune cible hors aire n’est affectée ; mode réduit conserve la compréhension.</x:v>
      </x:c>
      <x:c r="O9" s="9" t="str">
        <x:v>PL-EMV-SEEKERS</x:v>
      </x:c>
      <x:c r="P9" s="9" t="str"/>
      <x:c r="Q9" s="9" t="str"/>
      <x:c r="R9" s="9" t="str"/>
      <x:c r="S9" s="9" t="str"/>
    </x:row>
    <x:row r="10" ht="68" customHeight="1">
      <x:c r="A10" s="19" t="str">
        <x:v>PL-VFX-PRAETORIAN</x:v>
      </x:c>
      <x:c r="B10" s="7" t="str">
        <x:v>Prétorien — poursuite proposée — effet lisible</x:v>
      </x:c>
      <x:c r="C10" s="15" t="str">
        <x:v>Défini</x:v>
      </x:c>
      <x:c r="D10" s="17" t="str">
        <x:v>Extrapolation</x:v>
      </x:c>
      <x:c r="E10" s="17" t="str">
        <x:v>P1</x:v>
      </x:c>
      <x:c r="F10" s="7" t="str">
        <x:v>Effet original de prévision et de résultat pour la rencontre.</x:v>
      </x:c>
      <x:c r="G10" s="7" t="str">
        <x:v>Silhouette entière visible, appui des membres et cercle de menace.</x:v>
      </x:c>
      <x:c r="H10" s="7" t="str">
        <x:v>Aire de prévision égale à l’aire logique ; masque de cible conservé en daltonisme.</x:v>
      </x:c>
      <x:c r="I10" s="7" t="str">
        <x:v>Silhouette entière visible, appui des membres et cercle de menace.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fx/pl/praetorian ; pool local nettoyé au changement de scène.</x:v>
      </x:c>
      <x:c r="M10" s="7" t="str">
        <x:v>Effet lié au comportement, jamais déclenché par une animation décorative.</x:v>
      </x:c>
      <x:c r="N10" s="7" t="str">
        <x:v>Aucune cible hors aire n’est affectée ; mode réduit conserve la compréhension.</x:v>
      </x:c>
      <x:c r="O10" s="7" t="str">
        <x:v>PL-EMV-PRAETORIAN</x:v>
      </x:c>
      <x:c r="P10" s="7" t="str"/>
      <x:c r="Q10" s="7" t="str"/>
      <x:c r="R10" s="7" t="str"/>
      <x:c r="S10" s="7" t="str"/>
    </x:row>
    <x:row r="11" ht="54" customHeight="1">
      <x:c r="A11" s="18" t="str">
        <x:v>PL-VFX-DRONES</x:v>
      </x:c>
      <x:c r="B11" s="9" t="str">
        <x:v>Escouade de Récolteurs proposée — effet lisible</x:v>
      </x:c>
      <x:c r="C11" s="15" t="str">
        <x:v>Défini</x:v>
      </x:c>
      <x:c r="D11" s="16" t="str">
        <x:v>Extrapolation</x:v>
      </x:c>
      <x:c r="E11" s="16" t="str">
        <x:v>P1</x:v>
      </x:c>
      <x:c r="F11" s="9" t="str">
        <x:v>Effet original de prévision et de résultat pour la rencontre.</x:v>
      </x:c>
      <x:c r="G11" s="9" t="str">
        <x:v>Cibles de verrouillage et formation clairement espacée.</x:v>
      </x:c>
      <x:c r="H11" s="9" t="str">
        <x:v>Aire de prévision égale à l’aire logique ; masque de cible conservé en daltonisme.</x:v>
      </x:c>
      <x:c r="I11" s="9" t="str">
        <x:v>Cibles de verrouillage et formation clairement espacée. Limiter les flashes ; option intensité réduite conservant contours et pictogrammes.</x:v>
      </x:c>
      <x:c r="J11" s="9" t="str">
        <x:v>Apparition, maintien, résolution et extinction distinctes ; pas de particule persistante après sortie de carte.</x:v>
      </x:c>
      <x:c r="K11" s="9" t="str">
        <x:v>Un son par engagement ; pas d’empilement de boucles sur recharge de sauvegarde.</x:v>
      </x:c>
      <x:c r="L11" s="9" t="str">
        <x:v>fx/pl/drones ; pool local nettoyé au changement de scène.</x:v>
      </x:c>
      <x:c r="M11" s="9" t="str">
        <x:v>Effet lié au comportement, jamais déclenché par une animation décorative.</x:v>
      </x:c>
      <x:c r="N11" s="9" t="str">
        <x:v>Aucune cible hors aire n’est affectée ; mode réduit conserve la compréhension.</x:v>
      </x:c>
      <x:c r="O11" s="9" t="str">
        <x:v>PL-EMV-DRONES</x:v>
      </x:c>
      <x:c r="P11" s="9" t="str"/>
      <x:c r="Q11" s="9" t="str"/>
      <x:c r="R11" s="9" t="str"/>
      <x:c r="S11" s="9" t="str"/>
    </x:row>
  </x:sheetData>
  <x:conditionalFormatting sqref="D7:D11">
    <x:cfRule type="cellIs" dxfId="84" priority="1" operator="equal">
      <x:formula>"À vérifier"</x:formula>
    </x:cfRule>
    <x:cfRule type="cellIs" dxfId="85" priority="2" operator="equal">
      <x:formula>"Extrapolation"</x:formula>
    </x:cfRule>
  </x:conditionalFormatting>
  <x:conditionalFormatting sqref="C7:C11">
    <x:cfRule type="cellIs" dxfId="86" priority="3" operator="equal">
      <x:formula>"Validé"</x:formula>
    </x:cfRule>
  </x:conditionalFormatting>
  <x:conditionalFormatting sqref="E7:E11">
    <x:cfRule type="cellIs" dxfId="8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dfdd9bee726f41f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Paragon Lost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PL-AUD-01</x:v>
      </x:c>
      <x:c r="B7" s="9" t="str">
        <x:v>Delta en action</x:v>
      </x:c>
      <x:c r="C7" s="15" t="str">
        <x:v>Défini</x:v>
      </x:c>
      <x:c r="D7" s="16" t="str">
        <x:v>Extrapolation</x:v>
      </x:c>
      <x:c r="E7" s="16" t="str">
        <x:v>P1</x:v>
      </x:c>
      <x:c r="F7" s="9" t="str">
        <x:v>Création sonore originale pour le fan game.</x:v>
      </x:c>
      <x:c r="G7" s="9" t="str">
        <x:v>Bruitages originaux nets, appels tactiques courts et sous-titrés.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Bruitages originaux nets, appels tactiques courts et sous-titrés. Musique, bruitages et éventuelles voix à produire sans extraire les enregistrements officiels.</x:v>
      </x:c>
      <x:c r="L7" s="9" t="str">
        <x:v>audio/pl/delta-en-action.ogg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68" customHeight="1">
      <x:c r="A8" s="19" t="str">
        <x:v>PL-AUD-02</x:v>
      </x:c>
      <x:c r="B8" s="7" t="str">
        <x:v>Colonie vivante</x:v>
      </x:c>
      <x:c r="C8" s="15" t="str">
        <x:v>Défini</x:v>
      </x:c>
      <x:c r="D8" s="17" t="str">
        <x:v>Extrapolation</x:v>
      </x:c>
      <x:c r="E8" s="17" t="str">
        <x:v>P1</x:v>
      </x:c>
      <x:c r="F8" s="7" t="str">
        <x:v>Création sonore originale pour le fan game.</x:v>
      </x:c>
      <x:c r="G8" s="7" t="str">
        <x:v>Travail, pas civils et musique originale calme pendant l’accalmie.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Travail, pas civils et musique originale calme pendant l’accalmie. Musique, bruitages et éventuelles voix à produire sans extraire les enregistrements officiels.</x:v>
      </x:c>
      <x:c r="L8" s="7" t="str">
        <x:v>audio/pl/colonie-vivante.ogg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PL-AUD-03</x:v>
      </x:c>
      <x:c r="B9" s="9" t="str">
        <x:v>Vestiges et liaison</x:v>
      </x:c>
      <x:c r="C9" s="15" t="str">
        <x:v>Défini</x:v>
      </x:c>
      <x:c r="D9" s="16" t="str">
        <x:v>Extrapolation</x:v>
      </x:c>
      <x:c r="E9" s="16" t="str">
        <x:v>P1</x:v>
      </x:c>
      <x:c r="F9" s="9" t="str">
        <x:v>Création sonore originale pour le fan game.</x:v>
      </x:c>
      <x:c r="G9" s="9" t="str">
        <x:v>Souffle extérieur et interface de communication légère ; aucun extrait de voix de Liara.</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Souffle extérieur et interface de communication légère ; aucun extrait de voix de Liara. Musique, bruitages et éventuelles voix à produire sans extraire les enregistrements officiels.</x:v>
      </x:c>
      <x:c r="L9" s="9" t="str">
        <x:v>audio/pl/vestiges-et-liaison.ogg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PL-AUD-04</x:v>
      </x:c>
      <x:c r="B10" s="7" t="str">
        <x:v>Essaims</x:v>
      </x:c>
      <x:c r="C10" s="15" t="str">
        <x:v>Défini</x:v>
      </x:c>
      <x:c r="D10" s="17" t="str">
        <x:v>Extrapolation</x:v>
      </x:c>
      <x:c r="E10" s="17" t="str">
        <x:v>P1</x:v>
      </x:c>
      <x:c r="F10" s="7" t="str">
        <x:v>Création sonore originale pour le fan game.</x:v>
      </x:c>
      <x:c r="G10" s="7" t="str">
        <x:v>Texture sonore non agressive réglable, avertissement directionnel doublé d’un contour visuel.</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Texture sonore non agressive réglable, avertissement directionnel doublé d’un contour visuel. Musique, bruitages et éventuelles voix à produire sans extraire les enregistrements officiels.</x:v>
      </x:c>
      <x:c r="L10" s="7" t="str">
        <x:v>audio/pl/essaims.ogg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PL-AUD-05</x:v>
      </x:c>
      <x:c r="B11" s="9" t="str">
        <x:v>Vaisseau récolteur</x:v>
      </x:c>
      <x:c r="C11" s="15" t="str">
        <x:v>Défini</x:v>
      </x:c>
      <x:c r="D11" s="16" t="str">
        <x:v>Extrapolation</x:v>
      </x:c>
      <x:c r="E11" s="16" t="str">
        <x:v>P1</x:v>
      </x:c>
      <x:c r="F11" s="9" t="str">
        <x:v>Création sonore originale pour le fan game.</x:v>
      </x:c>
      <x:c r="G11" s="9" t="str">
        <x:v>Pulsations organomécaniques originales sans copier la bande sonore du film.</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Pulsations organomécaniques originales sans copier la bande sonore du film. Musique, bruitages et éventuelles voix à produire sans extraire les enregistrements officiels.</x:v>
      </x:c>
      <x:c r="L11" s="9" t="str">
        <x:v>audio/pl/vaisseau-recolteur.ogg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row r="12" ht="68" customHeight="1">
      <x:c r="A12" s="19" t="str">
        <x:v>PL-AUD-06</x:v>
      </x:c>
      <x:c r="B12" s="7" t="str">
        <x:v>Mémorial</x:v>
      </x:c>
      <x:c r="C12" s="15" t="str">
        <x:v>Défini</x:v>
      </x:c>
      <x:c r="D12" s="17" t="str">
        <x:v>Extrapolation</x:v>
      </x:c>
      <x:c r="E12" s="17" t="str">
        <x:v>P1</x:v>
      </x:c>
      <x:c r="F12" s="7" t="str">
        <x:v>Création sonore originale pour le fan game.</x:v>
      </x:c>
      <x:c r="G12" s="7" t="str">
        <x:v>Silence, vent et motif musical original discret ; aucune célébration des pertes.</x:v>
      </x:c>
      <x:c r="H12" s="7" t="str">
        <x:v>Déclenchement à l’événement logique ; priorité à la compréhension des commandes du groupe.</x:v>
      </x:c>
      <x:c r="I12" s="7" t="str">
        <x:v>Sous-titre d’ambiance facultatif ; pictogramme si le son fournit une alerte.</x:v>
      </x:c>
      <x:c r="J12" s="7" t="str">
        <x:v>Points de synchro notés dans la fiche animation concernée ; aucune dépendance à la vitesse de lecture.</x:v>
      </x:c>
      <x:c r="K12" s="7" t="str">
        <x:v>Silence, vent et motif musical original discret ; aucune célébration des pertes. Musique, bruitages et éventuelles voix à produire sans extraire les enregistrements officiels.</x:v>
      </x:c>
      <x:c r="L12" s="7" t="str">
        <x:v>audio/pl/memorial.ogg ; bus ambiance/musique/interface séparés.</x:v>
      </x:c>
      <x:c r="M12" s="7" t="str">
        <x:v>La source narrative inspire l’intention, pas une mélodie ou un enregistrement à copier.</x:v>
      </x:c>
      <x:c r="N12" s="7" t="str">
        <x:v>Boucle sans clic ; transitions propres ; information compréhensible volume coupé.</x:v>
      </x:c>
      <x:c r="O12" s="7" t="str"/>
      <x:c r="P12" s="7" t="str"/>
      <x:c r="Q12" s="7" t="str"/>
      <x:c r="R12" s="7" t="str"/>
      <x:c r="S12" s="7" t="str"/>
    </x:row>
  </x:sheetData>
  <x:conditionalFormatting sqref="D7:D12">
    <x:cfRule type="cellIs" dxfId="88" priority="1" operator="equal">
      <x:formula>"À vérifier"</x:formula>
    </x:cfRule>
    <x:cfRule type="cellIs" dxfId="89" priority="2" operator="equal">
      <x:formula>"Extrapolation"</x:formula>
    </x:cfRule>
  </x:conditionalFormatting>
  <x:conditionalFormatting sqref="C7:C12">
    <x:cfRule type="cellIs" dxfId="90" priority="3" operator="equal">
      <x:formula>"Validé"</x:formula>
    </x:cfRule>
  </x:conditionalFormatting>
  <x:conditionalFormatting sqref="E7:E12">
    <x:cfRule type="cellIs" dxfId="9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8fdae15afc894499"/>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Paragon Lost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PL-SYS-01</x:v>
      </x:c>
      <x:c r="B7" s="9" t="str">
        <x:v>Fenêtres de Delta Squad</x:v>
      </x:c>
      <x:c r="C7" s="15" t="str">
        <x:v>Défini</x:v>
      </x:c>
      <x:c r="D7" s="16" t="str">
        <x:v>Extrapolation</x:v>
      </x:c>
      <x:c r="E7" s="16" t="str">
        <x:v>P0</x:v>
      </x:c>
      <x:c r="F7" s="9" t="str">
        <x:v>Système original de production propre au module.</x:v>
      </x:c>
      <x:c r="G7" s="9" t="str">
        <x:v>Activer chaque membre seulement dans les phases où sa présence est autorisée ; aucun recrutement permanent des personnages perdus.</x:v>
      </x:c>
      <x:c r="H7" s="9" t="str">
        <x:v>Activer chaque membre seulement dans les phases où sa présence est autorisée ; aucun recrutement permanent des personnages perdus.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systems/pl/fenetres-de-delta-squad.ts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PL-SYS-02</x:v>
      </x:c>
      <x:c r="B8" s="7" t="str">
        <x:v>Deux périodes</x:v>
      </x:c>
      <x:c r="C8" s="15" t="str">
        <x:v>Défini</x:v>
      </x:c>
      <x:c r="D8" s="17" t="str">
        <x:v>Extrapolation</x:v>
      </x:c>
      <x:c r="E8" s="17" t="str">
        <x:v>P0</x:v>
      </x:c>
      <x:c r="F8" s="7" t="str">
        <x:v>Système original de production propre au module.</x:v>
      </x:c>
      <x:c r="G8" s="7" t="str">
        <x:v>Afficher explicitement la transition entre l’attaque initiale et la crise suivante ; modifier décor et habitants de manière contrôlée.</x:v>
      </x:c>
      <x:c r="H8" s="7" t="str">
        <x:v>Afficher explicitement la transition entre l’attaque initiale et la crise suivante ; modifier décor et habitants de manière contrôlée.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systems/pl/deux-periodes.ts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54" customHeight="1">
      <x:c r="A9" s="18" t="str">
        <x:v>PL-SYS-03</x:v>
      </x:c>
      <x:c r="B9" s="9" t="str">
        <x:v>Méthodes sans fin alternative</x:v>
      </x:c>
      <x:c r="C9" s="15" t="str">
        <x:v>Défini</x:v>
      </x:c>
      <x:c r="D9" s="16" t="str">
        <x:v>Extrapolation</x:v>
      </x:c>
      <x:c r="E9" s="16" t="str">
        <x:v>P1</x:v>
      </x:c>
      <x:c r="F9" s="9" t="str">
        <x:v>Système original de production propre au module.</x:v>
      </x:c>
      <x:c r="G9" s="9" t="str">
        <x:v>Les choix portent sur couverts, répartition et collecte locale ; ils ne proposent pas de sauver simultanément tout le monde.</x:v>
      </x:c>
      <x:c r="H9" s="9" t="str">
        <x:v>Les choix portent sur couverts, répartition et collecte locale ; ils ne proposent pas de sauver simultanément tout le monde.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systems/pl/methodes-sans-fin-alternative.ts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54" customHeight="1">
      <x:c r="A10" s="19" t="str">
        <x:v>PL-SYS-04</x:v>
      </x:c>
      <x:c r="B10" s="7" t="str">
        <x:v>Civil et militaire</x:v>
      </x:c>
      <x:c r="C10" s="15" t="str">
        <x:v>Défini</x:v>
      </x:c>
      <x:c r="D10" s="17" t="str">
        <x:v>Extrapolation</x:v>
      </x:c>
      <x:c r="E10" s="17" t="str">
        <x:v>P1</x:v>
      </x:c>
      <x:c r="F10" s="7" t="str">
        <x:v>Système original de production propre au module.</x:v>
      </x:c>
      <x:c r="G10" s="7" t="str">
        <x:v>Treeya, April et Christine conservent des fonctions distinctes de celles des Marines ; pas d’armement automatique du groupe entier.</x:v>
      </x:c>
      <x:c r="H10" s="7" t="str">
        <x:v>Treeya, April et Christine conservent des fonctions distinctes de celles des Marines ; pas d’armement automatique du groupe entier.</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systems/pl/civil-et-militaire.ts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PL-SYS-05</x:v>
      </x:c>
      <x:c r="B11" s="9" t="str">
        <x:v>Lecture des essaims</x:v>
      </x:c>
      <x:c r="C11" s="15" t="str">
        <x:v>Défini</x:v>
      </x:c>
      <x:c r="D11" s="16" t="str">
        <x:v>Extrapolation</x:v>
      </x:c>
      <x:c r="E11" s="16" t="str">
        <x:v>P1</x:v>
      </x:c>
      <x:c r="F11" s="9" t="str">
        <x:v>Système original de production propre au module.</x:v>
      </x:c>
      <x:c r="G11" s="9" t="str">
        <x:v>Danger spatial visible et solution de passage claire ; le système de paralysie est un réglage fictif.</x:v>
      </x:c>
      <x:c r="H11" s="9" t="str">
        <x:v>Danger spatial visible et solution de passage claire ; le système de paralysie est un réglage fictif.</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systems/pl/lecture-des-essaims.ts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54" customHeight="1">
      <x:c r="A12" s="19" t="str">
        <x:v>PL-SYS-06</x:v>
      </x:c>
      <x:c r="B12" s="7" t="str">
        <x:v>Objets de preuve</x:v>
      </x:c>
      <x:c r="C12" s="15" t="str">
        <x:v>Défini</x:v>
      </x:c>
      <x:c r="D12" s="17" t="str">
        <x:v>Extrapolation</x:v>
      </x:c>
      <x:c r="E12" s="17" t="str">
        <x:v>P1</x:v>
      </x:c>
      <x:c r="F12" s="7" t="str">
        <x:v>Système original de production propre au module.</x:v>
      </x:c>
      <x:c r="G12" s="7" t="str">
        <x:v>Le bracelet et ses données suivent un seul porteur logique ; aucune duplication après changement de carte.</x:v>
      </x:c>
      <x:c r="H12" s="7" t="str">
        <x:v>Le bracelet et ses données suivent un seul porteur logique ; aucune duplication après changement de carte.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systems/pl/objets-de-preuve.ts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PL-SYS-07</x:v>
      </x:c>
      <x:c r="B13" s="9" t="str">
        <x:v>Échelle du vaisseau</x:v>
      </x:c>
      <x:c r="C13" s="15" t="str">
        <x:v>Défini</x:v>
      </x:c>
      <x:c r="D13" s="16" t="str">
        <x:v>Extrapolation</x:v>
      </x:c>
      <x:c r="E13" s="16" t="str">
        <x:v>P1</x:v>
      </x:c>
      <x:c r="F13" s="9" t="str">
        <x:v>Système original de production propre au module.</x:v>
      </x:c>
      <x:c r="G13" s="9" t="str">
        <x:v>Les segments d’abordage sont scénarisés et cadrés ; pas de fausse promesse d’exploration intégrale.</x:v>
      </x:c>
      <x:c r="H13" s="9" t="str">
        <x:v>Les segments d’abordage sont scénarisés et cadrés ; pas de fausse promesse d’exploration intégrale.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systems/pl/echelle-du-vaisseau.ts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44" customHeight="1">
      <x:c r="A14" s="19" t="str">
        <x:v>PL-SYS-08</x:v>
      </x:c>
      <x:c r="B14" s="7" t="str">
        <x:v>Rapport sans score moral</x:v>
      </x:c>
      <x:c r="C14" s="15" t="str">
        <x:v>Défini</x:v>
      </x:c>
      <x:c r="D14" s="17" t="str">
        <x:v>Extrapolation</x:v>
      </x:c>
      <x:c r="E14" s="17" t="str">
        <x:v>P1</x:v>
      </x:c>
      <x:c r="F14" s="7" t="str">
        <x:v>Système original de production propre au module.</x:v>
      </x:c>
      <x:c r="G14" s="7" t="str">
        <x:v>L’épilogue conserve les conséquences sans noter le deuil ni classer le joueur sur une échelle de vertu.</x:v>
      </x:c>
      <x:c r="H14" s="7" t="str">
        <x:v>L’épilogue conserve les conséquences sans noter le deuil ni classer le joueur sur une échelle de vertu.</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systems/pl/rapport-sans-score-moral.ts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row r="15" ht="54" customHeight="1">
      <x:c r="A15" s="18" t="str">
        <x:v>PL-SYS-09</x:v>
      </x:c>
      <x:c r="B15" s="9" t="str">
        <x:v>Références visuelles du film</x:v>
      </x:c>
      <x:c r="C15" s="15" t="str">
        <x:v>Défini</x:v>
      </x:c>
      <x:c r="D15" s="16" t="str">
        <x:v>Extrapolation</x:v>
      </x:c>
      <x:c r="E15" s="16" t="str">
        <x:v>P1</x:v>
      </x:c>
      <x:c r="F15" s="9" t="str">
        <x:v>Système original de production propre au module.</x:v>
      </x:c>
      <x:c r="G15" s="9" t="str">
        <x:v>Distinguer style du film et modèles des jeux ; toute harmonisation en sprites est une décision d’adaptation explicitée.</x:v>
      </x:c>
      <x:c r="H15" s="9" t="str">
        <x:v>Distinguer style du film et modèles des jeux ; toute harmonisation en sprites est une décision d’adaptation explicitée.</x:v>
      </x:c>
      <x:c r="I15" s="9" t="str">
        <x:v>État visible dans le HUD et le journal ; libellés complets, icônes non exclusives.</x:v>
      </x:c>
      <x:c r="J15" s="9" t="str">
        <x:v>Transitions rapides et possibilité de réduire les mouvements UI.</x:v>
      </x:c>
      <x:c r="K15" s="9" t="str">
        <x:v>Chaque changement critique possède un équivalent textuel ; pas de message sonore seul.</x:v>
      </x:c>
      <x:c r="L15" s="9" t="str">
        <x:v>systems/pl/references-visuelles-du-film.ts prévu ; sauvegarde versionnée avec valeurs par défaut.</x:v>
      </x:c>
      <x:c r="M15" s="9" t="str">
        <x:v>Activé seulement dans ce module ; ne modifie pas les sauvegardes des jeux officiels.</x:v>
      </x:c>
      <x:c r="N15" s="9" t="str">
        <x:v>Chargement et reprise conservent l’état ; clavier et pointeur donnent le même résultat.</x:v>
      </x:c>
      <x:c r="O15" s="9" t="str"/>
      <x:c r="P15" s="9" t="str"/>
      <x:c r="Q15" s="9" t="str"/>
      <x:c r="R15" s="9" t="str"/>
      <x:c r="S15" s="9" t="str"/>
    </x:row>
  </x:sheetData>
  <x:conditionalFormatting sqref="D7:D15">
    <x:cfRule type="cellIs" dxfId="92" priority="1" operator="equal">
      <x:formula>"À vérifier"</x:formula>
    </x:cfRule>
    <x:cfRule type="cellIs" dxfId="93" priority="2" operator="equal">
      <x:formula>"Extrapolation"</x:formula>
    </x:cfRule>
  </x:conditionalFormatting>
  <x:conditionalFormatting sqref="C7:C15">
    <x:cfRule type="cellIs" dxfId="94" priority="3" operator="equal">
      <x:formula>"Validé"</x:formula>
    </x:cfRule>
  </x:conditionalFormatting>
  <x:conditionalFormatting sqref="E7:E15">
    <x:cfRule type="cellIs" dxfId="9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fef6a877cddd4015"/>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Paragon Lost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44" customHeight="1">
      <x:c r="A7" s="18" t="str">
        <x:v>PL-TST-LAND</x:v>
      </x:c>
      <x:c r="B7" s="9" t="str">
        <x:v>Rallier l’escouade — scénario d’acceptation</x:v>
      </x:c>
      <x:c r="C7" s="15" t="str">
        <x:v>Défini</x:v>
      </x:c>
      <x:c r="D7" s="16" t="str">
        <x:v>Extrapolation</x:v>
      </x:c>
      <x:c r="E7" s="16" t="str">
        <x:v>P1</x:v>
      </x:c>
      <x:c r="F7" s="9" t="str">
        <x:v>Test de comportement spécifique à la mission proposée.</x:v>
      </x:c>
      <x:c r="G7" s="9" t="str">
        <x:v>Exécuter Rallier l’escouade avec la méthode la plus lente puis avec la méthode alternative.</x:v>
      </x:c>
      <x:c r="H7" s="9" t="str">
        <x:v>Contrôler les transitions de la règle suivante : Alterner déplacement assisté, couverture et repérage de sortie.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qa/pl/land.md : état initial, actions, attendu, résultat, capture.</x:v>
      </x:c>
      <x:c r="M7" s="9" t="str">
        <x:v>Le contexte de 2183 est distingué du reste du film.</x:v>
      </x:c>
      <x:c r="N7" s="9" t="str">
        <x:v>Aucun blocage, récompense multiple, information future ou divergence entre pause ATB et temps normal.</x:v>
      </x:c>
      <x:c r="O7" s="9" t="str">
        <x:v>PL-MIS-LAND, PL-CHO-LAND, PL-OPT-LAND</x:v>
      </x:c>
      <x:c r="P7" s="9" t="str"/>
      <x:c r="Q7" s="9" t="str"/>
      <x:c r="R7" s="9" t="str"/>
      <x:c r="S7" s="9" t="str"/>
    </x:row>
    <x:row r="8" ht="54" customHeight="1">
      <x:c r="A8" s="19" t="str">
        <x:v>PL-TST-FLANK</x:v>
      </x:c>
      <x:c r="B8" s="7" t="str">
        <x:v>Coordonner un flanc — scénario d’acceptation</x:v>
      </x:c>
      <x:c r="C8" s="15" t="str">
        <x:v>Défini</x:v>
      </x:c>
      <x:c r="D8" s="17" t="str">
        <x:v>Extrapolation</x:v>
      </x:c>
      <x:c r="E8" s="17" t="str">
        <x:v>P1</x:v>
      </x:c>
      <x:c r="F8" s="7" t="str">
        <x:v>Test de comportement spécifique à la mission proposée.</x:v>
      </x:c>
      <x:c r="G8" s="7" t="str">
        <x:v>Exécuter Coordonner un flanc avec la méthode la plus lente puis avec la méthode alternative.</x:v>
      </x:c>
      <x:c r="H8" s="7" t="str">
        <x:v>Contrôler les transitions de la règle suivante : Vega attire la pression pendant que drone et appui ouvrent une ligne de passage.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qa/pl/flank.md : état initial, actions, attendu, résultat, capture.</x:v>
      </x:c>
      <x:c r="M8" s="7" t="str">
        <x:v>Le destin d’Archuk ne devient pas une option de recrutement.</x:v>
      </x:c>
      <x:c r="N8" s="7" t="str">
        <x:v>Aucun blocage, récompense multiple, information future ou divergence entre pause ATB et temps normal.</x:v>
      </x:c>
      <x:c r="O8" s="7" t="str">
        <x:v>PL-MIS-FLANK, PL-CHO-FLANK, PL-OPT-FLANK</x:v>
      </x:c>
      <x:c r="P8" s="7" t="str"/>
      <x:c r="Q8" s="7" t="str"/>
      <x:c r="R8" s="7" t="str"/>
      <x:c r="S8" s="7" t="str"/>
    </x:row>
    <x:row r="9" ht="54" customHeight="1">
      <x:c r="A9" s="18" t="str">
        <x:v>PL-TST-CARE</x:v>
      </x:c>
      <x:c r="B9" s="9" t="str">
        <x:v>Entretenir la défense d’une colonie — scénario d’acceptation</x:v>
      </x:c>
      <x:c r="C9" s="15" t="str">
        <x:v>Défini</x:v>
      </x:c>
      <x:c r="D9" s="16" t="str">
        <x:v>Extrapolation</x:v>
      </x:c>
      <x:c r="E9" s="16" t="str">
        <x:v>P1</x:v>
      </x:c>
      <x:c r="F9" s="9" t="str">
        <x:v>Test de comportement spécifique à la mission proposée.</x:v>
      </x:c>
      <x:c r="G9" s="9" t="str">
        <x:v>Exécuter Entretenir la défense d’une colonie avec la méthode la plus lente puis avec la méthode alternative.</x:v>
      </x:c>
      <x:c r="H9" s="9" t="str">
        <x:v>Contrôler les transitions de la règle suivante : Répartir diagnostic, livraison et essai de sécurité ; pas de combat nécessaire.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qa/pl/care.md : état initial, actions, attendu, résultat, capture.</x:v>
      </x:c>
      <x:c r="M9" s="9" t="str">
        <x:v>Aucun risque imposé à April comme mini-jeu.</x:v>
      </x:c>
      <x:c r="N9" s="9" t="str">
        <x:v>Aucun blocage, récompense multiple, information future ou divergence entre pause ATB et temps normal.</x:v>
      </x:c>
      <x:c r="O9" s="9" t="str">
        <x:v>PL-MIS-CARE, PL-CHO-CARE, PL-OPT-CARE</x:v>
      </x:c>
      <x:c r="P9" s="9" t="str"/>
      <x:c r="Q9" s="9" t="str"/>
      <x:c r="R9" s="9" t="str"/>
      <x:c r="S9" s="9" t="str"/>
    </x:row>
    <x:row r="10" ht="54" customHeight="1">
      <x:c r="A10" s="19" t="str">
        <x:v>PL-TST-SIGNAL</x:v>
      </x:c>
      <x:c r="B10" s="7" t="str">
        <x:v>Délimiter un signal inconnu — scénario d’acceptation</x:v>
      </x:c>
      <x:c r="C10" s="15" t="str">
        <x:v>Défini</x:v>
      </x:c>
      <x:c r="D10" s="17" t="str">
        <x:v>Extrapolation</x:v>
      </x:c>
      <x:c r="E10" s="17" t="str">
        <x:v>P1</x:v>
      </x:c>
      <x:c r="F10" s="7" t="str">
        <x:v>Test de comportement spécifique à la mission proposée.</x:v>
      </x:c>
      <x:c r="G10" s="7" t="str">
        <x:v>Exécuter Délimiter un signal inconnu avec la méthode la plus lente puis avec la méthode alternative.</x:v>
      </x:c>
      <x:c r="H10" s="7" t="str">
        <x:v>Contrôler les transitions de la règle suivante : Triangulation abstraite, protection du périmètre et vérification d’un relevé.</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qa/pl/signal.md : état initial, actions, attendu, résultat, capture.</x:v>
      </x:c>
      <x:c r="M10" s="7" t="str">
        <x:v>Liara reste une interlocutrice distante.</x:v>
      </x:c>
      <x:c r="N10" s="7" t="str">
        <x:v>Aucun blocage, récompense multiple, information future ou divergence entre pause ATB et temps normal.</x:v>
      </x:c>
      <x:c r="O10" s="7" t="str">
        <x:v>PL-MIS-SIGNAL, PL-CHO-SIGNAL, PL-OPT-SIGNAL</x:v>
      </x:c>
      <x:c r="P10" s="7" t="str"/>
      <x:c r="Q10" s="7" t="str"/>
      <x:c r="R10" s="7" t="str"/>
      <x:c r="S10" s="7" t="str"/>
    </x:row>
    <x:row r="11" ht="54" customHeight="1">
      <x:c r="A11" s="18" t="str">
        <x:v>PL-TST-CANNON</x:v>
      </x:c>
      <x:c r="B11" s="9" t="str">
        <x:v>Garder une issue de repli — scénario d’acceptation</x:v>
      </x:c>
      <x:c r="C11" s="15" t="str">
        <x:v>Défini</x:v>
      </x:c>
      <x:c r="D11" s="16" t="str">
        <x:v>Extrapolation</x:v>
      </x:c>
      <x:c r="E11" s="16" t="str">
        <x:v>P1</x:v>
      </x:c>
      <x:c r="F11" s="9" t="str">
        <x:v>Test de comportement spécifique à la mission proposée.</x:v>
      </x:c>
      <x:c r="G11" s="9" t="str">
        <x:v>Exécuter Garder une issue de repli avec la méthode la plus lente puis avec la méthode alternative.</x:v>
      </x:c>
      <x:c r="H11" s="9" t="str">
        <x:v>Contrôler les transitions de la règle suivante : Activer alimentation, vérification et couverture ; afficher le coût local des actions.</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qa/pl/cannon.md : état initial, actions, attendu, résultat, capture.</x:v>
      </x:c>
      <x:c r="M11" s="9" t="str">
        <x:v>Ne pas créer un tir parfait qui annule l’attaque canonique.</x:v>
      </x:c>
      <x:c r="N11" s="9" t="str">
        <x:v>Aucun blocage, récompense multiple, information future ou divergence entre pause ATB et temps normal.</x:v>
      </x:c>
      <x:c r="O11" s="9" t="str">
        <x:v>PL-MIS-CANNON, PL-CHO-CANNON, PL-OPT-CANNON</x:v>
      </x:c>
      <x:c r="P11" s="9" t="str"/>
      <x:c r="Q11" s="9" t="str"/>
      <x:c r="R11" s="9" t="str"/>
      <x:c r="S11" s="9" t="str"/>
    </x:row>
    <x:row r="12" ht="54" customHeight="1">
      <x:c r="A12" s="19" t="str">
        <x:v>PL-TST-REFUGE</x:v>
      </x:c>
      <x:c r="B12" s="7" t="str">
        <x:v>Tenir les portes du refuge — scénario d’acceptation</x:v>
      </x:c>
      <x:c r="C12" s="15" t="str">
        <x:v>Défini</x:v>
      </x:c>
      <x:c r="D12" s="17" t="str">
        <x:v>Extrapolation</x:v>
      </x:c>
      <x:c r="E12" s="17" t="str">
        <x:v>P1</x:v>
      </x:c>
      <x:c r="F12" s="7" t="str">
        <x:v>Test de comportement spécifique à la mission proposée.</x:v>
      </x:c>
      <x:c r="G12" s="7" t="str">
        <x:v>Exécuter Tenir les portes du refuge avec la méthode la plus lente puis avec la méthode alternative.</x:v>
      </x:c>
      <x:c r="H12" s="7" t="str">
        <x:v>Contrôler les transitions de la règle suivante : Nicky contrôle un accès, un autre couvre et Treeya vérifie une information.</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qa/pl/refuge.md : état initial, actions, attendu, résultat, capture.</x:v>
      </x:c>
      <x:c r="M12" s="7" t="str">
        <x:v>Présence et pertes de l’équipe doivent suivre les fenêtres du film.</x:v>
      </x:c>
      <x:c r="N12" s="7" t="str">
        <x:v>Aucun blocage, récompense multiple, information future ou divergence entre pause ATB et temps normal.</x:v>
      </x:c>
      <x:c r="O12" s="7" t="str">
        <x:v>PL-MIS-REFUGE, PL-CHO-REFUGE, PL-OPT-REFUGE</x:v>
      </x:c>
      <x:c r="P12" s="7" t="str"/>
      <x:c r="Q12" s="7" t="str"/>
      <x:c r="R12" s="7" t="str"/>
      <x:c r="S12" s="7" t="str"/>
    </x:row>
    <x:row r="13" ht="54" customHeight="1">
      <x:c r="A13" s="18" t="str">
        <x:v>PL-TST-BOARD</x:v>
      </x:c>
      <x:c r="B13" s="9" t="str">
        <x:v>Préparer un abordage local — scénario d’acceptation</x:v>
      </x:c>
      <x:c r="C13" s="15" t="str">
        <x:v>Défini</x:v>
      </x:c>
      <x:c r="D13" s="16" t="str">
        <x:v>Extrapolation</x:v>
      </x:c>
      <x:c r="E13" s="16" t="str">
        <x:v>P1</x:v>
      </x:c>
      <x:c r="F13" s="9" t="str">
        <x:v>Test de comportement spécifique à la mission proposée.</x:v>
      </x:c>
      <x:c r="G13" s="9" t="str">
        <x:v>Exécuter Préparer un abordage local avec la méthode la plus lente puis avec la méthode alternative.</x:v>
      </x:c>
      <x:c r="H13" s="9" t="str">
        <x:v>Contrôler les transitions de la règle suivante : Protéger un poste, répondre à des alertes directionnelles et maintenir l’accès de groupe.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qa/pl/board.md : état initial, actions, attendu, résultat, capture.</x:v>
      </x:c>
      <x:c r="M13" s="9" t="str">
        <x:v>L’issue ne supprime pas les événements ultérieurs du film.</x:v>
      </x:c>
      <x:c r="N13" s="9" t="str">
        <x:v>Aucun blocage, récompense multiple, information future ou divergence entre pause ATB et temps normal.</x:v>
      </x:c>
      <x:c r="O13" s="9" t="str">
        <x:v>PL-MIS-BOARD, PL-CHO-BOARD, PL-OPT-BOARD</x:v>
      </x:c>
      <x:c r="P13" s="9" t="str"/>
      <x:c r="Q13" s="9" t="str"/>
      <x:c r="R13" s="9" t="str"/>
      <x:c r="S13" s="9" t="str"/>
    </x:row>
    <x:row r="14" ht="54" customHeight="1">
      <x:c r="A14" s="19" t="str">
        <x:v>PL-TST-INTEL</x:v>
      </x:c>
      <x:c r="B14" s="7" t="str">
        <x:v>Protéger une information sous pression — scénario d’acceptation</x:v>
      </x:c>
      <x:c r="C14" s="15" t="str">
        <x:v>Défini</x:v>
      </x:c>
      <x:c r="D14" s="17" t="str">
        <x:v>Extrapolation</x:v>
      </x:c>
      <x:c r="E14" s="17" t="str">
        <x:v>P1</x:v>
      </x:c>
      <x:c r="F14" s="7" t="str">
        <x:v>Test de comportement spécifique à la mission proposée.</x:v>
      </x:c>
      <x:c r="G14" s="7" t="str">
        <x:v>Exécuter Protéger une information sous pression avec la méthode la plus lente puis avec la méthode alternative.</x:v>
      </x:c>
      <x:c r="H14" s="7" t="str">
        <x:v>Contrôler les transitions de la règle suivante : Identifier le conteneur, garantir sa présence et ouvrir un trajet autorisé.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qa/pl/intel.md : état initial, actions, attendu, résultat, capture.</x:v>
      </x:c>
      <x:c r="M14" s="7" t="str">
        <x:v>La décision finale de Vega reste celle du film ; pas de fin parfaite.</x:v>
      </x:c>
      <x:c r="N14" s="7" t="str">
        <x:v>Aucun blocage, récompense multiple, information future ou divergence entre pause ATB et temps normal.</x:v>
      </x:c>
      <x:c r="O14" s="7" t="str">
        <x:v>PL-MIS-INTEL, PL-CHO-INTEL, PL-OPT-INTEL</x:v>
      </x:c>
      <x:c r="P14" s="7" t="str"/>
      <x:c r="Q14" s="7" t="str"/>
      <x:c r="R14" s="7" t="str"/>
      <x:c r="S14" s="7" t="str"/>
    </x:row>
    <x:row r="15" ht="54" customHeight="1">
      <x:c r="A15" s="18" t="str">
        <x:v>PL-TST-REMEMBER</x:v>
      </x:c>
      <x:c r="B15" s="9" t="str">
        <x:v>Rendre compte des absents — scénario d’acceptation</x:v>
      </x:c>
      <x:c r="C15" s="15" t="str">
        <x:v>Défini</x:v>
      </x:c>
      <x:c r="D15" s="16" t="str">
        <x:v>Extrapolation</x:v>
      </x:c>
      <x:c r="E15" s="16" t="str">
        <x:v>P1</x:v>
      </x:c>
      <x:c r="F15" s="9" t="str">
        <x:v>Test de comportement spécifique à la mission proposée.</x:v>
      </x:c>
      <x:c r="G15" s="9" t="str">
        <x:v>Exécuter Rendre compte des absents avec la méthode la plus lente puis avec la méthode alternative.</x:v>
      </x:c>
      <x:c r="H15" s="9" t="str">
        <x:v>Contrôler les transitions de la règle suivante : Consulter le registre du groupe et choisir une intention de parole originale.</x:v>
      </x:c>
      <x:c r="I15" s="9" t="str">
        <x:v>Capturer le moment où la sortie devient valide et celui où le choix devient indisponible.</x:v>
      </x:c>
      <x:c r="J15" s="9" t="str">
        <x:v>Interrompre une action à son anticipation et une autre après son engagement.</x:v>
      </x:c>
      <x:c r="K15" s="9" t="str">
        <x:v>Rejouer sans son pour vérifier les informations essentielles.</x:v>
      </x:c>
      <x:c r="L15" s="9" t="str">
        <x:v>qa/pl/remember.md : état initial, actions, attendu, résultat, capture.</x:v>
      </x:c>
      <x:c r="M15" s="9" t="str">
        <x:v>Ni résurrection, ni score de victoire basé sur les victimes.</x:v>
      </x:c>
      <x:c r="N15" s="9" t="str">
        <x:v>Aucun blocage, récompense multiple, information future ou divergence entre pause ATB et temps normal.</x:v>
      </x:c>
      <x:c r="O15" s="9" t="str">
        <x:v>PL-MIS-REMEMBER, PL-CHO-REMEMBER, PL-OPT-REMEMBER</x:v>
      </x:c>
      <x:c r="P15" s="9" t="str"/>
      <x:c r="Q15" s="9" t="str"/>
      <x:c r="R15" s="9" t="str"/>
      <x:c r="S15" s="9" t="str"/>
    </x:row>
    <x:row r="16" ht="82" customHeight="1">
      <x:c r="A16" s="19" t="str">
        <x:v>PL-QA-SOURCES</x:v>
      </x:c>
      <x:c r="B16" s="7" t="str">
        <x:v>Provenance et non-substitution</x:v>
      </x:c>
      <x:c r="C16" s="15" t="str">
        <x:v>Défini</x:v>
      </x:c>
      <x:c r="D16" s="17" t="str">
        <x:v>Extrapolation</x:v>
      </x:c>
      <x:c r="E16" s="17" t="str">
        <x:v>P0</x:v>
      </x:c>
      <x:c r="F16" s="7" t="str">
        <x:v>Contrôle éditorial du catalogue de production.</x:v>
      </x:c>
      <x:c r="G16" s="7" t="str">
        <x:v>Comparer les seuls faits de référence avec les pages citées ; conserver toutes les mécaniques ajoutées comme Extrapolation.</x:v>
      </x:c>
      <x:c r="H16" s="7" t="str">
        <x:v>Vérifier qu’aucune fiche ne présente une statistique ATB comme une valeur du roman ou du film.</x:v>
      </x:c>
      <x:c r="I16" s="7" t="str"/>
      <x:c r="J16" s="7" t="str"/>
      <x:c r="K16" s="7" t="str"/>
      <x:c r="L16" s="7" t="str">
        <x:v>Filtrer PL par nature puis sourceIds ; revue ciblée des éléments sans source.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Sources accessibles ou limites tracées ; aucun long extrait, dialogue reproduit ou résumé continu substitutif.</x:v>
      </x:c>
      <x:c r="O16" s="7" t="str"/>
      <x:c r="P16" s="7" t="str"/>
      <x:c r="Q16" s="7" t="str"/>
      <x:c r="R16" s="7" t="str"/>
      <x:c r="S16" s="7" t="str"/>
    </x:row>
    <x:row r="17" ht="82" customHeight="1">
      <x:c r="A17" s="18" t="str">
        <x:v>PL-QA-SAVE</x:v>
      </x:c>
      <x:c r="B17" s="9" t="str">
        <x:v>Reprise des états et du groupe</x:v>
      </x:c>
      <x:c r="C17" s="15" t="str">
        <x:v>Défini</x:v>
      </x:c>
      <x:c r="D17" s="16" t="str">
        <x:v>Extrapolation</x:v>
      </x:c>
      <x:c r="E17" s="16" t="str">
        <x:v>P0</x:v>
      </x:c>
      <x:c r="F17" s="9" t="str">
        <x:v>Contrôle de sauvegarde du module proposé.</x:v>
      </x:c>
      <x:c r="G17" s="9" t="str">
        <x:v>Sauver avant une transition, une option et une crise ; charger puis comparer les états de progression et de présence.</x:v>
      </x:c>
      <x:c r="H17" s="9" t="str">
        <x:v>Le coût d’action est appliqué exactement une fois ; les acteurs absents ne réapparaissent pas au chargement.</x:v>
      </x:c>
      <x:c r="I17" s="9" t="str"/>
      <x:c r="J17" s="9" t="str"/>
      <x:c r="K17" s="9" t="str"/>
      <x:c r="L17" s="9" t="str">
        <x:v>qa/pl/save-reload.md avec capture avant/après.</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Inventaire, acteurs disponibles, indices et limites de continuité restent identiques.</x:v>
      </x:c>
      <x:c r="O17" s="9" t="str"/>
      <x:c r="P17" s="9" t="str"/>
      <x:c r="Q17" s="9" t="str"/>
      <x:c r="R17" s="9" t="str"/>
      <x:c r="S17" s="9" t="str"/>
    </x:row>
    <x:row r="18" ht="54" customHeight="1">
      <x:c r="A18" s="19" t="str">
        <x:v>PL-QA-VISUAL</x:v>
      </x:c>
      <x:c r="B18" s="7" t="str">
        <x:v>Lisibilité sprites 2D sur volumes 3D</x:v>
      </x:c>
      <x:c r="C18" s="15" t="str">
        <x:v>Défini</x:v>
      </x:c>
      <x:c r="D18" s="17" t="str">
        <x:v>Extrapolation</x:v>
      </x:c>
      <x:c r="E18" s="17" t="str">
        <x:v>P0</x:v>
      </x:c>
      <x:c r="F18" s="7" t="str">
        <x:v>Contrôle visuel de production du module.</x:v>
      </x:c>
      <x:c r="G18" s="7" t="str">
        <x:v>Photographier chaque carrefour et engagement avec effets actifs, puis répéter à petite résolution et sans couleur.</x:v>
      </x:c>
      <x:c r="H18" s="7" t="str">
        <x:v>La zone cliquable correspond aux pieds des sprites, jamais au sommet d’un décor.</x:v>
      </x:c>
      <x:c r="I18" s="7" t="str"/>
      <x:c r="J18" s="7" t="str"/>
      <x:c r="K18" s="7" t="str"/>
      <x:c r="L18" s="7" t="str">
        <x:v>qa/pl/readability/ : captures scènes et grille de comparaison.</x:v>
      </x:c>
      <x:c r="M18" s="7" t="str">
        <x:v>Validation sur les cartes de ce catalogue uniquement.</x:v>
      </x:c>
      <x:c r="N18" s="7" t="str">
        <x:v>Aucune occlusion totale du personnage actif ; les sorties et télégraphes restent compréhensibles.</x:v>
      </x:c>
      <x:c r="O18" s="7" t="str"/>
      <x:c r="P18" s="7" t="str"/>
      <x:c r="Q18" s="7" t="str"/>
      <x:c r="R18" s="7" t="str"/>
      <x:c r="S18" s="7" t="str"/>
    </x:row>
    <x:row r="19" ht="54" customHeight="1">
      <x:c r="A19" s="18" t="str">
        <x:v>PL-QA-ACCESS</x:v>
      </x:c>
      <x:c r="B19" s="9" t="str">
        <x:v>Commandes, texte et effets accessibles</x:v>
      </x:c>
      <x:c r="C19" s="15" t="str">
        <x:v>Défini</x:v>
      </x:c>
      <x:c r="D19" s="16" t="str">
        <x:v>Extrapolation</x:v>
      </x:c>
      <x:c r="E19" s="16" t="str">
        <x:v>P1</x:v>
      </x:c>
      <x:c r="F19" s="9" t="str">
        <x:v>Contrôle fonctionnel des options proposées.</x:v>
      </x:c>
      <x:c r="G19" s="9" t="str">
        <x:v>Parcourir le module au clavier, avec sous-titres et effets réduits ; désactiver l’audio et tester les avertissements.</x:v>
      </x:c>
      <x:c r="H19" s="9" t="str">
        <x:v>La pause ATB permet de lire un choix ou un indice sans pénalité de temps.</x:v>
      </x:c>
      <x:c r="I19" s="9" t="str"/>
      <x:c r="J19" s="9" t="str"/>
      <x:c r="K19" s="9" t="str"/>
      <x:c r="L19" s="9" t="str">
        <x:v>qa/pl/accessibility.md ; cas de navigation, focus, contraste et interruption.</x:v>
      </x:c>
      <x:c r="M19" s="9" t="str">
        <x:v>Conserver les règles de présence narrative pendant tous les essais.</x:v>
      </x:c>
      <x:c r="N19" s="9" t="str">
        <x:v>Toute action essentielle est réalisable ; aucune information indispensable ne dépend du son ou de la seule couleur.</x:v>
      </x:c>
      <x:c r="O19" s="9" t="str"/>
      <x:c r="P19" s="9" t="str"/>
      <x:c r="Q19" s="9" t="str"/>
      <x:c r="R19" s="9" t="str"/>
      <x:c r="S19" s="9" t="str"/>
    </x:row>
  </x:sheetData>
  <x:conditionalFormatting sqref="D7:D19">
    <x:cfRule type="cellIs" dxfId="96" priority="1" operator="equal">
      <x:formula>"À vérifier"</x:formula>
    </x:cfRule>
    <x:cfRule type="cellIs" dxfId="97" priority="2" operator="equal">
      <x:formula>"Extrapolation"</x:formula>
    </x:cfRule>
  </x:conditionalFormatting>
  <x:conditionalFormatting sqref="C7:C19">
    <x:cfRule type="cellIs" dxfId="98" priority="3" operator="equal">
      <x:formula>"Validé"</x:formula>
    </x:cfRule>
  </x:conditionalFormatting>
  <x:conditionalFormatting sqref="E7:E19">
    <x:cfRule type="cellIs" dxfId="9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fa5a24e049ca4a0f"/>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Paragon Lost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PL-CON-01</x:v>
      </x:c>
      <x:c r="B7" s="9" t="str">
        <x:v>Nature de l’œuvre</x:v>
      </x:c>
      <x:c r="C7" s="15" t="str">
        <x:v>Défini</x:v>
      </x:c>
      <x:c r="D7" s="16" t="str">
        <x:v>Établi</x:v>
      </x:c>
      <x:c r="E7" s="16" t="str">
        <x:v>P0</x:v>
      </x:c>
      <x:c r="F7" s="9" t="str">
        <x:v>BioWare présente Paragon Lost comme un anime movie : c’est un long métrage animé et non une série.</x:v>
      </x:c>
      <x:c r="G7" s="9" t="str">
        <x:v>Contrainte éditoriale : verrouiller les dépendances avant intégration du module.</x:v>
      </x:c>
      <x:c r="H7" s="9" t="str"/>
      <x:c r="I7" s="9" t="str"/>
      <x:c r="J7" s="9" t="str"/>
      <x:c r="K7" s="9" t="str"/>
      <x:c r="L7" s="9" t="str">
        <x:v>continuity/pl.json ; règle documentée et décision de validation datée.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règle est contrôlée dans les textes, cartes, choix et sauvegardes ; incertitude résolue ou affichée.</x:v>
      </x:c>
      <x:c r="O7" s="9" t="str"/>
      <x:c r="P7" s="9" t="str">
        <x:v>Limite de continuité / contrôle transversal</x:v>
      </x:c>
      <x:c r="Q7" s="9" t="str">
        <x:v>PL-SRC-BW</x:v>
      </x:c>
      <x:c r="R7" s="9" t="str">
        <x:v>https://blog.bioware.com/2013/03/12/mass-effect-paragon-lost-available-now-in-the-uk/</x:v>
      </x:c>
      <x:c r="S7" s="9" t="str">
        <x:v>Aucun numéro de chapitre ou de page n’est attribué sans exemplaire vérifié.</x:v>
      </x:c>
    </x:row>
    <x:row r="8" ht="82" customHeight="1">
      <x:c r="A8" s="19" t="str">
        <x:v>PL-CON-02</x:v>
      </x:c>
      <x:c r="B8" s="7" t="str">
        <x:v>Périodes</x:v>
      </x:c>
      <x:c r="C8" s="15" t="str">
        <x:v>Défini</x:v>
      </x:c>
      <x:c r="D8" s="17" t="str">
        <x:v>Établi</x:v>
      </x:c>
      <x:c r="E8" s="17" t="str">
        <x:v>P0</x:v>
      </x:c>
      <x:c r="F8" s="7" t="str">
        <x:v>L’attaque initiale se déroule en 2183, la crise des Récolteurs deux ans plus tard ; vérifier le cartouche temporel du film.</x:v>
      </x:c>
      <x:c r="G8" s="7" t="str">
        <x:v>Contrainte éditoriale : verrouiller les dépendances avant intégration du module.</x:v>
      </x:c>
      <x:c r="H8" s="7" t="str"/>
      <x:c r="I8" s="7" t="str"/>
      <x:c r="J8" s="7" t="str"/>
      <x:c r="K8" s="7" t="str"/>
      <x:c r="L8" s="7" t="str">
        <x:v>continuity/pl.json ; règle documentée et décision de validation datée.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règle est contrôlée dans les textes, cartes, choix et sauvegardes ; incertitude résolue ou affichée.</x:v>
      </x:c>
      <x:c r="O8" s="7" t="str"/>
      <x:c r="P8" s="7" t="str">
        <x:v>Limite de continuité / contrôle transversal</x:v>
      </x:c>
      <x:c r="Q8" s="7" t="str">
        <x:v>PL-SRC-WIKI</x:v>
      </x:c>
      <x:c r="R8" s="7" t="str">
        <x:v>https://masseffect.fandom.com/wiki/Mass_Effect:_Paragon_Lost</x:v>
      </x:c>
      <x:c r="S8" s="7" t="str">
        <x:v>Aucun numéro de chapitre ou de page n’est attribué sans exemplaire vérifié.</x:v>
      </x:c>
    </x:row>
    <x:row r="9" ht="82" customHeight="1">
      <x:c r="A9" s="18" t="str">
        <x:v>PL-CON-03</x:v>
      </x:c>
      <x:c r="B9" s="9" t="str">
        <x:v>Liara distante</x:v>
      </x:c>
      <x:c r="C9" s="15" t="str">
        <x:v>Défini</x:v>
      </x:c>
      <x:c r="D9" s="16" t="str">
        <x:v>Établi</x:v>
      </x:c>
      <x:c r="E9" s="16" t="str">
        <x:v>P0</x:v>
      </x:c>
      <x:c r="F9" s="9" t="str">
        <x:v>Son intervention passe par la communication avec Treeya ; aucune mission physique sur Fehl Prime n’est ajoutée.</x:v>
      </x:c>
      <x:c r="G9" s="9" t="str">
        <x:v>Contrainte éditoriale : verrouiller les dépendances avant intégration du module.</x:v>
      </x:c>
      <x:c r="H9" s="9" t="str"/>
      <x:c r="I9" s="9" t="str"/>
      <x:c r="J9" s="9" t="str"/>
      <x:c r="K9" s="9" t="str"/>
      <x:c r="L9" s="9" t="str">
        <x:v>continuity/pl.json ; règle documentée et décision de validation datée.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règle est contrôlée dans les textes, cartes, choix et sauvegardes ; incertitude résolue ou affichée.</x:v>
      </x:c>
      <x:c r="O9" s="9" t="str"/>
      <x:c r="P9" s="9" t="str">
        <x:v>Limite de continuité / contrôle transversal</x:v>
      </x:c>
      <x:c r="Q9" s="9" t="str">
        <x:v>PL-SRC-WIKI</x:v>
      </x:c>
      <x:c r="R9" s="9" t="str">
        <x:v>https://masseffect.fandom.com/wiki/Mass_Effect:_Paragon_Lost</x:v>
      </x:c>
      <x:c r="S9" s="9" t="str">
        <x:v>Aucun numéro de chapitre ou de page n’est attribué sans exemplaire vérifié.</x:v>
      </x:c>
    </x:row>
    <x:row r="10" ht="82" customHeight="1">
      <x:c r="A10" s="19" t="str">
        <x:v>PL-CON-04</x:v>
      </x:c>
      <x:c r="B10" s="7" t="str">
        <x:v>Décision de Vega</x:v>
      </x:c>
      <x:c r="C10" s="15" t="str">
        <x:v>Défini</x:v>
      </x:c>
      <x:c r="D10" s="17" t="str">
        <x:v>Établi</x:v>
      </x:c>
      <x:c r="E10" s="17" t="str">
        <x:v>P0</x:v>
      </x:c>
      <x:c r="F10" s="7" t="str">
        <x:v>Le choix narratif final privilégie Treeya et le renseignement ; la colonie n’est pas sauvée par une branche parfaite.</x:v>
      </x:c>
      <x:c r="G10" s="7" t="str">
        <x:v>Contrainte éditoriale : verrouiller les dépendances avant intégration du module.</x:v>
      </x:c>
      <x:c r="H10" s="7" t="str"/>
      <x:c r="I10" s="7" t="str"/>
      <x:c r="J10" s="7" t="str"/>
      <x:c r="K10" s="7" t="str"/>
      <x:c r="L10" s="7" t="str">
        <x:v>continuity/pl.json ; règle documentée et décision de validation datée.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règle est contrôlée dans les textes, cartes, choix et sauvegardes ; incertitude résolue ou affichée.</x:v>
      </x:c>
      <x:c r="O10" s="7" t="str"/>
      <x:c r="P10" s="7" t="str">
        <x:v>Limite de continuité / contrôle transversal</x:v>
      </x:c>
      <x:c r="Q10" s="7" t="str">
        <x:v>PL-SRC-FEHL</x:v>
      </x:c>
      <x:c r="R10" s="7" t="str">
        <x:v>https://masseffect.fandom.com/wiki/Fehl_Prime</x:v>
      </x:c>
      <x:c r="S10" s="7" t="str">
        <x:v>Aucun numéro de chapitre ou de page n’est attribué sans exemplaire vérifié.</x:v>
      </x:c>
    </x:row>
    <x:row r="11" ht="82" customHeight="1">
      <x:c r="A11" s="18" t="str">
        <x:v>PL-CON-05</x:v>
      </x:c>
      <x:c r="B11" s="9" t="str">
        <x:v>Brood</x:v>
      </x:c>
      <x:c r="C11" s="15" t="str">
        <x:v>Défini</x:v>
      </x:c>
      <x:c r="D11" s="16" t="str">
        <x:v>Établi</x:v>
      </x:c>
      <x:c r="E11" s="16" t="str">
        <x:v>P0</x:v>
      </x:c>
      <x:c r="F11" s="9" t="str">
        <x:v>Ne pas transformer son assistance contextuelle en présence durable dans les épisodes suivants.</x:v>
      </x:c>
      <x:c r="G11" s="9" t="str">
        <x:v>Contrainte éditoriale : verrouiller les dépendances avant intégration du module.</x:v>
      </x:c>
      <x:c r="H11" s="9" t="str"/>
      <x:c r="I11" s="9" t="str"/>
      <x:c r="J11" s="9" t="str"/>
      <x:c r="K11" s="9" t="str"/>
      <x:c r="L11" s="9" t="str">
        <x:v>continuity/pl.json ; règle documentée et décision de validation datée.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La règle est contrôlée dans les textes, cartes, choix et sauvegardes ; incertitude résolue ou affichée.</x:v>
      </x:c>
      <x:c r="O11" s="9" t="str"/>
      <x:c r="P11" s="9" t="str">
        <x:v>Limite de continuité / contrôle transversal</x:v>
      </x:c>
      <x:c r="Q11" s="9" t="str">
        <x:v>PL-SRC-BROOD</x:v>
      </x:c>
      <x:c r="R11" s="9" t="str">
        <x:v>https://masseffect.fandom.com/wiki/Brood</x:v>
      </x:c>
      <x:c r="S11" s="9" t="str">
        <x:v>Aucun numéro de chapitre ou de page n’est attribué sans exemplaire vérifié.</x:v>
      </x:c>
    </x:row>
    <x:row r="12" ht="82" customHeight="1">
      <x:c r="A12" s="19" t="str">
        <x:v>PL-CON-06</x:v>
      </x:c>
      <x:c r="B12" s="7" t="str">
        <x:v>Cellule et biotique</x:v>
      </x:c>
      <x:c r="C12" s="15" t="str">
        <x:v>Défini</x:v>
      </x:c>
      <x:c r="D12" s="17" t="str">
        <x:v>Établi</x:v>
      </x:c>
      <x:c r="E12" s="17" t="str">
        <x:v>P0</x:v>
      </x:c>
      <x:c r="F12" s="7" t="str">
        <x:v>L’usage d’une cellule dans le film ne doit pas devenir une règle universelle prétendue de toute la biotique Mass Effect.</x:v>
      </x:c>
      <x:c r="G12" s="7" t="str">
        <x:v>Contrainte éditoriale : verrouiller les dépendances avant intégration du module.</x:v>
      </x:c>
      <x:c r="H12" s="7" t="str"/>
      <x:c r="I12" s="7" t="str"/>
      <x:c r="J12" s="7" t="str"/>
      <x:c r="K12" s="7" t="str"/>
      <x:c r="L12" s="7" t="str">
        <x:v>continuity/pl.json ; règle documentée et décision de validation datée.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La règle est contrôlée dans les textes, cartes, choix et sauvegardes ; incertitude résolue ou affichée.</x:v>
      </x:c>
      <x:c r="O12" s="7" t="str"/>
      <x:c r="P12" s="7" t="str">
        <x:v>Limite de continuité / contrôle transversal</x:v>
      </x:c>
      <x:c r="Q12" s="7" t="str">
        <x:v>PL-SRC-WIKI</x:v>
      </x:c>
      <x:c r="R12" s="7" t="str">
        <x:v>https://masseffect.fandom.com/wiki/Mass_Effect:_Paragon_Lost</x:v>
      </x:c>
      <x:c r="S12" s="7" t="str">
        <x:v>Aucun numéro de chapitre ou de page n’est attribué sans exemplaire vérifié.</x:v>
      </x:c>
    </x:row>
    <x:row r="13" ht="82" customHeight="1">
      <x:c r="A13" s="18" t="str">
        <x:v>PL-CON-07</x:v>
      </x:c>
      <x:c r="B13" s="9" t="str">
        <x:v>Renseignements</x:v>
      </x:c>
      <x:c r="C13" s="15" t="str">
        <x:v>Défini</x:v>
      </x:c>
      <x:c r="D13" s="16" t="str">
        <x:v>Établi</x:v>
      </x:c>
      <x:c r="E13" s="16" t="str">
        <x:v>P0</x:v>
      </x:c>
      <x:c r="F13" s="9" t="str">
        <x:v>Les données finissent à l’Alliance ; ne pas inventer leur transmission réussie à Cerberus.</x:v>
      </x:c>
      <x:c r="G13" s="9" t="str">
        <x:v>Contrainte éditoriale : verrouiller les dépendances avant intégration du module.</x:v>
      </x:c>
      <x:c r="H13" s="9" t="str"/>
      <x:c r="I13" s="9" t="str"/>
      <x:c r="J13" s="9" t="str"/>
      <x:c r="K13" s="9" t="str"/>
      <x:c r="L13" s="9" t="str">
        <x:v>continuity/pl.json ; règle documentée et décision de validation datée.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La règle est contrôlée dans les textes, cartes, choix et sauvegardes ; incertitude résolue ou affichée.</x:v>
      </x:c>
      <x:c r="O13" s="9" t="str"/>
      <x:c r="P13" s="9" t="str">
        <x:v>Limite de continuité / contrôle transversal</x:v>
      </x:c>
      <x:c r="Q13" s="9" t="str">
        <x:v>PL-SRC-CERB</x:v>
      </x:c>
      <x:c r="R13" s="9" t="str">
        <x:v>https://masseffect.fandom.com/wiki/Cerberus</x:v>
      </x:c>
      <x:c r="S13" s="9" t="str">
        <x:v>Aucun numéro de chapitre ou de page n’est attribué sans exemplaire vérifié.</x:v>
      </x:c>
    </x:row>
    <x:row r="14" ht="82" customHeight="1">
      <x:c r="A14" s="19" t="str">
        <x:v>PL-CON-08</x:v>
      </x:c>
      <x:c r="B14" s="7" t="str">
        <x:v>Destins de l’équipe</x:v>
      </x:c>
      <x:c r="C14" s="15" t="str">
        <x:v>Défini</x:v>
      </x:c>
      <x:c r="D14" s="17" t="str">
        <x:v>À vérifier</x:v>
      </x:c>
      <x:c r="E14" s="17" t="str">
        <x:v>P0</x:v>
      </x:c>
      <x:c r="F14" s="7" t="str">
        <x:v>Vérifier chaque disparition et sa fenêtre avant de finaliser dialogue, sprite et placement.</x:v>
      </x:c>
      <x:c r="G14" s="7" t="str">
        <x:v>Contrainte éditoriale : verrouiller les dépendances avant intégration du module.</x:v>
      </x:c>
      <x:c r="H14" s="7" t="str"/>
      <x:c r="I14" s="7" t="str"/>
      <x:c r="J14" s="7" t="str"/>
      <x:c r="K14" s="7" t="str"/>
      <x:c r="L14" s="7" t="str">
        <x:v>continuity/pl.json ; règle documentée et décision de validation datée.</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row r="15" ht="82" customHeight="1">
      <x:c r="A15" s="18" t="str">
        <x:v>PL-CON-09</x:v>
      </x:c>
      <x:c r="B15" s="9" t="str">
        <x:v>Style et exactitude</x:v>
      </x:c>
      <x:c r="C15" s="15" t="str">
        <x:v>Défini</x:v>
      </x:c>
      <x:c r="D15" s="16" t="str">
        <x:v>Extrapolation</x:v>
      </x:c>
      <x:c r="E15" s="16" t="str">
        <x:v>P0</x:v>
      </x:c>
      <x:c r="F15" s="9" t="str">
        <x:v>Sans visionnage détaillé, palettes, modèles d’armes et costumes restent des tâches de validation visuelle.</x:v>
      </x:c>
      <x:c r="G15" s="9" t="str">
        <x:v>Contrainte éditoriale : verrouiller les dépendances avant intégration du module.</x:v>
      </x:c>
      <x:c r="H15" s="9" t="str"/>
      <x:c r="I15" s="9" t="str"/>
      <x:c r="J15" s="9" t="str"/>
      <x:c r="K15" s="9" t="str"/>
      <x:c r="L15" s="9" t="str">
        <x:v>continuity/pl.json ; règle documentée et décision de validation datée.</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La règle est contrôlée dans les textes, cartes, choix et sauvegardes ; incertitude résolue ou affichée.</x:v>
      </x:c>
      <x:c r="O15" s="9" t="str"/>
      <x:c r="P15" s="9" t="str">
        <x:v>Limite de continuité / contrôle transversal</x:v>
      </x:c>
      <x:c r="Q15" s="9" t="str"/>
      <x:c r="R15" s="9" t="str"/>
      <x:c r="S15" s="9" t="str">
        <x:v>Aucun numéro de chapitre ou de page n’est attribué sans exemplaire vérifié.</x:v>
      </x:c>
    </x:row>
    <x:row r="16" ht="82" customHeight="1">
      <x:c r="A16" s="19" t="str">
        <x:v>PL-CON-10</x:v>
      </x:c>
      <x:c r="B16" s="7" t="str">
        <x:v>Œuvre nécessaire</x:v>
      </x:c>
      <x:c r="C16" s="15" t="str">
        <x:v>Défini</x:v>
      </x:c>
      <x:c r="D16" s="17" t="str">
        <x:v>Extrapolation</x:v>
      </x:c>
      <x:c r="E16" s="17" t="str">
        <x:v>P0</x:v>
      </x:c>
      <x:c r="F16" s="7" t="str">
        <x:v>Les fiches ne remplacent ni le visionnage ni la validation des scènes ; aucun dialogue ou montage complet n’est reproduit.</x:v>
      </x:c>
      <x:c r="G16" s="7" t="str">
        <x:v>Contrainte éditoriale : verrouiller les dépendances avant intégration du module.</x:v>
      </x:c>
      <x:c r="H16" s="7" t="str"/>
      <x:c r="I16" s="7" t="str"/>
      <x:c r="J16" s="7" t="str"/>
      <x:c r="K16" s="7" t="str"/>
      <x:c r="L16" s="7" t="str">
        <x:v>continuity/pl.json ; règle documentée et décision de validation datée.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La règle est contrôlée dans les textes, cartes, choix et sauvegardes ; incertitude résolue ou affichée.</x:v>
      </x:c>
      <x:c r="O16" s="7" t="str"/>
      <x:c r="P16" s="7" t="str">
        <x:v>Limite de continuité / contrôle transversal</x:v>
      </x:c>
      <x:c r="Q16" s="7" t="str"/>
      <x:c r="R16" s="7" t="str"/>
      <x:c r="S16" s="7" t="str">
        <x:v>Aucun numéro de chapitre ou de page n’est attribué sans exemplaire vérifié.</x:v>
      </x:c>
    </x:row>
  </x:sheetData>
  <x:conditionalFormatting sqref="D7:D16">
    <x:cfRule type="cellIs" dxfId="100" priority="1" operator="equal">
      <x:formula>"À vérifier"</x:formula>
    </x:cfRule>
    <x:cfRule type="cellIs" dxfId="101" priority="2" operator="equal">
      <x:formula>"Extrapolation"</x:formula>
    </x:cfRule>
  </x:conditionalFormatting>
  <x:conditionalFormatting sqref="C7:C16">
    <x:cfRule type="cellIs" dxfId="102" priority="3" operator="equal">
      <x:formula>"Validé"</x:formula>
    </x:cfRule>
  </x:conditionalFormatting>
  <x:conditionalFormatting sqref="E7:E16">
    <x:cfRule type="cellIs" dxfId="10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1a93388e5767440c"/>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Paragon Lost</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Paragon Lost</x:v>
      </x:c>
      <x:c r="C7" s="2"/>
      <x:c r="D7" s="2"/>
      <x:c r="E7" s="2"/>
      <x:c r="F7" s="2"/>
    </x:row>
    <x:row r="8" ht="30" customHeight="1">
      <x:c r="A8" s="7" t="str">
        <x:v>Support</x:v>
      </x:c>
      <x:c r="B8" s="7" t="str">
        <x:v>Long métrage animé</x:v>
      </x:c>
      <x:c r="C8" s="2"/>
      <x:c r="D8" s="2"/>
      <x:c r="E8" s="2"/>
      <x:c r="F8" s="2"/>
    </x:row>
    <x:row r="9" ht="40" customHeight="1">
      <x:c r="A9" s="7" t="str">
        <x:v>Périmètre</x:v>
      </x:c>
      <x:c r="B9" s="7" t="str">
        <x:v>Film animé réalisé avec BioWare, FUNimation et Production I.G. ; carrière de James Vega avant ME3.</x:v>
      </x:c>
      <x:c r="C9" s="2"/>
      <x:c r="D9" s="2"/>
      <x:c r="E9" s="2"/>
      <x:c r="F9" s="2"/>
    </x:row>
    <x:row r="10" ht="82" customHeight="1">
      <x:c r="A10" s="7" t="str">
        <x:v>Projet</x:v>
      </x:c>
      <x:c r="B10" s="7" t="str">
        <x:v>Delta Squad, Fehl Prime, Treeya et attaque des Récolteurs ; fiches de production originales couvrant coopération tactique, protection civile et conséquences du commandement. Prototype partiel : 1 profils sélectionnables et 0 équipements en Chroniques ; le reste demeure documentaire.</x:v>
      </x:c>
      <x:c r="C10" s="2"/>
      <x:c r="D10" s="2"/>
      <x:c r="E10" s="2"/>
      <x:c r="F10" s="2"/>
    </x:row>
    <x:row r="11" ht="124" customHeight="1">
      <x:c r="A11" s="7" t="str">
        <x:v>Références et limites</x:v>
      </x:c>
      <x:c r="B11" s="7" t="str">
        <x:v>Paragon Lost est un film, pas une série. Préserver les pertes et la décision finale de Vega ; les choix jouables portent sur les méthodes locales. Toute variante contrefactuelle éventuelle doit être séparée du module de continuité, et n’est pas définie ici.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PL-SRC-BW</x:v>
      </x:c>
      <x:c r="B27" s="6" t="str">
        <x:v>BioWare — Paragon Lost disponible au Royaume-Uni</x:v>
      </x:c>
      <x:c r="C27" s="6" t="str">
        <x:v>source officielle</x:v>
      </x:c>
      <x:c r="D27" s="6" t="str">
        <x:v>https://blog.bioware.com/2013/03/12/mass-effect-paragon-lost-available-now-in-the-uk/</x:v>
      </x:c>
      <x:c r="E27" s="6" t="str">
        <x:v>Statut de film animé, James Vega et Récolteurs</x:v>
      </x:c>
      <x:c r="F27" s="6" t="str">
        <x:v>Consulté le 22 octobre 2026. Faits courts uniquement ; la publication originale reste nécessaire pour contrôler les détails.</x:v>
      </x:c>
    </x:row>
    <x:row r="28" ht="54" customHeight="1">
      <x:c r="A28" s="6" t="str">
        <x:v>PL-SRC-WIKI</x:v>
      </x:c>
      <x:c r="B28" s="6" t="str">
        <x:v>Mass Effect Wiki — Paragon Lost</x:v>
      </x:c>
      <x:c r="C28" s="6" t="str">
        <x:v>wiki</x:v>
      </x:c>
      <x:c r="D28" s="6" t="str">
        <x:v>https://masseffect.fandom.com/wiki/Mass_Effect:_Paragon_Lost</x:v>
      </x:c>
      <x:c r="E28" s="6" t="str">
        <x:v>Structure générale, personnages et objets ; page ouverte</x:v>
      </x:c>
      <x:c r="F28" s="6" t="str">
        <x:v>Consulté le 22 octobre 2026. Faits courts uniquement ; la publication originale reste nécessaire pour contrôler les détails.</x:v>
      </x:c>
    </x:row>
    <x:row r="29" ht="54" customHeight="1">
      <x:c r="A29" s="6" t="str">
        <x:v>PL-SRC-CAST</x:v>
      </x:c>
      <x:c r="B29" s="6" t="str">
        <x:v>Mass Effect Wiki — personnages de Paragon Lost</x:v>
      </x:c>
      <x:c r="C29" s="6" t="str">
        <x:v>wiki</x:v>
      </x:c>
      <x:c r="D29" s="6" t="str">
        <x:v>https://masseffect.fandom.com/wiki/Characters/Mass_Effect%3A_Paragon_Lost</x:v>
      </x:c>
      <x:c r="E29" s="6" t="str">
        <x:v>Présence des protagonistes, alliés et adversaires</x:v>
      </x:c>
      <x:c r="F29" s="6" t="str">
        <x:v>Consulté le 22 octobre 2026. Faits courts uniquement ; la publication originale reste nécessaire pour contrôler les détails.</x:v>
      </x:c>
    </x:row>
    <x:row r="30" ht="54" customHeight="1">
      <x:c r="A30" s="6" t="str">
        <x:v>PL-SRC-DELTA</x:v>
      </x:c>
      <x:c r="B30" s="6" t="str">
        <x:v>Mass Effect Wiki — Delta Squad</x:v>
      </x:c>
      <x:c r="C30" s="6" t="str">
        <x:v>wiki</x:v>
      </x:c>
      <x:c r="D30" s="6" t="str">
        <x:v>https://masseffect.fandom.com/wiki/Delta_Squad</x:v>
      </x:c>
      <x:c r="E30" s="6" t="str">
        <x:v>Unité Alliance, déploiement et briefing</x:v>
      </x:c>
      <x:c r="F30" s="6" t="str">
        <x:v>Consulté le 22 octobre 2026. Faits courts uniquement ; la publication originale reste nécessaire pour contrôler les détails.</x:v>
      </x:c>
    </x:row>
    <x:row r="31" ht="54" customHeight="1">
      <x:c r="A31" s="6" t="str">
        <x:v>PL-SRC-TREEYA</x:v>
      </x:c>
      <x:c r="B31" s="6" t="str">
        <x:v>Mass Effect Wiki — Treeya Nuwani</x:v>
      </x:c>
      <x:c r="C31" s="6" t="str">
        <x:v>wiki</x:v>
      </x:c>
      <x:c r="D31" s="6" t="str">
        <x:v>https://masseffect.fandom.com/wiki/Treeya_Nuwani</x:v>
      </x:c>
      <x:c r="E31" s="6" t="str">
        <x:v>Anthropologue asari et Fehl Prime</x:v>
      </x:c>
      <x:c r="F31" s="6" t="str">
        <x:v>Consulté le 22 octobre 2026. Faits courts uniquement ; la publication originale reste nécessaire pour contrôler les détails.</x:v>
      </x:c>
    </x:row>
    <x:row r="32" ht="54" customHeight="1">
      <x:c r="A32" s="6" t="str">
        <x:v>PL-SRC-NICKY</x:v>
      </x:c>
      <x:c r="B32" s="6" t="str">
        <x:v>Mass Effect Wiki — Nicky</x:v>
      </x:c>
      <x:c r="C32" s="6" t="str">
        <x:v>wiki</x:v>
      </x:c>
      <x:c r="D32" s="6" t="str">
        <x:v>https://masseffect.fandom.com/wiki/Nicky</x:v>
      </x:c>
      <x:c r="E32" s="6" t="str">
        <x:v>Spécialiste technique et drone</x:v>
      </x:c>
      <x:c r="F32" s="6" t="str">
        <x:v>Consulté le 22 octobre 2026. Faits courts uniquement ; la publication originale reste nécessaire pour contrôler les détails.</x:v>
      </x:c>
    </x:row>
    <x:row r="33" ht="54" customHeight="1">
      <x:c r="A33" s="6" t="str">
        <x:v>PL-SRC-BROOD</x:v>
      </x:c>
      <x:c r="B33" s="6" t="str">
        <x:v>Mass Effect Wiki — Brood</x:v>
      </x:c>
      <x:c r="C33" s="6" t="str">
        <x:v>wiki</x:v>
      </x:c>
      <x:c r="D33" s="6" t="str">
        <x:v>https://masseffect.fandom.com/wiki/Brood</x:v>
      </x:c>
      <x:c r="E33" s="6" t="str">
        <x:v>Mercenaire, vaisseau et cellule d’énergie</x:v>
      </x:c>
      <x:c r="F33" s="6" t="str">
        <x:v>Consulté le 22 octobre 2026. Faits courts uniquement ; la publication originale reste nécessaire pour contrôler les détails.</x:v>
      </x:c>
    </x:row>
    <x:row r="34" ht="54" customHeight="1">
      <x:c r="A34" s="6" t="str">
        <x:v>PL-SRC-MESSNER</x:v>
      </x:c>
      <x:c r="B34" s="6" t="str">
        <x:v>Mass Effect Wiki — Messner</x:v>
      </x:c>
      <x:c r="C34" s="6" t="str">
        <x:v>wiki</x:v>
      </x:c>
      <x:c r="D34" s="6" t="str">
        <x:v>https://masseffect.fandom.com/wiki/Messner</x:v>
      </x:c>
      <x:c r="E34" s="6" t="str">
        <x:v>Couverture, affiliation, Mako et archive</x:v>
      </x:c>
      <x:c r="F34" s="6" t="str">
        <x:v>Consulté le 22 octobre 2026. Faits courts uniquement ; la publication originale reste nécessaire pour contrôler les détails.</x:v>
      </x:c>
    </x:row>
    <x:row r="35" ht="54" customHeight="1">
      <x:c r="A35" s="6" t="str">
        <x:v>PL-SRC-MAKO</x:v>
      </x:c>
      <x:c r="B35" s="6" t="str">
        <x:v>Mass Effect Wiki — M35 Mako</x:v>
      </x:c>
      <x:c r="C35" s="6" t="str">
        <x:v>wiki</x:v>
      </x:c>
      <x:c r="D35" s="6" t="str">
        <x:v>https://masseffect.fandom.com/wiki/M35_Mako</x:v>
      </x:c>
      <x:c r="E35" s="6" t="str">
        <x:v>Véhicule de Messner dans le film</x:v>
      </x:c>
      <x:c r="F35" s="6" t="str">
        <x:v>Consulté le 22 octobre 2026. Faits courts uniquement ; la publication originale reste nécessaire pour contrôler les détails.</x:v>
      </x:c>
    </x:row>
    <x:row r="36" ht="54" customHeight="1">
      <x:c r="A36" s="6" t="str">
        <x:v>PL-SRC-ESSEX</x:v>
      </x:c>
      <x:c r="B36" s="6" t="str">
        <x:v>Mass Effect Wiki — Essex</x:v>
      </x:c>
      <x:c r="C36" s="6" t="str">
        <x:v>wiki</x:v>
      </x:c>
      <x:c r="D36" s="6" t="str">
        <x:v>https://masseffect.fandom.com/wiki/Essex</x:v>
      </x:c>
      <x:c r="E36" s="6" t="str">
        <x:v>Membre du groupe et trajectoire dans le film</x:v>
      </x:c>
      <x:c r="F36" s="6" t="str">
        <x:v>Consulté le 22 octobre 2026. Faits courts uniquement ; la publication originale reste nécessaire pour contrôler les détails.</x:v>
      </x:c>
    </x:row>
    <x:row r="37" ht="54" customHeight="1">
      <x:c r="A37" s="6" t="str">
        <x:v>PL-SRC-MILQUE</x:v>
      </x:c>
      <x:c r="B37" s="6" t="str">
        <x:v>Mass Effect Wiki — Milque</x:v>
      </x:c>
      <x:c r="C37" s="6" t="str">
        <x:v>wiki</x:v>
      </x:c>
      <x:c r="D37" s="6" t="str">
        <x:v>https://masseffect.fandom.com/wiki/Milque</x:v>
      </x:c>
      <x:c r="E37" s="6" t="str">
        <x:v>Membre de l’équipe et mémorial</x:v>
      </x:c>
      <x:c r="F37" s="6" t="str">
        <x:v>Consulté le 22 octobre 2026. Faits courts uniquement ; la publication originale reste nécessaire pour contrôler les détails.</x:v>
      </x:c>
    </x:row>
    <x:row r="38" ht="54" customHeight="1">
      <x:c r="A38" s="6" t="str">
        <x:v>PL-SRC-FEHL</x:v>
      </x:c>
      <x:c r="B38" s="6" t="str">
        <x:v>Mass Effect Wiki — Fehl Prime</x:v>
      </x:c>
      <x:c r="C38" s="6" t="str">
        <x:v>wiki</x:v>
      </x:c>
      <x:c r="D38" s="6" t="str">
        <x:v>https://masseffect.fandom.com/wiki/Fehl_Prime</x:v>
      </x:c>
      <x:c r="E38" s="6" t="str">
        <x:v>Colonie, Récolteurs et décision de Vega</x:v>
      </x:c>
      <x:c r="F38" s="6" t="str">
        <x:v>Consulté le 22 octobre 2026. Faits courts uniquement ; la publication originale reste nécessaire pour contrôler les détails.</x:v>
      </x:c>
    </x:row>
    <x:row r="39" ht="54" customHeight="1">
      <x:c r="A39" s="6" t="str">
        <x:v>PL-SRC-CERB</x:v>
      </x:c>
      <x:c r="B39" s="6" t="str">
        <x:v>Mass Effect Wiki — Cerberus</x:v>
      </x:c>
      <x:c r="C39" s="6" t="str">
        <x:v>wiki</x:v>
      </x:c>
      <x:c r="D39" s="6" t="str">
        <x:v>https://masseffect.fandom.com/wiki/Cerberus</x:v>
      </x:c>
      <x:c r="E39" s="6" t="str">
        <x:v>Rôle de Messner et destination des renseignements</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28" t="str">
        <x:v>Domaine</x:v>
      </x:c>
      <x:c r="B43" s="29" t="str">
        <x:v>Couverture actuelle</x:v>
      </x:c>
      <x:c r="C43" s="30" t="str">
        <x:v>Travail restant</x:v>
      </x:c>
      <x:c r="D43" s="2"/>
      <x:c r="E43" s="2"/>
      <x:c r="F43" s="2"/>
    </x:row>
    <x:row r="44" ht="110" customHeight="1">
      <x:c r="A44" s="6" t="str">
        <x:v>Références canoniques</x:v>
      </x:c>
      <x:c r="B44" s="6" t="str">
        <x:v>Delta Squad, Fehl Prime, Treeya et attaque des Récolteurs ; fiches de production originales couvrant coopération tactique, protection civile et conséquences du commandement.</x:v>
      </x:c>
      <x:c r="C44" s="6" t="str">
        <x:v>Film non visionné image par image dans cette tâche. Modèles visuels, armes exactes, expressions et montage doivent être contrôlés sur une copie légale avant réalisation ; aucun horodatage inventé. La source reste nécessaire pour suivre le récit complet.</x:v>
      </x:c>
      <x:c r="D44" s="2"/>
      <x:c r="E44" s="2"/>
      <x:c r="F44" s="2"/>
    </x:row>
    <x:row r="45" ht="68" customHeight="1">
      <x:c r="A45" s="6" t="str">
        <x:v>Personnages et direction artistique</x:v>
      </x:c>
      <x:c r="B45" s="6" t="str">
        <x:v>15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9 cartes proposées, leurs kits et transitions ; 9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5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96" customHeight="1">
      <x:c r="A49" s="6" t="str">
        <x:v>Prototype Chroniques indépendant</x:v>
      </x:c>
      <x:c r="B49" s="6" t="str">
        <x:v>1 personnages sélectionnables, 0 équipements utilisables sous restrictions d’œuvre, segment, scène et porteur ; preuves dans implementationPaths et evidence des seules lignes Prototype.</x:v>
      </x:c>
      <x:c r="C49" s="6" t="str">
        <x:v>Campagne complète, dialogues, acquisition canonique, sprites, costumes, animations et statistiques originales à réaliser ou vérifier. Les ateliers sont des essais de préparation ATB, sans progression canonique ni transfert ME1.</x:v>
      </x:c>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sheetData>
  <x:pageMargins left="0.7" right="0.7" top="0.75" bottom="0.75" header="0.3" footer="0.3"/>
</x:worksheet>
</file>