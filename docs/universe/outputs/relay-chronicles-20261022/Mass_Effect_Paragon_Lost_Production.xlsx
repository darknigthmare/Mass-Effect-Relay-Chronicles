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276274cb33423d" /></Relationships>
</file>

<file path=xl/workbook.xml><?xml version="1.0" encoding="utf-8"?>
<x:workbook xmlns:x="http://schemas.openxmlformats.org/spreadsheetml/2006/main">
  <x:sheets>
    <x:sheet xmlns:r="http://schemas.openxmlformats.org/officeDocument/2006/relationships" name="Dashboard" sheetId="1" r:id="R1f9ad7c058d34d05"/>
    <x:sheet xmlns:r="http://schemas.openxmlformats.org/officeDocument/2006/relationships" name="Personnages" sheetId="2" r:id="R232da891d9b541cf"/>
    <x:sheet xmlns:r="http://schemas.openxmlformats.org/officeDocument/2006/relationships" name="PNJ" sheetId="3" r:id="R46e19f86a34a42e7"/>
    <x:sheet xmlns:r="http://schemas.openxmlformats.org/officeDocument/2006/relationships" name="Especes_factions" sheetId="4" r:id="Rf0425610bebc4c86"/>
    <x:sheet xmlns:r="http://schemas.openxmlformats.org/officeDocument/2006/relationships" name="Mondes" sheetId="5" r:id="R7a05f51ba87b4b1d"/>
    <x:sheet xmlns:r="http://schemas.openxmlformats.org/officeDocument/2006/relationships" name="Zones" sheetId="6" r:id="Re7b6672a31ed40c5"/>
    <x:sheet xmlns:r="http://schemas.openxmlformats.org/officeDocument/2006/relationships" name="Liaisons" sheetId="7" r:id="Ra5530181184f40ce"/>
    <x:sheet xmlns:r="http://schemas.openxmlformats.org/officeDocument/2006/relationships" name="Decors" sheetId="8" r:id="R86798c1c45274f21"/>
    <x:sheet xmlns:r="http://schemas.openxmlformats.org/officeDocument/2006/relationships" name="Props" sheetId="9" r:id="R12b8c7fce3394624"/>
    <x:sheet xmlns:r="http://schemas.openxmlformats.org/officeDocument/2006/relationships" name="Ennemis_boss" sheetId="10" r:id="Rf028406ffd9a49a0"/>
    <x:sheet xmlns:r="http://schemas.openxmlformats.org/officeDocument/2006/relationships" name="Missions" sheetId="11" r:id="Ra7e7807a3c8e484b"/>
    <x:sheet xmlns:r="http://schemas.openxmlformats.org/officeDocument/2006/relationships" name="Secondaires_DLC" sheetId="12" r:id="Ra0b87656ceac44dc"/>
    <x:sheet xmlns:r="http://schemas.openxmlformats.org/officeDocument/2006/relationships" name="Choix_relations" sheetId="13" r:id="R91b621d41e714e3c"/>
    <x:sheet xmlns:r="http://schemas.openxmlformats.org/officeDocument/2006/relationships" name="Dialogues" sheetId="14" r:id="Rd60607ddc27545d0"/>
    <x:sheet xmlns:r="http://schemas.openxmlformats.org/officeDocument/2006/relationships" name="Cinematiques" sheetId="15" r:id="Rf06278b41a4b4822"/>
    <x:sheet xmlns:r="http://schemas.openxmlformats.org/officeDocument/2006/relationships" name="Armes" sheetId="16" r:id="R18f22433254148d1"/>
    <x:sheet xmlns:r="http://schemas.openxmlformats.org/officeDocument/2006/relationships" name="Armures_equipement" sheetId="17" r:id="R7bd896b37cce4876"/>
    <x:sheet xmlns:r="http://schemas.openxmlformats.org/officeDocument/2006/relationships" name="Pouvoirs" sheetId="18" r:id="R0414c86cddbb44ce"/>
    <x:sheet xmlns:r="http://schemas.openxmlformats.org/officeDocument/2006/relationships" name="Movesets_allies" sheetId="19" r:id="R21cdcba184e54894"/>
    <x:sheet xmlns:r="http://schemas.openxmlformats.org/officeDocument/2006/relationships" name="Movesets_ennemis" sheetId="20" r:id="Rd54bd414a5994460"/>
    <x:sheet xmlns:r="http://schemas.openxmlformats.org/officeDocument/2006/relationships" name="Animations" sheetId="21" r:id="R8e20615534bb4d4f"/>
    <x:sheet xmlns:r="http://schemas.openxmlformats.org/officeDocument/2006/relationships" name="Sprites" sheetId="22" r:id="Rb0dba706f4584ea2"/>
    <x:sheet xmlns:r="http://schemas.openxmlformats.org/officeDocument/2006/relationships" name="VFX" sheetId="23" r:id="R575e334d709e4852"/>
    <x:sheet xmlns:r="http://schemas.openxmlformats.org/officeDocument/2006/relationships" name="Audio" sheetId="24" r:id="Rcc8c5787c60b4f82"/>
    <x:sheet xmlns:r="http://schemas.openxmlformats.org/officeDocument/2006/relationships" name="UI_systemes" sheetId="25" r:id="R603bbbfd60004ef7"/>
    <x:sheet xmlns:r="http://schemas.openxmlformats.org/officeDocument/2006/relationships" name="QA" sheetId="26" r:id="Rbbc769a66c624cba"/>
    <x:sheet xmlns:r="http://schemas.openxmlformats.org/officeDocument/2006/relationships" name="Continuite" sheetId="27" r:id="R9349460597f04ee6"/>
    <x:sheet xmlns:r="http://schemas.openxmlformats.org/officeDocument/2006/relationships" name="Guide" sheetId="28" r:id="R07026d8506de435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57c4494face74d7c" /><Relationship Type="http://schemas.openxmlformats.org/officeDocument/2006/relationships/theme" Target="/xl/theme/theme1.xml" Id="R0412d0d7ad1a4153" /><Relationship Type="http://schemas.openxmlformats.org/officeDocument/2006/relationships/sharedStrings" Target="/xl/sharedStrings.xml" Id="R4e62b3dfe1954756" /><Relationship Type="http://schemas.openxmlformats.org/officeDocument/2006/relationships/worksheet" Target="/xl/worksheets/sheet1.xml" Id="R1f9ad7c058d34d05" /><Relationship Type="http://schemas.openxmlformats.org/officeDocument/2006/relationships/worksheet" Target="/xl/worksheets/sheet2.xml" Id="R232da891d9b541cf" /><Relationship Type="http://schemas.openxmlformats.org/officeDocument/2006/relationships/worksheet" Target="/xl/worksheets/sheet3.xml" Id="R46e19f86a34a42e7" /><Relationship Type="http://schemas.openxmlformats.org/officeDocument/2006/relationships/worksheet" Target="/xl/worksheets/sheet4.xml" Id="Rf0425610bebc4c86" /><Relationship Type="http://schemas.openxmlformats.org/officeDocument/2006/relationships/worksheet" Target="/xl/worksheets/sheet5.xml" Id="R7a05f51ba87b4b1d" /><Relationship Type="http://schemas.openxmlformats.org/officeDocument/2006/relationships/worksheet" Target="/xl/worksheets/sheet6.xml" Id="Re7b6672a31ed40c5" /><Relationship Type="http://schemas.openxmlformats.org/officeDocument/2006/relationships/worksheet" Target="/xl/worksheets/sheet7.xml" Id="Ra5530181184f40ce" /><Relationship Type="http://schemas.openxmlformats.org/officeDocument/2006/relationships/worksheet" Target="/xl/worksheets/sheet8.xml" Id="R86798c1c45274f21" /><Relationship Type="http://schemas.openxmlformats.org/officeDocument/2006/relationships/worksheet" Target="/xl/worksheets/sheet9.xml" Id="R12b8c7fce3394624" /><Relationship Type="http://schemas.openxmlformats.org/officeDocument/2006/relationships/worksheet" Target="/xl/worksheets/sheet10.xml" Id="Rf028406ffd9a49a0" /><Relationship Type="http://schemas.openxmlformats.org/officeDocument/2006/relationships/worksheet" Target="/xl/worksheets/sheet11.xml" Id="Ra7e7807a3c8e484b" /><Relationship Type="http://schemas.openxmlformats.org/officeDocument/2006/relationships/worksheet" Target="/xl/worksheets/sheet12.xml" Id="Ra0b87656ceac44dc" /><Relationship Type="http://schemas.openxmlformats.org/officeDocument/2006/relationships/worksheet" Target="/xl/worksheets/sheet13.xml" Id="R91b621d41e714e3c" /><Relationship Type="http://schemas.openxmlformats.org/officeDocument/2006/relationships/worksheet" Target="/xl/worksheets/sheet14.xml" Id="Rd60607ddc27545d0" /><Relationship Type="http://schemas.openxmlformats.org/officeDocument/2006/relationships/worksheet" Target="/xl/worksheets/sheet15.xml" Id="Rf06278b41a4b4822" /><Relationship Type="http://schemas.openxmlformats.org/officeDocument/2006/relationships/worksheet" Target="/xl/worksheets/sheet16.xml" Id="R18f22433254148d1" /><Relationship Type="http://schemas.openxmlformats.org/officeDocument/2006/relationships/worksheet" Target="/xl/worksheets/sheet17.xml" Id="R7bd896b37cce4876" /><Relationship Type="http://schemas.openxmlformats.org/officeDocument/2006/relationships/worksheet" Target="/xl/worksheets/sheet18.xml" Id="R0414c86cddbb44ce" /><Relationship Type="http://schemas.openxmlformats.org/officeDocument/2006/relationships/worksheet" Target="/xl/worksheets/sheet19.xml" Id="R21cdcba184e54894" /><Relationship Type="http://schemas.openxmlformats.org/officeDocument/2006/relationships/worksheet" Target="/xl/worksheets/sheet20.xml" Id="Rd54bd414a5994460" /><Relationship Type="http://schemas.openxmlformats.org/officeDocument/2006/relationships/worksheet" Target="/xl/worksheets/sheet21.xml" Id="R8e20615534bb4d4f" /><Relationship Type="http://schemas.openxmlformats.org/officeDocument/2006/relationships/worksheet" Target="/xl/worksheets/sheet22.xml" Id="Rb0dba706f4584ea2" /><Relationship Type="http://schemas.openxmlformats.org/officeDocument/2006/relationships/worksheet" Target="/xl/worksheets/sheet23.xml" Id="R575e334d709e4852" /><Relationship Type="http://schemas.openxmlformats.org/officeDocument/2006/relationships/worksheet" Target="/xl/worksheets/sheet24.xml" Id="Rcc8c5787c60b4f82" /><Relationship Type="http://schemas.openxmlformats.org/officeDocument/2006/relationships/worksheet" Target="/xl/worksheets/sheet25.xml" Id="R603bbbfd60004ef7" /><Relationship Type="http://schemas.openxmlformats.org/officeDocument/2006/relationships/worksheet" Target="/xl/worksheets/sheet26.xml" Id="Rbbc769a66c624cba" /><Relationship Type="http://schemas.openxmlformats.org/officeDocument/2006/relationships/worksheet" Target="/xl/worksheets/sheet27.xml" Id="R9349460597f04ee6" /><Relationship Type="http://schemas.openxmlformats.org/officeDocument/2006/relationships/worksheet" Target="/xl/worksheets/sheet28.xml" Id="R07026d8506de435f" /></Relationships>
</file>

<file path=xl/tables/table1.xml><?xml version="1.0" encoding="utf-8"?>
<x:table xmlns:x="http://schemas.openxmlformats.org/spreadsheetml/2006/main" id="1" name="PL_characters" displayName="PL_character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PL_npcs" displayName="PL_npc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PL_lore" displayName="PL_lore"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PL_worlds" displayName="PL_world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PL_zones" displayName="PL_zones" ref="A6:S15" headerRowCount="1" totalsRowCount="0" totalsRowShown="0">
  <x:autoFilter ref="A6:S1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PL_links" displayName="PL_links" ref="A6:S15" headerRowCount="1" totalsRowCount="0" totalsRowShown="0">
  <x:autoFilter ref="A6:S1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PL_scenery" displayName="PL_scenery" ref="A6:S15" headerRowCount="1" totalsRowCount="0" totalsRowShown="0">
  <x:autoFilter ref="A6:S1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PL_props" displayName="PL_prop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PL_enemies" displayName="PL_enemies"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PL_main_quests" displayName="PL_main_quests" ref="A6:S15" headerRowCount="1" totalsRowCount="0" totalsRowShown="0">
  <x:autoFilter ref="A6:S1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PL_side_quests" displayName="PL_side_quests" ref="A6:S15" headerRowCount="1" totalsRowCount="0" totalsRowShown="0">
  <x:autoFilter ref="A6:S1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PL_choices" displayName="PL_choices" ref="A6:S15" headerRowCount="1" totalsRowCount="0" totalsRowShown="0">
  <x:autoFilter ref="A6:S1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PL_dialogues" displayName="PL_dialogues" ref="A6:S21" headerRowCount="1" totalsRowCount="0" totalsRowShown="0">
  <x:autoFilter ref="A6:S2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PL_cinematics" displayName="PL_cinematics" ref="A6:S15" headerRowCount="1" totalsRowCount="0" totalsRowShown="0">
  <x:autoFilter ref="A6:S1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PL_weapons" displayName="PL_weapon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PL_equipment" displayName="PL_equipment"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PL_powers" displayName="PL_power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PL_ally_moves" displayName="PL_ally_move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PL_enemy_moves" displayName="PL_enemy_moves"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PL_animations" displayName="PL_animations" ref="A6:S21" headerRowCount="1" totalsRowCount="0" totalsRowShown="0">
  <x:autoFilter ref="A6:S2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PL_sprites" displayName="PL_sprites" ref="A6:S21" headerRowCount="1" totalsRowCount="0" totalsRowShown="0">
  <x:autoFilter ref="A6:S2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PL_vfx" displayName="PL_vfx"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PL_audio" displayName="PL_audio"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PL_systems" displayName="PL_systems" ref="A6:S15" headerRowCount="1" totalsRowCount="0" totalsRowShown="0">
  <x:autoFilter ref="A6:S1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PL_qa" displayName="PL_qa" ref="A6:S19" headerRowCount="1" totalsRowCount="0" totalsRowShown="0">
  <x:autoFilter ref="A6:S1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PL_continuity" displayName="PL_continuity"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fd2b82fb78e405a" /></Relationships>
</file>

<file path=xl/worksheets/_rels/sheet3.xml.rels>&#65279;<?xml version="1.0" encoding="utf-8"?><Relationships xmlns="http://schemas.openxmlformats.org/package/2006/relationships"><Relationship Type="http://schemas.openxmlformats.org/officeDocument/2006/relationships/table" Target="/xl/tables/table2.xml" Id="Rc2507588fecd4099" /></Relationships>
</file>

<file path=xl/worksheets/_rels/sheet4.xml.rels>&#65279;<?xml version="1.0" encoding="utf-8"?><Relationships xmlns="http://schemas.openxmlformats.org/package/2006/relationships"><Relationship Type="http://schemas.openxmlformats.org/officeDocument/2006/relationships/table" Target="/xl/tables/table3.xml" Id="R1b3ca1c21ebe414e" /></Relationships>
</file>

<file path=xl/worksheets/_rels/sheet5.xml.rels>&#65279;<?xml version="1.0" encoding="utf-8"?><Relationships xmlns="http://schemas.openxmlformats.org/package/2006/relationships"><Relationship Type="http://schemas.openxmlformats.org/officeDocument/2006/relationships/table" Target="/xl/tables/table4.xml" Id="R5cd4af43643e4ece" /></Relationships>
</file>

<file path=xl/worksheets/_rels/sheet6.xml.rels>&#65279;<?xml version="1.0" encoding="utf-8"?><Relationships xmlns="http://schemas.openxmlformats.org/package/2006/relationships"><Relationship Type="http://schemas.openxmlformats.org/officeDocument/2006/relationships/table" Target="/xl/tables/table5.xml" Id="Ra188c69257ca4a25" /></Relationships>
</file>

<file path=xl/worksheets/_rels/sheet7.xml.rels>&#65279;<?xml version="1.0" encoding="utf-8"?><Relationships xmlns="http://schemas.openxmlformats.org/package/2006/relationships"><Relationship Type="http://schemas.openxmlformats.org/officeDocument/2006/relationships/table" Target="/xl/tables/table6.xml" Id="Rdebac86845b74054" /></Relationships>
</file>

<file path=xl/worksheets/_rels/sheet8.xml.rels>&#65279;<?xml version="1.0" encoding="utf-8"?><Relationships xmlns="http://schemas.openxmlformats.org/package/2006/relationships"><Relationship Type="http://schemas.openxmlformats.org/officeDocument/2006/relationships/table" Target="/xl/tables/table7.xml" Id="R7c425441948d4408" /></Relationships>
</file>

<file path=xl/worksheets/_rels/sheet9.xml.rels>&#65279;<?xml version="1.0" encoding="utf-8"?><Relationships xmlns="http://schemas.openxmlformats.org/package/2006/relationships"><Relationship Type="http://schemas.openxmlformats.org/officeDocument/2006/relationships/table" Target="/xl/tables/table8.xml" Id="R779007e8af5c4057" /></Relationships>
</file>

<file path=xl/worksheets/_rels/sheet10.xml.rels>&#65279;<?xml version="1.0" encoding="utf-8"?><Relationships xmlns="http://schemas.openxmlformats.org/package/2006/relationships"><Relationship Type="http://schemas.openxmlformats.org/officeDocument/2006/relationships/table" Target="/xl/tables/table9.xml" Id="Ra1b62459b6874cad" /></Relationships>
</file>

<file path=xl/worksheets/_rels/sheet11.xml.rels>&#65279;<?xml version="1.0" encoding="utf-8"?><Relationships xmlns="http://schemas.openxmlformats.org/package/2006/relationships"><Relationship Type="http://schemas.openxmlformats.org/officeDocument/2006/relationships/table" Target="/xl/tables/table10.xml" Id="Reb86e2b25474469b" /></Relationships>
</file>

<file path=xl/worksheets/_rels/sheet12.xml.rels>&#65279;<?xml version="1.0" encoding="utf-8"?><Relationships xmlns="http://schemas.openxmlformats.org/package/2006/relationships"><Relationship Type="http://schemas.openxmlformats.org/officeDocument/2006/relationships/table" Target="/xl/tables/table11.xml" Id="R407239accaf14e08" /></Relationships>
</file>

<file path=xl/worksheets/_rels/sheet13.xml.rels>&#65279;<?xml version="1.0" encoding="utf-8"?><Relationships xmlns="http://schemas.openxmlformats.org/package/2006/relationships"><Relationship Type="http://schemas.openxmlformats.org/officeDocument/2006/relationships/table" Target="/xl/tables/table12.xml" Id="R2552fa891a694d15" /></Relationships>
</file>

<file path=xl/worksheets/_rels/sheet14.xml.rels>&#65279;<?xml version="1.0" encoding="utf-8"?><Relationships xmlns="http://schemas.openxmlformats.org/package/2006/relationships"><Relationship Type="http://schemas.openxmlformats.org/officeDocument/2006/relationships/table" Target="/xl/tables/table13.xml" Id="R5dd44f6d0d7e45a8" /></Relationships>
</file>

<file path=xl/worksheets/_rels/sheet15.xml.rels>&#65279;<?xml version="1.0" encoding="utf-8"?><Relationships xmlns="http://schemas.openxmlformats.org/package/2006/relationships"><Relationship Type="http://schemas.openxmlformats.org/officeDocument/2006/relationships/table" Target="/xl/tables/table14.xml" Id="Rdaeb2a80311842b2" /></Relationships>
</file>

<file path=xl/worksheets/_rels/sheet16.xml.rels>&#65279;<?xml version="1.0" encoding="utf-8"?><Relationships xmlns="http://schemas.openxmlformats.org/package/2006/relationships"><Relationship Type="http://schemas.openxmlformats.org/officeDocument/2006/relationships/table" Target="/xl/tables/table15.xml" Id="R9ca1b5af85834712" /></Relationships>
</file>

<file path=xl/worksheets/_rels/sheet17.xml.rels>&#65279;<?xml version="1.0" encoding="utf-8"?><Relationships xmlns="http://schemas.openxmlformats.org/package/2006/relationships"><Relationship Type="http://schemas.openxmlformats.org/officeDocument/2006/relationships/table" Target="/xl/tables/table16.xml" Id="Rbee2165fb0114614" /></Relationships>
</file>

<file path=xl/worksheets/_rels/sheet18.xml.rels>&#65279;<?xml version="1.0" encoding="utf-8"?><Relationships xmlns="http://schemas.openxmlformats.org/package/2006/relationships"><Relationship Type="http://schemas.openxmlformats.org/officeDocument/2006/relationships/table" Target="/xl/tables/table17.xml" Id="Rf1355b632f6d45c4" /></Relationships>
</file>

<file path=xl/worksheets/_rels/sheet19.xml.rels>&#65279;<?xml version="1.0" encoding="utf-8"?><Relationships xmlns="http://schemas.openxmlformats.org/package/2006/relationships"><Relationship Type="http://schemas.openxmlformats.org/officeDocument/2006/relationships/table" Target="/xl/tables/table18.xml" Id="Ra5071daa88be41d6" /></Relationships>
</file>

<file path=xl/worksheets/_rels/sheet20.xml.rels>&#65279;<?xml version="1.0" encoding="utf-8"?><Relationships xmlns="http://schemas.openxmlformats.org/package/2006/relationships"><Relationship Type="http://schemas.openxmlformats.org/officeDocument/2006/relationships/table" Target="/xl/tables/table19.xml" Id="R13c173abcfab4528" /></Relationships>
</file>

<file path=xl/worksheets/_rels/sheet21.xml.rels>&#65279;<?xml version="1.0" encoding="utf-8"?><Relationships xmlns="http://schemas.openxmlformats.org/package/2006/relationships"><Relationship Type="http://schemas.openxmlformats.org/officeDocument/2006/relationships/table" Target="/xl/tables/table20.xml" Id="Re681b14a869e4371" /></Relationships>
</file>

<file path=xl/worksheets/_rels/sheet22.xml.rels>&#65279;<?xml version="1.0" encoding="utf-8"?><Relationships xmlns="http://schemas.openxmlformats.org/package/2006/relationships"><Relationship Type="http://schemas.openxmlformats.org/officeDocument/2006/relationships/table" Target="/xl/tables/table21.xml" Id="R0df455e351f34224" /></Relationships>
</file>

<file path=xl/worksheets/_rels/sheet23.xml.rels>&#65279;<?xml version="1.0" encoding="utf-8"?><Relationships xmlns="http://schemas.openxmlformats.org/package/2006/relationships"><Relationship Type="http://schemas.openxmlformats.org/officeDocument/2006/relationships/table" Target="/xl/tables/table22.xml" Id="R02236d19ee624ecb" /></Relationships>
</file>

<file path=xl/worksheets/_rels/sheet24.xml.rels>&#65279;<?xml version="1.0" encoding="utf-8"?><Relationships xmlns="http://schemas.openxmlformats.org/package/2006/relationships"><Relationship Type="http://schemas.openxmlformats.org/officeDocument/2006/relationships/table" Target="/xl/tables/table23.xml" Id="R34d2b6a1497e413f" /></Relationships>
</file>

<file path=xl/worksheets/_rels/sheet25.xml.rels>&#65279;<?xml version="1.0" encoding="utf-8"?><Relationships xmlns="http://schemas.openxmlformats.org/package/2006/relationships"><Relationship Type="http://schemas.openxmlformats.org/officeDocument/2006/relationships/table" Target="/xl/tables/table24.xml" Id="R512acfb4069e4387" /></Relationships>
</file>

<file path=xl/worksheets/_rels/sheet26.xml.rels>&#65279;<?xml version="1.0" encoding="utf-8"?><Relationships xmlns="http://schemas.openxmlformats.org/package/2006/relationships"><Relationship Type="http://schemas.openxmlformats.org/officeDocument/2006/relationships/table" Target="/xl/tables/table25.xml" Id="R1e11f882d31f4210" /></Relationships>
</file>

<file path=xl/worksheets/_rels/sheet27.xml.rels>&#65279;<?xml version="1.0" encoding="utf-8"?><Relationships xmlns="http://schemas.openxmlformats.org/package/2006/relationships"><Relationship Type="http://schemas.openxmlformats.org/officeDocument/2006/relationships/table" Target="/xl/tables/table26.xml" Id="R6e87a48f35b44c4c"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Paragon Lost</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1" t="n">
        <x:f>SUM(B10:B35)</x:f>
        <x:v>199</x:v>
      </x:c>
      <x:c r="C5" s="2"/>
      <x:c r="D5" s="2" t="str">
        <x:v>Intégrés</x:v>
      </x:c>
      <x:c r="E5" s="31" t="n">
        <x:f>SUM(E10:F35)</x:f>
        <x:v>0</x:v>
      </x:c>
      <x:c r="F5" s="2"/>
      <x:c r="G5" s="2" t="str">
        <x:v>À vérifier</x:v>
      </x:c>
      <x:c r="H5" s="31" t="n">
        <x:f>SUM(H10:H35)</x:f>
        <x:v>1</x:v>
      </x:c>
      <x:c r="I5" s="2"/>
      <x:c r="J5" s="2" t="str">
        <x:v>Extrapolations</x:v>
      </x:c>
      <x:c r="K5" s="31" t="n">
        <x:f>SUM(I10:I35)</x:f>
        <x:v>160</x:v>
      </x:c>
      <x:c r="L5" s="2"/>
      <x:c r="M5" s="2"/>
    </x:row>
    <x:row r="6" ht="22" customHeight="1">
      <x:c r="A6" s="2"/>
      <x:c r="B6" s="2"/>
      <x:c r="C6" s="2"/>
      <x:c r="D6" s="2"/>
      <x:c r="E6" s="2"/>
      <x:c r="F6" s="2"/>
      <x:c r="G6" s="2"/>
      <x:c r="H6" s="2"/>
      <x:c r="I6" s="2"/>
      <x:c r="J6" s="2"/>
      <x:c r="K6" s="2"/>
      <x:c r="L6" s="2"/>
      <x:c r="M6" s="2"/>
    </x:row>
    <x:row r="7" ht="22" customHeight="1">
      <x:c r="A7" s="32"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8" t="str">
        <x:v>Domaine</x:v>
      </x:c>
      <x:c r="B9" s="29" t="str">
        <x:v>Total</x:v>
      </x:c>
      <x:c r="C9" s="29" t="str">
        <x:v>Défini</x:v>
      </x:c>
      <x:c r="D9" s="29" t="str">
        <x:v>Prototype</x:v>
      </x:c>
      <x:c r="E9" s="29" t="str">
        <x:v>Intégré</x:v>
      </x:c>
      <x:c r="F9" s="29" t="str">
        <x:v>Validé</x:v>
      </x:c>
      <x:c r="G9" s="29" t="str">
        <x:v>Établi</x:v>
      </x:c>
      <x:c r="H9" s="29" t="str">
        <x:v>À vérifier</x:v>
      </x:c>
      <x:c r="I9" s="29" t="str">
        <x:v>Extrapolation</x:v>
      </x:c>
      <x:c r="J9" s="29" t="str">
        <x:v>Coupé attesté</x:v>
      </x:c>
      <x:c r="K9" s="29" t="str">
        <x:v>Concept abandonné</x:v>
      </x:c>
      <x:c r="L9" s="29" t="str">
        <x:v>Allégation écartée</x:v>
      </x:c>
      <x:c r="M9" s="30" t="str">
        <x:v>Priorité P0</x:v>
      </x:c>
    </x:row>
    <x:row r="10" ht="22" customHeight="1">
      <x:c r="A10" s="33" t="str">
        <x:v>Personnages</x:v>
      </x:c>
      <x:c r="B10" s="37" t="n">
        <x:f>COUNTA('Personnages'!$A$7:$A$14)</x:f>
        <x:v>8</x:v>
      </x:c>
      <x:c r="C10" s="37" t="n">
        <x:f>COUNTIFS('Personnages'!$C$7:$C$14,"Défini")</x:f>
        <x:v>7</x:v>
      </x:c>
      <x:c r="D10" s="37" t="n">
        <x:f>COUNTIFS('Personnages'!$C$7:$C$14,"Prototype")</x:f>
        <x:v>1</x:v>
      </x:c>
      <x:c r="E10" s="37" t="n">
        <x:f>COUNTIFS('Personnages'!$C$7:$C$14,"Intégré")</x:f>
        <x:v>0</x:v>
      </x:c>
      <x:c r="F10" s="37" t="n">
        <x:f>COUNTIFS('Personnages'!$C$7:$C$14,"Validé")</x:f>
        <x:v>0</x:v>
      </x:c>
      <x:c r="G10" s="37" t="n">
        <x:f>COUNTIFS('Personnages'!$D$7:$D$14,"Établi")</x:f>
        <x:v>8</x:v>
      </x:c>
      <x:c r="H10" s="37" t="n">
        <x:f>COUNTIFS('Personnages'!$D$7:$D$14,"À vérifier")</x:f>
        <x:v>0</x:v>
      </x:c>
      <x:c r="I10" s="37" t="n">
        <x:f>COUNTIFS('Personnages'!$D$7:$D$14,"Extrapolation")</x:f>
        <x:v>0</x:v>
      </x:c>
      <x:c r="J10" s="37" t="n">
        <x:f>COUNTIFS('Personnages'!$D$7:$D$14,"Coupé attesté")</x:f>
        <x:v>0</x:v>
      </x:c>
      <x:c r="K10" s="37" t="n">
        <x:f>COUNTIFS('Personnages'!$D$7:$D$14,"Concept abandonné")</x:f>
        <x:v>0</x:v>
      </x:c>
      <x:c r="L10" s="37" t="n">
        <x:f>COUNTIFS('Personnages'!$D$7:$D$14,"Allégation écartée")</x:f>
        <x:v>0</x:v>
      </x:c>
      <x:c r="M10" s="37" t="n">
        <x:f>COUNTIFS('Personnages'!$E$7:$E$14,"P0")</x:f>
        <x:v>0</x:v>
      </x:c>
    </x:row>
    <x:row r="11" ht="22" customHeight="1">
      <x:c r="A11" s="2" t="str">
        <x:v>PNJ</x:v>
      </x:c>
      <x:c r="B11" s="38" t="n">
        <x:f>COUNTA('PNJ'!$A$7:$A$13)</x:f>
        <x:v>7</x:v>
      </x:c>
      <x:c r="C11" s="38" t="n">
        <x:f>COUNTIFS('PNJ'!$C$7:$C$13,"Défini")</x:f>
        <x:v>7</x:v>
      </x:c>
      <x:c r="D11" s="38" t="n">
        <x:f>COUNTIFS('PNJ'!$C$7:$C$13,"Prototype")</x:f>
        <x:v>0</x:v>
      </x:c>
      <x:c r="E11" s="38" t="n">
        <x:f>COUNTIFS('PNJ'!$C$7:$C$13,"Intégré")</x:f>
        <x:v>0</x:v>
      </x:c>
      <x:c r="F11" s="38" t="n">
        <x:f>COUNTIFS('PNJ'!$C$7:$C$13,"Validé")</x:f>
        <x:v>0</x:v>
      </x:c>
      <x:c r="G11" s="38" t="n">
        <x:f>COUNTIFS('PNJ'!$D$7:$D$13,"Établi")</x:f>
        <x:v>7</x:v>
      </x:c>
      <x:c r="H11" s="38" t="n">
        <x:f>COUNTIFS('PNJ'!$D$7:$D$13,"À vérifier")</x:f>
        <x:v>0</x:v>
      </x:c>
      <x:c r="I11" s="38" t="n">
        <x:f>COUNTIFS('PNJ'!$D$7:$D$13,"Extrapolation")</x:f>
        <x:v>0</x:v>
      </x:c>
      <x:c r="J11" s="38" t="n">
        <x:f>COUNTIFS('PNJ'!$D$7:$D$13,"Coupé attesté")</x:f>
        <x:v>0</x:v>
      </x:c>
      <x:c r="K11" s="38" t="n">
        <x:f>COUNTIFS('PNJ'!$D$7:$D$13,"Concept abandonné")</x:f>
        <x:v>0</x:v>
      </x:c>
      <x:c r="L11" s="38" t="n">
        <x:f>COUNTIFS('PNJ'!$D$7:$D$13,"Allégation écartée")</x:f>
        <x:v>0</x:v>
      </x:c>
      <x:c r="M11" s="38" t="n">
        <x:f>COUNTIFS('PNJ'!$E$7:$E$13,"P0")</x:f>
        <x:v>0</x:v>
      </x:c>
    </x:row>
    <x:row r="12" ht="22" customHeight="1">
      <x:c r="A12" s="33" t="str">
        <x:v>Espèces et factions</x:v>
      </x:c>
      <x:c r="B12" s="37" t="n">
        <x:f>COUNTA('Especes_factions'!$A$7:$A$10)</x:f>
        <x:v>4</x:v>
      </x:c>
      <x:c r="C12" s="37" t="n">
        <x:f>COUNTIFS('Especes_factions'!$C$7:$C$10,"Défini")</x:f>
        <x:v>4</x:v>
      </x:c>
      <x:c r="D12" s="37" t="n">
        <x:f>COUNTIFS('Especes_factions'!$C$7:$C$10,"Prototype")</x:f>
        <x:v>0</x:v>
      </x:c>
      <x:c r="E12" s="37" t="n">
        <x:f>COUNTIFS('Especes_factions'!$C$7:$C$10,"Intégré")</x:f>
        <x:v>0</x:v>
      </x:c>
      <x:c r="F12" s="37" t="n">
        <x:f>COUNTIFS('Especes_factions'!$C$7:$C$10,"Validé")</x:f>
        <x:v>0</x:v>
      </x:c>
      <x:c r="G12" s="37" t="n">
        <x:f>COUNTIFS('Especes_factions'!$D$7:$D$10,"Établi")</x:f>
        <x:v>4</x:v>
      </x:c>
      <x:c r="H12" s="37" t="n">
        <x:f>COUNTIFS('Especes_factions'!$D$7:$D$10,"À vérifier")</x:f>
        <x:v>0</x:v>
      </x:c>
      <x:c r="I12" s="37" t="n">
        <x:f>COUNTIFS('Especes_factions'!$D$7:$D$10,"Extrapolation")</x:f>
        <x:v>0</x:v>
      </x:c>
      <x:c r="J12" s="37" t="n">
        <x:f>COUNTIFS('Especes_factions'!$D$7:$D$10,"Coupé attesté")</x:f>
        <x:v>0</x:v>
      </x:c>
      <x:c r="K12" s="37" t="n">
        <x:f>COUNTIFS('Especes_factions'!$D$7:$D$10,"Concept abandonné")</x:f>
        <x:v>0</x:v>
      </x:c>
      <x:c r="L12" s="37" t="n">
        <x:f>COUNTIFS('Especes_factions'!$D$7:$D$10,"Allégation écartée")</x:f>
        <x:v>0</x:v>
      </x:c>
      <x:c r="M12" s="37" t="n">
        <x:f>COUNTIFS('Especes_factions'!$E$7:$E$10,"P0")</x:f>
        <x:v>0</x:v>
      </x:c>
    </x:row>
    <x:row r="13" ht="22" customHeight="1">
      <x:c r="A13" s="2" t="str">
        <x:v>Mondes</x:v>
      </x:c>
      <x:c r="B13" s="38" t="n">
        <x:f>COUNTA('Mondes'!$A$7:$A$8)</x:f>
        <x:v>2</x:v>
      </x:c>
      <x:c r="C13" s="38" t="n">
        <x:f>COUNTIFS('Mondes'!$C$7:$C$8,"Défini")</x:f>
        <x:v>2</x:v>
      </x:c>
      <x:c r="D13" s="38" t="n">
        <x:f>COUNTIFS('Mondes'!$C$7:$C$8,"Prototype")</x:f>
        <x:v>0</x:v>
      </x:c>
      <x:c r="E13" s="38" t="n">
        <x:f>COUNTIFS('Mondes'!$C$7:$C$8,"Intégré")</x:f>
        <x:v>0</x:v>
      </x:c>
      <x:c r="F13" s="38" t="n">
        <x:f>COUNTIFS('Mondes'!$C$7:$C$8,"Validé")</x:f>
        <x:v>0</x:v>
      </x:c>
      <x:c r="G13" s="38" t="n">
        <x:f>COUNTIFS('Mondes'!$D$7:$D$8,"Établi")</x:f>
        <x:v>2</x:v>
      </x:c>
      <x:c r="H13" s="38" t="n">
        <x:f>COUNTIFS('Mondes'!$D$7:$D$8,"À vérifier")</x:f>
        <x:v>0</x:v>
      </x:c>
      <x:c r="I13" s="38" t="n">
        <x:f>COUNTIFS('Mondes'!$D$7:$D$8,"Extrapolation")</x:f>
        <x:v>0</x:v>
      </x:c>
      <x:c r="J13" s="38" t="n">
        <x:f>COUNTIFS('Mondes'!$D$7:$D$8,"Coupé attesté")</x:f>
        <x:v>0</x:v>
      </x:c>
      <x:c r="K13" s="38" t="n">
        <x:f>COUNTIFS('Mondes'!$D$7:$D$8,"Concept abandonné")</x:f>
        <x:v>0</x:v>
      </x:c>
      <x:c r="L13" s="38" t="n">
        <x:f>COUNTIFS('Mondes'!$D$7:$D$8,"Allégation écartée")</x:f>
        <x:v>0</x:v>
      </x:c>
      <x:c r="M13" s="38" t="n">
        <x:f>COUNTIFS('Mondes'!$E$7:$E$8,"P0")</x:f>
        <x:v>0</x:v>
      </x:c>
    </x:row>
    <x:row r="14" ht="22" customHeight="1">
      <x:c r="A14" s="33" t="str">
        <x:v>Zones</x:v>
      </x:c>
      <x:c r="B14" s="37" t="n">
        <x:f>COUNTA('Zones'!$A$7:$A$15)</x:f>
        <x:v>9</x:v>
      </x:c>
      <x:c r="C14" s="37" t="n">
        <x:f>COUNTIFS('Zones'!$C$7:$C$15,"Défini")</x:f>
        <x:v>9</x:v>
      </x:c>
      <x:c r="D14" s="37" t="n">
        <x:f>COUNTIFS('Zones'!$C$7:$C$15,"Prototype")</x:f>
        <x:v>0</x:v>
      </x:c>
      <x:c r="E14" s="37" t="n">
        <x:f>COUNTIFS('Zones'!$C$7:$C$15,"Intégré")</x:f>
        <x:v>0</x:v>
      </x:c>
      <x:c r="F14" s="37" t="n">
        <x:f>COUNTIFS('Zones'!$C$7:$C$15,"Validé")</x:f>
        <x:v>0</x:v>
      </x:c>
      <x:c r="G14" s="37" t="n">
        <x:f>COUNTIFS('Zones'!$D$7:$D$15,"Établi")</x:f>
        <x:v>0</x:v>
      </x:c>
      <x:c r="H14" s="37" t="n">
        <x:f>COUNTIFS('Zones'!$D$7:$D$15,"À vérifier")</x:f>
        <x:v>0</x:v>
      </x:c>
      <x:c r="I14" s="37" t="n">
        <x:f>COUNTIFS('Zones'!$D$7:$D$15,"Extrapolation")</x:f>
        <x:v>9</x:v>
      </x:c>
      <x:c r="J14" s="37" t="n">
        <x:f>COUNTIFS('Zones'!$D$7:$D$15,"Coupé attesté")</x:f>
        <x:v>0</x:v>
      </x:c>
      <x:c r="K14" s="37" t="n">
        <x:f>COUNTIFS('Zones'!$D$7:$D$15,"Concept abandonné")</x:f>
        <x:v>0</x:v>
      </x:c>
      <x:c r="L14" s="37" t="n">
        <x:f>COUNTIFS('Zones'!$D$7:$D$15,"Allégation écartée")</x:f>
        <x:v>0</x:v>
      </x:c>
      <x:c r="M14" s="37" t="n">
        <x:f>COUNTIFS('Zones'!$E$7:$E$15,"P0")</x:f>
        <x:v>0</x:v>
      </x:c>
    </x:row>
    <x:row r="15" ht="22" customHeight="1">
      <x:c r="A15" s="2" t="str">
        <x:v>Liaisons</x:v>
      </x:c>
      <x:c r="B15" s="38" t="n">
        <x:f>COUNTA('Liaisons'!$A$7:$A$15)</x:f>
        <x:v>9</x:v>
      </x:c>
      <x:c r="C15" s="38" t="n">
        <x:f>COUNTIFS('Liaisons'!$C$7:$C$15,"Défini")</x:f>
        <x:v>9</x:v>
      </x:c>
      <x:c r="D15" s="38" t="n">
        <x:f>COUNTIFS('Liaisons'!$C$7:$C$15,"Prototype")</x:f>
        <x:v>0</x:v>
      </x:c>
      <x:c r="E15" s="38" t="n">
        <x:f>COUNTIFS('Liaisons'!$C$7:$C$15,"Intégré")</x:f>
        <x:v>0</x:v>
      </x:c>
      <x:c r="F15" s="38" t="n">
        <x:f>COUNTIFS('Liaisons'!$C$7:$C$15,"Validé")</x:f>
        <x:v>0</x:v>
      </x:c>
      <x:c r="G15" s="38" t="n">
        <x:f>COUNTIFS('Liaisons'!$D$7:$D$15,"Établi")</x:f>
        <x:v>0</x:v>
      </x:c>
      <x:c r="H15" s="38" t="n">
        <x:f>COUNTIFS('Liaisons'!$D$7:$D$15,"À vérifier")</x:f>
        <x:v>0</x:v>
      </x:c>
      <x:c r="I15" s="38" t="n">
        <x:f>COUNTIFS('Liaisons'!$D$7:$D$15,"Extrapolation")</x:f>
        <x:v>9</x:v>
      </x:c>
      <x:c r="J15" s="38" t="n">
        <x:f>COUNTIFS('Liaisons'!$D$7:$D$15,"Coupé attesté")</x:f>
        <x:v>0</x:v>
      </x:c>
      <x:c r="K15" s="38" t="n">
        <x:f>COUNTIFS('Liaisons'!$D$7:$D$15,"Concept abandonné")</x:f>
        <x:v>0</x:v>
      </x:c>
      <x:c r="L15" s="38" t="n">
        <x:f>COUNTIFS('Liaisons'!$D$7:$D$15,"Allégation écartée")</x:f>
        <x:v>0</x:v>
      </x:c>
      <x:c r="M15" s="38" t="n">
        <x:f>COUNTIFS('Liaisons'!$E$7:$E$15,"P0")</x:f>
        <x:v>0</x:v>
      </x:c>
    </x:row>
    <x:row r="16" ht="22" customHeight="1">
      <x:c r="A16" s="33" t="str">
        <x:v>Décors</x:v>
      </x:c>
      <x:c r="B16" s="37" t="n">
        <x:f>COUNTA('Decors'!$A$7:$A$15)</x:f>
        <x:v>9</x:v>
      </x:c>
      <x:c r="C16" s="37" t="n">
        <x:f>COUNTIFS('Decors'!$C$7:$C$15,"Défini")</x:f>
        <x:v>9</x:v>
      </x:c>
      <x:c r="D16" s="37" t="n">
        <x:f>COUNTIFS('Decors'!$C$7:$C$15,"Prototype")</x:f>
        <x:v>0</x:v>
      </x:c>
      <x:c r="E16" s="37" t="n">
        <x:f>COUNTIFS('Decors'!$C$7:$C$15,"Intégré")</x:f>
        <x:v>0</x:v>
      </x:c>
      <x:c r="F16" s="37" t="n">
        <x:f>COUNTIFS('Decors'!$C$7:$C$15,"Validé")</x:f>
        <x:v>0</x:v>
      </x:c>
      <x:c r="G16" s="37" t="n">
        <x:f>COUNTIFS('Decors'!$D$7:$D$15,"Établi")</x:f>
        <x:v>0</x:v>
      </x:c>
      <x:c r="H16" s="37" t="n">
        <x:f>COUNTIFS('Decors'!$D$7:$D$15,"À vérifier")</x:f>
        <x:v>0</x:v>
      </x:c>
      <x:c r="I16" s="37" t="n">
        <x:f>COUNTIFS('Decors'!$D$7:$D$15,"Extrapolation")</x:f>
        <x:v>9</x:v>
      </x:c>
      <x:c r="J16" s="37" t="n">
        <x:f>COUNTIFS('Decors'!$D$7:$D$15,"Coupé attesté")</x:f>
        <x:v>0</x:v>
      </x:c>
      <x:c r="K16" s="37" t="n">
        <x:f>COUNTIFS('Decors'!$D$7:$D$15,"Concept abandonné")</x:f>
        <x:v>0</x:v>
      </x:c>
      <x:c r="L16" s="37" t="n">
        <x:f>COUNTIFS('Decors'!$D$7:$D$15,"Allégation écartée")</x:f>
        <x:v>0</x:v>
      </x:c>
      <x:c r="M16" s="37" t="n">
        <x:f>COUNTIFS('Decors'!$E$7:$E$15,"P0")</x:f>
        <x:v>0</x:v>
      </x:c>
    </x:row>
    <x:row r="17" ht="22" customHeight="1">
      <x:c r="A17" s="2" t="str">
        <x:v>Props</x:v>
      </x:c>
      <x:c r="B17" s="38" t="n">
        <x:f>COUNTA('Props'!$A$7:$A$10)</x:f>
        <x:v>4</x:v>
      </x:c>
      <x:c r="C17" s="38" t="n">
        <x:f>COUNTIFS('Props'!$C$7:$C$10,"Défini")</x:f>
        <x:v>4</x:v>
      </x:c>
      <x:c r="D17" s="38" t="n">
        <x:f>COUNTIFS('Props'!$C$7:$C$10,"Prototype")</x:f>
        <x:v>0</x:v>
      </x:c>
      <x:c r="E17" s="38" t="n">
        <x:f>COUNTIFS('Props'!$C$7:$C$10,"Intégré")</x:f>
        <x:v>0</x:v>
      </x:c>
      <x:c r="F17" s="38" t="n">
        <x:f>COUNTIFS('Props'!$C$7:$C$10,"Validé")</x:f>
        <x:v>0</x:v>
      </x:c>
      <x:c r="G17" s="38" t="n">
        <x:f>COUNTIFS('Props'!$D$7:$D$10,"Établi")</x:f>
        <x:v>4</x:v>
      </x:c>
      <x:c r="H17" s="38" t="n">
        <x:f>COUNTIFS('Props'!$D$7:$D$10,"À vérifier")</x:f>
        <x:v>0</x:v>
      </x:c>
      <x:c r="I17" s="38" t="n">
        <x:f>COUNTIFS('Props'!$D$7:$D$10,"Extrapolation")</x:f>
        <x:v>0</x:v>
      </x:c>
      <x:c r="J17" s="38" t="n">
        <x:f>COUNTIFS('Props'!$D$7:$D$10,"Coupé attesté")</x:f>
        <x:v>0</x:v>
      </x:c>
      <x:c r="K17" s="38" t="n">
        <x:f>COUNTIFS('Props'!$D$7:$D$10,"Concept abandonné")</x:f>
        <x:v>0</x:v>
      </x:c>
      <x:c r="L17" s="38" t="n">
        <x:f>COUNTIFS('Props'!$D$7:$D$10,"Allégation écartée")</x:f>
        <x:v>0</x:v>
      </x:c>
      <x:c r="M17" s="38" t="n">
        <x:f>COUNTIFS('Props'!$E$7:$E$10,"P0")</x:f>
        <x:v>0</x:v>
      </x:c>
    </x:row>
    <x:row r="18" ht="22" customHeight="1">
      <x:c r="A18" s="33" t="str">
        <x:v>Ennemis et boss</x:v>
      </x:c>
      <x:c r="B18" s="37" t="n">
        <x:f>COUNTA('Ennemis_boss'!$A$7:$A$11)</x:f>
        <x:v>5</x:v>
      </x:c>
      <x:c r="C18" s="37" t="n">
        <x:f>COUNTIFS('Ennemis_boss'!$C$7:$C$11,"Défini")</x:f>
        <x:v>5</x:v>
      </x:c>
      <x:c r="D18" s="37" t="n">
        <x:f>COUNTIFS('Ennemis_boss'!$C$7:$C$11,"Prototype")</x:f>
        <x:v>0</x:v>
      </x:c>
      <x:c r="E18" s="37" t="n">
        <x:f>COUNTIFS('Ennemis_boss'!$C$7:$C$11,"Intégré")</x:f>
        <x:v>0</x:v>
      </x:c>
      <x:c r="F18" s="37" t="n">
        <x:f>COUNTIFS('Ennemis_boss'!$C$7:$C$11,"Validé")</x:f>
        <x:v>0</x:v>
      </x:c>
      <x:c r="G18" s="37" t="n">
        <x:f>COUNTIFS('Ennemis_boss'!$D$7:$D$11,"Établi")</x:f>
        <x:v>0</x:v>
      </x:c>
      <x:c r="H18" s="37" t="n">
        <x:f>COUNTIFS('Ennemis_boss'!$D$7:$D$11,"À vérifier")</x:f>
        <x:v>0</x:v>
      </x:c>
      <x:c r="I18" s="37" t="n">
        <x:f>COUNTIFS('Ennemis_boss'!$D$7:$D$11,"Extrapolation")</x:f>
        <x:v>5</x:v>
      </x:c>
      <x:c r="J18" s="37" t="n">
        <x:f>COUNTIFS('Ennemis_boss'!$D$7:$D$11,"Coupé attesté")</x:f>
        <x:v>0</x:v>
      </x:c>
      <x:c r="K18" s="37" t="n">
        <x:f>COUNTIFS('Ennemis_boss'!$D$7:$D$11,"Concept abandonné")</x:f>
        <x:v>0</x:v>
      </x:c>
      <x:c r="L18" s="37" t="n">
        <x:f>COUNTIFS('Ennemis_boss'!$D$7:$D$11,"Allégation écartée")</x:f>
        <x:v>0</x:v>
      </x:c>
      <x:c r="M18" s="37" t="n">
        <x:f>COUNTIFS('Ennemis_boss'!$E$7:$E$11,"P0")</x:f>
        <x:v>0</x:v>
      </x:c>
    </x:row>
    <x:row r="19" ht="22" customHeight="1">
      <x:c r="A19" s="2" t="str">
        <x:v>Missions</x:v>
      </x:c>
      <x:c r="B19" s="38" t="n">
        <x:f>COUNTA('Missions'!$A$7:$A$15)</x:f>
        <x:v>9</x:v>
      </x:c>
      <x:c r="C19" s="38" t="n">
        <x:f>COUNTIFS('Missions'!$C$7:$C$15,"Défini")</x:f>
        <x:v>9</x:v>
      </x:c>
      <x:c r="D19" s="38" t="n">
        <x:f>COUNTIFS('Missions'!$C$7:$C$15,"Prototype")</x:f>
        <x:v>0</x:v>
      </x:c>
      <x:c r="E19" s="38" t="n">
        <x:f>COUNTIFS('Missions'!$C$7:$C$15,"Intégré")</x:f>
        <x:v>0</x:v>
      </x:c>
      <x:c r="F19" s="38" t="n">
        <x:f>COUNTIFS('Missions'!$C$7:$C$15,"Validé")</x:f>
        <x:v>0</x:v>
      </x:c>
      <x:c r="G19" s="38" t="n">
        <x:f>COUNTIFS('Missions'!$D$7:$D$15,"Établi")</x:f>
        <x:v>0</x:v>
      </x:c>
      <x:c r="H19" s="38" t="n">
        <x:f>COUNTIFS('Missions'!$D$7:$D$15,"À vérifier")</x:f>
        <x:v>0</x:v>
      </x:c>
      <x:c r="I19" s="38" t="n">
        <x:f>COUNTIFS('Missions'!$D$7:$D$15,"Extrapolation")</x:f>
        <x:v>9</x:v>
      </x:c>
      <x:c r="J19" s="38" t="n">
        <x:f>COUNTIFS('Missions'!$D$7:$D$15,"Coupé attesté")</x:f>
        <x:v>0</x:v>
      </x:c>
      <x:c r="K19" s="38" t="n">
        <x:f>COUNTIFS('Missions'!$D$7:$D$15,"Concept abandonné")</x:f>
        <x:v>0</x:v>
      </x:c>
      <x:c r="L19" s="38" t="n">
        <x:f>COUNTIFS('Missions'!$D$7:$D$15,"Allégation écartée")</x:f>
        <x:v>0</x:v>
      </x:c>
      <x:c r="M19" s="38" t="n">
        <x:f>COUNTIFS('Missions'!$E$7:$E$15,"P0")</x:f>
        <x:v>9</x:v>
      </x:c>
    </x:row>
    <x:row r="20" ht="22" customHeight="1">
      <x:c r="A20" s="33" t="str">
        <x:v>Secondaires et DLC</x:v>
      </x:c>
      <x:c r="B20" s="37" t="n">
        <x:f>COUNTA('Secondaires_DLC'!$A$7:$A$15)</x:f>
        <x:v>9</x:v>
      </x:c>
      <x:c r="C20" s="37" t="n">
        <x:f>COUNTIFS('Secondaires_DLC'!$C$7:$C$15,"Défini")</x:f>
        <x:v>9</x:v>
      </x:c>
      <x:c r="D20" s="37" t="n">
        <x:f>COUNTIFS('Secondaires_DLC'!$C$7:$C$15,"Prototype")</x:f>
        <x:v>0</x:v>
      </x:c>
      <x:c r="E20" s="37" t="n">
        <x:f>COUNTIFS('Secondaires_DLC'!$C$7:$C$15,"Intégré")</x:f>
        <x:v>0</x:v>
      </x:c>
      <x:c r="F20" s="37" t="n">
        <x:f>COUNTIFS('Secondaires_DLC'!$C$7:$C$15,"Validé")</x:f>
        <x:v>0</x:v>
      </x:c>
      <x:c r="G20" s="37" t="n">
        <x:f>COUNTIFS('Secondaires_DLC'!$D$7:$D$15,"Établi")</x:f>
        <x:v>0</x:v>
      </x:c>
      <x:c r="H20" s="37" t="n">
        <x:f>COUNTIFS('Secondaires_DLC'!$D$7:$D$15,"À vérifier")</x:f>
        <x:v>0</x:v>
      </x:c>
      <x:c r="I20" s="37" t="n">
        <x:f>COUNTIFS('Secondaires_DLC'!$D$7:$D$15,"Extrapolation")</x:f>
        <x:v>9</x:v>
      </x:c>
      <x:c r="J20" s="37" t="n">
        <x:f>COUNTIFS('Secondaires_DLC'!$D$7:$D$15,"Coupé attesté")</x:f>
        <x:v>0</x:v>
      </x:c>
      <x:c r="K20" s="37" t="n">
        <x:f>COUNTIFS('Secondaires_DLC'!$D$7:$D$15,"Concept abandonné")</x:f>
        <x:v>0</x:v>
      </x:c>
      <x:c r="L20" s="37" t="n">
        <x:f>COUNTIFS('Secondaires_DLC'!$D$7:$D$15,"Allégation écartée")</x:f>
        <x:v>0</x:v>
      </x:c>
      <x:c r="M20" s="37" t="n">
        <x:f>COUNTIFS('Secondaires_DLC'!$E$7:$E$15,"P0")</x:f>
        <x:v>0</x:v>
      </x:c>
    </x:row>
    <x:row r="21" ht="22" customHeight="1">
      <x:c r="A21" s="2" t="str">
        <x:v>Choix et relations</x:v>
      </x:c>
      <x:c r="B21" s="38" t="n">
        <x:f>COUNTA('Choix_relations'!$A$7:$A$15)</x:f>
        <x:v>9</x:v>
      </x:c>
      <x:c r="C21" s="38" t="n">
        <x:f>COUNTIFS('Choix_relations'!$C$7:$C$15,"Défini")</x:f>
        <x:v>9</x:v>
      </x:c>
      <x:c r="D21" s="38" t="n">
        <x:f>COUNTIFS('Choix_relations'!$C$7:$C$15,"Prototype")</x:f>
        <x:v>0</x:v>
      </x:c>
      <x:c r="E21" s="38" t="n">
        <x:f>COUNTIFS('Choix_relations'!$C$7:$C$15,"Intégré")</x:f>
        <x:v>0</x:v>
      </x:c>
      <x:c r="F21" s="38" t="n">
        <x:f>COUNTIFS('Choix_relations'!$C$7:$C$15,"Validé")</x:f>
        <x:v>0</x:v>
      </x:c>
      <x:c r="G21" s="38" t="n">
        <x:f>COUNTIFS('Choix_relations'!$D$7:$D$15,"Établi")</x:f>
        <x:v>0</x:v>
      </x:c>
      <x:c r="H21" s="38" t="n">
        <x:f>COUNTIFS('Choix_relations'!$D$7:$D$15,"À vérifier")</x:f>
        <x:v>0</x:v>
      </x:c>
      <x:c r="I21" s="38" t="n">
        <x:f>COUNTIFS('Choix_relations'!$D$7:$D$15,"Extrapolation")</x:f>
        <x:v>9</x:v>
      </x:c>
      <x:c r="J21" s="38" t="n">
        <x:f>COUNTIFS('Choix_relations'!$D$7:$D$15,"Coupé attesté")</x:f>
        <x:v>0</x:v>
      </x:c>
      <x:c r="K21" s="38" t="n">
        <x:f>COUNTIFS('Choix_relations'!$D$7:$D$15,"Concept abandonné")</x:f>
        <x:v>0</x:v>
      </x:c>
      <x:c r="L21" s="38" t="n">
        <x:f>COUNTIFS('Choix_relations'!$D$7:$D$15,"Allégation écartée")</x:f>
        <x:v>0</x:v>
      </x:c>
      <x:c r="M21" s="38" t="n">
        <x:f>COUNTIFS('Choix_relations'!$E$7:$E$15,"P0")</x:f>
        <x:v>0</x:v>
      </x:c>
    </x:row>
    <x:row r="22" ht="22" customHeight="1">
      <x:c r="A22" s="33" t="str">
        <x:v>Dialogues</x:v>
      </x:c>
      <x:c r="B22" s="37" t="n">
        <x:f>COUNTA('Dialogues'!$A$7:$A$21)</x:f>
        <x:v>15</x:v>
      </x:c>
      <x:c r="C22" s="37" t="n">
        <x:f>COUNTIFS('Dialogues'!$C$7:$C$21,"Défini")</x:f>
        <x:v>15</x:v>
      </x:c>
      <x:c r="D22" s="37" t="n">
        <x:f>COUNTIFS('Dialogues'!$C$7:$C$21,"Prototype")</x:f>
        <x:v>0</x:v>
      </x:c>
      <x:c r="E22" s="37" t="n">
        <x:f>COUNTIFS('Dialogues'!$C$7:$C$21,"Intégré")</x:f>
        <x:v>0</x:v>
      </x:c>
      <x:c r="F22" s="37" t="n">
        <x:f>COUNTIFS('Dialogues'!$C$7:$C$21,"Validé")</x:f>
        <x:v>0</x:v>
      </x:c>
      <x:c r="G22" s="37" t="n">
        <x:f>COUNTIFS('Dialogues'!$D$7:$D$21,"Établi")</x:f>
        <x:v>0</x:v>
      </x:c>
      <x:c r="H22" s="37" t="n">
        <x:f>COUNTIFS('Dialogues'!$D$7:$D$21,"À vérifier")</x:f>
        <x:v>0</x:v>
      </x:c>
      <x:c r="I22" s="37" t="n">
        <x:f>COUNTIFS('Dialogues'!$D$7:$D$21,"Extrapolation")</x:f>
        <x:v>15</x:v>
      </x:c>
      <x:c r="J22" s="37" t="n">
        <x:f>COUNTIFS('Dialogues'!$D$7:$D$21,"Coupé attesté")</x:f>
        <x:v>0</x:v>
      </x:c>
      <x:c r="K22" s="37" t="n">
        <x:f>COUNTIFS('Dialogues'!$D$7:$D$21,"Concept abandonné")</x:f>
        <x:v>0</x:v>
      </x:c>
      <x:c r="L22" s="37" t="n">
        <x:f>COUNTIFS('Dialogues'!$D$7:$D$21,"Allégation écartée")</x:f>
        <x:v>0</x:v>
      </x:c>
      <x:c r="M22" s="37" t="n">
        <x:f>COUNTIFS('Dialogues'!$E$7:$E$21,"P0")</x:f>
        <x:v>0</x:v>
      </x:c>
    </x:row>
    <x:row r="23" ht="22" customHeight="1">
      <x:c r="A23" s="2" t="str">
        <x:v>Cinématiques</x:v>
      </x:c>
      <x:c r="B23" s="38" t="n">
        <x:f>COUNTA('Cinematiques'!$A$7:$A$15)</x:f>
        <x:v>9</x:v>
      </x:c>
      <x:c r="C23" s="38" t="n">
        <x:f>COUNTIFS('Cinematiques'!$C$7:$C$15,"Défini")</x:f>
        <x:v>9</x:v>
      </x:c>
      <x:c r="D23" s="38" t="n">
        <x:f>COUNTIFS('Cinematiques'!$C$7:$C$15,"Prototype")</x:f>
        <x:v>0</x:v>
      </x:c>
      <x:c r="E23" s="38" t="n">
        <x:f>COUNTIFS('Cinematiques'!$C$7:$C$15,"Intégré")</x:f>
        <x:v>0</x:v>
      </x:c>
      <x:c r="F23" s="38" t="n">
        <x:f>COUNTIFS('Cinematiques'!$C$7:$C$15,"Validé")</x:f>
        <x:v>0</x:v>
      </x:c>
      <x:c r="G23" s="38" t="n">
        <x:f>COUNTIFS('Cinematiques'!$D$7:$D$15,"Établi")</x:f>
        <x:v>0</x:v>
      </x:c>
      <x:c r="H23" s="38" t="n">
        <x:f>COUNTIFS('Cinematiques'!$D$7:$D$15,"À vérifier")</x:f>
        <x:v>0</x:v>
      </x:c>
      <x:c r="I23" s="38" t="n">
        <x:f>COUNTIFS('Cinematiques'!$D$7:$D$15,"Extrapolation")</x:f>
        <x:v>9</x:v>
      </x:c>
      <x:c r="J23" s="38" t="n">
        <x:f>COUNTIFS('Cinematiques'!$D$7:$D$15,"Coupé attesté")</x:f>
        <x:v>0</x:v>
      </x:c>
      <x:c r="K23" s="38" t="n">
        <x:f>COUNTIFS('Cinematiques'!$D$7:$D$15,"Concept abandonné")</x:f>
        <x:v>0</x:v>
      </x:c>
      <x:c r="L23" s="38" t="n">
        <x:f>COUNTIFS('Cinematiques'!$D$7:$D$15,"Allégation écartée")</x:f>
        <x:v>0</x:v>
      </x:c>
      <x:c r="M23" s="38" t="n">
        <x:f>COUNTIFS('Cinematiques'!$E$7:$E$15,"P0")</x:f>
        <x:v>0</x:v>
      </x:c>
    </x:row>
    <x:row r="24" ht="22" customHeight="1">
      <x:c r="A24" s="33" t="str">
        <x:v>Armes</x:v>
      </x:c>
      <x:c r="B24" s="37" t="n">
        <x:f>COUNTA('Armes'!$A$7:$A$8)</x:f>
        <x:v>2</x:v>
      </x:c>
      <x:c r="C24" s="37" t="n">
        <x:f>COUNTIFS('Armes'!$C$7:$C$8,"Défini")</x:f>
        <x:v>2</x:v>
      </x:c>
      <x:c r="D24" s="37" t="n">
        <x:f>COUNTIFS('Armes'!$C$7:$C$8,"Prototype")</x:f>
        <x:v>0</x:v>
      </x:c>
      <x:c r="E24" s="37" t="n">
        <x:f>COUNTIFS('Armes'!$C$7:$C$8,"Intégré")</x:f>
        <x:v>0</x:v>
      </x:c>
      <x:c r="F24" s="37" t="n">
        <x:f>COUNTIFS('Armes'!$C$7:$C$8,"Validé")</x:f>
        <x:v>0</x:v>
      </x:c>
      <x:c r="G24" s="37" t="n">
        <x:f>COUNTIFS('Armes'!$D$7:$D$8,"Établi")</x:f>
        <x:v>2</x:v>
      </x:c>
      <x:c r="H24" s="37" t="n">
        <x:f>COUNTIFS('Armes'!$D$7:$D$8,"À vérifier")</x:f>
        <x:v>0</x:v>
      </x:c>
      <x:c r="I24" s="37" t="n">
        <x:f>COUNTIFS('Armes'!$D$7:$D$8,"Extrapolation")</x:f>
        <x:v>0</x:v>
      </x:c>
      <x:c r="J24" s="37" t="n">
        <x:f>COUNTIFS('Armes'!$D$7:$D$8,"Coupé attesté")</x:f>
        <x:v>0</x:v>
      </x:c>
      <x:c r="K24" s="37" t="n">
        <x:f>COUNTIFS('Armes'!$D$7:$D$8,"Concept abandonné")</x:f>
        <x:v>0</x:v>
      </x:c>
      <x:c r="L24" s="37" t="n">
        <x:f>COUNTIFS('Armes'!$D$7:$D$8,"Allégation écartée")</x:f>
        <x:v>0</x:v>
      </x:c>
      <x:c r="M24" s="37" t="n">
        <x:f>COUNTIFS('Armes'!$E$7:$E$8,"P0")</x:f>
        <x:v>0</x:v>
      </x:c>
    </x:row>
    <x:row r="25" ht="22" customHeight="1">
      <x:c r="A25" s="2" t="str">
        <x:v>Armures et équipement</x:v>
      </x:c>
      <x:c r="B25" s="38" t="n">
        <x:f>COUNTA('Armures_equipement'!$A$7:$A$8)</x:f>
        <x:v>2</x:v>
      </x:c>
      <x:c r="C25" s="38" t="n">
        <x:f>COUNTIFS('Armures_equipement'!$C$7:$C$8,"Défini")</x:f>
        <x:v>2</x:v>
      </x:c>
      <x:c r="D25" s="38" t="n">
        <x:f>COUNTIFS('Armures_equipement'!$C$7:$C$8,"Prototype")</x:f>
        <x:v>0</x:v>
      </x:c>
      <x:c r="E25" s="38" t="n">
        <x:f>COUNTIFS('Armures_equipement'!$C$7:$C$8,"Intégré")</x:f>
        <x:v>0</x:v>
      </x:c>
      <x:c r="F25" s="38" t="n">
        <x:f>COUNTIFS('Armures_equipement'!$C$7:$C$8,"Validé")</x:f>
        <x:v>0</x:v>
      </x:c>
      <x:c r="G25" s="38" t="n">
        <x:f>COUNTIFS('Armures_equipement'!$D$7:$D$8,"Établi")</x:f>
        <x:v>2</x:v>
      </x:c>
      <x:c r="H25" s="38" t="n">
        <x:f>COUNTIFS('Armures_equipement'!$D$7:$D$8,"À vérifier")</x:f>
        <x:v>0</x:v>
      </x:c>
      <x:c r="I25" s="38" t="n">
        <x:f>COUNTIFS('Armures_equipement'!$D$7:$D$8,"Extrapolation")</x:f>
        <x:v>0</x:v>
      </x:c>
      <x:c r="J25" s="38" t="n">
        <x:f>COUNTIFS('Armures_equipement'!$D$7:$D$8,"Coupé attesté")</x:f>
        <x:v>0</x:v>
      </x:c>
      <x:c r="K25" s="38" t="n">
        <x:f>COUNTIFS('Armures_equipement'!$D$7:$D$8,"Concept abandonné")</x:f>
        <x:v>0</x:v>
      </x:c>
      <x:c r="L25" s="38" t="n">
        <x:f>COUNTIFS('Armures_equipement'!$D$7:$D$8,"Allégation écartée")</x:f>
        <x:v>0</x:v>
      </x:c>
      <x:c r="M25" s="38" t="n">
        <x:f>COUNTIFS('Armures_equipement'!$E$7:$E$8,"P0")</x:f>
        <x:v>0</x:v>
      </x:c>
    </x:row>
    <x:row r="26" ht="22" customHeight="1">
      <x:c r="A26" s="33" t="str">
        <x:v>Pouvoirs</x:v>
      </x:c>
      <x:c r="B26" s="37" t="n">
        <x:f>COUNTA('Pouvoirs'!$A$7:$A$8)</x:f>
        <x:v>2</x:v>
      </x:c>
      <x:c r="C26" s="37" t="n">
        <x:f>COUNTIFS('Pouvoirs'!$C$7:$C$8,"Défini")</x:f>
        <x:v>2</x:v>
      </x:c>
      <x:c r="D26" s="37" t="n">
        <x:f>COUNTIFS('Pouvoirs'!$C$7:$C$8,"Prototype")</x:f>
        <x:v>0</x:v>
      </x:c>
      <x:c r="E26" s="37" t="n">
        <x:f>COUNTIFS('Pouvoirs'!$C$7:$C$8,"Intégré")</x:f>
        <x:v>0</x:v>
      </x:c>
      <x:c r="F26" s="37" t="n">
        <x:f>COUNTIFS('Pouvoirs'!$C$7:$C$8,"Validé")</x:f>
        <x:v>0</x:v>
      </x:c>
      <x:c r="G26" s="37" t="n">
        <x:f>COUNTIFS('Pouvoirs'!$D$7:$D$8,"Établi")</x:f>
        <x:v>2</x:v>
      </x:c>
      <x:c r="H26" s="37" t="n">
        <x:f>COUNTIFS('Pouvoirs'!$D$7:$D$8,"À vérifier")</x:f>
        <x:v>0</x:v>
      </x:c>
      <x:c r="I26" s="37" t="n">
        <x:f>COUNTIFS('Pouvoirs'!$D$7:$D$8,"Extrapolation")</x:f>
        <x:v>0</x:v>
      </x:c>
      <x:c r="J26" s="37" t="n">
        <x:f>COUNTIFS('Pouvoirs'!$D$7:$D$8,"Coupé attesté")</x:f>
        <x:v>0</x:v>
      </x:c>
      <x:c r="K26" s="37" t="n">
        <x:f>COUNTIFS('Pouvoirs'!$D$7:$D$8,"Concept abandonné")</x:f>
        <x:v>0</x:v>
      </x:c>
      <x:c r="L26" s="37" t="n">
        <x:f>COUNTIFS('Pouvoirs'!$D$7:$D$8,"Allégation écartée")</x:f>
        <x:v>0</x:v>
      </x:c>
      <x:c r="M26" s="37" t="n">
        <x:f>COUNTIFS('Pouvoirs'!$E$7:$E$8,"P0")</x:f>
        <x:v>0</x:v>
      </x:c>
    </x:row>
    <x:row r="27" ht="22" customHeight="1">
      <x:c r="A27" s="2" t="str">
        <x:v>Movesets alliés</x:v>
      </x:c>
      <x:c r="B27" s="38" t="n">
        <x:f>COUNTA('Movesets_allies'!$A$7:$A$13)</x:f>
        <x:v>7</x:v>
      </x:c>
      <x:c r="C27" s="38" t="n">
        <x:f>COUNTIFS('Movesets_allies'!$C$7:$C$13,"Défini")</x:f>
        <x:v>7</x:v>
      </x:c>
      <x:c r="D27" s="38" t="n">
        <x:f>COUNTIFS('Movesets_allies'!$C$7:$C$13,"Prototype")</x:f>
        <x:v>0</x:v>
      </x:c>
      <x:c r="E27" s="38" t="n">
        <x:f>COUNTIFS('Movesets_allies'!$C$7:$C$13,"Intégré")</x:f>
        <x:v>0</x:v>
      </x:c>
      <x:c r="F27" s="38" t="n">
        <x:f>COUNTIFS('Movesets_allies'!$C$7:$C$13,"Validé")</x:f>
        <x:v>0</x:v>
      </x:c>
      <x:c r="G27" s="38" t="n">
        <x:f>COUNTIFS('Movesets_allies'!$D$7:$D$13,"Établi")</x:f>
        <x:v>0</x:v>
      </x:c>
      <x:c r="H27" s="38" t="n">
        <x:f>COUNTIFS('Movesets_allies'!$D$7:$D$13,"À vérifier")</x:f>
        <x:v>0</x:v>
      </x:c>
      <x:c r="I27" s="38" t="n">
        <x:f>COUNTIFS('Movesets_allies'!$D$7:$D$13,"Extrapolation")</x:f>
        <x:v>7</x:v>
      </x:c>
      <x:c r="J27" s="38" t="n">
        <x:f>COUNTIFS('Movesets_allies'!$D$7:$D$13,"Coupé attesté")</x:f>
        <x:v>0</x:v>
      </x:c>
      <x:c r="K27" s="38" t="n">
        <x:f>COUNTIFS('Movesets_allies'!$D$7:$D$13,"Concept abandonné")</x:f>
        <x:v>0</x:v>
      </x:c>
      <x:c r="L27" s="38" t="n">
        <x:f>COUNTIFS('Movesets_allies'!$D$7:$D$13,"Allégation écartée")</x:f>
        <x:v>0</x:v>
      </x:c>
      <x:c r="M27" s="38" t="n">
        <x:f>COUNTIFS('Movesets_allies'!$E$7:$E$13,"P0")</x:f>
        <x:v>0</x:v>
      </x:c>
    </x:row>
    <x:row r="28" ht="22" customHeight="1">
      <x:c r="A28" s="33" t="str">
        <x:v>Movesets ennemis</x:v>
      </x:c>
      <x:c r="B28" s="37" t="n">
        <x:f>COUNTA('Movesets_ennemis'!$A$7:$A$11)</x:f>
        <x:v>5</x:v>
      </x:c>
      <x:c r="C28" s="37" t="n">
        <x:f>COUNTIFS('Movesets_ennemis'!$C$7:$C$11,"Défini")</x:f>
        <x:v>5</x:v>
      </x:c>
      <x:c r="D28" s="37" t="n">
        <x:f>COUNTIFS('Movesets_ennemis'!$C$7:$C$11,"Prototype")</x:f>
        <x:v>0</x:v>
      </x:c>
      <x:c r="E28" s="37" t="n">
        <x:f>COUNTIFS('Movesets_ennemis'!$C$7:$C$11,"Intégré")</x:f>
        <x:v>0</x:v>
      </x:c>
      <x:c r="F28" s="37" t="n">
        <x:f>COUNTIFS('Movesets_ennemis'!$C$7:$C$11,"Validé")</x:f>
        <x:v>0</x:v>
      </x:c>
      <x:c r="G28" s="37" t="n">
        <x:f>COUNTIFS('Movesets_ennemis'!$D$7:$D$11,"Établi")</x:f>
        <x:v>0</x:v>
      </x:c>
      <x:c r="H28" s="37" t="n">
        <x:f>COUNTIFS('Movesets_ennemis'!$D$7:$D$11,"À vérifier")</x:f>
        <x:v>0</x:v>
      </x:c>
      <x:c r="I28" s="37" t="n">
        <x:f>COUNTIFS('Movesets_ennemis'!$D$7:$D$11,"Extrapolation")</x:f>
        <x:v>5</x:v>
      </x:c>
      <x:c r="J28" s="37" t="n">
        <x:f>COUNTIFS('Movesets_ennemis'!$D$7:$D$11,"Coupé attesté")</x:f>
        <x:v>0</x:v>
      </x:c>
      <x:c r="K28" s="37" t="n">
        <x:f>COUNTIFS('Movesets_ennemis'!$D$7:$D$11,"Concept abandonné")</x:f>
        <x:v>0</x:v>
      </x:c>
      <x:c r="L28" s="37" t="n">
        <x:f>COUNTIFS('Movesets_ennemis'!$D$7:$D$11,"Allégation écartée")</x:f>
        <x:v>0</x:v>
      </x:c>
      <x:c r="M28" s="37" t="n">
        <x:f>COUNTIFS('Movesets_ennemis'!$E$7:$E$11,"P0")</x:f>
        <x:v>0</x:v>
      </x:c>
    </x:row>
    <x:row r="29" ht="22" customHeight="1">
      <x:c r="A29" s="2" t="str">
        <x:v>Animations</x:v>
      </x:c>
      <x:c r="B29" s="38" t="n">
        <x:f>COUNTA('Animations'!$A$7:$A$21)</x:f>
        <x:v>15</x:v>
      </x:c>
      <x:c r="C29" s="38" t="n">
        <x:f>COUNTIFS('Animations'!$C$7:$C$21,"Défini")</x:f>
        <x:v>15</x:v>
      </x:c>
      <x:c r="D29" s="38" t="n">
        <x:f>COUNTIFS('Animations'!$C$7:$C$21,"Prototype")</x:f>
        <x:v>0</x:v>
      </x:c>
      <x:c r="E29" s="38" t="n">
        <x:f>COUNTIFS('Animations'!$C$7:$C$21,"Intégré")</x:f>
        <x:v>0</x:v>
      </x:c>
      <x:c r="F29" s="38" t="n">
        <x:f>COUNTIFS('Animations'!$C$7:$C$21,"Validé")</x:f>
        <x:v>0</x:v>
      </x:c>
      <x:c r="G29" s="38" t="n">
        <x:f>COUNTIFS('Animations'!$D$7:$D$21,"Établi")</x:f>
        <x:v>0</x:v>
      </x:c>
      <x:c r="H29" s="38" t="n">
        <x:f>COUNTIFS('Animations'!$D$7:$D$21,"À vérifier")</x:f>
        <x:v>0</x:v>
      </x:c>
      <x:c r="I29" s="38" t="n">
        <x:f>COUNTIFS('Animations'!$D$7:$D$21,"Extrapolation")</x:f>
        <x:v>15</x:v>
      </x:c>
      <x:c r="J29" s="38" t="n">
        <x:f>COUNTIFS('Animations'!$D$7:$D$21,"Coupé attesté")</x:f>
        <x:v>0</x:v>
      </x:c>
      <x:c r="K29" s="38" t="n">
        <x:f>COUNTIFS('Animations'!$D$7:$D$21,"Concept abandonné")</x:f>
        <x:v>0</x:v>
      </x:c>
      <x:c r="L29" s="38" t="n">
        <x:f>COUNTIFS('Animations'!$D$7:$D$21,"Allégation écartée")</x:f>
        <x:v>0</x:v>
      </x:c>
      <x:c r="M29" s="38" t="n">
        <x:f>COUNTIFS('Animations'!$E$7:$E$21,"P0")</x:f>
        <x:v>0</x:v>
      </x:c>
    </x:row>
    <x:row r="30" ht="22" customHeight="1">
      <x:c r="A30" s="33" t="str">
        <x:v>Sprites</x:v>
      </x:c>
      <x:c r="B30" s="37" t="n">
        <x:f>COUNTA('Sprites'!$A$7:$A$21)</x:f>
        <x:v>15</x:v>
      </x:c>
      <x:c r="C30" s="37" t="n">
        <x:f>COUNTIFS('Sprites'!$C$7:$C$21,"Défini")</x:f>
        <x:v>15</x:v>
      </x:c>
      <x:c r="D30" s="37" t="n">
        <x:f>COUNTIFS('Sprites'!$C$7:$C$21,"Prototype")</x:f>
        <x:v>0</x:v>
      </x:c>
      <x:c r="E30" s="37" t="n">
        <x:f>COUNTIFS('Sprites'!$C$7:$C$21,"Intégré")</x:f>
        <x:v>0</x:v>
      </x:c>
      <x:c r="F30" s="37" t="n">
        <x:f>COUNTIFS('Sprites'!$C$7:$C$21,"Validé")</x:f>
        <x:v>0</x:v>
      </x:c>
      <x:c r="G30" s="37" t="n">
        <x:f>COUNTIFS('Sprites'!$D$7:$D$21,"Établi")</x:f>
        <x:v>0</x:v>
      </x:c>
      <x:c r="H30" s="37" t="n">
        <x:f>COUNTIFS('Sprites'!$D$7:$D$21,"À vérifier")</x:f>
        <x:v>0</x:v>
      </x:c>
      <x:c r="I30" s="37" t="n">
        <x:f>COUNTIFS('Sprites'!$D$7:$D$21,"Extrapolation")</x:f>
        <x:v>15</x:v>
      </x:c>
      <x:c r="J30" s="37" t="n">
        <x:f>COUNTIFS('Sprites'!$D$7:$D$21,"Coupé attesté")</x:f>
        <x:v>0</x:v>
      </x:c>
      <x:c r="K30" s="37" t="n">
        <x:f>COUNTIFS('Sprites'!$D$7:$D$21,"Concept abandonné")</x:f>
        <x:v>0</x:v>
      </x:c>
      <x:c r="L30" s="37" t="n">
        <x:f>COUNTIFS('Sprites'!$D$7:$D$21,"Allégation écartée")</x:f>
        <x:v>0</x:v>
      </x:c>
      <x:c r="M30" s="37" t="n">
        <x:f>COUNTIFS('Sprites'!$E$7:$E$21,"P0")</x:f>
        <x:v>0</x:v>
      </x:c>
    </x:row>
    <x:row r="31" ht="22" customHeight="1">
      <x:c r="A31" s="2" t="str">
        <x:v>VFX</x:v>
      </x:c>
      <x:c r="B31" s="38" t="n">
        <x:f>COUNTA('VFX'!$A$7:$A$11)</x:f>
        <x:v>5</x:v>
      </x:c>
      <x:c r="C31" s="38" t="n">
        <x:f>COUNTIFS('VFX'!$C$7:$C$11,"Défini")</x:f>
        <x:v>5</x:v>
      </x:c>
      <x:c r="D31" s="38" t="n">
        <x:f>COUNTIFS('VFX'!$C$7:$C$11,"Prototype")</x:f>
        <x:v>0</x:v>
      </x:c>
      <x:c r="E31" s="38" t="n">
        <x:f>COUNTIFS('VFX'!$C$7:$C$11,"Intégré")</x:f>
        <x:v>0</x:v>
      </x:c>
      <x:c r="F31" s="38" t="n">
        <x:f>COUNTIFS('VFX'!$C$7:$C$11,"Validé")</x:f>
        <x:v>0</x:v>
      </x:c>
      <x:c r="G31" s="38" t="n">
        <x:f>COUNTIFS('VFX'!$D$7:$D$11,"Établi")</x:f>
        <x:v>0</x:v>
      </x:c>
      <x:c r="H31" s="38" t="n">
        <x:f>COUNTIFS('VFX'!$D$7:$D$11,"À vérifier")</x:f>
        <x:v>0</x:v>
      </x:c>
      <x:c r="I31" s="38" t="n">
        <x:f>COUNTIFS('VFX'!$D$7:$D$11,"Extrapolation")</x:f>
        <x:v>5</x:v>
      </x:c>
      <x:c r="J31" s="38" t="n">
        <x:f>COUNTIFS('VFX'!$D$7:$D$11,"Coupé attesté")</x:f>
        <x:v>0</x:v>
      </x:c>
      <x:c r="K31" s="38" t="n">
        <x:f>COUNTIFS('VFX'!$D$7:$D$11,"Concept abandonné")</x:f>
        <x:v>0</x:v>
      </x:c>
      <x:c r="L31" s="38" t="n">
        <x:f>COUNTIFS('VFX'!$D$7:$D$11,"Allégation écartée")</x:f>
        <x:v>0</x:v>
      </x:c>
      <x:c r="M31" s="38" t="n">
        <x:f>COUNTIFS('VFX'!$E$7:$E$11,"P0")</x:f>
        <x:v>0</x:v>
      </x:c>
    </x:row>
    <x:row r="32" ht="22" customHeight="1">
      <x:c r="A32" s="33" t="str">
        <x:v>Audio</x:v>
      </x:c>
      <x:c r="B32" s="37" t="n">
        <x:f>COUNTA('Audio'!$A$7:$A$12)</x:f>
        <x:v>6</x:v>
      </x:c>
      <x:c r="C32" s="37" t="n">
        <x:f>COUNTIFS('Audio'!$C$7:$C$12,"Défini")</x:f>
        <x:v>6</x:v>
      </x:c>
      <x:c r="D32" s="37" t="n">
        <x:f>COUNTIFS('Audio'!$C$7:$C$12,"Prototype")</x:f>
        <x:v>0</x:v>
      </x:c>
      <x:c r="E32" s="37" t="n">
        <x:f>COUNTIFS('Audio'!$C$7:$C$12,"Intégré")</x:f>
        <x:v>0</x:v>
      </x:c>
      <x:c r="F32" s="37" t="n">
        <x:f>COUNTIFS('Audio'!$C$7:$C$12,"Validé")</x:f>
        <x:v>0</x:v>
      </x:c>
      <x:c r="G32" s="37" t="n">
        <x:f>COUNTIFS('Audio'!$D$7:$D$12,"Établi")</x:f>
        <x:v>0</x:v>
      </x:c>
      <x:c r="H32" s="37" t="n">
        <x:f>COUNTIFS('Audio'!$D$7:$D$12,"À vérifier")</x:f>
        <x:v>0</x:v>
      </x:c>
      <x:c r="I32" s="37" t="n">
        <x:f>COUNTIFS('Audio'!$D$7:$D$12,"Extrapolation")</x:f>
        <x:v>6</x:v>
      </x:c>
      <x:c r="J32" s="37" t="n">
        <x:f>COUNTIFS('Audio'!$D$7:$D$12,"Coupé attesté")</x:f>
        <x:v>0</x:v>
      </x:c>
      <x:c r="K32" s="37" t="n">
        <x:f>COUNTIFS('Audio'!$D$7:$D$12,"Concept abandonné")</x:f>
        <x:v>0</x:v>
      </x:c>
      <x:c r="L32" s="37" t="n">
        <x:f>COUNTIFS('Audio'!$D$7:$D$12,"Allégation écartée")</x:f>
        <x:v>0</x:v>
      </x:c>
      <x:c r="M32" s="37" t="n">
        <x:f>COUNTIFS('Audio'!$E$7:$E$12,"P0")</x:f>
        <x:v>0</x:v>
      </x:c>
    </x:row>
    <x:row r="33" ht="22" customHeight="1">
      <x:c r="A33" s="2" t="str">
        <x:v>Systèmes et UI</x:v>
      </x:c>
      <x:c r="B33" s="38" t="n">
        <x:f>COUNTA('UI_systemes'!$A$7:$A$15)</x:f>
        <x:v>9</x:v>
      </x:c>
      <x:c r="C33" s="38" t="n">
        <x:f>COUNTIFS('UI_systemes'!$C$7:$C$15,"Défini")</x:f>
        <x:v>9</x:v>
      </x:c>
      <x:c r="D33" s="38" t="n">
        <x:f>COUNTIFS('UI_systemes'!$C$7:$C$15,"Prototype")</x:f>
        <x:v>0</x:v>
      </x:c>
      <x:c r="E33" s="38" t="n">
        <x:f>COUNTIFS('UI_systemes'!$C$7:$C$15,"Intégré")</x:f>
        <x:v>0</x:v>
      </x:c>
      <x:c r="F33" s="38" t="n">
        <x:f>COUNTIFS('UI_systemes'!$C$7:$C$15,"Validé")</x:f>
        <x:v>0</x:v>
      </x:c>
      <x:c r="G33" s="38" t="n">
        <x:f>COUNTIFS('UI_systemes'!$D$7:$D$15,"Établi")</x:f>
        <x:v>0</x:v>
      </x:c>
      <x:c r="H33" s="38" t="n">
        <x:f>COUNTIFS('UI_systemes'!$D$7:$D$15,"À vérifier")</x:f>
        <x:v>0</x:v>
      </x:c>
      <x:c r="I33" s="38" t="n">
        <x:f>COUNTIFS('UI_systemes'!$D$7:$D$15,"Extrapolation")</x:f>
        <x:v>9</x:v>
      </x:c>
      <x:c r="J33" s="38" t="n">
        <x:f>COUNTIFS('UI_systemes'!$D$7:$D$15,"Coupé attesté")</x:f>
        <x:v>0</x:v>
      </x:c>
      <x:c r="K33" s="38" t="n">
        <x:f>COUNTIFS('UI_systemes'!$D$7:$D$15,"Concept abandonné")</x:f>
        <x:v>0</x:v>
      </x:c>
      <x:c r="L33" s="38" t="n">
        <x:f>COUNTIFS('UI_systemes'!$D$7:$D$15,"Allégation écartée")</x:f>
        <x:v>0</x:v>
      </x:c>
      <x:c r="M33" s="38" t="n">
        <x:f>COUNTIFS('UI_systemes'!$E$7:$E$15,"P0")</x:f>
        <x:v>2</x:v>
      </x:c>
    </x:row>
    <x:row r="34" ht="22" customHeight="1">
      <x:c r="A34" s="33" t="str">
        <x:v>QA</x:v>
      </x:c>
      <x:c r="B34" s="37" t="n">
        <x:f>COUNTA('QA'!$A$7:$A$19)</x:f>
        <x:v>13</x:v>
      </x:c>
      <x:c r="C34" s="37" t="n">
        <x:f>COUNTIFS('QA'!$C$7:$C$19,"Défini")</x:f>
        <x:v>13</x:v>
      </x:c>
      <x:c r="D34" s="37" t="n">
        <x:f>COUNTIFS('QA'!$C$7:$C$19,"Prototype")</x:f>
        <x:v>0</x:v>
      </x:c>
      <x:c r="E34" s="37" t="n">
        <x:f>COUNTIFS('QA'!$C$7:$C$19,"Intégré")</x:f>
        <x:v>0</x:v>
      </x:c>
      <x:c r="F34" s="37" t="n">
        <x:f>COUNTIFS('QA'!$C$7:$C$19,"Validé")</x:f>
        <x:v>0</x:v>
      </x:c>
      <x:c r="G34" s="37" t="n">
        <x:f>COUNTIFS('QA'!$D$7:$D$19,"Établi")</x:f>
        <x:v>0</x:v>
      </x:c>
      <x:c r="H34" s="37" t="n">
        <x:f>COUNTIFS('QA'!$D$7:$D$19,"À vérifier")</x:f>
        <x:v>0</x:v>
      </x:c>
      <x:c r="I34" s="37" t="n">
        <x:f>COUNTIFS('QA'!$D$7:$D$19,"Extrapolation")</x:f>
        <x:v>13</x:v>
      </x:c>
      <x:c r="J34" s="37" t="n">
        <x:f>COUNTIFS('QA'!$D$7:$D$19,"Coupé attesté")</x:f>
        <x:v>0</x:v>
      </x:c>
      <x:c r="K34" s="37" t="n">
        <x:f>COUNTIFS('QA'!$D$7:$D$19,"Concept abandonné")</x:f>
        <x:v>0</x:v>
      </x:c>
      <x:c r="L34" s="37" t="n">
        <x:f>COUNTIFS('QA'!$D$7:$D$19,"Allégation écartée")</x:f>
        <x:v>0</x:v>
      </x:c>
      <x:c r="M34" s="37" t="n">
        <x:f>COUNTIFS('QA'!$E$7:$E$19,"P0")</x:f>
        <x:v>3</x:v>
      </x:c>
    </x:row>
    <x:row r="35" ht="22" customHeight="1">
      <x:c r="A35" s="2" t="str">
        <x:v>Continuité</x:v>
      </x:c>
      <x:c r="B35" s="38" t="n">
        <x:f>COUNTA('Continuite'!$A$7:$A$16)</x:f>
        <x:v>10</x:v>
      </x:c>
      <x:c r="C35" s="38" t="n">
        <x:f>COUNTIFS('Continuite'!$C$7:$C$16,"Défini")</x:f>
        <x:v>10</x:v>
      </x:c>
      <x:c r="D35" s="38" t="n">
        <x:f>COUNTIFS('Continuite'!$C$7:$C$16,"Prototype")</x:f>
        <x:v>0</x:v>
      </x:c>
      <x:c r="E35" s="38" t="n">
        <x:f>COUNTIFS('Continuite'!$C$7:$C$16,"Intégré")</x:f>
        <x:v>0</x:v>
      </x:c>
      <x:c r="F35" s="38" t="n">
        <x:f>COUNTIFS('Continuite'!$C$7:$C$16,"Validé")</x:f>
        <x:v>0</x:v>
      </x:c>
      <x:c r="G35" s="38" t="n">
        <x:f>COUNTIFS('Continuite'!$D$7:$D$16,"Établi")</x:f>
        <x:v>7</x:v>
      </x:c>
      <x:c r="H35" s="38" t="n">
        <x:f>COUNTIFS('Continuite'!$D$7:$D$16,"À vérifier")</x:f>
        <x:v>1</x:v>
      </x:c>
      <x:c r="I35" s="38" t="n">
        <x:f>COUNTIFS('Continuite'!$D$7:$D$16,"Extrapolation")</x:f>
        <x:v>2</x:v>
      </x:c>
      <x:c r="J35" s="38" t="n">
        <x:f>COUNTIFS('Continuite'!$D$7:$D$16,"Coupé attesté")</x:f>
        <x:v>0</x:v>
      </x:c>
      <x:c r="K35" s="38" t="n">
        <x:f>COUNTIFS('Continuite'!$D$7:$D$16,"Concept abandonné")</x:f>
        <x:v>0</x:v>
      </x:c>
      <x:c r="L35" s="38" t="n">
        <x:f>COUNTIFS('Continuite'!$D$7:$D$16,"Allégation écartée")</x:f>
        <x:v>0</x:v>
      </x:c>
      <x:c r="M35" s="38" t="n">
        <x:f>COUNTIFS('Continuite'!$E$7:$E$16,"P0")</x:f>
        <x:v>10</x:v>
      </x:c>
    </x:row>
    <x:row r="36" ht="22" customHeight="1">
      <x:c r="A36" s="2"/>
      <x:c r="B36" s="38"/>
      <x:c r="C36" s="38"/>
      <x:c r="D36" s="38"/>
      <x:c r="E36" s="38"/>
      <x:c r="F36" s="38"/>
      <x:c r="G36" s="38"/>
      <x:c r="H36" s="38"/>
      <x:c r="I36" s="38"/>
      <x:c r="J36" s="38"/>
      <x:c r="K36" s="38"/>
      <x:c r="L36" s="38"/>
      <x:c r="M36" s="38"/>
    </x:row>
    <x:row r="37" ht="28" customHeight="1">
      <x:c r="A37" s="21" t="str">
        <x:v>TOTAL</x:v>
      </x:c>
      <x:c r="B37" s="39" t="n">
        <x:f>SUM(B10:B35)</x:f>
        <x:v>199</x:v>
      </x:c>
      <x:c r="C37" s="39" t="n">
        <x:f>SUM(C10:C35)</x:f>
        <x:v>198</x:v>
      </x:c>
      <x:c r="D37" s="39" t="n">
        <x:f>SUM(D10:D35)</x:f>
        <x:v>1</x:v>
      </x:c>
      <x:c r="E37" s="39" t="n">
        <x:f>SUM(E10:E35)</x:f>
        <x:v>0</x:v>
      </x:c>
      <x:c r="F37" s="39" t="n">
        <x:f>SUM(F10:F35)</x:f>
        <x:v>0</x:v>
      </x:c>
      <x:c r="G37" s="39" t="n">
        <x:f>SUM(G10:G35)</x:f>
        <x:v>38</x:v>
      </x:c>
      <x:c r="H37" s="39" t="n">
        <x:f>SUM(H10:H35)</x:f>
        <x:v>1</x:v>
      </x:c>
      <x:c r="I37" s="39" t="n">
        <x:f>SUM(I10:I35)</x:f>
        <x:v>160</x:v>
      </x:c>
      <x:c r="J37" s="39" t="n">
        <x:f>SUM(J10:J35)</x:f>
        <x:v>0</x:v>
      </x:c>
      <x:c r="K37" s="39" t="n">
        <x:f>SUM(K10:K35)</x:f>
        <x:v>0</x:v>
      </x:c>
      <x:c r="L37" s="39" t="n">
        <x:f>SUM(L10:L35)</x:f>
        <x:v>0</x:v>
      </x:c>
      <x:c r="M37" s="39" t="n">
        <x:f>SUM(M10:M35)</x:f>
        <x:v>24</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8" hidden="0" customWidth="1"/>
    <x:col min="19" max="19" width="23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Paragon Lost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PL-CHR-VEGA</x:v>
      </x:c>
      <x:c r="B7" s="9" t="str">
        <x:v>James Vega</x:v>
      </x:c>
      <x:c r="C7" s="15" t="str">
        <x:v>Prototype</x:v>
      </x:c>
      <x:c r="D7" s="16" t="str">
        <x:v>Établi</x:v>
      </x:c>
      <x:c r="E7" s="16" t="str">
        <x:v>P1</x:v>
      </x:c>
      <x:c r="F7" s="9" t="str">
        <x:v>Marine de l’Alliance au centre du film, confronté aux Récolteurs.</x:v>
      </x:c>
      <x:c r="G7" s="9" t="str">
        <x:v>Référence narrative ; proposition visuelle et interaction dans les fiches liées.</x:v>
      </x:c>
      <x:c r="H7" s="9" t="str"/>
      <x:c r="I7" s="9" t="str"/>
      <x:c r="J7" s="9" t="str"/>
      <x:c r="K7" s="9" t="str"/>
      <x:c r="L7" s="9" t="str">
        <x:v>Prototype Chroniques : src/universe-actors.js, src/chronicles.js. Identifiant runtime PL-CHR-VEGA ; contexte d’œuvre/segment et sélection de scène obligatoires.</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Nom, rôle et présence confirmés dans la source indiquée ; aucune compétence chiffrée déduite du roman.</x:v>
      </x:c>
      <x:c r="O7" s="9" t="str"/>
      <x:c r="P7" s="9" t="str">
        <x:v>Notice de personnage ou présentation de l’œuvre ; pas de chapitre attribué.</x:v>
      </x:c>
      <x:c r="Q7" s="9" t="str">
        <x:v>PL-SRC-BW</x:v>
      </x:c>
      <x:c r="R7" s="9" t="str">
        <x:v>https://blog.bioware.com/2013/03/12/mass-effect-paragon-lost-available-now-in-the-uk/</x:v>
      </x:c>
      <x:c r="S7" s="9" t="str">
        <x:v>Contrôler le modèle contre le film avant dessin définitif. Prototype partiel disponible dans les Chroniques indépendantes : profil ATB sans portrait, sprite ou moveset complet ; pouvoirs non implémentés signalés. Aucun transfert vers ME1 ni validation 1:1.</x:v>
      </x:c>
    </x:row>
    <x:row r="8" ht="82" customHeight="1">
      <x:c r="A8" s="19" t="str">
        <x:v>PL-CHR-TREEYA</x:v>
      </x:c>
      <x:c r="B8" s="7" t="str">
        <x:v>Treeya Nuwani</x:v>
      </x:c>
      <x:c r="C8" s="15" t="str">
        <x:v>Défini</x:v>
      </x:c>
      <x:c r="D8" s="17" t="str">
        <x:v>Établi</x:v>
      </x:c>
      <x:c r="E8" s="17" t="str">
        <x:v>P1</x:v>
      </x:c>
      <x:c r="F8" s="7" t="str">
        <x:v>Anthropologue asari installée sur Fehl Prime.</x:v>
      </x:c>
      <x:c r="G8" s="7" t="str">
        <x:v>Référence narrative ; proposition visuelle et interaction dans les fiches liées.</x:v>
      </x:c>
      <x:c r="H8" s="7" t="str"/>
      <x:c r="I8" s="7" t="str"/>
      <x:c r="J8" s="7" t="str"/>
      <x:c r="K8" s="7" t="str"/>
      <x:c r="L8" s="7" t="str">
        <x:v>Réserver actor.pl.treeya ; rôle de référence : équipier.</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Nom, rôle et présence confirmés dans la source indiquée ; aucune compétence chiffrée déduite du roman.</x:v>
      </x:c>
      <x:c r="O8" s="7" t="str"/>
      <x:c r="P8" s="7" t="str">
        <x:v>Notice de personnage ou présentation de l’œuvre ; pas de chapitre attribué.</x:v>
      </x:c>
      <x:c r="Q8" s="7" t="str">
        <x:v>PL-SRC-TREEYA</x:v>
      </x:c>
      <x:c r="R8" s="7" t="str">
        <x:v>https://masseffect.fandom.com/wiki/Treeya_Nuwani</x:v>
      </x:c>
      <x:c r="S8" s="7" t="str">
        <x:v>Contrôler le modèle contre le film avant dessin définitif.</x:v>
      </x:c>
    </x:row>
    <x:row r="9" ht="82" customHeight="1">
      <x:c r="A9" s="18" t="str">
        <x:v>PL-CHR-MILQUE</x:v>
      </x:c>
      <x:c r="B9" s="9" t="str">
        <x:v>Milque</x:v>
      </x:c>
      <x:c r="C9" s="15" t="str">
        <x:v>Défini</x:v>
      </x:c>
      <x:c r="D9" s="16" t="str">
        <x:v>Établi</x:v>
      </x:c>
      <x:c r="E9" s="16" t="str">
        <x:v>P1</x:v>
      </x:c>
      <x:c r="F9" s="9" t="str">
        <x:v>Membre de Delta Squad, tireur de précision dans le film.</x:v>
      </x:c>
      <x:c r="G9" s="9" t="str">
        <x:v>Référence narrative ; proposition visuelle et interaction dans les fiches liées.</x:v>
      </x:c>
      <x:c r="H9" s="9" t="str"/>
      <x:c r="I9" s="9" t="str"/>
      <x:c r="J9" s="9" t="str"/>
      <x:c r="K9" s="9" t="str"/>
      <x:c r="L9" s="9" t="str">
        <x:v>Réserver actor.pl.milque ; rôle de référence : équipier.</x:v>
      </x:c>
      <x:c r="M9"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9" s="9" t="str">
        <x:v>Nom, rôle et présence confirmés dans la source indiquée ; aucune compétence chiffrée déduite du roman.</x:v>
      </x:c>
      <x:c r="O9" s="9" t="str"/>
      <x:c r="P9" s="9" t="str">
        <x:v>Notice de personnage ou présentation de l’œuvre ; pas de chapitre attribué.</x:v>
      </x:c>
      <x:c r="Q9" s="9" t="str">
        <x:v>PL-SRC-WIKI</x:v>
      </x:c>
      <x:c r="R9" s="9" t="str">
        <x:v>https://masseffect.fandom.com/wiki/Mass_Effect:_Paragon_Lost</x:v>
      </x:c>
      <x:c r="S9" s="9" t="str">
        <x:v>Contrôler le modèle contre le film avant dessin définitif.</x:v>
      </x:c>
    </x:row>
    <x:row r="10" ht="82" customHeight="1">
      <x:c r="A10" s="19" t="str">
        <x:v>PL-CHR-ESSEX</x:v>
      </x:c>
      <x:c r="B10" s="7" t="str">
        <x:v>Essex</x:v>
      </x:c>
      <x:c r="C10" s="15" t="str">
        <x:v>Défini</x:v>
      </x:c>
      <x:c r="D10" s="17" t="str">
        <x:v>Établi</x:v>
      </x:c>
      <x:c r="E10" s="17" t="str">
        <x:v>P1</x:v>
      </x:c>
      <x:c r="F10" s="7" t="str">
        <x:v>Marine de Delta Squad utilisant la biotique.</x:v>
      </x:c>
      <x:c r="G10" s="7" t="str">
        <x:v>Référence narrative ; proposition visuelle et interaction dans les fiches liées.</x:v>
      </x:c>
      <x:c r="H10" s="7" t="str"/>
      <x:c r="I10" s="7" t="str"/>
      <x:c r="J10" s="7" t="str"/>
      <x:c r="K10" s="7" t="str"/>
      <x:c r="L10" s="7" t="str">
        <x:v>Réserver actor.pl.essex ; rôle de référence : équipier.</x:v>
      </x:c>
      <x:c r="M10"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0" s="7" t="str">
        <x:v>Nom, rôle et présence confirmés dans la source indiquée ; aucune compétence chiffrée déduite du roman.</x:v>
      </x:c>
      <x:c r="O10" s="7" t="str"/>
      <x:c r="P10" s="7" t="str">
        <x:v>Notice de personnage ou présentation de l’œuvre ; pas de chapitre attribué.</x:v>
      </x:c>
      <x:c r="Q10" s="7" t="str">
        <x:v>PL-SRC-WIKI</x:v>
      </x:c>
      <x:c r="R10" s="7" t="str">
        <x:v>https://masseffect.fandom.com/wiki/Mass_Effect:_Paragon_Lost</x:v>
      </x:c>
      <x:c r="S10" s="7" t="str">
        <x:v>Contrôler le modèle contre le film avant dessin définitif.</x:v>
      </x:c>
    </x:row>
    <x:row r="11" ht="82" customHeight="1">
      <x:c r="A11" s="18" t="str">
        <x:v>PL-CHR-NICKY</x:v>
      </x:c>
      <x:c r="B11" s="9" t="str">
        <x:v>Nicky</x:v>
      </x:c>
      <x:c r="C11" s="15" t="str">
        <x:v>Défini</x:v>
      </x:c>
      <x:c r="D11" s="16" t="str">
        <x:v>Établi</x:v>
      </x:c>
      <x:c r="E11" s="16" t="str">
        <x:v>P1</x:v>
      </x:c>
      <x:c r="F11" s="9" t="str">
        <x:v>Spécialiste technique de Delta Squad, opérateur d’un drone.</x:v>
      </x:c>
      <x:c r="G11" s="9" t="str">
        <x:v>Référence narrative ; proposition visuelle et interaction dans les fiches liées.</x:v>
      </x:c>
      <x:c r="H11" s="9" t="str"/>
      <x:c r="I11" s="9" t="str"/>
      <x:c r="J11" s="9" t="str"/>
      <x:c r="K11" s="9" t="str"/>
      <x:c r="L11" s="9" t="str">
        <x:v>Réserver actor.pl.nicky ; rôle de référence : équipier.</x:v>
      </x:c>
      <x:c r="M11"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1" s="9" t="str">
        <x:v>Nom, rôle et présence confirmés dans la source indiquée ; aucune compétence chiffrée déduite du roman.</x:v>
      </x:c>
      <x:c r="O11" s="9" t="str"/>
      <x:c r="P11" s="9" t="str">
        <x:v>Notice de personnage ou présentation de l’œuvre ; pas de chapitre attribué.</x:v>
      </x:c>
      <x:c r="Q11" s="9" t="str">
        <x:v>PL-SRC-NICKY</x:v>
      </x:c>
      <x:c r="R11" s="9" t="str">
        <x:v>https://masseffect.fandom.com/wiki/Nicky</x:v>
      </x:c>
      <x:c r="S11" s="9" t="str">
        <x:v>Contrôler le modèle contre le film avant dessin définitif.</x:v>
      </x:c>
    </x:row>
    <x:row r="12" ht="82" customHeight="1">
      <x:c r="A12" s="19" t="str">
        <x:v>PL-CHR-KAMILLE</x:v>
      </x:c>
      <x:c r="B12" s="7" t="str">
        <x:v>Kamille</x:v>
      </x:c>
      <x:c r="C12" s="15" t="str">
        <x:v>Défini</x:v>
      </x:c>
      <x:c r="D12" s="17" t="str">
        <x:v>Établi</x:v>
      </x:c>
      <x:c r="E12" s="17" t="str">
        <x:v>P1</x:v>
      </x:c>
      <x:c r="F12" s="7" t="str">
        <x:v>Membre de Delta Squad.</x:v>
      </x:c>
      <x:c r="G12" s="7" t="str">
        <x:v>Référence narrative ; proposition visuelle et interaction dans les fiches liées.</x:v>
      </x:c>
      <x:c r="H12" s="7" t="str"/>
      <x:c r="I12" s="7" t="str"/>
      <x:c r="J12" s="7" t="str"/>
      <x:c r="K12" s="7" t="str"/>
      <x:c r="L12" s="7" t="str">
        <x:v>Réserver actor.pl.kamille ; rôle de référence : équipier.</x:v>
      </x:c>
      <x:c r="M12"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2" s="7" t="str">
        <x:v>Nom, rôle et présence confirmés dans la source indiquée ; aucune compétence chiffrée déduite du roman.</x:v>
      </x:c>
      <x:c r="O12" s="7" t="str"/>
      <x:c r="P12" s="7" t="str">
        <x:v>Notice de personnage ou présentation de l’œuvre ; pas de chapitre attribué.</x:v>
      </x:c>
      <x:c r="Q12" s="7" t="str">
        <x:v>PL-SRC-WIKI</x:v>
      </x:c>
      <x:c r="R12" s="7" t="str">
        <x:v>https://masseffect.fandom.com/wiki/Mass_Effect:_Paragon_Lost</x:v>
      </x:c>
      <x:c r="S12" s="7" t="str">
        <x:v>Contrôler le modèle contre le film avant dessin définitif.</x:v>
      </x:c>
    </x:row>
    <x:row r="13" ht="82" customHeight="1">
      <x:c r="A13" s="18" t="str">
        <x:v>PL-CHR-MASON</x:v>
      </x:c>
      <x:c r="B13" s="9" t="str">
        <x:v>Mason</x:v>
      </x:c>
      <x:c r="C13" s="15" t="str">
        <x:v>Défini</x:v>
      </x:c>
      <x:c r="D13" s="16" t="str">
        <x:v>Établi</x:v>
      </x:c>
      <x:c r="E13" s="16" t="str">
        <x:v>P1</x:v>
      </x:c>
      <x:c r="F13" s="9" t="str">
        <x:v>Membre de Delta Squad.</x:v>
      </x:c>
      <x:c r="G13" s="9" t="str">
        <x:v>Référence narrative ; proposition visuelle et interaction dans les fiches liées.</x:v>
      </x:c>
      <x:c r="H13" s="9" t="str"/>
      <x:c r="I13" s="9" t="str"/>
      <x:c r="J13" s="9" t="str"/>
      <x:c r="K13" s="9" t="str"/>
      <x:c r="L13" s="9" t="str">
        <x:v>Réserver actor.pl.mason ; rôle de référence : équipier.</x:v>
      </x:c>
      <x:c r="M13"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3" s="9" t="str">
        <x:v>Nom, rôle et présence confirmés dans la source indiquée ; aucune compétence chiffrée déduite du roman.</x:v>
      </x:c>
      <x:c r="O13" s="9" t="str"/>
      <x:c r="P13" s="9" t="str">
        <x:v>Notice de personnage ou présentation de l’œuvre ; pas de chapitre attribué.</x:v>
      </x:c>
      <x:c r="Q13" s="9" t="str">
        <x:v>PL-SRC-WIKI</x:v>
      </x:c>
      <x:c r="R13" s="9" t="str">
        <x:v>https://masseffect.fandom.com/wiki/Mass_Effect:_Paragon_Lost</x:v>
      </x:c>
      <x:c r="S13" s="9" t="str">
        <x:v>Contrôler le modèle contre le film avant dessin définitif.</x:v>
      </x:c>
    </x:row>
    <x:row r="14" ht="82" customHeight="1">
      <x:c r="A14" s="19" t="str">
        <x:v>PL-CHR-BROOD</x:v>
      </x:c>
      <x:c r="B14" s="7" t="str">
        <x:v>Brood</x:v>
      </x:c>
      <x:c r="C14" s="15" t="str">
        <x:v>Défini</x:v>
      </x:c>
      <x:c r="D14" s="17" t="str">
        <x:v>Établi</x:v>
      </x:c>
      <x:c r="E14" s="17" t="str">
        <x:v>P1</x:v>
      </x:c>
      <x:c r="F14" s="7" t="str">
        <x:v>Krogan de la meute d’Archuk, ensuite lié à Vega par une dette.</x:v>
      </x:c>
      <x:c r="G14" s="7" t="str">
        <x:v>Référence narrative ; proposition visuelle et interaction dans les fiches liées.</x:v>
      </x:c>
      <x:c r="H14" s="7" t="str"/>
      <x:c r="I14" s="7" t="str"/>
      <x:c r="J14" s="7" t="str"/>
      <x:c r="K14" s="7" t="str"/>
      <x:c r="L14" s="7" t="str">
        <x:v>Réserver actor.pl.brood ; rôle de référence : équipier.</x:v>
      </x:c>
      <x:c r="M14"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4" s="7" t="str">
        <x:v>Nom, rôle et présence confirmés dans la source indiquée ; aucune compétence chiffrée déduite du roman.</x:v>
      </x:c>
      <x:c r="O14" s="7" t="str"/>
      <x:c r="P14" s="7" t="str">
        <x:v>Notice de personnage ou présentation de l’œuvre ; pas de chapitre attribué.</x:v>
      </x:c>
      <x:c r="Q14" s="7" t="str">
        <x:v>PL-SRC-BROOD</x:v>
      </x:c>
      <x:c r="R14" s="7" t="str">
        <x:v>https://masseffect.fandom.com/wiki/Brood</x:v>
      </x:c>
      <x:c r="S14" s="7" t="str">
        <x:v>Contrôler le modèle contre le film avant dessin définitif.</x:v>
      </x:c>
    </x:row>
  </x:sheetData>
  <x:conditionalFormatting sqref="D7:D14">
    <x:cfRule type="cellIs" dxfId="0" priority="1" operator="equal">
      <x:formula>"À vérifier"</x:formula>
    </x:cfRule>
    <x:cfRule type="cellIs" dxfId="1" priority="2" operator="equal">
      <x:formula>"Extrapolation"</x:formula>
    </x:cfRule>
  </x:conditionalFormatting>
  <x:conditionalFormatting sqref="C7:C14">
    <x:cfRule type="cellIs" dxfId="2" priority="3" operator="equal">
      <x:formula>"Validé"</x:formula>
    </x:cfRule>
  </x:conditionalFormatting>
  <x:conditionalFormatting sqref="E7:E14">
    <x:cfRule type="cellIs" dxfId="3"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cfd2b82fb78e405a"/>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Paragon Lost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PL-CHR-TONI</x:v>
      </x:c>
      <x:c r="B7" s="9" t="str">
        <x:v>Capitaine Toni</x:v>
      </x:c>
      <x:c r="C7" s="15" t="str">
        <x:v>Défini</x:v>
      </x:c>
      <x:c r="D7" s="16" t="str">
        <x:v>Établi</x:v>
      </x:c>
      <x:c r="E7" s="16" t="str">
        <x:v>P1</x:v>
      </x:c>
      <x:c r="F7" s="9" t="str">
        <x:v>Officier commandant Delta Squad.</x:v>
      </x:c>
      <x:c r="G7" s="9" t="str">
        <x:v>Référence narrative ; proposition visuelle et interaction dans les fiches liées.</x:v>
      </x:c>
      <x:c r="H7" s="9" t="str"/>
      <x:c r="I7" s="9" t="str"/>
      <x:c r="J7" s="9" t="str"/>
      <x:c r="K7" s="9" t="str"/>
      <x:c r="L7" s="9" t="str">
        <x:v>Réserver actor.pl.toni ; rôle de référence : interlocuteur.</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Nom, rôle et présence confirmés dans la source indiquée ; aucune compétence chiffrée déduite du roman.</x:v>
      </x:c>
      <x:c r="O7" s="9" t="str"/>
      <x:c r="P7" s="9" t="str">
        <x:v>Notice de personnage ou présentation de l’œuvre ; pas de chapitre attribué.</x:v>
      </x:c>
      <x:c r="Q7" s="9" t="str">
        <x:v>PL-SRC-DELTA</x:v>
      </x:c>
      <x:c r="R7" s="9" t="str">
        <x:v>https://masseffect.fandom.com/wiki/Delta_Squad</x:v>
      </x:c>
      <x:c r="S7" s="9" t="str">
        <x:v>Contrôler le modèle contre le film avant dessin définitif.</x:v>
      </x:c>
    </x:row>
    <x:row r="8" ht="82" customHeight="1">
      <x:c r="A8" s="19" t="str">
        <x:v>PL-CHR-MESSNER</x:v>
      </x:c>
      <x:c r="B8" s="7" t="str">
        <x:v>Messner</x:v>
      </x:c>
      <x:c r="C8" s="15" t="str">
        <x:v>Défini</x:v>
      </x:c>
      <x:c r="D8" s="17" t="str">
        <x:v>Établi</x:v>
      </x:c>
      <x:c r="E8" s="17" t="str">
        <x:v>P1</x:v>
      </x:c>
      <x:c r="F8" s="7" t="str">
        <x:v>Marchand de couverture, en réalité agent de Cerberus.</x:v>
      </x:c>
      <x:c r="G8" s="7" t="str">
        <x:v>Référence narrative ; proposition visuelle et interaction dans les fiches liées.</x:v>
      </x:c>
      <x:c r="H8" s="7" t="str"/>
      <x:c r="I8" s="7" t="str"/>
      <x:c r="J8" s="7" t="str"/>
      <x:c r="K8" s="7" t="str"/>
      <x:c r="L8" s="7" t="str">
        <x:v>Réserver actor.pl.messner ; rôle de référence : interlocuteur.</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Nom, rôle et présence confirmés dans la source indiquée ; aucune compétence chiffrée déduite du roman.</x:v>
      </x:c>
      <x:c r="O8" s="7" t="str"/>
      <x:c r="P8" s="7" t="str">
        <x:v>Notice de personnage ou présentation de l’œuvre ; pas de chapitre attribué.</x:v>
      </x:c>
      <x:c r="Q8" s="7" t="str">
        <x:v>PL-SRC-MESSNER</x:v>
      </x:c>
      <x:c r="R8" s="7" t="str">
        <x:v>https://masseffect.fandom.com/wiki/Messner</x:v>
      </x:c>
      <x:c r="S8" s="7" t="str">
        <x:v>Contrôler le modèle contre le film avant dessin définitif.</x:v>
      </x:c>
    </x:row>
    <x:row r="9" ht="82" customHeight="1">
      <x:c r="A9" s="18" t="str">
        <x:v>PL-CHR-ARCHUK</x:v>
      </x:c>
      <x:c r="B9" s="9" t="str">
        <x:v>Archuk</x:v>
      </x:c>
      <x:c r="C9" s="15" t="str">
        <x:v>Défini</x:v>
      </x:c>
      <x:c r="D9" s="16" t="str">
        <x:v>Établi</x:v>
      </x:c>
      <x:c r="E9" s="16" t="str">
        <x:v>P1</x:v>
      </x:c>
      <x:c r="F9" s="9" t="str">
        <x:v>Chef krogan de l’attaque initiale des mercenaires.</x:v>
      </x:c>
      <x:c r="G9" s="9" t="str">
        <x:v>Référence narrative ; proposition visuelle et interaction dans les fiches liées.</x:v>
      </x:c>
      <x:c r="H9" s="9" t="str"/>
      <x:c r="I9" s="9" t="str"/>
      <x:c r="J9" s="9" t="str"/>
      <x:c r="K9" s="9" t="str"/>
      <x:c r="L9" s="9" t="str">
        <x:v>Réserver actor.pl.archuk ; rôle de référence : adversaire.</x:v>
      </x:c>
      <x:c r="M9"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9" s="9" t="str">
        <x:v>Nom, rôle et présence confirmés dans la source indiquée ; aucune compétence chiffrée déduite du roman.</x:v>
      </x:c>
      <x:c r="O9" s="9" t="str"/>
      <x:c r="P9" s="9" t="str">
        <x:v>Notice de personnage ou présentation de l’œuvre ; pas de chapitre attribué.</x:v>
      </x:c>
      <x:c r="Q9" s="9" t="str">
        <x:v>PL-SRC-WIKI</x:v>
      </x:c>
      <x:c r="R9" s="9" t="str">
        <x:v>https://masseffect.fandom.com/wiki/Mass_Effect:_Paragon_Lost</x:v>
      </x:c>
      <x:c r="S9" s="9" t="str">
        <x:v>Contrôler le modèle contre le film avant dessin définitif.</x:v>
      </x:c>
    </x:row>
    <x:row r="10" ht="82" customHeight="1">
      <x:c r="A10" s="19" t="str">
        <x:v>PL-CHR-APRIL</x:v>
      </x:c>
      <x:c r="B10" s="7" t="str">
        <x:v>April</x:v>
      </x:c>
      <x:c r="C10" s="15" t="str">
        <x:v>Défini</x:v>
      </x:c>
      <x:c r="D10" s="17" t="str">
        <x:v>Établi</x:v>
      </x:c>
      <x:c r="E10" s="17" t="str">
        <x:v>P1</x:v>
      </x:c>
      <x:c r="F10" s="7" t="str">
        <x:v>Enfant de Fehl Prime, fille de Christine.</x:v>
      </x:c>
      <x:c r="G10" s="7" t="str">
        <x:v>Référence narrative ; proposition visuelle et interaction dans les fiches liées.</x:v>
      </x:c>
      <x:c r="H10" s="7" t="str"/>
      <x:c r="I10" s="7" t="str"/>
      <x:c r="J10" s="7" t="str"/>
      <x:c r="K10" s="7" t="str"/>
      <x:c r="L10" s="7" t="str">
        <x:v>Réserver actor.pl.april ; rôle de référence : interlocuteur.</x:v>
      </x:c>
      <x:c r="M10"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0" s="7" t="str">
        <x:v>Nom, rôle et présence confirmés dans la source indiquée ; aucune compétence chiffrée déduite du roman.</x:v>
      </x:c>
      <x:c r="O10" s="7" t="str"/>
      <x:c r="P10" s="7" t="str">
        <x:v>Notice de personnage ou présentation de l’œuvre ; pas de chapitre attribué.</x:v>
      </x:c>
      <x:c r="Q10" s="7" t="str">
        <x:v>PL-SRC-WIKI</x:v>
      </x:c>
      <x:c r="R10" s="7" t="str">
        <x:v>https://masseffect.fandom.com/wiki/Mass_Effect:_Paragon_Lost</x:v>
      </x:c>
      <x:c r="S10" s="7" t="str">
        <x:v>Contrôler le modèle contre le film avant dessin définitif.</x:v>
      </x:c>
    </x:row>
    <x:row r="11" ht="82" customHeight="1">
      <x:c r="A11" s="18" t="str">
        <x:v>PL-CHR-CHRISTINE</x:v>
      </x:c>
      <x:c r="B11" s="9" t="str">
        <x:v>Christine</x:v>
      </x:c>
      <x:c r="C11" s="15" t="str">
        <x:v>Défini</x:v>
      </x:c>
      <x:c r="D11" s="16" t="str">
        <x:v>Établi</x:v>
      </x:c>
      <x:c r="E11" s="16" t="str">
        <x:v>P1</x:v>
      </x:c>
      <x:c r="F11" s="9" t="str">
        <x:v>Habitante de Fehl Prime et mère d’April.</x:v>
      </x:c>
      <x:c r="G11" s="9" t="str">
        <x:v>Référence narrative ; proposition visuelle et interaction dans les fiches liées.</x:v>
      </x:c>
      <x:c r="H11" s="9" t="str"/>
      <x:c r="I11" s="9" t="str"/>
      <x:c r="J11" s="9" t="str"/>
      <x:c r="K11" s="9" t="str"/>
      <x:c r="L11" s="9" t="str">
        <x:v>Réserver actor.pl.christine ; rôle de référence : interlocuteur.</x:v>
      </x:c>
      <x:c r="M11"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1" s="9" t="str">
        <x:v>Nom, rôle et présence confirmés dans la source indiquée ; aucune compétence chiffrée déduite du roman.</x:v>
      </x:c>
      <x:c r="O11" s="9" t="str"/>
      <x:c r="P11" s="9" t="str">
        <x:v>Notice de personnage ou présentation de l’œuvre ; pas de chapitre attribué.</x:v>
      </x:c>
      <x:c r="Q11" s="9" t="str">
        <x:v>PL-SRC-WIKI</x:v>
      </x:c>
      <x:c r="R11" s="9" t="str">
        <x:v>https://masseffect.fandom.com/wiki/Mass_Effect:_Paragon_Lost</x:v>
      </x:c>
      <x:c r="S11" s="9" t="str">
        <x:v>Contrôler le modèle contre le film avant dessin définitif.</x:v>
      </x:c>
    </x:row>
    <x:row r="12" ht="82" customHeight="1">
      <x:c r="A12" s="19" t="str">
        <x:v>PL-CHR-HACKETT</x:v>
      </x:c>
      <x:c r="B12" s="7" t="str">
        <x:v>Steven Hackett</x:v>
      </x:c>
      <x:c r="C12" s="15" t="str">
        <x:v>Défini</x:v>
      </x:c>
      <x:c r="D12" s="17" t="str">
        <x:v>Établi</x:v>
      </x:c>
      <x:c r="E12" s="17" t="str">
        <x:v>P1</x:v>
      </x:c>
      <x:c r="F12" s="7" t="str">
        <x:v>Amiral de l’Alliance donnant un ordre à Delta Squad.</x:v>
      </x:c>
      <x:c r="G12" s="7" t="str">
        <x:v>Référence narrative ; proposition visuelle et interaction dans les fiches liées.</x:v>
      </x:c>
      <x:c r="H12" s="7" t="str"/>
      <x:c r="I12" s="7" t="str"/>
      <x:c r="J12" s="7" t="str"/>
      <x:c r="K12" s="7" t="str"/>
      <x:c r="L12" s="7" t="str">
        <x:v>Réserver actor.pl.hackett ; rôle de référence : interlocuteur.</x:v>
      </x:c>
      <x:c r="M12"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2" s="7" t="str">
        <x:v>Nom, rôle et présence confirmés dans la source indiquée ; aucune compétence chiffrée déduite du roman.</x:v>
      </x:c>
      <x:c r="O12" s="7" t="str"/>
      <x:c r="P12" s="7" t="str">
        <x:v>Notice de personnage ou présentation de l’œuvre ; pas de chapitre attribué.</x:v>
      </x:c>
      <x:c r="Q12" s="7" t="str">
        <x:v>PL-SRC-WIKI</x:v>
      </x:c>
      <x:c r="R12" s="7" t="str">
        <x:v>https://masseffect.fandom.com/wiki/Mass_Effect:_Paragon_Lost</x:v>
      </x:c>
      <x:c r="S12" s="7" t="str">
        <x:v>Contrôler le modèle contre le film avant dessin définitif.</x:v>
      </x:c>
    </x:row>
    <x:row r="13" ht="82" customHeight="1">
      <x:c r="A13" s="18" t="str">
        <x:v>PL-CHR-LIARA</x:v>
      </x:c>
      <x:c r="B13" s="9" t="str">
        <x:v>Liara T’Soni</x:v>
      </x:c>
      <x:c r="C13" s="15" t="str">
        <x:v>Défini</x:v>
      </x:c>
      <x:c r="D13" s="16" t="str">
        <x:v>Établi</x:v>
      </x:c>
      <x:c r="E13" s="16" t="str">
        <x:v>P1</x:v>
      </x:c>
      <x:c r="F13" s="9" t="str">
        <x:v>Mentore contactée à distance par Treeya.</x:v>
      </x:c>
      <x:c r="G13" s="9" t="str">
        <x:v>Référence narrative ; proposition visuelle et interaction dans les fiches liées.</x:v>
      </x:c>
      <x:c r="H13" s="9" t="str"/>
      <x:c r="I13" s="9" t="str"/>
      <x:c r="J13" s="9" t="str"/>
      <x:c r="K13" s="9" t="str"/>
      <x:c r="L13" s="9" t="str">
        <x:v>Réserver actor.pl.liara ; rôle de référence : interlocuteur.</x:v>
      </x:c>
      <x:c r="M13"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3" s="9" t="str">
        <x:v>Nom, rôle et présence confirmés dans la source indiquée ; aucune compétence chiffrée déduite du roman.</x:v>
      </x:c>
      <x:c r="O13" s="9" t="str"/>
      <x:c r="P13" s="9" t="str">
        <x:v>Notice de personnage ou présentation de l’œuvre ; pas de chapitre attribué.</x:v>
      </x:c>
      <x:c r="Q13" s="9" t="str">
        <x:v>PL-SRC-WIKI</x:v>
      </x:c>
      <x:c r="R13" s="9" t="str">
        <x:v>https://masseffect.fandom.com/wiki/Mass_Effect:_Paragon_Lost</x:v>
      </x:c>
      <x:c r="S13" s="9" t="str">
        <x:v>Contrôler le modèle contre le film avant dessin définitif.</x:v>
      </x:c>
    </x:row>
  </x:sheetData>
  <x:conditionalFormatting sqref="D7:D13">
    <x:cfRule type="cellIs" dxfId="4" priority="1" operator="equal">
      <x:formula>"À vérifier"</x:formula>
    </x:cfRule>
    <x:cfRule type="cellIs" dxfId="5" priority="2" operator="equal">
      <x:formula>"Extrapolation"</x:formula>
    </x:cfRule>
  </x:conditionalFormatting>
  <x:conditionalFormatting sqref="C7:C13">
    <x:cfRule type="cellIs" dxfId="6" priority="3" operator="equal">
      <x:formula>"Validé"</x:formula>
    </x:cfRule>
  </x:conditionalFormatting>
  <x:conditionalFormatting sqref="E7:E13">
    <x:cfRule type="cellIs" dxfId="7"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c2507588fecd4099"/>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Paragon Lost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PL-REF-DELTA</x:v>
      </x:c>
      <x:c r="B7" s="9" t="str">
        <x:v>Delta Squad</x:v>
      </x:c>
      <x:c r="C7" s="15" t="str">
        <x:v>Défini</x:v>
      </x:c>
      <x:c r="D7" s="16" t="str">
        <x:v>Établi</x:v>
      </x:c>
      <x:c r="E7" s="16" t="str">
        <x:v>P1</x:v>
      </x:c>
      <x:c r="F7" s="9" t="str">
        <x:v>Unité de forces spéciales de l’Alliance.</x:v>
      </x:c>
      <x:c r="G7" s="9" t="str">
        <x:v>Ancrage documentaire du module ; aucune statistique officielle inférée.</x:v>
      </x:c>
      <x:c r="H7" s="9" t="str"/>
      <x:c r="I7" s="9" t="str"/>
      <x:c r="J7" s="9" t="str"/>
      <x:c r="K7" s="9" t="str"/>
      <x:c r="L7" s="9" t="str">
        <x:v>Codex ref.pl.delta ; affichage bref avec source.</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PL-SRC-DELTA</x:v>
      </x:c>
      <x:c r="R7" s="9" t="str">
        <x:v>https://masseffect.fandom.com/wiki/Delta_Squad</x:v>
      </x:c>
      <x:c r="S7" s="9" t="str">
        <x:v>Ce relevé n’est ni un inventaire exhaustif ni un résumé scène par scène.</x:v>
      </x:c>
    </x:row>
    <x:row r="8" ht="82" customHeight="1">
      <x:c r="A8" s="19" t="str">
        <x:v>PL-REF-BLOOD</x:v>
      </x:c>
      <x:c r="B8" s="7" t="str">
        <x:v>Blood Pack</x:v>
      </x:c>
      <x:c r="C8" s="15" t="str">
        <x:v>Défini</x:v>
      </x:c>
      <x:c r="D8" s="17" t="str">
        <x:v>Établi</x:v>
      </x:c>
      <x:c r="E8" s="17" t="str">
        <x:v>P1</x:v>
      </x:c>
      <x:c r="F8" s="7" t="str">
        <x:v>Force mercenaire de l’attaque initiale.</x:v>
      </x:c>
      <x:c r="G8" s="7" t="str">
        <x:v>Ancrage documentaire du module ; aucune statistique officielle inférée.</x:v>
      </x:c>
      <x:c r="H8" s="7" t="str"/>
      <x:c r="I8" s="7" t="str"/>
      <x:c r="J8" s="7" t="str"/>
      <x:c r="K8" s="7" t="str"/>
      <x:c r="L8" s="7" t="str">
        <x:v>Codex ref.pl.blood ; affichage bref avec source.</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PL-SRC-BROOD</x:v>
      </x:c>
      <x:c r="R8" s="7" t="str">
        <x:v>https://masseffect.fandom.com/wiki/Brood</x:v>
      </x:c>
      <x:c r="S8" s="7" t="str">
        <x:v>Ce relevé n’est ni un inventaire exhaustif ni un résumé scène par scène.</x:v>
      </x:c>
    </x:row>
    <x:row r="9" ht="82" customHeight="1">
      <x:c r="A9" s="18" t="str">
        <x:v>PL-REF-COLLECTOR</x:v>
      </x:c>
      <x:c r="B9" s="9" t="str">
        <x:v>Récolteurs</x:v>
      </x:c>
      <x:c r="C9" s="15" t="str">
        <x:v>Défini</x:v>
      </x:c>
      <x:c r="D9" s="16" t="str">
        <x:v>Établi</x:v>
      </x:c>
      <x:c r="E9" s="16" t="str">
        <x:v>P1</x:v>
      </x:c>
      <x:c r="F9" s="9" t="str">
        <x:v>Ils attaquent Fehl Prime et capturent des habitants.</x:v>
      </x:c>
      <x:c r="G9" s="9" t="str">
        <x:v>Ancrage documentaire du module ; aucune statistique officielle inférée.</x:v>
      </x:c>
      <x:c r="H9" s="9" t="str"/>
      <x:c r="I9" s="9" t="str"/>
      <x:c r="J9" s="9" t="str"/>
      <x:c r="K9" s="9" t="str"/>
      <x:c r="L9" s="9" t="str">
        <x:v>Codex ref.pl.collector ; affichage bref avec source.</x:v>
      </x:c>
      <x:c r="M9"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9" s="9" t="str">
        <x:v>La source citée atteste précisément cet élément ; modèle, plan détaillé et valeur de combat restent séparés.</x:v>
      </x:c>
      <x:c r="O9" s="9" t="str"/>
      <x:c r="P9" s="9" t="str">
        <x:v>Rubrique consultée ou synopsis éditorial ; localisation précise dans l’œuvre à relever.</x:v>
      </x:c>
      <x:c r="Q9" s="9" t="str">
        <x:v>PL-SRC-FEHL</x:v>
      </x:c>
      <x:c r="R9" s="9" t="str">
        <x:v>https://masseffect.fandom.com/wiki/Fehl_Prime</x:v>
      </x:c>
      <x:c r="S9" s="9" t="str">
        <x:v>Ce relevé n’est ni un inventaire exhaustif ni un résumé scène par scène.</x:v>
      </x:c>
    </x:row>
    <x:row r="10" ht="82" customHeight="1">
      <x:c r="A10" s="19" t="str">
        <x:v>PL-REF-CERBERUS</x:v>
      </x:c>
      <x:c r="B10" s="7" t="str">
        <x:v>Cerberus</x:v>
      </x:c>
      <x:c r="C10" s="15" t="str">
        <x:v>Défini</x:v>
      </x:c>
      <x:c r="D10" s="17" t="str">
        <x:v>Établi</x:v>
      </x:c>
      <x:c r="E10" s="17" t="str">
        <x:v>P1</x:v>
      </x:c>
      <x:c r="F10" s="7" t="str">
        <x:v>Messner agit au nom de cette organisation.</x:v>
      </x:c>
      <x:c r="G10" s="7" t="str">
        <x:v>Ancrage documentaire du module ; aucune statistique officielle inférée.</x:v>
      </x:c>
      <x:c r="H10" s="7" t="str"/>
      <x:c r="I10" s="7" t="str"/>
      <x:c r="J10" s="7" t="str"/>
      <x:c r="K10" s="7" t="str"/>
      <x:c r="L10" s="7" t="str">
        <x:v>Codex ref.pl.cerberus ; affichage bref avec source.</x:v>
      </x:c>
      <x:c r="M10"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0" s="7" t="str">
        <x:v>La source citée atteste précisément cet élément ; modèle, plan détaillé et valeur de combat restent séparés.</x:v>
      </x:c>
      <x:c r="O10" s="7" t="str"/>
      <x:c r="P10" s="7" t="str">
        <x:v>Rubrique consultée ou synopsis éditorial ; localisation précise dans l’œuvre à relever.</x:v>
      </x:c>
      <x:c r="Q10" s="7" t="str">
        <x:v>PL-SRC-MESSNER</x:v>
      </x:c>
      <x:c r="R10" s="7" t="str">
        <x:v>https://masseffect.fandom.com/wiki/Messner</x:v>
      </x:c>
      <x:c r="S10" s="7" t="str">
        <x:v>Ce relevé n’est ni un inventaire exhaustif ni un résumé scène par scène.</x:v>
      </x:c>
    </x:row>
  </x:sheetData>
  <x:conditionalFormatting sqref="D7:D10">
    <x:cfRule type="cellIs" dxfId="8" priority="1" operator="equal">
      <x:formula>"À vérifier"</x:formula>
    </x:cfRule>
    <x:cfRule type="cellIs" dxfId="9" priority="2" operator="equal">
      <x:formula>"Extrapolation"</x:formula>
    </x:cfRule>
  </x:conditionalFormatting>
  <x:conditionalFormatting sqref="C7:C10">
    <x:cfRule type="cellIs" dxfId="10" priority="3" operator="equal">
      <x:formula>"Validé"</x:formula>
    </x:cfRule>
  </x:conditionalFormatting>
  <x:conditionalFormatting sqref="E7:E10">
    <x:cfRule type="cellIs" dxfId="11"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1b3ca1c21ebe414e"/>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Paragon Lost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PL-REF-FEHL</x:v>
      </x:c>
      <x:c r="B7" s="9" t="str">
        <x:v>Fehl Prime</x:v>
      </x:c>
      <x:c r="C7" s="15" t="str">
        <x:v>Défini</x:v>
      </x:c>
      <x:c r="D7" s="16" t="str">
        <x:v>Établi</x:v>
      </x:c>
      <x:c r="E7" s="16" t="str">
        <x:v>P1</x:v>
      </x:c>
      <x:c r="F7" s="9" t="str">
        <x:v>Colonie humaine où Delta Squad est stationnée.</x:v>
      </x:c>
      <x:c r="G7" s="9" t="str">
        <x:v>Ancrage documentaire du module ; aucune statistique officielle inférée.</x:v>
      </x:c>
      <x:c r="H7" s="9" t="str"/>
      <x:c r="I7" s="9" t="str"/>
      <x:c r="J7" s="9" t="str"/>
      <x:c r="K7" s="9" t="str"/>
      <x:c r="L7" s="9" t="str">
        <x:v>Codex ref.pl.fehl ; affichage bref avec source.</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PL-SRC-FEHL</x:v>
      </x:c>
      <x:c r="R7" s="9" t="str">
        <x:v>https://masseffect.fandom.com/wiki/Fehl_Prime</x:v>
      </x:c>
      <x:c r="S7" s="9" t="str">
        <x:v>Ce relevé n’est ni un inventaire exhaustif ni un résumé scène par scène.</x:v>
      </x:c>
    </x:row>
    <x:row r="8" ht="82" customHeight="1">
      <x:c r="A8" s="19" t="str">
        <x:v>PL-REF-RUINS</x:v>
      </x:c>
      <x:c r="B8" s="7" t="str">
        <x:v>Vestiges de Fehl Prime</x:v>
      </x:c>
      <x:c r="C8" s="15" t="str">
        <x:v>Défini</x:v>
      </x:c>
      <x:c r="D8" s="17" t="str">
        <x:v>Établi</x:v>
      </x:c>
      <x:c r="E8" s="17" t="str">
        <x:v>P1</x:v>
      </x:c>
      <x:c r="F8" s="7" t="str">
        <x:v>Treeya y poursuit ses recherches et consulte Liara.</x:v>
      </x:c>
      <x:c r="G8" s="7" t="str">
        <x:v>Ancrage documentaire du module ; aucune statistique officielle inférée.</x:v>
      </x:c>
      <x:c r="H8" s="7" t="str"/>
      <x:c r="I8" s="7" t="str"/>
      <x:c r="J8" s="7" t="str"/>
      <x:c r="K8" s="7" t="str"/>
      <x:c r="L8" s="7" t="str">
        <x:v>Codex ref.pl.ruins ; affichage bref avec source.</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PL-SRC-TREEYA</x:v>
      </x:c>
      <x:c r="R8" s="7" t="str">
        <x:v>https://masseffect.fandom.com/wiki/Treeya_Nuwani</x:v>
      </x:c>
      <x:c r="S8" s="7" t="str">
        <x:v>Ce relevé n’est ni un inventaire exhaustif ni un résumé scène par scène.</x:v>
      </x:c>
    </x:row>
  </x:sheetData>
  <x:conditionalFormatting sqref="D7:D8">
    <x:cfRule type="cellIs" dxfId="12" priority="1" operator="equal">
      <x:formula>"À vérifier"</x:formula>
    </x:cfRule>
    <x:cfRule type="cellIs" dxfId="13" priority="2" operator="equal">
      <x:formula>"Extrapolation"</x:formula>
    </x:cfRule>
  </x:conditionalFormatting>
  <x:conditionalFormatting sqref="C7:C8">
    <x:cfRule type="cellIs" dxfId="14" priority="3" operator="equal">
      <x:formula>"Validé"</x:formula>
    </x:cfRule>
  </x:conditionalFormatting>
  <x:conditionalFormatting sqref="E7:E8">
    <x:cfRule type="cellIs" dxfId="15"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5cd4af43643e4ece"/>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Paragon Lost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PL-MAP-LANDING</x:v>
      </x:c>
      <x:c r="B7" s="9" t="str">
        <x:v>Zone d’atterrissage proposée — carte proposée</x:v>
      </x:c>
      <x:c r="C7" s="15" t="str">
        <x:v>Défini</x:v>
      </x:c>
      <x:c r="D7" s="16" t="str">
        <x:v>Extrapolation</x:v>
      </x:c>
      <x:c r="E7" s="16" t="str">
        <x:v>P1</x:v>
      </x:c>
      <x:c r="F7" s="9" t="str">
        <x:v>Bloc de niveau original autour de Zone d’atterrissage proposée. Le plan n’est pas fourni par la source.</x:v>
      </x:c>
      <x:c r="G7" s="9" t="str">
        <x:v>Décor 3D à caméra fixe et personnages sprites. Épave de navette, couverts et route vers l’escouade.</x:v>
      </x:c>
      <x:c r="H7" s="9" t="str">
        <x:v>Le personnage portant assistance ne peut simultanément couvrir la ligne. Les passages importants restent accessibles en mode pause tactique.</x:v>
      </x:c>
      <x:c r="I7" s="9" t="str">
        <x:v>Débris lisibles, fumée réglable et silhouette de colonie en fond. Séparer sol praticable, couvert et fond par valeur lumineuse.</x:v>
      </x:c>
      <x:c r="J7" s="9" t="str">
        <x:v>Occlusion douce des parois devant le groupe ; portes synchronisées avec les collisions.</x:v>
      </x:c>
      <x:c r="K7" s="9" t="str">
        <x:v>Action militaire lisible, ambiance coloniale et tension organomécanique originale. Un signal directionnel accompagne le danger local, doublé par une icône.</x:v>
      </x:c>
      <x:c r="L7" s="9" t="str">
        <x:v>maps/pl/landing.scene ; navmesh, colliders, ancrages d’entrée et sorties nommés.</x:v>
      </x:c>
      <x:c r="M7" s="9" t="str">
        <x:v>Respecter la phase de 2183 et les présences du film.</x:v>
      </x:c>
      <x:c r="N7" s="9" t="str">
        <x:v>Entrée, objectif et sortie sont reliés sans traverser une collision ; lisibilité des sprites aux carrefours.</x:v>
      </x:c>
      <x:c r="O7" s="9" t="str"/>
      <x:c r="P7" s="9" t="str"/>
      <x:c r="Q7" s="9" t="str"/>
      <x:c r="R7" s="9" t="str"/>
      <x:c r="S7" s="9" t="str">
        <x:v>Dimensions, connexions et accessoires de cette carte sont des propositions originales.</x:v>
      </x:c>
    </x:row>
    <x:row r="8" ht="68" customHeight="1">
      <x:c r="A8" s="19" t="str">
        <x:v>PL-MAP-SQUARE</x:v>
      </x:c>
      <x:c r="B8" s="7" t="str">
        <x:v>Rue de regroupement proposée — carte proposée</x:v>
      </x:c>
      <x:c r="C8" s="15" t="str">
        <x:v>Défini</x:v>
      </x:c>
      <x:c r="D8" s="17" t="str">
        <x:v>Extrapolation</x:v>
      </x:c>
      <x:c r="E8" s="17" t="str">
        <x:v>P1</x:v>
      </x:c>
      <x:c r="F8" s="7" t="str">
        <x:v>Bloc de niveau original autour de Rue de regroupement proposée. Le plan n’est pas fourni par la source.</x:v>
      </x:c>
      <x:c r="G8" s="7" t="str">
        <x:v>Décor 3D à caméra fixe et personnages sprites. Deux flancs, place couverte et passage civil.</x:v>
      </x:c>
      <x:c r="H8" s="7" t="str">
        <x:v>La charge ennemie annonce son axe avant l’impact. Les passages importants restent accessibles en mode pause tactique.</x:v>
      </x:c>
      <x:c r="I8" s="7" t="str">
        <x:v>Façades coloniales sobres, sacs de défense et vue sur la route. Séparer sol praticable, couvert et fond par valeur lumineuse.</x:v>
      </x:c>
      <x:c r="J8" s="7" t="str">
        <x:v>Occlusion douce des parois devant le groupe ; portes synchronisées avec les collisions.</x:v>
      </x:c>
      <x:c r="K8" s="7" t="str">
        <x:v>Action militaire lisible, ambiance coloniale et tension organomécanique originale. Un signal directionnel accompagne le danger local, doublé par une icône.</x:v>
      </x:c>
      <x:c r="L8" s="7" t="str">
        <x:v>maps/pl/square.scene ; navmesh, colliders, ancrages d’entrée et sorties nommés.</x:v>
      </x:c>
      <x:c r="M8" s="7" t="str">
        <x:v>Le combat ne change pas le sort canonique d’Archuk.</x:v>
      </x:c>
      <x:c r="N8" s="7" t="str">
        <x:v>Entrée, objectif et sortie sont reliés sans traverser une collision ; lisibilité des sprites aux carrefours.</x:v>
      </x:c>
      <x:c r="O8" s="7" t="str"/>
      <x:c r="P8" s="7" t="str"/>
      <x:c r="Q8" s="7" t="str"/>
      <x:c r="R8" s="7" t="str"/>
      <x:c r="S8" s="7" t="str">
        <x:v>Dimensions, connexions et accessoires de cette carte sont des propositions originales.</x:v>
      </x:c>
    </x:row>
    <x:row r="9" ht="68" customHeight="1">
      <x:c r="A9" s="18" t="str">
        <x:v>PL-MAP-COLONY</x:v>
      </x:c>
      <x:c r="B9" s="9" t="str">
        <x:v>Fehl Prime pendant l’accalmie — carte proposée</x:v>
      </x:c>
      <x:c r="C9" s="15" t="str">
        <x:v>Défini</x:v>
      </x:c>
      <x:c r="D9" s="16" t="str">
        <x:v>Extrapolation</x:v>
      </x:c>
      <x:c r="E9" s="16" t="str">
        <x:v>P1</x:v>
      </x:c>
      <x:c r="F9" s="9" t="str">
        <x:v>Bloc de niveau original autour de Fehl Prime pendant l’accalmie. Le plan n’est pas fourni par la source.</x:v>
      </x:c>
      <x:c r="G9" s="9" t="str">
        <x:v>Décor 3D à caméra fixe et personnages sprites. Atelier de défense, place civile et accès aux recherches.</x:v>
      </x:c>
      <x:c r="H9" s="9" t="str">
        <x:v>Une tâche de maintenance peut être accomplie par plusieurs méthodes. Les passages importants restent accessibles en mode pause tactique.</x:v>
      </x:c>
      <x:c r="I9" s="9" t="str">
        <x:v>Vie coloniale, équipements installés et couleurs plus chaudes. Séparer sol praticable, couvert et fond par valeur lumineuse.</x:v>
      </x:c>
      <x:c r="J9" s="9" t="str">
        <x:v>Occlusion douce des parois devant le groupe ; portes synchronisées avec les collisions.</x:v>
      </x:c>
      <x:c r="K9" s="9" t="str">
        <x:v>Action militaire lisible, ambiance coloniale et tension organomécanique originale. Un signal directionnel accompagne le danger local, doublé par une icône.</x:v>
      </x:c>
      <x:c r="L9" s="9" t="str">
        <x:v>maps/pl/colony.scene ; navmesh, colliders, ancrages d’entrée et sorties nommés.</x:v>
      </x:c>
      <x:c r="M9" s="9" t="str">
        <x:v>La transition temporelle reste explicitement indiquée.</x:v>
      </x:c>
      <x:c r="N9" s="9" t="str">
        <x:v>Entrée, objectif et sortie sont reliés sans traverser une collision ; lisibilité des sprites aux carrefours.</x:v>
      </x:c>
      <x:c r="O9" s="9" t="str"/>
      <x:c r="P9" s="9" t="str"/>
      <x:c r="Q9" s="9" t="str"/>
      <x:c r="R9" s="9" t="str"/>
      <x:c r="S9" s="9" t="str">
        <x:v>Dimensions, connexions et accessoires de cette carte sont des propositions originales.</x:v>
      </x:c>
    </x:row>
    <x:row r="10" ht="68" customHeight="1">
      <x:c r="A10" s="19" t="str">
        <x:v>PL-MAP-RUINS</x:v>
      </x:c>
      <x:c r="B10" s="7" t="str">
        <x:v>Annexe des vestiges proposée — carte proposée</x:v>
      </x:c>
      <x:c r="C10" s="15" t="str">
        <x:v>Défini</x:v>
      </x:c>
      <x:c r="D10" s="17" t="str">
        <x:v>Extrapolation</x:v>
      </x:c>
      <x:c r="E10" s="17" t="str">
        <x:v>P1</x:v>
      </x:c>
      <x:c r="F10" s="7" t="str">
        <x:v>Bloc de niveau original autour de Annexe des vestiges proposée. Le plan n’est pas fourni par la source.</x:v>
      </x:c>
      <x:c r="G10" s="7" t="str">
        <x:v>Décor 3D à caméra fixe et personnages sprites. Approche du Mako, dispositif et point de communication.</x:v>
      </x:c>
      <x:c r="H10" s="7" t="str">
        <x:v>Un signal brouillé rend certains relevés inutilisables. Les passages importants restent accessibles en mode pause tactique.</x:v>
      </x:c>
      <x:c r="I10" s="7" t="str">
        <x:v>Pierre ancienne, volumes sci-fi sobres et contraste avec matériel humain. Séparer sol praticable, couvert et fond par valeur lumineuse.</x:v>
      </x:c>
      <x:c r="J10" s="7" t="str">
        <x:v>Occlusion douce des parois devant le groupe ; portes synchronisées avec les collisions.</x:v>
      </x:c>
      <x:c r="K10" s="7" t="str">
        <x:v>Action militaire lisible, ambiance coloniale et tension organomécanique originale. Un signal directionnel accompagne le danger local, doublé par une icône.</x:v>
      </x:c>
      <x:c r="L10" s="7" t="str">
        <x:v>maps/pl/ruins.scene ; navmesh, colliders, ancrages d’entrée et sorties nommés.</x:v>
      </x:c>
      <x:c r="M10" s="7" t="str">
        <x:v>Le plan est original et non un relevé exact du film.</x:v>
      </x:c>
      <x:c r="N10" s="7" t="str">
        <x:v>Entrée, objectif et sortie sont reliés sans traverser une collision ; lisibilité des sprites aux carrefours.</x:v>
      </x:c>
      <x:c r="O10" s="7" t="str"/>
      <x:c r="P10" s="7" t="str"/>
      <x:c r="Q10" s="7" t="str"/>
      <x:c r="R10" s="7" t="str"/>
      <x:c r="S10" s="7" t="str">
        <x:v>Dimensions, connexions et accessoires de cette carte sont des propositions originales.</x:v>
      </x:c>
    </x:row>
    <x:row r="11" ht="68" customHeight="1">
      <x:c r="A11" s="18" t="str">
        <x:v>PL-MAP-DEFENSE</x:v>
      </x:c>
      <x:c r="B11" s="9" t="str">
        <x:v>Poste du canon proposé — carte proposée</x:v>
      </x:c>
      <x:c r="C11" s="15" t="str">
        <x:v>Défini</x:v>
      </x:c>
      <x:c r="D11" s="16" t="str">
        <x:v>Extrapolation</x:v>
      </x:c>
      <x:c r="E11" s="16" t="str">
        <x:v>P1</x:v>
      </x:c>
      <x:c r="F11" s="9" t="str">
        <x:v>Bloc de niveau original autour de Poste du canon proposé. Le plan n’est pas fourni par la source.</x:v>
      </x:c>
      <x:c r="G11" s="9" t="str">
        <x:v>Décor 3D à caméra fixe et personnages sprites. Console, circuit d’énergie et voie d’évacuation.</x:v>
      </x:c>
      <x:c r="H11" s="9" t="str">
        <x:v>La préparation doit garder un trajet de repli. Les passages importants restent accessibles en mode pause tactique.</x:v>
      </x:c>
      <x:c r="I11" s="9" t="str">
        <x:v>Grande silhouette mécanique et ciel occupé par la menace. Séparer sol praticable, couvert et fond par valeur lumineuse.</x:v>
      </x:c>
      <x:c r="J11" s="9" t="str">
        <x:v>Occlusion douce des parois devant le groupe ; portes synchronisées avec les collisions.</x:v>
      </x:c>
      <x:c r="K11" s="9" t="str">
        <x:v>Action militaire lisible, ambiance coloniale et tension organomécanique originale. Un signal directionnel accompagne le danger local, doublé par une icône.</x:v>
      </x:c>
      <x:c r="L11" s="9" t="str">
        <x:v>maps/pl/defense.scene ; navmesh, colliders, ancrages d’entrée et sorties nommés.</x:v>
      </x:c>
      <x:c r="M11" s="9" t="str">
        <x:v>Le canon ne gagne pas soudain une puissance sauvant toute la colonie.</x:v>
      </x:c>
      <x:c r="N11" s="9" t="str">
        <x:v>Entrée, objectif et sortie sont reliés sans traverser une collision ; lisibilité des sprites aux carrefours.</x:v>
      </x:c>
      <x:c r="O11" s="9" t="str"/>
      <x:c r="P11" s="9" t="str"/>
      <x:c r="Q11" s="9" t="str"/>
      <x:c r="R11" s="9" t="str"/>
      <x:c r="S11" s="9" t="str">
        <x:v>Dimensions, connexions et accessoires de cette carte sont des propositions originales.</x:v>
      </x:c>
    </x:row>
    <x:row r="12" ht="68" customHeight="1">
      <x:c r="A12" s="19" t="str">
        <x:v>PL-MAP-LABS</x:v>
      </x:c>
      <x:c r="B12" s="7" t="str">
        <x:v>Couloir des laboratoires proposé — carte proposée</x:v>
      </x:c>
      <x:c r="C12" s="15" t="str">
        <x:v>Défini</x:v>
      </x:c>
      <x:c r="D12" s="17" t="str">
        <x:v>Extrapolation</x:v>
      </x:c>
      <x:c r="E12" s="17" t="str">
        <x:v>P1</x:v>
      </x:c>
      <x:c r="F12" s="7" t="str">
        <x:v>Bloc de niveau original autour de Couloir des laboratoires proposé. Le plan n’est pas fourni par la source.</x:v>
      </x:c>
      <x:c r="G12" s="7" t="str">
        <x:v>Décor 3D à caméra fixe et personnages sprites. Sas principal, réserve et salle de contrôle.</x:v>
      </x:c>
      <x:c r="H12" s="7" t="str">
        <x:v>Maintenir les accès pendant une poursuite ; les soins restent abstraits. Les passages importants restent accessibles en mode pause tactique.</x:v>
      </x:c>
      <x:c r="I12" s="7" t="str">
        <x:v>Surfaces médicales froides, cloisons lourdes et portes de sécurité. Séparer sol praticable, couvert et fond par valeur lumineuse.</x:v>
      </x:c>
      <x:c r="J12" s="7" t="str">
        <x:v>Occlusion douce des parois devant le groupe ; portes synchronisées avec les collisions.</x:v>
      </x:c>
      <x:c r="K12" s="7" t="str">
        <x:v>Action militaire lisible, ambiance coloniale et tension organomécanique originale. Un signal directionnel accompagne le danger local, doublé par une icône.</x:v>
      </x:c>
      <x:c r="L12" s="7" t="str">
        <x:v>maps/pl/labs.scene ; navmesh, colliders, ancrages d’entrée et sorties nommés.</x:v>
      </x:c>
      <x:c r="M12" s="7" t="str">
        <x:v>Ne pas permettre un sauvetage général contredisant le film.</x:v>
      </x:c>
      <x:c r="N12" s="7" t="str">
        <x:v>Entrée, objectif et sortie sont reliés sans traverser une collision ; lisibilité des sprites aux carrefours.</x:v>
      </x:c>
      <x:c r="O12" s="7" t="str"/>
      <x:c r="P12" s="7" t="str"/>
      <x:c r="Q12" s="7" t="str"/>
      <x:c r="R12" s="7" t="str"/>
      <x:c r="S12" s="7" t="str">
        <x:v>Dimensions, connexions et accessoires de cette carte sont des propositions originales.</x:v>
      </x:c>
    </x:row>
    <x:row r="13" ht="68" customHeight="1">
      <x:c r="A13" s="18" t="str">
        <x:v>PL-MAP-BROOD</x:v>
      </x:c>
      <x:c r="B13" s="9" t="str">
        <x:v>Pont du vaisseau de Brood proposé — carte proposée</x:v>
      </x:c>
      <x:c r="C13" s="15" t="str">
        <x:v>Défini</x:v>
      </x:c>
      <x:c r="D13" s="16" t="str">
        <x:v>Extrapolation</x:v>
      </x:c>
      <x:c r="E13" s="16" t="str">
        <x:v>P1</x:v>
      </x:c>
      <x:c r="F13" s="9" t="str">
        <x:v>Bloc de niveau original autour de Pont du vaisseau de Brood proposé. Le plan n’est pas fourni par la source.</x:v>
      </x:c>
      <x:c r="G13" s="9" t="str">
        <x:v>Décor 3D à caméra fixe et personnages sprites. Pilotage, emplacement d’appui et accès à la soute.</x:v>
      </x:c>
      <x:c r="H13" s="9" t="str">
        <x:v>La navigation est un segment scénarisé de commandes abstraites. Les passages importants restent accessibles en mode pause tactique.</x:v>
      </x:c>
      <x:c r="I13" s="9" t="str">
        <x:v>Métal usé, espace compact, fenêtres limitées. Séparer sol praticable, couvert et fond par valeur lumineuse.</x:v>
      </x:c>
      <x:c r="J13" s="9" t="str">
        <x:v>Occlusion douce des parois devant le groupe ; portes synchronisées avec les collisions.</x:v>
      </x:c>
      <x:c r="K13" s="9" t="str">
        <x:v>Action militaire lisible, ambiance coloniale et tension organomécanique originale. Un signal directionnel accompagne le danger local, doublé par une icône.</x:v>
      </x:c>
      <x:c r="L13" s="9" t="str">
        <x:v>maps/pl/brood.scene ; navmesh, colliders, ancrages d’entrée et sorties nommés.</x:v>
      </x:c>
      <x:c r="M13" s="9" t="str">
        <x:v>Le trajet ne devient pas une simulation spatiale libre.</x:v>
      </x:c>
      <x:c r="N13" s="9" t="str">
        <x:v>Entrée, objectif et sortie sont reliés sans traverser une collision ; lisibilité des sprites aux carrefours.</x:v>
      </x:c>
      <x:c r="O13" s="9" t="str"/>
      <x:c r="P13" s="9" t="str"/>
      <x:c r="Q13" s="9" t="str"/>
      <x:c r="R13" s="9" t="str"/>
      <x:c r="S13" s="9" t="str">
        <x:v>Dimensions, connexions et accessoires de cette carte sont des propositions originales.</x:v>
      </x:c>
    </x:row>
    <x:row r="14" ht="68" customHeight="1">
      <x:c r="A14" s="19" t="str">
        <x:v>PL-MAP-COLLECTOR</x:v>
      </x:c>
      <x:c r="B14" s="7" t="str">
        <x:v>Secteur du vaisseau récolteur proposé — carte proposée</x:v>
      </x:c>
      <x:c r="C14" s="15" t="str">
        <x:v>Défini</x:v>
      </x:c>
      <x:c r="D14" s="17" t="str">
        <x:v>Extrapolation</x:v>
      </x:c>
      <x:c r="E14" s="17" t="str">
        <x:v>P1</x:v>
      </x:c>
      <x:c r="F14" s="7" t="str">
        <x:v>Bloc de niveau original autour de Secteur du vaisseau récolteur proposé. Le plan n’est pas fourni par la source.</x:v>
      </x:c>
      <x:c r="G14" s="7" t="str">
        <x:v>Décor 3D à caméra fixe et personnages sprites. Passage organique, capsules et embranchement vers archive.</x:v>
      </x:c>
      <x:c r="H14" s="7" t="str">
        <x:v>Deux objectifs locaux partagent une ressource d’accès. Les passages importants restent accessibles en mode pause tactique.</x:v>
      </x:c>
      <x:c r="I14" s="7" t="str">
        <x:v>Matières organomécaniques stylisées, éclats limités et silhouettes sombres. Séparer sol praticable, couvert et fond par valeur lumineuse.</x:v>
      </x:c>
      <x:c r="J14" s="7" t="str">
        <x:v>Occlusion douce des parois devant le groupe ; portes synchronisées avec les collisions.</x:v>
      </x:c>
      <x:c r="K14" s="7" t="str">
        <x:v>Action militaire lisible, ambiance coloniale et tension organomécanique originale. Un signal directionnel accompagne le danger local, doublé par une icône.</x:v>
      </x:c>
      <x:c r="L14" s="7" t="str">
        <x:v>maps/pl/collector.scene ; navmesh, colliders, ancrages d’entrée et sorties nommés.</x:v>
      </x:c>
      <x:c r="M14" s="7" t="str">
        <x:v>Ne pas reconstruire toute la géographie interne à partir du résumé.</x:v>
      </x:c>
      <x:c r="N14" s="7" t="str">
        <x:v>Entrée, objectif et sortie sont reliés sans traverser une collision ; lisibilité des sprites aux carrefours.</x:v>
      </x:c>
      <x:c r="O14" s="7" t="str"/>
      <x:c r="P14" s="7" t="str"/>
      <x:c r="Q14" s="7" t="str"/>
      <x:c r="R14" s="7" t="str"/>
      <x:c r="S14" s="7" t="str">
        <x:v>Dimensions, connexions et accessoires de cette carte sont des propositions originales.</x:v>
      </x:c>
    </x:row>
    <x:row r="15" ht="68" customHeight="1">
      <x:c r="A15" s="18" t="str">
        <x:v>PL-MAP-MEMORY</x:v>
      </x:c>
      <x:c r="B15" s="9" t="str">
        <x:v>Espace du mémorial — carte proposée</x:v>
      </x:c>
      <x:c r="C15" s="15" t="str">
        <x:v>Défini</x:v>
      </x:c>
      <x:c r="D15" s="16" t="str">
        <x:v>Extrapolation</x:v>
      </x:c>
      <x:c r="E15" s="16" t="str">
        <x:v>P1</x:v>
      </x:c>
      <x:c r="F15" s="9" t="str">
        <x:v>Bloc de niveau original autour de Espace du mémorial. Le plan n’est pas fourni par la source.</x:v>
      </x:c>
      <x:c r="G15" s="9" t="str">
        <x:v>Décor 3D à caméra fixe et personnages sprites. Approche courte, monument et point de dialogue.</x:v>
      </x:c>
      <x:c r="H15" s="9" t="str">
        <x:v>Aucune récompense de score sur les pertes. Les passages importants restent accessibles en mode pause tactique.</x:v>
      </x:c>
      <x:c r="I15" s="9" t="str">
        <x:v>Décor dépouillé, silhouettes séparées et horizon calme. Séparer sol praticable, couvert et fond par valeur lumineuse.</x:v>
      </x:c>
      <x:c r="J15" s="9" t="str">
        <x:v>Occlusion douce des parois devant le groupe ; portes synchronisées avec les collisions.</x:v>
      </x:c>
      <x:c r="K15" s="9" t="str">
        <x:v>Action militaire lisible, ambiance coloniale et tension organomécanique originale. Un signal directionnel accompagne le danger local, doublé par une icône.</x:v>
      </x:c>
      <x:c r="L15" s="9" t="str">
        <x:v>maps/pl/memory.scene ; navmesh, colliders, ancrages d’entrée et sorties nommés.</x:v>
      </x:c>
      <x:c r="M15" s="9" t="str">
        <x:v>Épilogue de conséquence ; retour au menu de consultation séparé.</x:v>
      </x:c>
      <x:c r="N15" s="9" t="str">
        <x:v>Entrée, objectif et sortie sont reliés sans traverser une collision ; lisibilité des sprites aux carrefours.</x:v>
      </x:c>
      <x:c r="O15" s="9" t="str"/>
      <x:c r="P15" s="9" t="str"/>
      <x:c r="Q15" s="9" t="str"/>
      <x:c r="R15" s="9" t="str"/>
      <x:c r="S15" s="9" t="str">
        <x:v>Dimensions, connexions et accessoires de cette carte sont des propositions originales.</x:v>
      </x:c>
    </x:row>
  </x:sheetData>
  <x:conditionalFormatting sqref="D7:D15">
    <x:cfRule type="cellIs" dxfId="16" priority="1" operator="equal">
      <x:formula>"À vérifier"</x:formula>
    </x:cfRule>
    <x:cfRule type="cellIs" dxfId="17" priority="2" operator="equal">
      <x:formula>"Extrapolation"</x:formula>
    </x:cfRule>
  </x:conditionalFormatting>
  <x:conditionalFormatting sqref="C7:C15">
    <x:cfRule type="cellIs" dxfId="18" priority="3" operator="equal">
      <x:formula>"Validé"</x:formula>
    </x:cfRule>
  </x:conditionalFormatting>
  <x:conditionalFormatting sqref="E7:E15">
    <x:cfRule type="cellIs" dxfId="19" priority="4" operator="equal">
      <x:formula>"P0"</x:formula>
    </x:cfRule>
  </x:conditionalFormatting>
  <x:dataValidations count="3">
    <x:dataValidation type="list" sqref="C7:C15">
      <x:formula1>"Défini,Prototype,Intégré,Validé"</x:formula1>
    </x:dataValidation>
    <x:dataValidation type="list" sqref="D7:D15">
      <x:formula1>"Établi,À vérifier,Extrapolation,Coupé attesté,Concept abandonné,Allégation écartée"</x:formula1>
    </x:dataValidation>
    <x:dataValidation type="list" sqref="E7:E15">
      <x:formula1>"P0,P1,P2"</x:formula1>
    </x:dataValidation>
  </x:dataValidations>
  <x:pageMargins left="0.7" right="0.7" top="0.75" bottom="0.75" header="0.3" footer="0.3"/>
  <x:tableParts count="1">
    <x:tablePart xmlns:r="http://schemas.openxmlformats.org/officeDocument/2006/relationships" r:id="Ra188c69257ca4a25"/>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0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Paragon Lost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PL-LNK-LANDING</x:v>
      </x:c>
      <x:c r="B7" s="9" t="str">
        <x:v>Zone d’atterrissage proposée — transition de module</x:v>
      </x:c>
      <x:c r="C7" s="15" t="str">
        <x:v>Défini</x:v>
      </x:c>
      <x:c r="D7" s="16" t="str">
        <x:v>Extrapolation</x:v>
      </x:c>
      <x:c r="E7" s="16" t="str">
        <x:v>P1</x:v>
      </x:c>
      <x:c r="F7" s="9" t="str">
        <x:v>Liaison de niveau proposée, sans prétendre établir une géographie officielle.</x:v>
      </x:c>
      <x:c r="G7" s="9" t="str">
        <x:v>Associer un point de départ dans Zone d’atterrissage proposée au bloc Rue de regroupement proposée; transit masqué lorsque les lieux sont éloignés.</x:v>
      </x:c>
      <x:c r="H7" s="9" t="str">
        <x:v>Sortie inactive pendant une interaction critique ; confirmation uniquement si le retour est temporairement fermé.</x:v>
      </x:c>
      <x:c r="I7" s="9" t="str">
        <x:v>Flèche de sortie et nom du lieu cible ; distinguer voyage spatial et porte adjacente.</x:v>
      </x:c>
      <x:c r="J7" s="9" t="str">
        <x:v>Regroupement des sprites avant fondu ; aucun personnage laissé derrière hors cadre.</x:v>
      </x:c>
      <x:c r="K7" s="9" t="str">
        <x:v>Transition d’ambiance progressive ; sous-titre de lieu affiché après chargement.</x:v>
      </x:c>
      <x:c r="L7" s="9" t="str">
        <x:v>links/pl.json : landing -&gt; square; sauvegarde avant transit, restauration à un ancrage sûr.</x:v>
      </x:c>
      <x:c r="M7" s="9" t="str">
        <x:v>Respecter la phase de 2183 et les présences du film.</x:v>
      </x:c>
      <x:c r="N7" s="9" t="str">
        <x:v>Le groupe arrive au bon ancrage après chargement ; aller-retour ne duplique ni objet ni dialogue.</x:v>
      </x:c>
      <x:c r="O7" s="9" t="str">
        <x:v>PL-MAP-LANDING, PL-MAP-SQUARE</x:v>
      </x:c>
      <x:c r="P7" s="9" t="str"/>
      <x:c r="Q7" s="9" t="str"/>
      <x:c r="R7" s="9" t="str"/>
      <x:c r="S7" s="9" t="str">
        <x:v>Boucle de parcours de production ; la dernière liaison sert à la consultation post-module, pas à remonter le temps.</x:v>
      </x:c>
    </x:row>
    <x:row r="8" ht="54" customHeight="1">
      <x:c r="A8" s="19" t="str">
        <x:v>PL-LNK-SQUARE</x:v>
      </x:c>
      <x:c r="B8" s="7" t="str">
        <x:v>Rue de regroupement proposée — transition de module</x:v>
      </x:c>
      <x:c r="C8" s="15" t="str">
        <x:v>Défini</x:v>
      </x:c>
      <x:c r="D8" s="17" t="str">
        <x:v>Extrapolation</x:v>
      </x:c>
      <x:c r="E8" s="17" t="str">
        <x:v>P1</x:v>
      </x:c>
      <x:c r="F8" s="7" t="str">
        <x:v>Liaison de niveau proposée, sans prétendre établir une géographie officielle.</x:v>
      </x:c>
      <x:c r="G8" s="7" t="str">
        <x:v>Associer un point de départ dans Rue de regroupement proposée au bloc Fehl Prime pendant l’accalmie; transit masqué lorsque les lieux sont éloignés.</x:v>
      </x:c>
      <x:c r="H8" s="7" t="str">
        <x:v>Sortie inactive pendant une interaction critique ; confirmation uniquement si le retour est temporairement fermé.</x:v>
      </x:c>
      <x:c r="I8" s="7" t="str">
        <x:v>Flèche de sortie et nom du lieu cible ; distinguer voyage spatial et porte adjacente.</x:v>
      </x:c>
      <x:c r="J8" s="7" t="str">
        <x:v>Regroupement des sprites avant fondu ; aucun personnage laissé derrière hors cadre.</x:v>
      </x:c>
      <x:c r="K8" s="7" t="str">
        <x:v>Transition d’ambiance progressive ; sous-titre de lieu affiché après chargement.</x:v>
      </x:c>
      <x:c r="L8" s="7" t="str">
        <x:v>links/pl.json : square -&gt; colony; sauvegarde avant transit, restauration à un ancrage sûr.</x:v>
      </x:c>
      <x:c r="M8" s="7" t="str">
        <x:v>Le combat ne change pas le sort canonique d’Archuk.</x:v>
      </x:c>
      <x:c r="N8" s="7" t="str">
        <x:v>Le groupe arrive au bon ancrage après chargement ; aller-retour ne duplique ni objet ni dialogue.</x:v>
      </x:c>
      <x:c r="O8" s="7" t="str">
        <x:v>PL-MAP-SQUARE, PL-MAP-COLONY</x:v>
      </x:c>
      <x:c r="P8" s="7" t="str"/>
      <x:c r="Q8" s="7" t="str"/>
      <x:c r="R8" s="7" t="str"/>
      <x:c r="S8" s="7" t="str">
        <x:v>Boucle de parcours de production ; la dernière liaison sert à la consultation post-module, pas à remonter le temps.</x:v>
      </x:c>
    </x:row>
    <x:row r="9" ht="54" customHeight="1">
      <x:c r="A9" s="18" t="str">
        <x:v>PL-LNK-COLONY</x:v>
      </x:c>
      <x:c r="B9" s="9" t="str">
        <x:v>Fehl Prime pendant l’accalmie — transition de module</x:v>
      </x:c>
      <x:c r="C9" s="15" t="str">
        <x:v>Défini</x:v>
      </x:c>
      <x:c r="D9" s="16" t="str">
        <x:v>Extrapolation</x:v>
      </x:c>
      <x:c r="E9" s="16" t="str">
        <x:v>P1</x:v>
      </x:c>
      <x:c r="F9" s="9" t="str">
        <x:v>Liaison de niveau proposée, sans prétendre établir une géographie officielle.</x:v>
      </x:c>
      <x:c r="G9" s="9" t="str">
        <x:v>Associer un point de départ dans Fehl Prime pendant l’accalmie au bloc Annexe des vestiges proposée; transit masqué lorsque les lieux sont éloignés.</x:v>
      </x:c>
      <x:c r="H9" s="9" t="str">
        <x:v>Sortie inactive pendant une interaction critique ; confirmation uniquement si le retour est temporairement fermé.</x:v>
      </x:c>
      <x:c r="I9" s="9" t="str">
        <x:v>Flèche de sortie et nom du lieu cible ; distinguer voyage spatial et porte adjacente.</x:v>
      </x:c>
      <x:c r="J9" s="9" t="str">
        <x:v>Regroupement des sprites avant fondu ; aucun personnage laissé derrière hors cadre.</x:v>
      </x:c>
      <x:c r="K9" s="9" t="str">
        <x:v>Transition d’ambiance progressive ; sous-titre de lieu affiché après chargement.</x:v>
      </x:c>
      <x:c r="L9" s="9" t="str">
        <x:v>links/pl.json : colony -&gt; ruins; sauvegarde avant transit, restauration à un ancrage sûr.</x:v>
      </x:c>
      <x:c r="M9" s="9" t="str">
        <x:v>La transition temporelle reste explicitement indiquée.</x:v>
      </x:c>
      <x:c r="N9" s="9" t="str">
        <x:v>Le groupe arrive au bon ancrage après chargement ; aller-retour ne duplique ni objet ni dialogue.</x:v>
      </x:c>
      <x:c r="O9" s="9" t="str">
        <x:v>PL-MAP-COLONY, PL-MAP-RUINS</x:v>
      </x:c>
      <x:c r="P9" s="9" t="str"/>
      <x:c r="Q9" s="9" t="str"/>
      <x:c r="R9" s="9" t="str"/>
      <x:c r="S9" s="9" t="str">
        <x:v>Boucle de parcours de production ; la dernière liaison sert à la consultation post-module, pas à remonter le temps.</x:v>
      </x:c>
    </x:row>
    <x:row r="10" ht="54" customHeight="1">
      <x:c r="A10" s="19" t="str">
        <x:v>PL-LNK-RUINS</x:v>
      </x:c>
      <x:c r="B10" s="7" t="str">
        <x:v>Annexe des vestiges proposée — transition de module</x:v>
      </x:c>
      <x:c r="C10" s="15" t="str">
        <x:v>Défini</x:v>
      </x:c>
      <x:c r="D10" s="17" t="str">
        <x:v>Extrapolation</x:v>
      </x:c>
      <x:c r="E10" s="17" t="str">
        <x:v>P1</x:v>
      </x:c>
      <x:c r="F10" s="7" t="str">
        <x:v>Liaison de niveau proposée, sans prétendre établir une géographie officielle.</x:v>
      </x:c>
      <x:c r="G10" s="7" t="str">
        <x:v>Associer un point de départ dans Annexe des vestiges proposée au bloc Poste du canon proposé; transit masqué lorsque les lieux sont éloignés.</x:v>
      </x:c>
      <x:c r="H10" s="7" t="str">
        <x:v>Sortie inactive pendant une interaction critique ; confirmation uniquement si le retour est temporairement fermé.</x:v>
      </x:c>
      <x:c r="I10" s="7" t="str">
        <x:v>Flèche de sortie et nom du lieu cible ; distinguer voyage spatial et porte adjacente.</x:v>
      </x:c>
      <x:c r="J10" s="7" t="str">
        <x:v>Regroupement des sprites avant fondu ; aucun personnage laissé derrière hors cadre.</x:v>
      </x:c>
      <x:c r="K10" s="7" t="str">
        <x:v>Transition d’ambiance progressive ; sous-titre de lieu affiché après chargement.</x:v>
      </x:c>
      <x:c r="L10" s="7" t="str">
        <x:v>links/pl.json : ruins -&gt; defense; sauvegarde avant transit, restauration à un ancrage sûr.</x:v>
      </x:c>
      <x:c r="M10" s="7" t="str">
        <x:v>Le plan est original et non un relevé exact du film.</x:v>
      </x:c>
      <x:c r="N10" s="7" t="str">
        <x:v>Le groupe arrive au bon ancrage après chargement ; aller-retour ne duplique ni objet ni dialogue.</x:v>
      </x:c>
      <x:c r="O10" s="7" t="str">
        <x:v>PL-MAP-RUINS, PL-MAP-DEFENSE</x:v>
      </x:c>
      <x:c r="P10" s="7" t="str"/>
      <x:c r="Q10" s="7" t="str"/>
      <x:c r="R10" s="7" t="str"/>
      <x:c r="S10" s="7" t="str">
        <x:v>Boucle de parcours de production ; la dernière liaison sert à la consultation post-module, pas à remonter le temps.</x:v>
      </x:c>
    </x:row>
    <x:row r="11" ht="54" customHeight="1">
      <x:c r="A11" s="18" t="str">
        <x:v>PL-LNK-DEFENSE</x:v>
      </x:c>
      <x:c r="B11" s="9" t="str">
        <x:v>Poste du canon proposé — transition de module</x:v>
      </x:c>
      <x:c r="C11" s="15" t="str">
        <x:v>Défini</x:v>
      </x:c>
      <x:c r="D11" s="16" t="str">
        <x:v>Extrapolation</x:v>
      </x:c>
      <x:c r="E11" s="16" t="str">
        <x:v>P1</x:v>
      </x:c>
      <x:c r="F11" s="9" t="str">
        <x:v>Liaison de niveau proposée, sans prétendre établir une géographie officielle.</x:v>
      </x:c>
      <x:c r="G11" s="9" t="str">
        <x:v>Associer un point de départ dans Poste du canon proposé au bloc Couloir des laboratoires proposé; transit masqué lorsque les lieux sont éloignés.</x:v>
      </x:c>
      <x:c r="H11" s="9" t="str">
        <x:v>Sortie inactive pendant une interaction critique ; confirmation uniquement si le retour est temporairement fermé.</x:v>
      </x:c>
      <x:c r="I11" s="9" t="str">
        <x:v>Flèche de sortie et nom du lieu cible ; distinguer voyage spatial et porte adjacente.</x:v>
      </x:c>
      <x:c r="J11" s="9" t="str">
        <x:v>Regroupement des sprites avant fondu ; aucun personnage laissé derrière hors cadre.</x:v>
      </x:c>
      <x:c r="K11" s="9" t="str">
        <x:v>Transition d’ambiance progressive ; sous-titre de lieu affiché après chargement.</x:v>
      </x:c>
      <x:c r="L11" s="9" t="str">
        <x:v>links/pl.json : defense -&gt; labs; sauvegarde avant transit, restauration à un ancrage sûr.</x:v>
      </x:c>
      <x:c r="M11" s="9" t="str">
        <x:v>Le canon ne gagne pas soudain une puissance sauvant toute la colonie.</x:v>
      </x:c>
      <x:c r="N11" s="9" t="str">
        <x:v>Le groupe arrive au bon ancrage après chargement ; aller-retour ne duplique ni objet ni dialogue.</x:v>
      </x:c>
      <x:c r="O11" s="9" t="str">
        <x:v>PL-MAP-DEFENSE, PL-MAP-LABS</x:v>
      </x:c>
      <x:c r="P11" s="9" t="str"/>
      <x:c r="Q11" s="9" t="str"/>
      <x:c r="R11" s="9" t="str"/>
      <x:c r="S11" s="9" t="str">
        <x:v>Boucle de parcours de production ; la dernière liaison sert à la consultation post-module, pas à remonter le temps.</x:v>
      </x:c>
    </x:row>
    <x:row r="12" ht="68" customHeight="1">
      <x:c r="A12" s="19" t="str">
        <x:v>PL-LNK-LABS</x:v>
      </x:c>
      <x:c r="B12" s="7" t="str">
        <x:v>Couloir des laboratoires proposé — transition de module</x:v>
      </x:c>
      <x:c r="C12" s="15" t="str">
        <x:v>Défini</x:v>
      </x:c>
      <x:c r="D12" s="17" t="str">
        <x:v>Extrapolation</x:v>
      </x:c>
      <x:c r="E12" s="17" t="str">
        <x:v>P1</x:v>
      </x:c>
      <x:c r="F12" s="7" t="str">
        <x:v>Liaison de niveau proposée, sans prétendre établir une géographie officielle.</x:v>
      </x:c>
      <x:c r="G12" s="7" t="str">
        <x:v>Associer un point de départ dans Couloir des laboratoires proposé au bloc Pont du vaisseau de Brood proposé; transit masqué lorsque les lieux sont éloignés.</x:v>
      </x:c>
      <x:c r="H12" s="7" t="str">
        <x:v>Sortie inactive pendant une interaction critique ; confirmation uniquement si le retour est temporairement fermé.</x:v>
      </x:c>
      <x:c r="I12" s="7" t="str">
        <x:v>Flèche de sortie et nom du lieu cible ; distinguer voyage spatial et porte adjacente.</x:v>
      </x:c>
      <x:c r="J12" s="7" t="str">
        <x:v>Regroupement des sprites avant fondu ; aucun personnage laissé derrière hors cadre.</x:v>
      </x:c>
      <x:c r="K12" s="7" t="str">
        <x:v>Transition d’ambiance progressive ; sous-titre de lieu affiché après chargement.</x:v>
      </x:c>
      <x:c r="L12" s="7" t="str">
        <x:v>links/pl.json : labs -&gt; brood; sauvegarde avant transit, restauration à un ancrage sûr.</x:v>
      </x:c>
      <x:c r="M12" s="7" t="str">
        <x:v>Ne pas permettre un sauvetage général contredisant le film.</x:v>
      </x:c>
      <x:c r="N12" s="7" t="str">
        <x:v>Le groupe arrive au bon ancrage après chargement ; aller-retour ne duplique ni objet ni dialogue.</x:v>
      </x:c>
      <x:c r="O12" s="7" t="str">
        <x:v>PL-MAP-LABS, PL-MAP-BROOD</x:v>
      </x:c>
      <x:c r="P12" s="7" t="str"/>
      <x:c r="Q12" s="7" t="str"/>
      <x:c r="R12" s="7" t="str"/>
      <x:c r="S12" s="7" t="str">
        <x:v>Boucle de parcours de production ; la dernière liaison sert à la consultation post-module, pas à remonter le temps.</x:v>
      </x:c>
    </x:row>
    <x:row r="13" ht="68" customHeight="1">
      <x:c r="A13" s="18" t="str">
        <x:v>PL-LNK-BROOD</x:v>
      </x:c>
      <x:c r="B13" s="9" t="str">
        <x:v>Pont du vaisseau de Brood proposé — transition de module</x:v>
      </x:c>
      <x:c r="C13" s="15" t="str">
        <x:v>Défini</x:v>
      </x:c>
      <x:c r="D13" s="16" t="str">
        <x:v>Extrapolation</x:v>
      </x:c>
      <x:c r="E13" s="16" t="str">
        <x:v>P1</x:v>
      </x:c>
      <x:c r="F13" s="9" t="str">
        <x:v>Liaison de niveau proposée, sans prétendre établir une géographie officielle.</x:v>
      </x:c>
      <x:c r="G13" s="9" t="str">
        <x:v>Associer un point de départ dans Pont du vaisseau de Brood proposé au bloc Secteur du vaisseau récolteur proposé; transit masqué lorsque les lieux sont éloignés.</x:v>
      </x:c>
      <x:c r="H13" s="9" t="str">
        <x:v>Sortie inactive pendant une interaction critique ; confirmation uniquement si le retour est temporairement fermé.</x:v>
      </x:c>
      <x:c r="I13" s="9" t="str">
        <x:v>Flèche de sortie et nom du lieu cible ; distinguer voyage spatial et porte adjacente.</x:v>
      </x:c>
      <x:c r="J13" s="9" t="str">
        <x:v>Regroupement des sprites avant fondu ; aucun personnage laissé derrière hors cadre.</x:v>
      </x:c>
      <x:c r="K13" s="9" t="str">
        <x:v>Transition d’ambiance progressive ; sous-titre de lieu affiché après chargement.</x:v>
      </x:c>
      <x:c r="L13" s="9" t="str">
        <x:v>links/pl.json : brood -&gt; collector; sauvegarde avant transit, restauration à un ancrage sûr.</x:v>
      </x:c>
      <x:c r="M13" s="9" t="str">
        <x:v>Le trajet ne devient pas une simulation spatiale libre.</x:v>
      </x:c>
      <x:c r="N13" s="9" t="str">
        <x:v>Le groupe arrive au bon ancrage après chargement ; aller-retour ne duplique ni objet ni dialogue.</x:v>
      </x:c>
      <x:c r="O13" s="9" t="str">
        <x:v>PL-MAP-BROOD, PL-MAP-COLLECTOR</x:v>
      </x:c>
      <x:c r="P13" s="9" t="str"/>
      <x:c r="Q13" s="9" t="str"/>
      <x:c r="R13" s="9" t="str"/>
      <x:c r="S13" s="9" t="str">
        <x:v>Boucle de parcours de production ; la dernière liaison sert à la consultation post-module, pas à remonter le temps.</x:v>
      </x:c>
    </x:row>
    <x:row r="14" ht="54" customHeight="1">
      <x:c r="A14" s="19" t="str">
        <x:v>PL-LNK-COLLECTOR</x:v>
      </x:c>
      <x:c r="B14" s="7" t="str">
        <x:v>Secteur du vaisseau récolteur proposé — transition de module</x:v>
      </x:c>
      <x:c r="C14" s="15" t="str">
        <x:v>Défini</x:v>
      </x:c>
      <x:c r="D14" s="17" t="str">
        <x:v>Extrapolation</x:v>
      </x:c>
      <x:c r="E14" s="17" t="str">
        <x:v>P1</x:v>
      </x:c>
      <x:c r="F14" s="7" t="str">
        <x:v>Liaison de niveau proposée, sans prétendre établir une géographie officielle.</x:v>
      </x:c>
      <x:c r="G14" s="7" t="str">
        <x:v>Associer un point de départ dans Secteur du vaisseau récolteur proposé au bloc Espace du mémorial; transit masqué lorsque les lieux sont éloignés.</x:v>
      </x:c>
      <x:c r="H14" s="7" t="str">
        <x:v>Sortie inactive pendant une interaction critique ; confirmation uniquement si le retour est temporairement fermé.</x:v>
      </x:c>
      <x:c r="I14" s="7" t="str">
        <x:v>Flèche de sortie et nom du lieu cible ; distinguer voyage spatial et porte adjacente.</x:v>
      </x:c>
      <x:c r="J14" s="7" t="str">
        <x:v>Regroupement des sprites avant fondu ; aucun personnage laissé derrière hors cadre.</x:v>
      </x:c>
      <x:c r="K14" s="7" t="str">
        <x:v>Transition d’ambiance progressive ; sous-titre de lieu affiché après chargement.</x:v>
      </x:c>
      <x:c r="L14" s="7" t="str">
        <x:v>links/pl.json : collector -&gt; memory; sauvegarde avant transit, restauration à un ancrage sûr.</x:v>
      </x:c>
      <x:c r="M14" s="7" t="str">
        <x:v>Ne pas reconstruire toute la géographie interne à partir du résumé.</x:v>
      </x:c>
      <x:c r="N14" s="7" t="str">
        <x:v>Le groupe arrive au bon ancrage après chargement ; aller-retour ne duplique ni objet ni dialogue.</x:v>
      </x:c>
      <x:c r="O14" s="7" t="str">
        <x:v>PL-MAP-COLLECTOR, PL-MAP-MEMORY</x:v>
      </x:c>
      <x:c r="P14" s="7" t="str"/>
      <x:c r="Q14" s="7" t="str"/>
      <x:c r="R14" s="7" t="str"/>
      <x:c r="S14" s="7" t="str">
        <x:v>Boucle de parcours de production ; la dernière liaison sert à la consultation post-module, pas à remonter le temps.</x:v>
      </x:c>
    </x:row>
    <x:row r="15" ht="54" customHeight="1">
      <x:c r="A15" s="18" t="str">
        <x:v>PL-LNK-MEMORY</x:v>
      </x:c>
      <x:c r="B15" s="9" t="str">
        <x:v>Espace du mémorial — transition de module</x:v>
      </x:c>
      <x:c r="C15" s="15" t="str">
        <x:v>Défini</x:v>
      </x:c>
      <x:c r="D15" s="16" t="str">
        <x:v>Extrapolation</x:v>
      </x:c>
      <x:c r="E15" s="16" t="str">
        <x:v>P1</x:v>
      </x:c>
      <x:c r="F15" s="9" t="str">
        <x:v>Liaison de niveau proposée, sans prétendre établir une géographie officielle.</x:v>
      </x:c>
      <x:c r="G15" s="9" t="str">
        <x:v>Associer un point de départ dans Espace du mémorial au bloc Zone d’atterrissage proposée; transit masqué lorsque les lieux sont éloignés.</x:v>
      </x:c>
      <x:c r="H15" s="9" t="str">
        <x:v>Sortie inactive pendant une interaction critique ; confirmation uniquement si le retour est temporairement fermé.</x:v>
      </x:c>
      <x:c r="I15" s="9" t="str">
        <x:v>Flèche de sortie et nom du lieu cible ; distinguer voyage spatial et porte adjacente.</x:v>
      </x:c>
      <x:c r="J15" s="9" t="str">
        <x:v>Regroupement des sprites avant fondu ; aucun personnage laissé derrière hors cadre.</x:v>
      </x:c>
      <x:c r="K15" s="9" t="str">
        <x:v>Transition d’ambiance progressive ; sous-titre de lieu affiché après chargement.</x:v>
      </x:c>
      <x:c r="L15" s="9" t="str">
        <x:v>links/pl.json : memory -&gt; landing; sauvegarde avant transit, restauration à un ancrage sûr.</x:v>
      </x:c>
      <x:c r="M15" s="9" t="str">
        <x:v>Épilogue de conséquence ; retour au menu de consultation séparé.</x:v>
      </x:c>
      <x:c r="N15" s="9" t="str">
        <x:v>Le groupe arrive au bon ancrage après chargement ; aller-retour ne duplique ni objet ni dialogue.</x:v>
      </x:c>
      <x:c r="O15" s="9" t="str">
        <x:v>PL-MAP-MEMORY, PL-MAP-LANDING</x:v>
      </x:c>
      <x:c r="P15" s="9" t="str"/>
      <x:c r="Q15" s="9" t="str"/>
      <x:c r="R15" s="9" t="str"/>
      <x:c r="S15" s="9" t="str">
        <x:v>Boucle de parcours de production ; la dernière liaison sert à la consultation post-module, pas à remonter le temps.</x:v>
      </x:c>
    </x:row>
  </x:sheetData>
  <x:conditionalFormatting sqref="D7:D15">
    <x:cfRule type="cellIs" dxfId="20" priority="1" operator="equal">
      <x:formula>"À vérifier"</x:formula>
    </x:cfRule>
    <x:cfRule type="cellIs" dxfId="21" priority="2" operator="equal">
      <x:formula>"Extrapolation"</x:formula>
    </x:cfRule>
  </x:conditionalFormatting>
  <x:conditionalFormatting sqref="C7:C15">
    <x:cfRule type="cellIs" dxfId="22" priority="3" operator="equal">
      <x:formula>"Validé"</x:formula>
    </x:cfRule>
  </x:conditionalFormatting>
  <x:conditionalFormatting sqref="E7:E15">
    <x:cfRule type="cellIs" dxfId="23" priority="4" operator="equal">
      <x:formula>"P0"</x:formula>
    </x:cfRule>
  </x:conditionalFormatting>
  <x:dataValidations count="3">
    <x:dataValidation type="list" sqref="C7:C15">
      <x:formula1>"Défini,Prototype,Intégré,Validé"</x:formula1>
    </x:dataValidation>
    <x:dataValidation type="list" sqref="D7:D15">
      <x:formula1>"Établi,À vérifier,Extrapolation,Coupé attesté,Concept abandonné,Allégation écartée"</x:formula1>
    </x:dataValidation>
    <x:dataValidation type="list" sqref="E7:E15">
      <x:formula1>"P0,P1,P2"</x:formula1>
    </x:dataValidation>
  </x:dataValidations>
  <x:pageMargins left="0.7" right="0.7" top="0.75" bottom="0.75" header="0.3" footer="0.3"/>
  <x:tableParts count="1">
    <x:tablePart xmlns:r="http://schemas.openxmlformats.org/officeDocument/2006/relationships" r:id="Rdebac86845b74054"/>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Paragon Lost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PL-SET-LANDING</x:v>
      </x:c>
      <x:c r="B7" s="9" t="str">
        <x:v>Zone d’atterrissage proposée — kit de décor</x:v>
      </x:c>
      <x:c r="C7" s="15" t="str">
        <x:v>Défini</x:v>
      </x:c>
      <x:c r="D7" s="16" t="str">
        <x:v>Extrapolation</x:v>
      </x:c>
      <x:c r="E7" s="16" t="str">
        <x:v>P1</x:v>
      </x:c>
      <x:c r="F7" s="9" t="str">
        <x:v>Production originale des éléments fixes de la carte liée.</x:v>
      </x:c>
      <x:c r="G7" s="9" t="str">
        <x:v>Débris lisibles, fumée réglable et silhouette de colonie en fond. Construire trois profondeurs de décor avec variantes intacte et perturbée si utiles.</x:v>
      </x:c>
      <x:c r="H7" s="9" t="str">
        <x:v>Le décor signale la règle : Le personnage portant assistance ne peut simultanément couvrir la ligne.</x:v>
      </x:c>
      <x:c r="I7" s="9" t="str">
        <x:v>Volumes sans microdétails illisibles ; surfaces dangereuses reconnues également en niveaux de gris.</x:v>
      </x:c>
      <x:c r="J7" s="9" t="str">
        <x:v>Animer seulement les repères actifs ; ne pas déplacer un obstacle statique après le calcul du chemin.</x:v>
      </x:c>
      <x:c r="K7" s="9" t="str">
        <x:v>Boucles très courtes évitées ; matériaux sonores propres aux interactions de cette zone.</x:v>
      </x:c>
      <x:c r="L7" s="9" t="str">
        <x:v>assets/pl/sets/landing/ ; collider séparé du mesh et des ornements.</x:v>
      </x:c>
      <x:c r="M7" s="9" t="str">
        <x:v>Respecter la phase de 2183 et les présences du film.</x:v>
      </x:c>
      <x:c r="N7" s="9" t="str">
        <x:v>Aucun détail décoratif ne ressemble à tort à une porte ; vue complète vérifiée en petite résolution.</x:v>
      </x:c>
      <x:c r="O7" s="9" t="str">
        <x:v>PL-MAP-LANDING</x:v>
      </x:c>
      <x:c r="P7" s="9" t="str"/>
      <x:c r="Q7" s="9" t="str"/>
      <x:c r="R7" s="9" t="str"/>
      <x:c r="S7" s="9" t="str"/>
    </x:row>
    <x:row r="8" ht="54" customHeight="1">
      <x:c r="A8" s="19" t="str">
        <x:v>PL-SET-SQUARE</x:v>
      </x:c>
      <x:c r="B8" s="7" t="str">
        <x:v>Rue de regroupement proposée — kit de décor</x:v>
      </x:c>
      <x:c r="C8" s="15" t="str">
        <x:v>Défini</x:v>
      </x:c>
      <x:c r="D8" s="17" t="str">
        <x:v>Extrapolation</x:v>
      </x:c>
      <x:c r="E8" s="17" t="str">
        <x:v>P1</x:v>
      </x:c>
      <x:c r="F8" s="7" t="str">
        <x:v>Production originale des éléments fixes de la carte liée.</x:v>
      </x:c>
      <x:c r="G8" s="7" t="str">
        <x:v>Façades coloniales sobres, sacs de défense et vue sur la route. Construire trois profondeurs de décor avec variantes intacte et perturbée si utiles.</x:v>
      </x:c>
      <x:c r="H8" s="7" t="str">
        <x:v>Le décor signale la règle : La charge ennemie annonce son axe avant l’impact.</x:v>
      </x:c>
      <x:c r="I8" s="7" t="str">
        <x:v>Volumes sans microdétails illisibles ; surfaces dangereuses reconnues également en niveaux de gris.</x:v>
      </x:c>
      <x:c r="J8" s="7" t="str">
        <x:v>Animer seulement les repères actifs ; ne pas déplacer un obstacle statique après le calcul du chemin.</x:v>
      </x:c>
      <x:c r="K8" s="7" t="str">
        <x:v>Boucles très courtes évitées ; matériaux sonores propres aux interactions de cette zone.</x:v>
      </x:c>
      <x:c r="L8" s="7" t="str">
        <x:v>assets/pl/sets/square/ ; collider séparé du mesh et des ornements.</x:v>
      </x:c>
      <x:c r="M8" s="7" t="str">
        <x:v>Le combat ne change pas le sort canonique d’Archuk.</x:v>
      </x:c>
      <x:c r="N8" s="7" t="str">
        <x:v>Aucun détail décoratif ne ressemble à tort à une porte ; vue complète vérifiée en petite résolution.</x:v>
      </x:c>
      <x:c r="O8" s="7" t="str">
        <x:v>PL-MAP-SQUARE</x:v>
      </x:c>
      <x:c r="P8" s="7" t="str"/>
      <x:c r="Q8" s="7" t="str"/>
      <x:c r="R8" s="7" t="str"/>
      <x:c r="S8" s="7" t="str"/>
    </x:row>
    <x:row r="9" ht="54" customHeight="1">
      <x:c r="A9" s="18" t="str">
        <x:v>PL-SET-COLONY</x:v>
      </x:c>
      <x:c r="B9" s="9" t="str">
        <x:v>Fehl Prime pendant l’accalmie — kit de décor</x:v>
      </x:c>
      <x:c r="C9" s="15" t="str">
        <x:v>Défini</x:v>
      </x:c>
      <x:c r="D9" s="16" t="str">
        <x:v>Extrapolation</x:v>
      </x:c>
      <x:c r="E9" s="16" t="str">
        <x:v>P1</x:v>
      </x:c>
      <x:c r="F9" s="9" t="str">
        <x:v>Production originale des éléments fixes de la carte liée.</x:v>
      </x:c>
      <x:c r="G9" s="9" t="str">
        <x:v>Vie coloniale, équipements installés et couleurs plus chaudes. Construire trois profondeurs de décor avec variantes intacte et perturbée si utiles.</x:v>
      </x:c>
      <x:c r="H9" s="9" t="str">
        <x:v>Le décor signale la règle : Une tâche de maintenance peut être accomplie par plusieurs méthodes.</x:v>
      </x:c>
      <x:c r="I9" s="9" t="str">
        <x:v>Volumes sans microdétails illisibles ; surfaces dangereuses reconnues également en niveaux de gris.</x:v>
      </x:c>
      <x:c r="J9" s="9" t="str">
        <x:v>Animer seulement les repères actifs ; ne pas déplacer un obstacle statique après le calcul du chemin.</x:v>
      </x:c>
      <x:c r="K9" s="9" t="str">
        <x:v>Boucles très courtes évitées ; matériaux sonores propres aux interactions de cette zone.</x:v>
      </x:c>
      <x:c r="L9" s="9" t="str">
        <x:v>assets/pl/sets/colony/ ; collider séparé du mesh et des ornements.</x:v>
      </x:c>
      <x:c r="M9" s="9" t="str">
        <x:v>La transition temporelle reste explicitement indiquée.</x:v>
      </x:c>
      <x:c r="N9" s="9" t="str">
        <x:v>Aucun détail décoratif ne ressemble à tort à une porte ; vue complète vérifiée en petite résolution.</x:v>
      </x:c>
      <x:c r="O9" s="9" t="str">
        <x:v>PL-MAP-COLONY</x:v>
      </x:c>
      <x:c r="P9" s="9" t="str"/>
      <x:c r="Q9" s="9" t="str"/>
      <x:c r="R9" s="9" t="str"/>
      <x:c r="S9" s="9" t="str"/>
    </x:row>
    <x:row r="10" ht="54" customHeight="1">
      <x:c r="A10" s="19" t="str">
        <x:v>PL-SET-RUINS</x:v>
      </x:c>
      <x:c r="B10" s="7" t="str">
        <x:v>Annexe des vestiges proposée — kit de décor</x:v>
      </x:c>
      <x:c r="C10" s="15" t="str">
        <x:v>Défini</x:v>
      </x:c>
      <x:c r="D10" s="17" t="str">
        <x:v>Extrapolation</x:v>
      </x:c>
      <x:c r="E10" s="17" t="str">
        <x:v>P1</x:v>
      </x:c>
      <x:c r="F10" s="7" t="str">
        <x:v>Production originale des éléments fixes de la carte liée.</x:v>
      </x:c>
      <x:c r="G10" s="7" t="str">
        <x:v>Pierre ancienne, volumes sci-fi sobres et contraste avec matériel humain. Construire trois profondeurs de décor avec variantes intacte et perturbée si utiles.</x:v>
      </x:c>
      <x:c r="H10" s="7" t="str">
        <x:v>Le décor signale la règle : Un signal brouillé rend certains relevés inutilisables.</x:v>
      </x:c>
      <x:c r="I10" s="7" t="str">
        <x:v>Volumes sans microdétails illisibles ; surfaces dangereuses reconnues également en niveaux de gris.</x:v>
      </x:c>
      <x:c r="J10" s="7" t="str">
        <x:v>Animer seulement les repères actifs ; ne pas déplacer un obstacle statique après le calcul du chemin.</x:v>
      </x:c>
      <x:c r="K10" s="7" t="str">
        <x:v>Boucles très courtes évitées ; matériaux sonores propres aux interactions de cette zone.</x:v>
      </x:c>
      <x:c r="L10" s="7" t="str">
        <x:v>assets/pl/sets/ruins/ ; collider séparé du mesh et des ornements.</x:v>
      </x:c>
      <x:c r="M10" s="7" t="str">
        <x:v>Le plan est original et non un relevé exact du film.</x:v>
      </x:c>
      <x:c r="N10" s="7" t="str">
        <x:v>Aucun détail décoratif ne ressemble à tort à une porte ; vue complète vérifiée en petite résolution.</x:v>
      </x:c>
      <x:c r="O10" s="7" t="str">
        <x:v>PL-MAP-RUINS</x:v>
      </x:c>
      <x:c r="P10" s="7" t="str"/>
      <x:c r="Q10" s="7" t="str"/>
      <x:c r="R10" s="7" t="str"/>
      <x:c r="S10" s="7" t="str"/>
    </x:row>
    <x:row r="11" ht="54" customHeight="1">
      <x:c r="A11" s="18" t="str">
        <x:v>PL-SET-DEFENSE</x:v>
      </x:c>
      <x:c r="B11" s="9" t="str">
        <x:v>Poste du canon proposé — kit de décor</x:v>
      </x:c>
      <x:c r="C11" s="15" t="str">
        <x:v>Défini</x:v>
      </x:c>
      <x:c r="D11" s="16" t="str">
        <x:v>Extrapolation</x:v>
      </x:c>
      <x:c r="E11" s="16" t="str">
        <x:v>P1</x:v>
      </x:c>
      <x:c r="F11" s="9" t="str">
        <x:v>Production originale des éléments fixes de la carte liée.</x:v>
      </x:c>
      <x:c r="G11" s="9" t="str">
        <x:v>Grande silhouette mécanique et ciel occupé par la menace. Construire trois profondeurs de décor avec variantes intacte et perturbée si utiles.</x:v>
      </x:c>
      <x:c r="H11" s="9" t="str">
        <x:v>Le décor signale la règle : La préparation doit garder un trajet de repli.</x:v>
      </x:c>
      <x:c r="I11" s="9" t="str">
        <x:v>Volumes sans microdétails illisibles ; surfaces dangereuses reconnues également en niveaux de gris.</x:v>
      </x:c>
      <x:c r="J11" s="9" t="str">
        <x:v>Animer seulement les repères actifs ; ne pas déplacer un obstacle statique après le calcul du chemin.</x:v>
      </x:c>
      <x:c r="K11" s="9" t="str">
        <x:v>Boucles très courtes évitées ; matériaux sonores propres aux interactions de cette zone.</x:v>
      </x:c>
      <x:c r="L11" s="9" t="str">
        <x:v>assets/pl/sets/defense/ ; collider séparé du mesh et des ornements.</x:v>
      </x:c>
      <x:c r="M11" s="9" t="str">
        <x:v>Le canon ne gagne pas soudain une puissance sauvant toute la colonie.</x:v>
      </x:c>
      <x:c r="N11" s="9" t="str">
        <x:v>Aucun détail décoratif ne ressemble à tort à une porte ; vue complète vérifiée en petite résolution.</x:v>
      </x:c>
      <x:c r="O11" s="9" t="str">
        <x:v>PL-MAP-DEFENSE</x:v>
      </x:c>
      <x:c r="P11" s="9" t="str"/>
      <x:c r="Q11" s="9" t="str"/>
      <x:c r="R11" s="9" t="str"/>
      <x:c r="S11" s="9" t="str"/>
    </x:row>
    <x:row r="12" ht="54" customHeight="1">
      <x:c r="A12" s="19" t="str">
        <x:v>PL-SET-LABS</x:v>
      </x:c>
      <x:c r="B12" s="7" t="str">
        <x:v>Couloir des laboratoires proposé — kit de décor</x:v>
      </x:c>
      <x:c r="C12" s="15" t="str">
        <x:v>Défini</x:v>
      </x:c>
      <x:c r="D12" s="17" t="str">
        <x:v>Extrapolation</x:v>
      </x:c>
      <x:c r="E12" s="17" t="str">
        <x:v>P1</x:v>
      </x:c>
      <x:c r="F12" s="7" t="str">
        <x:v>Production originale des éléments fixes de la carte liée.</x:v>
      </x:c>
      <x:c r="G12" s="7" t="str">
        <x:v>Surfaces médicales froides, cloisons lourdes et portes de sécurité. Construire trois profondeurs de décor avec variantes intacte et perturbée si utiles.</x:v>
      </x:c>
      <x:c r="H12" s="7" t="str">
        <x:v>Le décor signale la règle : Maintenir les accès pendant une poursuite ; les soins restent abstraits.</x:v>
      </x:c>
      <x:c r="I12" s="7" t="str">
        <x:v>Volumes sans microdétails illisibles ; surfaces dangereuses reconnues également en niveaux de gris.</x:v>
      </x:c>
      <x:c r="J12" s="7" t="str">
        <x:v>Animer seulement les repères actifs ; ne pas déplacer un obstacle statique après le calcul du chemin.</x:v>
      </x:c>
      <x:c r="K12" s="7" t="str">
        <x:v>Boucles très courtes évitées ; matériaux sonores propres aux interactions de cette zone.</x:v>
      </x:c>
      <x:c r="L12" s="7" t="str">
        <x:v>assets/pl/sets/labs/ ; collider séparé du mesh et des ornements.</x:v>
      </x:c>
      <x:c r="M12" s="7" t="str">
        <x:v>Ne pas permettre un sauvetage général contredisant le film.</x:v>
      </x:c>
      <x:c r="N12" s="7" t="str">
        <x:v>Aucun détail décoratif ne ressemble à tort à une porte ; vue complète vérifiée en petite résolution.</x:v>
      </x:c>
      <x:c r="O12" s="7" t="str">
        <x:v>PL-MAP-LABS</x:v>
      </x:c>
      <x:c r="P12" s="7" t="str"/>
      <x:c r="Q12" s="7" t="str"/>
      <x:c r="R12" s="7" t="str"/>
      <x:c r="S12" s="7" t="str"/>
    </x:row>
    <x:row r="13" ht="54" customHeight="1">
      <x:c r="A13" s="18" t="str">
        <x:v>PL-SET-BROOD</x:v>
      </x:c>
      <x:c r="B13" s="9" t="str">
        <x:v>Pont du vaisseau de Brood proposé — kit de décor</x:v>
      </x:c>
      <x:c r="C13" s="15" t="str">
        <x:v>Défini</x:v>
      </x:c>
      <x:c r="D13" s="16" t="str">
        <x:v>Extrapolation</x:v>
      </x:c>
      <x:c r="E13" s="16" t="str">
        <x:v>P1</x:v>
      </x:c>
      <x:c r="F13" s="9" t="str">
        <x:v>Production originale des éléments fixes de la carte liée.</x:v>
      </x:c>
      <x:c r="G13" s="9" t="str">
        <x:v>Métal usé, espace compact, fenêtres limitées. Construire trois profondeurs de décor avec variantes intacte et perturbée si utiles.</x:v>
      </x:c>
      <x:c r="H13" s="9" t="str">
        <x:v>Le décor signale la règle : La navigation est un segment scénarisé de commandes abstraites.</x:v>
      </x:c>
      <x:c r="I13" s="9" t="str">
        <x:v>Volumes sans microdétails illisibles ; surfaces dangereuses reconnues également en niveaux de gris.</x:v>
      </x:c>
      <x:c r="J13" s="9" t="str">
        <x:v>Animer seulement les repères actifs ; ne pas déplacer un obstacle statique après le calcul du chemin.</x:v>
      </x:c>
      <x:c r="K13" s="9" t="str">
        <x:v>Boucles très courtes évitées ; matériaux sonores propres aux interactions de cette zone.</x:v>
      </x:c>
      <x:c r="L13" s="9" t="str">
        <x:v>assets/pl/sets/brood/ ; collider séparé du mesh et des ornements.</x:v>
      </x:c>
      <x:c r="M13" s="9" t="str">
        <x:v>Le trajet ne devient pas une simulation spatiale libre.</x:v>
      </x:c>
      <x:c r="N13" s="9" t="str">
        <x:v>Aucun détail décoratif ne ressemble à tort à une porte ; vue complète vérifiée en petite résolution.</x:v>
      </x:c>
      <x:c r="O13" s="9" t="str">
        <x:v>PL-MAP-BROOD</x:v>
      </x:c>
      <x:c r="P13" s="9" t="str"/>
      <x:c r="Q13" s="9" t="str"/>
      <x:c r="R13" s="9" t="str"/>
      <x:c r="S13" s="9" t="str"/>
    </x:row>
    <x:row r="14" ht="54" customHeight="1">
      <x:c r="A14" s="19" t="str">
        <x:v>PL-SET-COLLECTOR</x:v>
      </x:c>
      <x:c r="B14" s="7" t="str">
        <x:v>Secteur du vaisseau récolteur proposé — kit de décor</x:v>
      </x:c>
      <x:c r="C14" s="15" t="str">
        <x:v>Défini</x:v>
      </x:c>
      <x:c r="D14" s="17" t="str">
        <x:v>Extrapolation</x:v>
      </x:c>
      <x:c r="E14" s="17" t="str">
        <x:v>P1</x:v>
      </x:c>
      <x:c r="F14" s="7" t="str">
        <x:v>Production originale des éléments fixes de la carte liée.</x:v>
      </x:c>
      <x:c r="G14" s="7" t="str">
        <x:v>Matières organomécaniques stylisées, éclats limités et silhouettes sombres. Construire trois profondeurs de décor avec variantes intacte et perturbée si utiles.</x:v>
      </x:c>
      <x:c r="H14" s="7" t="str">
        <x:v>Le décor signale la règle : Deux objectifs locaux partagent une ressource d’accès.</x:v>
      </x:c>
      <x:c r="I14" s="7" t="str">
        <x:v>Volumes sans microdétails illisibles ; surfaces dangereuses reconnues également en niveaux de gris.</x:v>
      </x:c>
      <x:c r="J14" s="7" t="str">
        <x:v>Animer seulement les repères actifs ; ne pas déplacer un obstacle statique après le calcul du chemin.</x:v>
      </x:c>
      <x:c r="K14" s="7" t="str">
        <x:v>Boucles très courtes évitées ; matériaux sonores propres aux interactions de cette zone.</x:v>
      </x:c>
      <x:c r="L14" s="7" t="str">
        <x:v>assets/pl/sets/collector/ ; collider séparé du mesh et des ornements.</x:v>
      </x:c>
      <x:c r="M14" s="7" t="str">
        <x:v>Ne pas reconstruire toute la géographie interne à partir du résumé.</x:v>
      </x:c>
      <x:c r="N14" s="7" t="str">
        <x:v>Aucun détail décoratif ne ressemble à tort à une porte ; vue complète vérifiée en petite résolution.</x:v>
      </x:c>
      <x:c r="O14" s="7" t="str">
        <x:v>PL-MAP-COLLECTOR</x:v>
      </x:c>
      <x:c r="P14" s="7" t="str"/>
      <x:c r="Q14" s="7" t="str"/>
      <x:c r="R14" s="7" t="str"/>
      <x:c r="S14" s="7" t="str"/>
    </x:row>
    <x:row r="15" ht="54" customHeight="1">
      <x:c r="A15" s="18" t="str">
        <x:v>PL-SET-MEMORY</x:v>
      </x:c>
      <x:c r="B15" s="9" t="str">
        <x:v>Espace du mémorial — kit de décor</x:v>
      </x:c>
      <x:c r="C15" s="15" t="str">
        <x:v>Défini</x:v>
      </x:c>
      <x:c r="D15" s="16" t="str">
        <x:v>Extrapolation</x:v>
      </x:c>
      <x:c r="E15" s="16" t="str">
        <x:v>P1</x:v>
      </x:c>
      <x:c r="F15" s="9" t="str">
        <x:v>Production originale des éléments fixes de la carte liée.</x:v>
      </x:c>
      <x:c r="G15" s="9" t="str">
        <x:v>Décor dépouillé, silhouettes séparées et horizon calme. Construire trois profondeurs de décor avec variantes intacte et perturbée si utiles.</x:v>
      </x:c>
      <x:c r="H15" s="9" t="str">
        <x:v>Le décor signale la règle : Aucune récompense de score sur les pertes.</x:v>
      </x:c>
      <x:c r="I15" s="9" t="str">
        <x:v>Volumes sans microdétails illisibles ; surfaces dangereuses reconnues également en niveaux de gris.</x:v>
      </x:c>
      <x:c r="J15" s="9" t="str">
        <x:v>Animer seulement les repères actifs ; ne pas déplacer un obstacle statique après le calcul du chemin.</x:v>
      </x:c>
      <x:c r="K15" s="9" t="str">
        <x:v>Boucles très courtes évitées ; matériaux sonores propres aux interactions de cette zone.</x:v>
      </x:c>
      <x:c r="L15" s="9" t="str">
        <x:v>assets/pl/sets/memory/ ; collider séparé du mesh et des ornements.</x:v>
      </x:c>
      <x:c r="M15" s="9" t="str">
        <x:v>Épilogue de conséquence ; retour au menu de consultation séparé.</x:v>
      </x:c>
      <x:c r="N15" s="9" t="str">
        <x:v>Aucun détail décoratif ne ressemble à tort à une porte ; vue complète vérifiée en petite résolution.</x:v>
      </x:c>
      <x:c r="O15" s="9" t="str">
        <x:v>PL-MAP-MEMORY</x:v>
      </x:c>
      <x:c r="P15" s="9" t="str"/>
      <x:c r="Q15" s="9" t="str"/>
      <x:c r="R15" s="9" t="str"/>
      <x:c r="S15" s="9" t="str"/>
    </x:row>
  </x:sheetData>
  <x:conditionalFormatting sqref="D7:D15">
    <x:cfRule type="cellIs" dxfId="24" priority="1" operator="equal">
      <x:formula>"À vérifier"</x:formula>
    </x:cfRule>
    <x:cfRule type="cellIs" dxfId="25" priority="2" operator="equal">
      <x:formula>"Extrapolation"</x:formula>
    </x:cfRule>
  </x:conditionalFormatting>
  <x:conditionalFormatting sqref="C7:C15">
    <x:cfRule type="cellIs" dxfId="26" priority="3" operator="equal">
      <x:formula>"Validé"</x:formula>
    </x:cfRule>
  </x:conditionalFormatting>
  <x:conditionalFormatting sqref="E7:E15">
    <x:cfRule type="cellIs" dxfId="27" priority="4" operator="equal">
      <x:formula>"P0"</x:formula>
    </x:cfRule>
  </x:conditionalFormatting>
  <x:dataValidations count="3">
    <x:dataValidation type="list" sqref="C7:C15">
      <x:formula1>"Défini,Prototype,Intégré,Validé"</x:formula1>
    </x:dataValidation>
    <x:dataValidation type="list" sqref="D7:D15">
      <x:formula1>"Établi,À vérifier,Extrapolation,Coupé attesté,Concept abandonné,Allégation écartée"</x:formula1>
    </x:dataValidation>
    <x:dataValidation type="list" sqref="E7:E15">
      <x:formula1>"P0,P1,P2"</x:formula1>
    </x:dataValidation>
  </x:dataValidations>
  <x:pageMargins left="0.7" right="0.7" top="0.75" bottom="0.75" header="0.3" footer="0.3"/>
  <x:tableParts count="1">
    <x:tablePart xmlns:r="http://schemas.openxmlformats.org/officeDocument/2006/relationships" r:id="R7c425441948d4408"/>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Paragon Lost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PL-REF-CELL</x:v>
      </x:c>
      <x:c r="B7" s="9" t="str">
        <x:v>Cellule d’énergie de Brood</x:v>
      </x:c>
      <x:c r="C7" s="15" t="str">
        <x:v>Défini</x:v>
      </x:c>
      <x:c r="D7" s="16" t="str">
        <x:v>Établi</x:v>
      </x:c>
      <x:c r="E7" s="16" t="str">
        <x:v>P1</x:v>
      </x:c>
      <x:c r="F7" s="9" t="str">
        <x:v>Brood remet sa dernière cellule à Vega.</x:v>
      </x:c>
      <x:c r="G7" s="9" t="str">
        <x:v>Ancrage documentaire du module ; aucune statistique officielle inférée.</x:v>
      </x:c>
      <x:c r="H7" s="9" t="str"/>
      <x:c r="I7" s="9" t="str"/>
      <x:c r="J7" s="9" t="str"/>
      <x:c r="K7" s="9" t="str"/>
      <x:c r="L7" s="9" t="str">
        <x:v>Codex ref.pl.cell ; affichage bref avec source.</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PL-SRC-BROOD</x:v>
      </x:c>
      <x:c r="R7" s="9" t="str">
        <x:v>https://masseffect.fandom.com/wiki/Brood</x:v>
      </x:c>
      <x:c r="S7" s="9" t="str">
        <x:v>Ce relevé n’est ni un inventaire exhaustif ni un résumé scène par scène.</x:v>
      </x:c>
    </x:row>
    <x:row r="8" ht="82" customHeight="1">
      <x:c r="A8" s="19" t="str">
        <x:v>PL-REF-BRACELET</x:v>
      </x:c>
      <x:c r="B8" s="7" t="str">
        <x:v>Bracelet de stockage</x:v>
      </x:c>
      <x:c r="C8" s="15" t="str">
        <x:v>Défini</x:v>
      </x:c>
      <x:c r="D8" s="17" t="str">
        <x:v>Établi</x:v>
      </x:c>
      <x:c r="E8" s="17" t="str">
        <x:v>P1</x:v>
      </x:c>
      <x:c r="F8" s="7" t="str">
        <x:v>Messner y conserve les renseignements de l’archive.</x:v>
      </x:c>
      <x:c r="G8" s="7" t="str">
        <x:v>Ancrage documentaire du module ; aucune statistique officielle inférée.</x:v>
      </x:c>
      <x:c r="H8" s="7" t="str"/>
      <x:c r="I8" s="7" t="str"/>
      <x:c r="J8" s="7" t="str"/>
      <x:c r="K8" s="7" t="str"/>
      <x:c r="L8" s="7" t="str">
        <x:v>Codex ref.pl.bracelet ; affichage bref avec source.</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PL-SRC-MESSNER</x:v>
      </x:c>
      <x:c r="R8" s="7" t="str">
        <x:v>https://masseffect.fandom.com/wiki/Messner</x:v>
      </x:c>
      <x:c r="S8" s="7" t="str">
        <x:v>Ce relevé n’est ni un inventaire exhaustif ni un résumé scène par scène.</x:v>
      </x:c>
    </x:row>
    <x:row r="9" ht="82" customHeight="1">
      <x:c r="A9" s="18" t="str">
        <x:v>PL-REF-ARCHIVE</x:v>
      </x:c>
      <x:c r="B9" s="9" t="str">
        <x:v>Archive prothéenne</x:v>
      </x:c>
      <x:c r="C9" s="15" t="str">
        <x:v>Défini</x:v>
      </x:c>
      <x:c r="D9" s="16" t="str">
        <x:v>Établi</x:v>
      </x:c>
      <x:c r="E9" s="16" t="str">
        <x:v>P1</x:v>
      </x:c>
      <x:c r="F9" s="9" t="str">
        <x:v>Une archive se trouve dans les systèmes du vaisseau récolteur.</x:v>
      </x:c>
      <x:c r="G9" s="9" t="str">
        <x:v>Ancrage documentaire du module ; aucune statistique officielle inférée.</x:v>
      </x:c>
      <x:c r="H9" s="9" t="str"/>
      <x:c r="I9" s="9" t="str"/>
      <x:c r="J9" s="9" t="str"/>
      <x:c r="K9" s="9" t="str"/>
      <x:c r="L9" s="9" t="str">
        <x:v>Codex ref.pl.archive ; affichage bref avec source.</x:v>
      </x:c>
      <x:c r="M9"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9" s="9" t="str">
        <x:v>La source citée atteste précisément cet élément ; modèle, plan détaillé et valeur de combat restent séparés.</x:v>
      </x:c>
      <x:c r="O9" s="9" t="str"/>
      <x:c r="P9" s="9" t="str">
        <x:v>Rubrique consultée ou synopsis éditorial ; localisation précise dans l’œuvre à relever.</x:v>
      </x:c>
      <x:c r="Q9" s="9" t="str">
        <x:v>PL-SRC-MESSNER</x:v>
      </x:c>
      <x:c r="R9" s="9" t="str">
        <x:v>https://masseffect.fandom.com/wiki/Messner</x:v>
      </x:c>
      <x:c r="S9" s="9" t="str">
        <x:v>Ce relevé n’est ni un inventaire exhaustif ni un résumé scène par scène.</x:v>
      </x:c>
    </x:row>
    <x:row r="10" ht="82" customHeight="1">
      <x:c r="A10" s="19" t="str">
        <x:v>PL-REF-MEMORIAL</x:v>
      </x:c>
      <x:c r="B10" s="7" t="str">
        <x:v>Mémorial de Fehl Prime</x:v>
      </x:c>
      <x:c r="C10" s="15" t="str">
        <x:v>Défini</x:v>
      </x:c>
      <x:c r="D10" s="17" t="str">
        <x:v>Établi</x:v>
      </x:c>
      <x:c r="E10" s="17" t="str">
        <x:v>P1</x:v>
      </x:c>
      <x:c r="F10" s="7" t="str">
        <x:v>Milque rejoint Vega et Treeya au mémorial.</x:v>
      </x:c>
      <x:c r="G10" s="7" t="str">
        <x:v>Ancrage documentaire du module ; aucune statistique officielle inférée.</x:v>
      </x:c>
      <x:c r="H10" s="7" t="str"/>
      <x:c r="I10" s="7" t="str"/>
      <x:c r="J10" s="7" t="str"/>
      <x:c r="K10" s="7" t="str"/>
      <x:c r="L10" s="7" t="str">
        <x:v>Codex ref.pl.memorial ; affichage bref avec source.</x:v>
      </x:c>
      <x:c r="M10"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0" s="7" t="str">
        <x:v>La source citée atteste précisément cet élément ; modèle, plan détaillé et valeur de combat restent séparés.</x:v>
      </x:c>
      <x:c r="O10" s="7" t="str"/>
      <x:c r="P10" s="7" t="str">
        <x:v>Rubrique consultée ou synopsis éditorial ; localisation précise dans l’œuvre à relever.</x:v>
      </x:c>
      <x:c r="Q10" s="7" t="str">
        <x:v>PL-SRC-MILQUE</x:v>
      </x:c>
      <x:c r="R10" s="7" t="str">
        <x:v>https://masseffect.fandom.com/wiki/Milque</x:v>
      </x:c>
      <x:c r="S10" s="7" t="str">
        <x:v>Ce relevé n’est ni un inventaire exhaustif ni un résumé scène par scène.</x:v>
      </x:c>
    </x:row>
  </x:sheetData>
  <x:conditionalFormatting sqref="D7:D10">
    <x:cfRule type="cellIs" dxfId="28" priority="1" operator="equal">
      <x:formula>"À vérifier"</x:formula>
    </x:cfRule>
    <x:cfRule type="cellIs" dxfId="29" priority="2" operator="equal">
      <x:formula>"Extrapolation"</x:formula>
    </x:cfRule>
  </x:conditionalFormatting>
  <x:conditionalFormatting sqref="C7:C10">
    <x:cfRule type="cellIs" dxfId="30" priority="3" operator="equal">
      <x:formula>"Validé"</x:formula>
    </x:cfRule>
  </x:conditionalFormatting>
  <x:conditionalFormatting sqref="E7:E10">
    <x:cfRule type="cellIs" dxfId="31"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779007e8af5c4057"/>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Paragon Lost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PL-ENC-PACK</x:v>
      </x:c>
      <x:c r="B7" s="9" t="str">
        <x:v>Mercenaires du Blood Pack — rencontre proposée</x:v>
      </x:c>
      <x:c r="C7" s="15" t="str">
        <x:v>Défini</x:v>
      </x:c>
      <x:c r="D7" s="16" t="str">
        <x:v>Extrapolation</x:v>
      </x:c>
      <x:c r="E7" s="16" t="str">
        <x:v>P1</x:v>
      </x:c>
      <x:c r="F7" s="9" t="str">
        <x:v>Rencontre originale proposée : Opposition locale inspirée de l’attaque initiale.</x:v>
      </x:c>
      <x:c r="G7" s="9" t="str">
        <x:v>Opposition ou crise scénarisée pour le groupe ; ne pas attribuer au film une barre de vie ou un rang de boss.</x:v>
      </x:c>
      <x:c r="H7" s="9" t="str">
        <x:v>Alternent tir de maintien et changement de couverture. Réponse du joueur : Utiliser le flanc ouvert par le soutien.</x:v>
      </x:c>
      <x:c r="I7" s="9" t="str">
        <x:v>Préparation de l’arme et arc de tir au sol.</x:v>
      </x:c>
      <x:c r="J7" s="9" t="str">
        <x:v>Anticipation identifiable, action, récupération exploitable ; variante de sortie non létale lorsque pertinente.</x:v>
      </x:c>
      <x:c r="K7" s="9" t="str">
        <x:v>Motif de danger spécifique, sous-titre bref et avertissement visuel.</x:v>
      </x:c>
      <x:c r="L7" s="9" t="str">
        <x:v>encounters/pl/pack.json ; activer seulement dans les zones prévues.</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Un joueur découvre la contre-mesure par le télégraphe ; la résolution ne modifie aucun destin établi.</x:v>
      </x:c>
      <x:c r="O7" s="9" t="str"/>
      <x:c r="P7" s="9" t="str"/>
      <x:c r="Q7" s="9" t="str"/>
      <x:c r="R7" s="9" t="str"/>
      <x:c r="S7" s="9" t="str">
        <x:v>Tous comportements et réglages de combat sont du design original.</x:v>
      </x:c>
    </x:row>
    <x:row r="8" ht="82" customHeight="1">
      <x:c r="A8" s="19" t="str">
        <x:v>PL-ENC-ARCHUK</x:v>
      </x:c>
      <x:c r="B8" s="7" t="str">
        <x:v>Archuk — boss tactique proposé</x:v>
      </x:c>
      <x:c r="C8" s="15" t="str">
        <x:v>Défini</x:v>
      </x:c>
      <x:c r="D8" s="17" t="str">
        <x:v>Extrapolation</x:v>
      </x:c>
      <x:c r="E8" s="17" t="str">
        <x:v>P1</x:v>
      </x:c>
      <x:c r="F8" s="7" t="str">
        <x:v>Rencontre originale proposée : Confrontation de coordination sans statistiques officielles.</x:v>
      </x:c>
      <x:c r="G8" s="7" t="str">
        <x:v>Opposition ou crise scénarisée pour le groupe ; ne pas attribuer au film une barre de vie ou un rang de boss.</x:v>
      </x:c>
      <x:c r="H8" s="7" t="str">
        <x:v>Menace une prise rapprochée puis expose une ouverture pendant sa récupération. Réponse du joueur : Éviter l’axe, attirer son attention et coordonner l’appui.</x:v>
      </x:c>
      <x:c r="I8" s="7" t="str">
        <x:v>Épaules abaissées et trajet de charge matérialisé.</x:v>
      </x:c>
      <x:c r="J8" s="7" t="str">
        <x:v>Anticipation identifiable, action, récupération exploitable ; variante de sortie non létale lorsque pertinente.</x:v>
      </x:c>
      <x:c r="K8" s="7" t="str">
        <x:v>Motif de danger spécifique, sous-titre bref et avertissement visuel.</x:v>
      </x:c>
      <x:c r="L8" s="7" t="str">
        <x:v>encounters/pl/archuk.json ; activer seulement dans les zones prévues.</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Un joueur découvre la contre-mesure par le télégraphe ; la résolution ne modifie aucun destin établi.</x:v>
      </x:c>
      <x:c r="O8" s="7" t="str"/>
      <x:c r="P8" s="7" t="str"/>
      <x:c r="Q8" s="7" t="str"/>
      <x:c r="R8" s="7" t="str"/>
      <x:c r="S8" s="7" t="str">
        <x:v>Tous comportements et réglages de combat sont du design original.</x:v>
      </x:c>
    </x:row>
    <x:row r="9" ht="82" customHeight="1">
      <x:c r="A9" s="18" t="str">
        <x:v>PL-ENC-SEEKERS</x:v>
      </x:c>
      <x:c r="B9" s="9" t="str">
        <x:v>Essaim de chercheurs — danger proposé</x:v>
      </x:c>
      <x:c r="C9" s="15" t="str">
        <x:v>Défini</x:v>
      </x:c>
      <x:c r="D9" s="16" t="str">
        <x:v>Extrapolation</x:v>
      </x:c>
      <x:c r="E9" s="16" t="str">
        <x:v>P1</x:v>
      </x:c>
      <x:c r="F9" s="9" t="str">
        <x:v>Rencontre originale proposée : Menace de déplacement inspirée des essaims du film.</x:v>
      </x:c>
      <x:c r="G9" s="9" t="str">
        <x:v>Opposition ou crise scénarisée pour le groupe ; ne pas attribuer au film une barre de vie ou un rang de boss.</x:v>
      </x:c>
      <x:c r="H9" s="9" t="str">
        <x:v>Ferme une portion de terrain et force une route abritée. Réponse du joueur : Utiliser le couvert autorisé et attendre une fenêtre sûre.</x:v>
      </x:c>
      <x:c r="I9" s="9" t="str">
        <x:v>Nuage identifiable avec bord externe et icône de paralysie de fiction.</x:v>
      </x:c>
      <x:c r="J9" s="9" t="str">
        <x:v>Anticipation identifiable, action, récupération exploitable ; variante de sortie non létale lorsque pertinente.</x:v>
      </x:c>
      <x:c r="K9" s="9" t="str">
        <x:v>Motif de danger spécifique, sous-titre bref et avertissement visuel.</x:v>
      </x:c>
      <x:c r="L9" s="9" t="str">
        <x:v>encounters/pl/seekers.json ; activer seulement dans les zones prévues.</x:v>
      </x:c>
      <x:c r="M9"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9" s="9" t="str">
        <x:v>Un joueur découvre la contre-mesure par le télégraphe ; la résolution ne modifie aucun destin établi.</x:v>
      </x:c>
      <x:c r="O9" s="9" t="str"/>
      <x:c r="P9" s="9" t="str"/>
      <x:c r="Q9" s="9" t="str"/>
      <x:c r="R9" s="9" t="str"/>
      <x:c r="S9" s="9" t="str">
        <x:v>Tous comportements et réglages de combat sont du design original.</x:v>
      </x:c>
    </x:row>
    <x:row r="10" ht="82" customHeight="1">
      <x:c r="A10" s="19" t="str">
        <x:v>PL-ENC-PRAETORIAN</x:v>
      </x:c>
      <x:c r="B10" s="7" t="str">
        <x:v>Prétorien — poursuite proposée</x:v>
      </x:c>
      <x:c r="C10" s="15" t="str">
        <x:v>Défini</x:v>
      </x:c>
      <x:c r="D10" s="17" t="str">
        <x:v>Extrapolation</x:v>
      </x:c>
      <x:c r="E10" s="17" t="str">
        <x:v>P1</x:v>
      </x:c>
      <x:c r="F10" s="7" t="str">
        <x:v>Rencontre originale proposée : Boss de recul et d’extraction, pas simple sac de points de vie.</x:v>
      </x:c>
      <x:c r="G10" s="7" t="str">
        <x:v>Opposition ou crise scénarisée pour le groupe ; ne pas attribuer au film une barre de vie ou un rang de boss.</x:v>
      </x:c>
      <x:c r="H10" s="7" t="str">
        <x:v>Avance sur un couloir et prépare une frappe de zone. Réponse du joueur : Ouvrir le sas suivant puis interrompre l’approche par une action coordonnée.</x:v>
      </x:c>
      <x:c r="I10" s="7" t="str">
        <x:v>Silhouette entière visible, appui des membres et cercle de menace.</x:v>
      </x:c>
      <x:c r="J10" s="7" t="str">
        <x:v>Anticipation identifiable, action, récupération exploitable ; variante de sortie non létale lorsque pertinente.</x:v>
      </x:c>
      <x:c r="K10" s="7" t="str">
        <x:v>Motif de danger spécifique, sous-titre bref et avertissement visuel.</x:v>
      </x:c>
      <x:c r="L10" s="7" t="str">
        <x:v>encounters/pl/praetorian.json ; activer seulement dans les zones prévues.</x:v>
      </x:c>
      <x:c r="M10"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0" s="7" t="str">
        <x:v>Un joueur découvre la contre-mesure par le télégraphe ; la résolution ne modifie aucun destin établi.</x:v>
      </x:c>
      <x:c r="O10" s="7" t="str"/>
      <x:c r="P10" s="7" t="str"/>
      <x:c r="Q10" s="7" t="str"/>
      <x:c r="R10" s="7" t="str"/>
      <x:c r="S10" s="7" t="str">
        <x:v>Tous comportements et réglages de combat sont du design original.</x:v>
      </x:c>
    </x:row>
    <x:row r="11" ht="82" customHeight="1">
      <x:c r="A11" s="18" t="str">
        <x:v>PL-ENC-DRONES</x:v>
      </x:c>
      <x:c r="B11" s="9" t="str">
        <x:v>Escouade de Récolteurs proposée</x:v>
      </x:c>
      <x:c r="C11" s="15" t="str">
        <x:v>Défini</x:v>
      </x:c>
      <x:c r="D11" s="16" t="str">
        <x:v>Extrapolation</x:v>
      </x:c>
      <x:c r="E11" s="16" t="str">
        <x:v>P1</x:v>
      </x:c>
      <x:c r="F11" s="9" t="str">
        <x:v>Rencontre originale proposée : Opposition ajoutée dans une annexe du vaisseau.</x:v>
      </x:c>
      <x:c r="G11" s="9" t="str">
        <x:v>Opposition ou crise scénarisée pour le groupe ; ne pas attribuer au film une barre de vie ou un rang de boss.</x:v>
      </x:c>
      <x:c r="H11" s="9" t="str">
        <x:v>Protège un poste et tente d’isoler le porteur de preuve. Réponse du joueur : Rompre la ligne et déplacer le porteur sous couverture.</x:v>
      </x:c>
      <x:c r="I11" s="9" t="str">
        <x:v>Cibles de verrouillage et formation clairement espacée.</x:v>
      </x:c>
      <x:c r="J11" s="9" t="str">
        <x:v>Anticipation identifiable, action, récupération exploitable ; variante de sortie non létale lorsque pertinente.</x:v>
      </x:c>
      <x:c r="K11" s="9" t="str">
        <x:v>Motif de danger spécifique, sous-titre bref et avertissement visuel.</x:v>
      </x:c>
      <x:c r="L11" s="9" t="str">
        <x:v>encounters/pl/drones.json ; activer seulement dans les zones prévues.</x:v>
      </x:c>
      <x:c r="M11"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1" s="9" t="str">
        <x:v>Un joueur découvre la contre-mesure par le télégraphe ; la résolution ne modifie aucun destin établi.</x:v>
      </x:c>
      <x:c r="O11" s="9" t="str"/>
      <x:c r="P11" s="9" t="str"/>
      <x:c r="Q11" s="9" t="str"/>
      <x:c r="R11" s="9" t="str"/>
      <x:c r="S11" s="9" t="str">
        <x:v>Tous comportements et réglages de combat sont du design original.</x:v>
      </x:c>
    </x:row>
  </x:sheetData>
  <x:conditionalFormatting sqref="D7:D11">
    <x:cfRule type="cellIs" dxfId="32" priority="1" operator="equal">
      <x:formula>"À vérifier"</x:formula>
    </x:cfRule>
    <x:cfRule type="cellIs" dxfId="33" priority="2" operator="equal">
      <x:formula>"Extrapolation"</x:formula>
    </x:cfRule>
  </x:conditionalFormatting>
  <x:conditionalFormatting sqref="C7:C11">
    <x:cfRule type="cellIs" dxfId="34" priority="3" operator="equal">
      <x:formula>"Validé"</x:formula>
    </x:cfRule>
  </x:conditionalFormatting>
  <x:conditionalFormatting sqref="E7:E11">
    <x:cfRule type="cellIs" dxfId="35"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a1b62459b6874cad"/>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Paragon Lost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PL-MIS-LAND</x:v>
      </x:c>
      <x:c r="B7" s="9" t="str">
        <x:v>Rallier l’escouade</x:v>
      </x:c>
      <x:c r="C7" s="15" t="str">
        <x:v>Défini</x:v>
      </x:c>
      <x:c r="D7" s="16" t="str">
        <x:v>Extrapolation</x:v>
      </x:c>
      <x:c r="E7" s="16" t="str">
        <x:v>P0</x:v>
      </x:c>
      <x:c r="F7" s="9" t="str">
        <x:v>Mission originale d’adaptation, inspirée d’un enjeu général de l’œuvre.</x:v>
      </x:c>
      <x:c r="G7" s="9" t="str">
        <x:v>Créer une manœuvre d’assistance et regroupement dans une zone annexe originale.</x:v>
      </x:c>
      <x:c r="H7" s="9" t="str">
        <x:v>Alterner déplacement assisté, couverture et repérage de sortie.</x:v>
      </x:c>
      <x:c r="I7" s="9" t="str">
        <x:v>Objectif spatial associé à Zone d’atterrissage proposée ; états non commencé/en cours/résolu distingués.</x:v>
      </x:c>
      <x:c r="J7" s="9" t="str">
        <x:v>Entrée contrôlée, actions de groupe et fin interruptible avant sauvegarde ; aucune animation ne décide seule du résultat.</x:v>
      </x:c>
      <x:c r="K7" s="9" t="str">
        <x:v>Briefing original concis ; changement de musique à la résolution d’objectif, pas après un délai arbitraire.</x:v>
      </x:c>
      <x:c r="L7" s="9" t="str">
        <x:v>quests/pl/land.json ; états offered/active/resolved ; clés de progression propres au module.</x:v>
      </x:c>
      <x:c r="M7" s="9" t="str">
        <x:v>Le contexte de 2183 est distingué du reste du film.</x:v>
      </x:c>
      <x:c r="N7" s="9" t="str">
        <x:v>Le joueur peut accomplir « Créer une manœuvre d’assistance et regroupement dans une zone annexe originale. » et la sortie confirme le résultat ; Le contexte de 2183 est distingué du reste du film.</x:v>
      </x:c>
      <x:c r="O7" s="9" t="str">
        <x:v>PL-MAP-LANDING</x:v>
      </x:c>
      <x:c r="P7" s="9" t="str"/>
      <x:c r="Q7" s="9" t="str"/>
      <x:c r="R7" s="9" t="str"/>
      <x:c r="S7" s="9" t="str"/>
    </x:row>
    <x:row r="8" ht="68" customHeight="1">
      <x:c r="A8" s="19" t="str">
        <x:v>PL-MIS-FLANK</x:v>
      </x:c>
      <x:c r="B8" s="7" t="str">
        <x:v>Coordonner un flanc</x:v>
      </x:c>
      <x:c r="C8" s="15" t="str">
        <x:v>Défini</x:v>
      </x:c>
      <x:c r="D8" s="17" t="str">
        <x:v>Extrapolation</x:v>
      </x:c>
      <x:c r="E8" s="17" t="str">
        <x:v>P0</x:v>
      </x:c>
      <x:c r="F8" s="7" t="str">
        <x:v>Mission originale d’adaptation, inspirée d’un enjeu général de l’œuvre.</x:v>
      </x:c>
      <x:c r="G8" s="7" t="str">
        <x:v>Faire comprendre la coopération de Delta par un engagement court.</x:v>
      </x:c>
      <x:c r="H8" s="7" t="str">
        <x:v>Vega attire la pression pendant que drone et appui ouvrent une ligne de passage.</x:v>
      </x:c>
      <x:c r="I8" s="7" t="str">
        <x:v>Objectif spatial associé à Rue de regroupement proposée ; états non commencé/en cours/résolu distingués.</x:v>
      </x:c>
      <x:c r="J8" s="7" t="str">
        <x:v>Entrée contrôlée, actions de groupe et fin interruptible avant sauvegarde ; aucune animation ne décide seule du résultat.</x:v>
      </x:c>
      <x:c r="K8" s="7" t="str">
        <x:v>Briefing original concis ; changement de musique à la résolution d’objectif, pas après un délai arbitraire.</x:v>
      </x:c>
      <x:c r="L8" s="7" t="str">
        <x:v>quests/pl/flank.json ; états offered/active/resolved ; clés de progression propres au module.</x:v>
      </x:c>
      <x:c r="M8" s="7" t="str">
        <x:v>Le destin d’Archuk ne devient pas une option de recrutement.</x:v>
      </x:c>
      <x:c r="N8" s="7" t="str">
        <x:v>Le joueur peut accomplir « Faire comprendre la coopération de Delta par un engagement court. » et la sortie confirme le résultat ; Le destin d’Archuk ne devient pas une option de recrutement.</x:v>
      </x:c>
      <x:c r="O8" s="7" t="str">
        <x:v>PL-MAP-SQUARE</x:v>
      </x:c>
      <x:c r="P8" s="7" t="str"/>
      <x:c r="Q8" s="7" t="str"/>
      <x:c r="R8" s="7" t="str"/>
      <x:c r="S8" s="7" t="str"/>
    </x:row>
    <x:row r="9" ht="54" customHeight="1">
      <x:c r="A9" s="18" t="str">
        <x:v>PL-MIS-CARE</x:v>
      </x:c>
      <x:c r="B9" s="9" t="str">
        <x:v>Entretenir la défense d’une colonie</x:v>
      </x:c>
      <x:c r="C9" s="15" t="str">
        <x:v>Défini</x:v>
      </x:c>
      <x:c r="D9" s="16" t="str">
        <x:v>Extrapolation</x:v>
      </x:c>
      <x:c r="E9" s="16" t="str">
        <x:v>P0</x:v>
      </x:c>
      <x:c r="F9" s="9" t="str">
        <x:v>Mission originale d’adaptation, inspirée d’un enjeu général de l’œuvre.</x:v>
      </x:c>
      <x:c r="G9" s="9" t="str">
        <x:v>Montrer la vie civile par une tâche originale de maintenance.</x:v>
      </x:c>
      <x:c r="H9" s="9" t="str">
        <x:v>Répartir diagnostic, livraison et essai de sécurité ; pas de combat nécessaire.</x:v>
      </x:c>
      <x:c r="I9" s="9" t="str">
        <x:v>Objectif spatial associé à Fehl Prime pendant l’accalmie ; états non commencé/en cours/résolu distingués.</x:v>
      </x:c>
      <x:c r="J9" s="9" t="str">
        <x:v>Entrée contrôlée, actions de groupe et fin interruptible avant sauvegarde ; aucune animation ne décide seule du résultat.</x:v>
      </x:c>
      <x:c r="K9" s="9" t="str">
        <x:v>Briefing original concis ; changement de musique à la résolution d’objectif, pas après un délai arbitraire.</x:v>
      </x:c>
      <x:c r="L9" s="9" t="str">
        <x:v>quests/pl/care.json ; états offered/active/resolved ; clés de progression propres au module.</x:v>
      </x:c>
      <x:c r="M9" s="9" t="str">
        <x:v>Aucun risque imposé à April comme mini-jeu.</x:v>
      </x:c>
      <x:c r="N9" s="9" t="str">
        <x:v>Le joueur peut accomplir « Montrer la vie civile par une tâche originale de maintenance. » et la sortie confirme le résultat ; Aucun risque imposé à April comme mini-jeu.</x:v>
      </x:c>
      <x:c r="O9" s="9" t="str">
        <x:v>PL-MAP-COLONY</x:v>
      </x:c>
      <x:c r="P9" s="9" t="str"/>
      <x:c r="Q9" s="9" t="str"/>
      <x:c r="R9" s="9" t="str"/>
      <x:c r="S9" s="9" t="str"/>
    </x:row>
    <x:row r="10" ht="68" customHeight="1">
      <x:c r="A10" s="19" t="str">
        <x:v>PL-MIS-SIGNAL</x:v>
      </x:c>
      <x:c r="B10" s="7" t="str">
        <x:v>Délimiter un signal inconnu</x:v>
      </x:c>
      <x:c r="C10" s="15" t="str">
        <x:v>Défini</x:v>
      </x:c>
      <x:c r="D10" s="17" t="str">
        <x:v>Extrapolation</x:v>
      </x:c>
      <x:c r="E10" s="17" t="str">
        <x:v>P0</x:v>
      </x:c>
      <x:c r="F10" s="7" t="str">
        <x:v>Mission originale d’adaptation, inspirée d’un enjeu général de l’œuvre.</x:v>
      </x:c>
      <x:c r="G10" s="7" t="str">
        <x:v>Donner au groupe une raison de coopérer entre recherche et sécurité.</x:v>
      </x:c>
      <x:c r="H10" s="7" t="str">
        <x:v>Triangulation abstraite, protection du périmètre et vérification d’un relevé.</x:v>
      </x:c>
      <x:c r="I10" s="7" t="str">
        <x:v>Objectif spatial associé à Annexe des vestiges proposée ; états non commencé/en cours/résolu distingués.</x:v>
      </x:c>
      <x:c r="J10" s="7" t="str">
        <x:v>Entrée contrôlée, actions de groupe et fin interruptible avant sauvegarde ; aucune animation ne décide seule du résultat.</x:v>
      </x:c>
      <x:c r="K10" s="7" t="str">
        <x:v>Briefing original concis ; changement de musique à la résolution d’objectif, pas après un délai arbitraire.</x:v>
      </x:c>
      <x:c r="L10" s="7" t="str">
        <x:v>quests/pl/signal.json ; états offered/active/resolved ; clés de progression propres au module.</x:v>
      </x:c>
      <x:c r="M10" s="7" t="str">
        <x:v>Liara reste une interlocutrice distante.</x:v>
      </x:c>
      <x:c r="N10" s="7" t="str">
        <x:v>Le joueur peut accomplir « Donner au groupe une raison de coopérer entre recherche et sécurité. » et la sortie confirme le résultat ; Liara reste une interlocutrice distante.</x:v>
      </x:c>
      <x:c r="O10" s="7" t="str">
        <x:v>PL-MAP-RUINS</x:v>
      </x:c>
      <x:c r="P10" s="7" t="str"/>
      <x:c r="Q10" s="7" t="str"/>
      <x:c r="R10" s="7" t="str"/>
      <x:c r="S10" s="7" t="str"/>
    </x:row>
    <x:row r="11" ht="68" customHeight="1">
      <x:c r="A11" s="18" t="str">
        <x:v>PL-MIS-CANNON</x:v>
      </x:c>
      <x:c r="B11" s="9" t="str">
        <x:v>Garder une issue de repli</x:v>
      </x:c>
      <x:c r="C11" s="15" t="str">
        <x:v>Défini</x:v>
      </x:c>
      <x:c r="D11" s="16" t="str">
        <x:v>Extrapolation</x:v>
      </x:c>
      <x:c r="E11" s="16" t="str">
        <x:v>P0</x:v>
      </x:c>
      <x:c r="F11" s="9" t="str">
        <x:v>Mission originale d’adaptation, inspirée d’un enjeu général de l’œuvre.</x:v>
      </x:c>
      <x:c r="G11" s="9" t="str">
        <x:v>Préparer un poste défensif sans masquer la vulnérabilité des habitants.</x:v>
      </x:c>
      <x:c r="H11" s="9" t="str">
        <x:v>Activer alimentation, vérification et couverture ; afficher le coût local des actions.</x:v>
      </x:c>
      <x:c r="I11" s="9" t="str">
        <x:v>Objectif spatial associé à Poste du canon proposé ; états non commencé/en cours/résolu distingués.</x:v>
      </x:c>
      <x:c r="J11" s="9" t="str">
        <x:v>Entrée contrôlée, actions de groupe et fin interruptible avant sauvegarde ; aucune animation ne décide seule du résultat.</x:v>
      </x:c>
      <x:c r="K11" s="9" t="str">
        <x:v>Briefing original concis ; changement de musique à la résolution d’objectif, pas après un délai arbitraire.</x:v>
      </x:c>
      <x:c r="L11" s="9" t="str">
        <x:v>quests/pl/cannon.json ; états offered/active/resolved ; clés de progression propres au module.</x:v>
      </x:c>
      <x:c r="M11" s="9" t="str">
        <x:v>Ne pas créer un tir parfait qui annule l’attaque canonique.</x:v>
      </x:c>
      <x:c r="N11" s="9" t="str">
        <x:v>Le joueur peut accomplir « Préparer un poste défensif sans masquer la vulnérabilité des habitants. » et la sortie confirme le résultat ; Ne pas créer un tir parfait qui annule l’attaque canonique.</x:v>
      </x:c>
      <x:c r="O11" s="9" t="str">
        <x:v>PL-MAP-DEFENSE</x:v>
      </x:c>
      <x:c r="P11" s="9" t="str"/>
      <x:c r="Q11" s="9" t="str"/>
      <x:c r="R11" s="9" t="str"/>
      <x:c r="S11" s="9" t="str"/>
    </x:row>
    <x:row r="12" ht="68" customHeight="1">
      <x:c r="A12" s="19" t="str">
        <x:v>PL-MIS-REFUGE</x:v>
      </x:c>
      <x:c r="B12" s="7" t="str">
        <x:v>Tenir les portes du refuge</x:v>
      </x:c>
      <x:c r="C12" s="15" t="str">
        <x:v>Défini</x:v>
      </x:c>
      <x:c r="D12" s="17" t="str">
        <x:v>Extrapolation</x:v>
      </x:c>
      <x:c r="E12" s="17" t="str">
        <x:v>P0</x:v>
      </x:c>
      <x:c r="F12" s="7" t="str">
        <x:v>Mission originale d’adaptation, inspirée d’un enjeu général de l’œuvre.</x:v>
      </x:c>
      <x:c r="G12" s="7" t="str">
        <x:v>Coopérer dans une poursuite de laboratoires proposée.</x:v>
      </x:c>
      <x:c r="H12" s="7" t="str">
        <x:v>Nicky contrôle un accès, un autre couvre et Treeya vérifie une information.</x:v>
      </x:c>
      <x:c r="I12" s="7" t="str">
        <x:v>Objectif spatial associé à Couloir des laboratoires proposé ; états non commencé/en cours/résolu distingués.</x:v>
      </x:c>
      <x:c r="J12" s="7" t="str">
        <x:v>Entrée contrôlée, actions de groupe et fin interruptible avant sauvegarde ; aucune animation ne décide seule du résultat.</x:v>
      </x:c>
      <x:c r="K12" s="7" t="str">
        <x:v>Briefing original concis ; changement de musique à la résolution d’objectif, pas après un délai arbitraire.</x:v>
      </x:c>
      <x:c r="L12" s="7" t="str">
        <x:v>quests/pl/refuge.json ; états offered/active/resolved ; clés de progression propres au module.</x:v>
      </x:c>
      <x:c r="M12" s="7" t="str">
        <x:v>Présence et pertes de l’équipe doivent suivre les fenêtres du film.</x:v>
      </x:c>
      <x:c r="N12" s="7" t="str">
        <x:v>Le joueur peut accomplir « Coopérer dans une poursuite de laboratoires proposée. » et la sortie confirme le résultat ; Présence et pertes de l’équipe doivent suivre les fenêtres du film.</x:v>
      </x:c>
      <x:c r="O12" s="7" t="str">
        <x:v>PL-MAP-LABS</x:v>
      </x:c>
      <x:c r="P12" s="7" t="str"/>
      <x:c r="Q12" s="7" t="str"/>
      <x:c r="R12" s="7" t="str"/>
      <x:c r="S12" s="7" t="str"/>
    </x:row>
    <x:row r="13" ht="68" customHeight="1">
      <x:c r="A13" s="18" t="str">
        <x:v>PL-MIS-BOARD</x:v>
      </x:c>
      <x:c r="B13" s="9" t="str">
        <x:v>Préparer un abordage local</x:v>
      </x:c>
      <x:c r="C13" s="15" t="str">
        <x:v>Défini</x:v>
      </x:c>
      <x:c r="D13" s="16" t="str">
        <x:v>Extrapolation</x:v>
      </x:c>
      <x:c r="E13" s="16" t="str">
        <x:v>P0</x:v>
      </x:c>
      <x:c r="F13" s="9" t="str">
        <x:v>Mission originale d’adaptation, inspirée d’un enjeu général de l’œuvre.</x:v>
      </x:c>
      <x:c r="G13" s="9" t="str">
        <x:v>Concevoir un segment court d’appui à bord du vaisseau de Brood.</x:v>
      </x:c>
      <x:c r="H13" s="9" t="str">
        <x:v>Protéger un poste, répondre à des alertes directionnelles et maintenir l’accès de groupe.</x:v>
      </x:c>
      <x:c r="I13" s="9" t="str">
        <x:v>Objectif spatial associé à Pont du vaisseau de Brood proposé ; états non commencé/en cours/résolu distingués.</x:v>
      </x:c>
      <x:c r="J13" s="9" t="str">
        <x:v>Entrée contrôlée, actions de groupe et fin interruptible avant sauvegarde ; aucune animation ne décide seule du résultat.</x:v>
      </x:c>
      <x:c r="K13" s="9" t="str">
        <x:v>Briefing original concis ; changement de musique à la résolution d’objectif, pas après un délai arbitraire.</x:v>
      </x:c>
      <x:c r="L13" s="9" t="str">
        <x:v>quests/pl/board.json ; états offered/active/resolved ; clés de progression propres au module.</x:v>
      </x:c>
      <x:c r="M13" s="9" t="str">
        <x:v>L’issue ne supprime pas les événements ultérieurs du film.</x:v>
      </x:c>
      <x:c r="N13" s="9" t="str">
        <x:v>Le joueur peut accomplir « Concevoir un segment court d’appui à bord du vaisseau de Brood. » et la sortie confirme le résultat ; L’issue ne supprime pas les événements ultérieurs du film.</x:v>
      </x:c>
      <x:c r="O13" s="9" t="str">
        <x:v>PL-MAP-BROOD</x:v>
      </x:c>
      <x:c r="P13" s="9" t="str"/>
      <x:c r="Q13" s="9" t="str"/>
      <x:c r="R13" s="9" t="str"/>
      <x:c r="S13" s="9" t="str"/>
    </x:row>
    <x:row r="14" ht="68" customHeight="1">
      <x:c r="A14" s="19" t="str">
        <x:v>PL-MIS-INTEL</x:v>
      </x:c>
      <x:c r="B14" s="7" t="str">
        <x:v>Protéger une information sous pression</x:v>
      </x:c>
      <x:c r="C14" s="15" t="str">
        <x:v>Défini</x:v>
      </x:c>
      <x:c r="D14" s="17" t="str">
        <x:v>Extrapolation</x:v>
      </x:c>
      <x:c r="E14" s="17" t="str">
        <x:v>P0</x:v>
      </x:c>
      <x:c r="F14" s="7" t="str">
        <x:v>Mission originale d’adaptation, inspirée d’un enjeu général de l’œuvre.</x:v>
      </x:c>
      <x:c r="G14" s="7" t="str">
        <x:v>Faire choisir une méthode locale de transport de preuve.</x:v>
      </x:c>
      <x:c r="H14" s="7" t="str">
        <x:v>Identifier le conteneur, garantir sa présence et ouvrir un trajet autorisé.</x:v>
      </x:c>
      <x:c r="I14" s="7" t="str">
        <x:v>Objectif spatial associé à Secteur du vaisseau récolteur proposé ; états non commencé/en cours/résolu distingués.</x:v>
      </x:c>
      <x:c r="J14" s="7" t="str">
        <x:v>Entrée contrôlée, actions de groupe et fin interruptible avant sauvegarde ; aucune animation ne décide seule du résultat.</x:v>
      </x:c>
      <x:c r="K14" s="7" t="str">
        <x:v>Briefing original concis ; changement de musique à la résolution d’objectif, pas après un délai arbitraire.</x:v>
      </x:c>
      <x:c r="L14" s="7" t="str">
        <x:v>quests/pl/intel.json ; états offered/active/resolved ; clés de progression propres au module.</x:v>
      </x:c>
      <x:c r="M14" s="7" t="str">
        <x:v>La décision finale de Vega reste celle du film ; pas de fin parfaite.</x:v>
      </x:c>
      <x:c r="N14" s="7" t="str">
        <x:v>Le joueur peut accomplir « Faire choisir une méthode locale de transport de preuve. » et la sortie confirme le résultat ; La décision finale de Vega reste celle du film ; pas de fin parfaite.</x:v>
      </x:c>
      <x:c r="O14" s="7" t="str">
        <x:v>PL-MAP-COLLECTOR</x:v>
      </x:c>
      <x:c r="P14" s="7" t="str"/>
      <x:c r="Q14" s="7" t="str"/>
      <x:c r="R14" s="7" t="str"/>
      <x:c r="S14" s="7" t="str"/>
    </x:row>
    <x:row r="15" ht="68" customHeight="1">
      <x:c r="A15" s="18" t="str">
        <x:v>PL-MIS-REMEMBER</x:v>
      </x:c>
      <x:c r="B15" s="9" t="str">
        <x:v>Rendre compte des absents</x:v>
      </x:c>
      <x:c r="C15" s="15" t="str">
        <x:v>Défini</x:v>
      </x:c>
      <x:c r="D15" s="16" t="str">
        <x:v>Extrapolation</x:v>
      </x:c>
      <x:c r="E15" s="16" t="str">
        <x:v>P0</x:v>
      </x:c>
      <x:c r="F15" s="9" t="str">
        <x:v>Mission originale d’adaptation, inspirée d’un enjeu général de l’œuvre.</x:v>
      </x:c>
      <x:c r="G15" s="9" t="str">
        <x:v>Conclure par une interaction de mémoire et de responsabilité.</x:v>
      </x:c>
      <x:c r="H15" s="9" t="str">
        <x:v>Consulter le registre du groupe et choisir une intention de parole originale.</x:v>
      </x:c>
      <x:c r="I15" s="9" t="str">
        <x:v>Objectif spatial associé à Espace du mémorial ; états non commencé/en cours/résolu distingués.</x:v>
      </x:c>
      <x:c r="J15" s="9" t="str">
        <x:v>Entrée contrôlée, actions de groupe et fin interruptible avant sauvegarde ; aucune animation ne décide seule du résultat.</x:v>
      </x:c>
      <x:c r="K15" s="9" t="str">
        <x:v>Briefing original concis ; changement de musique à la résolution d’objectif, pas après un délai arbitraire.</x:v>
      </x:c>
      <x:c r="L15" s="9" t="str">
        <x:v>quests/pl/remember.json ; états offered/active/resolved ; clés de progression propres au module.</x:v>
      </x:c>
      <x:c r="M15" s="9" t="str">
        <x:v>Ni résurrection, ni score de victoire basé sur les victimes.</x:v>
      </x:c>
      <x:c r="N15" s="9" t="str">
        <x:v>Le joueur peut accomplir « Conclure par une interaction de mémoire et de responsabilité. » et la sortie confirme le résultat ; Ni résurrection, ni score de victoire basé sur les victimes.</x:v>
      </x:c>
      <x:c r="O15" s="9" t="str">
        <x:v>PL-MAP-MEMORY</x:v>
      </x:c>
      <x:c r="P15" s="9" t="str"/>
      <x:c r="Q15" s="9" t="str"/>
      <x:c r="R15" s="9" t="str"/>
      <x:c r="S15" s="9" t="str"/>
    </x:row>
  </x:sheetData>
  <x:conditionalFormatting sqref="D7:D15">
    <x:cfRule type="cellIs" dxfId="36" priority="1" operator="equal">
      <x:formula>"À vérifier"</x:formula>
    </x:cfRule>
    <x:cfRule type="cellIs" dxfId="37" priority="2" operator="equal">
      <x:formula>"Extrapolation"</x:formula>
    </x:cfRule>
  </x:conditionalFormatting>
  <x:conditionalFormatting sqref="C7:C15">
    <x:cfRule type="cellIs" dxfId="38" priority="3" operator="equal">
      <x:formula>"Validé"</x:formula>
    </x:cfRule>
  </x:conditionalFormatting>
  <x:conditionalFormatting sqref="E7:E15">
    <x:cfRule type="cellIs" dxfId="39" priority="4" operator="equal">
      <x:formula>"P0"</x:formula>
    </x:cfRule>
  </x:conditionalFormatting>
  <x:dataValidations count="3">
    <x:dataValidation type="list" sqref="C7:C15">
      <x:formula1>"Défini,Prototype,Intégré,Validé"</x:formula1>
    </x:dataValidation>
    <x:dataValidation type="list" sqref="D7:D15">
      <x:formula1>"Établi,À vérifier,Extrapolation,Coupé attesté,Concept abandonné,Allégation écartée"</x:formula1>
    </x:dataValidation>
    <x:dataValidation type="list" sqref="E7:E15">
      <x:formula1>"P0,P1,P2"</x:formula1>
    </x:dataValidation>
  </x:dataValidations>
  <x:pageMargins left="0.7" right="0.7" top="0.75" bottom="0.75" header="0.3" footer="0.3"/>
  <x:tableParts count="1">
    <x:tablePart xmlns:r="http://schemas.openxmlformats.org/officeDocument/2006/relationships" r:id="Reb86e2b25474469b"/>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Paragon Lost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PL-OPT-LAND</x:v>
      </x:c>
      <x:c r="B7" s="9" t="str">
        <x:v>Rallier l’escouade — tâche annexe</x:v>
      </x:c>
      <x:c r="C7" s="15" t="str">
        <x:v>Défini</x:v>
      </x:c>
      <x:c r="D7" s="16" t="str">
        <x:v>Extrapolation</x:v>
      </x:c>
      <x:c r="E7" s="16" t="str">
        <x:v>P1</x:v>
      </x:c>
      <x:c r="F7" s="9" t="str">
        <x:v>Objectif annexe créé pour l’adaptation.</x:v>
      </x:c>
      <x:c r="G7" s="9" t="str">
        <x:v>Récupérer un émetteur de détresse utilisable localement.</x:v>
      </x:c>
      <x:c r="H7" s="9" t="str">
        <x:v>Récompense proposée : renseignement de terrain, raccourci ou consommable local. Ne débloque aucun savoir anticipé sur la saga.</x:v>
      </x:c>
      <x:c r="I7" s="9" t="str">
        <x:v>Marqueur secondaire distinct du chemin critique et objet d’intérêt cadré lisiblement.</x:v>
      </x:c>
      <x:c r="J7" s="9" t="str">
        <x:v>Interaction brève réutilisant les poses du métier concerné, avec interruption possible.</x:v>
      </x:c>
      <x:c r="K7" s="9" t="str">
        <x:v>Petit signal de découverte ; résultat textuel consultable sans audio.</x:v>
      </x:c>
      <x:c r="L7" s="9" t="str">
        <x:v>optional.pl.land ; persister done/skipped, récompenser une seule fois.</x:v>
      </x:c>
      <x:c r="M7" s="9" t="str">
        <x:v>Facultatif ; peut être ignoré sans bloquer la mission. Le contexte de 2183 est distingué du reste du film.</x:v>
      </x:c>
      <x:c r="N7" s="9" t="str">
        <x:v>Ignorer puis terminer la mission fonctionne ; compléter ne verse la récompense qu’une fois.</x:v>
      </x:c>
      <x:c r="O7" s="9" t="str">
        <x:v>PL-MIS-LAND</x:v>
      </x:c>
      <x:c r="P7" s="9" t="str"/>
      <x:c r="Q7" s="9" t="str"/>
      <x:c r="R7" s="9" t="str"/>
      <x:c r="S7" s="9" t="str"/>
    </x:row>
    <x:row r="8" ht="54" customHeight="1">
      <x:c r="A8" s="19" t="str">
        <x:v>PL-OPT-FLANK</x:v>
      </x:c>
      <x:c r="B8" s="7" t="str">
        <x:v>Coordonner un flanc — tâche annexe</x:v>
      </x:c>
      <x:c r="C8" s="15" t="str">
        <x:v>Défini</x:v>
      </x:c>
      <x:c r="D8" s="17" t="str">
        <x:v>Extrapolation</x:v>
      </x:c>
      <x:c r="E8" s="17" t="str">
        <x:v>P1</x:v>
      </x:c>
      <x:c r="F8" s="7" t="str">
        <x:v>Objectif annexe créé pour l’adaptation.</x:v>
      </x:c>
      <x:c r="G8" s="7" t="str">
        <x:v>Fermer un accès arrière pour protéger un civil original.</x:v>
      </x:c>
      <x:c r="H8" s="7" t="str">
        <x:v>Récompense proposée : renseignement de terrain, raccourci ou consommable local. Ne débloque aucun savoir anticipé sur la saga.</x:v>
      </x:c>
      <x:c r="I8" s="7" t="str">
        <x:v>Marqueur secondaire distinct du chemin critique et objet d’intérêt cadré lisiblement.</x:v>
      </x:c>
      <x:c r="J8" s="7" t="str">
        <x:v>Interaction brève réutilisant les poses du métier concerné, avec interruption possible.</x:v>
      </x:c>
      <x:c r="K8" s="7" t="str">
        <x:v>Petit signal de découverte ; résultat textuel consultable sans audio.</x:v>
      </x:c>
      <x:c r="L8" s="7" t="str">
        <x:v>optional.pl.flank ; persister done/skipped, récompenser une seule fois.</x:v>
      </x:c>
      <x:c r="M8" s="7" t="str">
        <x:v>Facultatif ; peut être ignoré sans bloquer la mission. Le destin d’Archuk ne devient pas une option de recrutement.</x:v>
      </x:c>
      <x:c r="N8" s="7" t="str">
        <x:v>Ignorer puis terminer la mission fonctionne ; compléter ne verse la récompense qu’une fois.</x:v>
      </x:c>
      <x:c r="O8" s="7" t="str">
        <x:v>PL-MIS-FLANK</x:v>
      </x:c>
      <x:c r="P8" s="7" t="str"/>
      <x:c r="Q8" s="7" t="str"/>
      <x:c r="R8" s="7" t="str"/>
      <x:c r="S8" s="7" t="str"/>
    </x:row>
    <x:row r="9" ht="54" customHeight="1">
      <x:c r="A9" s="18" t="str">
        <x:v>PL-OPT-CARE</x:v>
      </x:c>
      <x:c r="B9" s="9" t="str">
        <x:v>Entretenir la défense d’une colonie — tâche annexe</x:v>
      </x:c>
      <x:c r="C9" s="15" t="str">
        <x:v>Défini</x:v>
      </x:c>
      <x:c r="D9" s="16" t="str">
        <x:v>Extrapolation</x:v>
      </x:c>
      <x:c r="E9" s="16" t="str">
        <x:v>P1</x:v>
      </x:c>
      <x:c r="F9" s="9" t="str">
        <x:v>Objectif annexe créé pour l’adaptation.</x:v>
      </x:c>
      <x:c r="G9" s="9" t="str">
        <x:v>Retrouver un objet de jeu d’April dans un endroit sûr.</x:v>
      </x:c>
      <x:c r="H9" s="9" t="str">
        <x:v>Récompense proposée : renseignement de terrain, raccourci ou consommable local. Ne débloque aucun savoir anticipé sur la saga.</x:v>
      </x:c>
      <x:c r="I9" s="9" t="str">
        <x:v>Marqueur secondaire distinct du chemin critique et objet d’intérêt cadré lisiblement.</x:v>
      </x:c>
      <x:c r="J9" s="9" t="str">
        <x:v>Interaction brève réutilisant les poses du métier concerné, avec interruption possible.</x:v>
      </x:c>
      <x:c r="K9" s="9" t="str">
        <x:v>Petit signal de découverte ; résultat textuel consultable sans audio.</x:v>
      </x:c>
      <x:c r="L9" s="9" t="str">
        <x:v>optional.pl.care ; persister done/skipped, récompenser une seule fois.</x:v>
      </x:c>
      <x:c r="M9" s="9" t="str">
        <x:v>Facultatif ; peut être ignoré sans bloquer la mission. Aucun risque imposé à April comme mini-jeu.</x:v>
      </x:c>
      <x:c r="N9" s="9" t="str">
        <x:v>Ignorer puis terminer la mission fonctionne ; compléter ne verse la récompense qu’une fois.</x:v>
      </x:c>
      <x:c r="O9" s="9" t="str">
        <x:v>PL-MIS-CARE</x:v>
      </x:c>
      <x:c r="P9" s="9" t="str"/>
      <x:c r="Q9" s="9" t="str"/>
      <x:c r="R9" s="9" t="str"/>
      <x:c r="S9" s="9" t="str"/>
    </x:row>
    <x:row r="10" ht="54" customHeight="1">
      <x:c r="A10" s="19" t="str">
        <x:v>PL-OPT-SIGNAL</x:v>
      </x:c>
      <x:c r="B10" s="7" t="str">
        <x:v>Délimiter un signal inconnu — tâche annexe</x:v>
      </x:c>
      <x:c r="C10" s="15" t="str">
        <x:v>Défini</x:v>
      </x:c>
      <x:c r="D10" s="17" t="str">
        <x:v>Extrapolation</x:v>
      </x:c>
      <x:c r="E10" s="17" t="str">
        <x:v>P1</x:v>
      </x:c>
      <x:c r="F10" s="7" t="str">
        <x:v>Objectif annexe créé pour l’adaptation.</x:v>
      </x:c>
      <x:c r="G10" s="7" t="str">
        <x:v>Photographier un détail archéologique original sans texte ancien inventé comme canon.</x:v>
      </x:c>
      <x:c r="H10" s="7" t="str">
        <x:v>Récompense proposée : renseignement de terrain, raccourci ou consommable local. Ne débloque aucun savoir anticipé sur la saga.</x:v>
      </x:c>
      <x:c r="I10" s="7" t="str">
        <x:v>Marqueur secondaire distinct du chemin critique et objet d’intérêt cadré lisiblement.</x:v>
      </x:c>
      <x:c r="J10" s="7" t="str">
        <x:v>Interaction brève réutilisant les poses du métier concerné, avec interruption possible.</x:v>
      </x:c>
      <x:c r="K10" s="7" t="str">
        <x:v>Petit signal de découverte ; résultat textuel consultable sans audio.</x:v>
      </x:c>
      <x:c r="L10" s="7" t="str">
        <x:v>optional.pl.signal ; persister done/skipped, récompenser une seule fois.</x:v>
      </x:c>
      <x:c r="M10" s="7" t="str">
        <x:v>Facultatif ; peut être ignoré sans bloquer la mission. Liara reste une interlocutrice distante.</x:v>
      </x:c>
      <x:c r="N10" s="7" t="str">
        <x:v>Ignorer puis terminer la mission fonctionne ; compléter ne verse la récompense qu’une fois.</x:v>
      </x:c>
      <x:c r="O10" s="7" t="str">
        <x:v>PL-MIS-SIGNAL</x:v>
      </x:c>
      <x:c r="P10" s="7" t="str"/>
      <x:c r="Q10" s="7" t="str"/>
      <x:c r="R10" s="7" t="str"/>
      <x:c r="S10" s="7" t="str"/>
    </x:row>
    <x:row r="11" ht="54" customHeight="1">
      <x:c r="A11" s="18" t="str">
        <x:v>PL-OPT-CANNON</x:v>
      </x:c>
      <x:c r="B11" s="9" t="str">
        <x:v>Garder une issue de repli — tâche annexe</x:v>
      </x:c>
      <x:c r="C11" s="15" t="str">
        <x:v>Défini</x:v>
      </x:c>
      <x:c r="D11" s="16" t="str">
        <x:v>Extrapolation</x:v>
      </x:c>
      <x:c r="E11" s="16" t="str">
        <x:v>P1</x:v>
      </x:c>
      <x:c r="F11" s="9" t="str">
        <x:v>Objectif annexe créé pour l’adaptation.</x:v>
      </x:c>
      <x:c r="G11" s="9" t="str">
        <x:v>Déplacer une réserve de matériel hors de la voie d’évacuation.</x:v>
      </x:c>
      <x:c r="H11" s="9" t="str">
        <x:v>Récompense proposée : renseignement de terrain, raccourci ou consommable local. Ne débloque aucun savoir anticipé sur la saga.</x:v>
      </x:c>
      <x:c r="I11" s="9" t="str">
        <x:v>Marqueur secondaire distinct du chemin critique et objet d’intérêt cadré lisiblement.</x:v>
      </x:c>
      <x:c r="J11" s="9" t="str">
        <x:v>Interaction brève réutilisant les poses du métier concerné, avec interruption possible.</x:v>
      </x:c>
      <x:c r="K11" s="9" t="str">
        <x:v>Petit signal de découverte ; résultat textuel consultable sans audio.</x:v>
      </x:c>
      <x:c r="L11" s="9" t="str">
        <x:v>optional.pl.cannon ; persister done/skipped, récompenser une seule fois.</x:v>
      </x:c>
      <x:c r="M11" s="9" t="str">
        <x:v>Facultatif ; peut être ignoré sans bloquer la mission. Ne pas créer un tir parfait qui annule l’attaque canonique.</x:v>
      </x:c>
      <x:c r="N11" s="9" t="str">
        <x:v>Ignorer puis terminer la mission fonctionne ; compléter ne verse la récompense qu’une fois.</x:v>
      </x:c>
      <x:c r="O11" s="9" t="str">
        <x:v>PL-MIS-CANNON</x:v>
      </x:c>
      <x:c r="P11" s="9" t="str"/>
      <x:c r="Q11" s="9" t="str"/>
      <x:c r="R11" s="9" t="str"/>
      <x:c r="S11" s="9" t="str"/>
    </x:row>
    <x:row r="12" ht="54" customHeight="1">
      <x:c r="A12" s="19" t="str">
        <x:v>PL-OPT-REFUGE</x:v>
      </x:c>
      <x:c r="B12" s="7" t="str">
        <x:v>Tenir les portes du refuge — tâche annexe</x:v>
      </x:c>
      <x:c r="C12" s="15" t="str">
        <x:v>Défini</x:v>
      </x:c>
      <x:c r="D12" s="17" t="str">
        <x:v>Extrapolation</x:v>
      </x:c>
      <x:c r="E12" s="17" t="str">
        <x:v>P1</x:v>
      </x:c>
      <x:c r="F12" s="7" t="str">
        <x:v>Objectif annexe créé pour l’adaptation.</x:v>
      </x:c>
      <x:c r="G12" s="7" t="str">
        <x:v>Retrouver une réserve de matériel étiquetée pour les secouristes.</x:v>
      </x:c>
      <x:c r="H12" s="7" t="str">
        <x:v>Récompense proposée : renseignement de terrain, raccourci ou consommable local. Ne débloque aucun savoir anticipé sur la saga.</x:v>
      </x:c>
      <x:c r="I12" s="7" t="str">
        <x:v>Marqueur secondaire distinct du chemin critique et objet d’intérêt cadré lisiblement.</x:v>
      </x:c>
      <x:c r="J12" s="7" t="str">
        <x:v>Interaction brève réutilisant les poses du métier concerné, avec interruption possible.</x:v>
      </x:c>
      <x:c r="K12" s="7" t="str">
        <x:v>Petit signal de découverte ; résultat textuel consultable sans audio.</x:v>
      </x:c>
      <x:c r="L12" s="7" t="str">
        <x:v>optional.pl.refuge ; persister done/skipped, récompenser une seule fois.</x:v>
      </x:c>
      <x:c r="M12" s="7" t="str">
        <x:v>Facultatif ; peut être ignoré sans bloquer la mission. Présence et pertes de l’équipe doivent suivre les fenêtres du film.</x:v>
      </x:c>
      <x:c r="N12" s="7" t="str">
        <x:v>Ignorer puis terminer la mission fonctionne ; compléter ne verse la récompense qu’une fois.</x:v>
      </x:c>
      <x:c r="O12" s="7" t="str">
        <x:v>PL-MIS-REFUGE</x:v>
      </x:c>
      <x:c r="P12" s="7" t="str"/>
      <x:c r="Q12" s="7" t="str"/>
      <x:c r="R12" s="7" t="str"/>
      <x:c r="S12" s="7" t="str"/>
    </x:row>
    <x:row r="13" ht="54" customHeight="1">
      <x:c r="A13" s="18" t="str">
        <x:v>PL-OPT-BOARD</x:v>
      </x:c>
      <x:c r="B13" s="9" t="str">
        <x:v>Préparer un abordage local — tâche annexe</x:v>
      </x:c>
      <x:c r="C13" s="15" t="str">
        <x:v>Défini</x:v>
      </x:c>
      <x:c r="D13" s="16" t="str">
        <x:v>Extrapolation</x:v>
      </x:c>
      <x:c r="E13" s="16" t="str">
        <x:v>P1</x:v>
      </x:c>
      <x:c r="F13" s="9" t="str">
        <x:v>Objectif annexe créé pour l’adaptation.</x:v>
      </x:c>
      <x:c r="G13" s="9" t="str">
        <x:v>Fixer une caisse pour empêcher une obstruction de passage.</x:v>
      </x:c>
      <x:c r="H13" s="9" t="str">
        <x:v>Récompense proposée : renseignement de terrain, raccourci ou consommable local. Ne débloque aucun savoir anticipé sur la saga.</x:v>
      </x:c>
      <x:c r="I13" s="9" t="str">
        <x:v>Marqueur secondaire distinct du chemin critique et objet d’intérêt cadré lisiblement.</x:v>
      </x:c>
      <x:c r="J13" s="9" t="str">
        <x:v>Interaction brève réutilisant les poses du métier concerné, avec interruption possible.</x:v>
      </x:c>
      <x:c r="K13" s="9" t="str">
        <x:v>Petit signal de découverte ; résultat textuel consultable sans audio.</x:v>
      </x:c>
      <x:c r="L13" s="9" t="str">
        <x:v>optional.pl.board ; persister done/skipped, récompenser une seule fois.</x:v>
      </x:c>
      <x:c r="M13" s="9" t="str">
        <x:v>Facultatif ; peut être ignoré sans bloquer la mission. L’issue ne supprime pas les événements ultérieurs du film.</x:v>
      </x:c>
      <x:c r="N13" s="9" t="str">
        <x:v>Ignorer puis terminer la mission fonctionne ; compléter ne verse la récompense qu’une fois.</x:v>
      </x:c>
      <x:c r="O13" s="9" t="str">
        <x:v>PL-MIS-BOARD</x:v>
      </x:c>
      <x:c r="P13" s="9" t="str"/>
      <x:c r="Q13" s="9" t="str"/>
      <x:c r="R13" s="9" t="str"/>
      <x:c r="S13" s="9" t="str"/>
    </x:row>
    <x:row r="14" ht="54" customHeight="1">
      <x:c r="A14" s="19" t="str">
        <x:v>PL-OPT-INTEL</x:v>
      </x:c>
      <x:c r="B14" s="7" t="str">
        <x:v>Protéger une information sous pression — tâche annexe</x:v>
      </x:c>
      <x:c r="C14" s="15" t="str">
        <x:v>Défini</x:v>
      </x:c>
      <x:c r="D14" s="17" t="str">
        <x:v>Extrapolation</x:v>
      </x:c>
      <x:c r="E14" s="17" t="str">
        <x:v>P1</x:v>
      </x:c>
      <x:c r="F14" s="7" t="str">
        <x:v>Objectif annexe créé pour l’adaptation.</x:v>
      </x:c>
      <x:c r="G14" s="7" t="str">
        <x:v>Sauvegarder un journal local destiné au compte rendu.</x:v>
      </x:c>
      <x:c r="H14" s="7" t="str">
        <x:v>Récompense proposée : renseignement de terrain, raccourci ou consommable local. Ne débloque aucun savoir anticipé sur la saga.</x:v>
      </x:c>
      <x:c r="I14" s="7" t="str">
        <x:v>Marqueur secondaire distinct du chemin critique et objet d’intérêt cadré lisiblement.</x:v>
      </x:c>
      <x:c r="J14" s="7" t="str">
        <x:v>Interaction brève réutilisant les poses du métier concerné, avec interruption possible.</x:v>
      </x:c>
      <x:c r="K14" s="7" t="str">
        <x:v>Petit signal de découverte ; résultat textuel consultable sans audio.</x:v>
      </x:c>
      <x:c r="L14" s="7" t="str">
        <x:v>optional.pl.intel ; persister done/skipped, récompenser une seule fois.</x:v>
      </x:c>
      <x:c r="M14" s="7" t="str">
        <x:v>Facultatif ; peut être ignoré sans bloquer la mission. La décision finale de Vega reste celle du film ; pas de fin parfaite.</x:v>
      </x:c>
      <x:c r="N14" s="7" t="str">
        <x:v>Ignorer puis terminer la mission fonctionne ; compléter ne verse la récompense qu’une fois.</x:v>
      </x:c>
      <x:c r="O14" s="7" t="str">
        <x:v>PL-MIS-INTEL</x:v>
      </x:c>
      <x:c r="P14" s="7" t="str"/>
      <x:c r="Q14" s="7" t="str"/>
      <x:c r="R14" s="7" t="str"/>
      <x:c r="S14" s="7" t="str"/>
    </x:row>
    <x:row r="15" ht="54" customHeight="1">
      <x:c r="A15" s="18" t="str">
        <x:v>PL-OPT-REMEMBER</x:v>
      </x:c>
      <x:c r="B15" s="9" t="str">
        <x:v>Rendre compte des absents — tâche annexe</x:v>
      </x:c>
      <x:c r="C15" s="15" t="str">
        <x:v>Défini</x:v>
      </x:c>
      <x:c r="D15" s="16" t="str">
        <x:v>Extrapolation</x:v>
      </x:c>
      <x:c r="E15" s="16" t="str">
        <x:v>P1</x:v>
      </x:c>
      <x:c r="F15" s="9" t="str">
        <x:v>Objectif annexe créé pour l’adaptation.</x:v>
      </x:c>
      <x:c r="G15" s="9" t="str">
        <x:v>Déposer un objet symbolique créé pour le module, clairement non officiel.</x:v>
      </x:c>
      <x:c r="H15" s="9" t="str">
        <x:v>Récompense proposée : renseignement de terrain, raccourci ou consommable local. Ne débloque aucun savoir anticipé sur la saga.</x:v>
      </x:c>
      <x:c r="I15" s="9" t="str">
        <x:v>Marqueur secondaire distinct du chemin critique et objet d’intérêt cadré lisiblement.</x:v>
      </x:c>
      <x:c r="J15" s="9" t="str">
        <x:v>Interaction brève réutilisant les poses du métier concerné, avec interruption possible.</x:v>
      </x:c>
      <x:c r="K15" s="9" t="str">
        <x:v>Petit signal de découverte ; résultat textuel consultable sans audio.</x:v>
      </x:c>
      <x:c r="L15" s="9" t="str">
        <x:v>optional.pl.remember ; persister done/skipped, récompenser une seule fois.</x:v>
      </x:c>
      <x:c r="M15" s="9" t="str">
        <x:v>Facultatif ; peut être ignoré sans bloquer la mission. Ni résurrection, ni score de victoire basé sur les victimes.</x:v>
      </x:c>
      <x:c r="N15" s="9" t="str">
        <x:v>Ignorer puis terminer la mission fonctionne ; compléter ne verse la récompense qu’une fois.</x:v>
      </x:c>
      <x:c r="O15" s="9" t="str">
        <x:v>PL-MIS-REMEMBER</x:v>
      </x:c>
      <x:c r="P15" s="9" t="str"/>
      <x:c r="Q15" s="9" t="str"/>
      <x:c r="R15" s="9" t="str"/>
      <x:c r="S15" s="9" t="str"/>
    </x:row>
  </x:sheetData>
  <x:conditionalFormatting sqref="D7:D15">
    <x:cfRule type="cellIs" dxfId="40" priority="1" operator="equal">
      <x:formula>"À vérifier"</x:formula>
    </x:cfRule>
    <x:cfRule type="cellIs" dxfId="41" priority="2" operator="equal">
      <x:formula>"Extrapolation"</x:formula>
    </x:cfRule>
  </x:conditionalFormatting>
  <x:conditionalFormatting sqref="C7:C15">
    <x:cfRule type="cellIs" dxfId="42" priority="3" operator="equal">
      <x:formula>"Validé"</x:formula>
    </x:cfRule>
  </x:conditionalFormatting>
  <x:conditionalFormatting sqref="E7:E15">
    <x:cfRule type="cellIs" dxfId="43" priority="4" operator="equal">
      <x:formula>"P0"</x:formula>
    </x:cfRule>
  </x:conditionalFormatting>
  <x:dataValidations count="3">
    <x:dataValidation type="list" sqref="C7:C15">
      <x:formula1>"Défini,Prototype,Intégré,Validé"</x:formula1>
    </x:dataValidation>
    <x:dataValidation type="list" sqref="D7:D15">
      <x:formula1>"Établi,À vérifier,Extrapolation,Coupé attesté,Concept abandonné,Allégation écartée"</x:formula1>
    </x:dataValidation>
    <x:dataValidation type="list" sqref="E7:E15">
      <x:formula1>"P0,P1,P2"</x:formula1>
    </x:dataValidation>
  </x:dataValidations>
  <x:pageMargins left="0.7" right="0.7" top="0.75" bottom="0.75" header="0.3" footer="0.3"/>
  <x:tableParts count="1">
    <x:tablePart xmlns:r="http://schemas.openxmlformats.org/officeDocument/2006/relationships" r:id="R407239accaf14e08"/>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Paragon Lost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PL-CHO-LAND</x:v>
      </x:c>
      <x:c r="B7" s="9" t="str">
        <x:v>Rallier l’escouade — méthode optionnelle</x:v>
      </x:c>
      <x:c r="C7" s="15" t="str">
        <x:v>Défini</x:v>
      </x:c>
      <x:c r="D7" s="16" t="str">
        <x:v>Extrapolation</x:v>
      </x:c>
      <x:c r="E7" s="16" t="str">
        <x:v>P1</x:v>
      </x:c>
      <x:c r="F7" s="9" t="str">
        <x:v>Bifurcation locale originale ; elle ne crée pas une autre fin officielle.</x:v>
      </x:c>
      <x:c r="G7" s="9" t="str">
        <x:v>Chemin protégé long ou ouverture d’un couvert intermédiaire.</x:v>
      </x:c>
      <x:c r="H7" s="9" t="str">
        <x:v>Afficher coût, bénéfice local et condition de retour avant validation ; deux méthodes rejoignent le même verrou de continuité.</x:v>
      </x:c>
      <x:c r="I7" s="9" t="str">
        <x:v>Libellés d’action concrets ; symbole d’effet local ; aucune option désactivée sans motif.</x:v>
      </x:c>
      <x:c r="J7" s="9" t="str">
        <x:v>Réaction courte du groupe ; reprise immédiate des contrôles après résultat.</x:v>
      </x:c>
      <x:c r="K7" s="9" t="str">
        <x:v>Confirmation discrète ; lecture du résultat disponible dans le journal.</x:v>
      </x:c>
      <x:c r="L7" s="9" t="str">
        <x:v>choice.pl.land ; stocker la méthode et le coût, jamais une réécriture d’événement source.</x:v>
      </x:c>
      <x:c r="M7" s="9" t="str">
        <x:v>Le contexte de 2183 est distingué du reste du film.</x:v>
      </x:c>
      <x:c r="N7" s="9" t="str">
        <x:v>Les deux branches sont atteignables ; l’état canonique final du module est identique.</x:v>
      </x:c>
      <x:c r="O7" s="9" t="str">
        <x:v>PL-MIS-LAND</x:v>
      </x:c>
      <x:c r="P7" s="9" t="str"/>
      <x:c r="Q7" s="9" t="str"/>
      <x:c r="R7" s="9" t="str"/>
      <x:c r="S7" s="9" t="str"/>
    </x:row>
    <x:row r="8" ht="54" customHeight="1">
      <x:c r="A8" s="19" t="str">
        <x:v>PL-CHO-FLANK</x:v>
      </x:c>
      <x:c r="B8" s="7" t="str">
        <x:v>Coordonner un flanc — méthode optionnelle</x:v>
      </x:c>
      <x:c r="C8" s="15" t="str">
        <x:v>Défini</x:v>
      </x:c>
      <x:c r="D8" s="17" t="str">
        <x:v>Extrapolation</x:v>
      </x:c>
      <x:c r="E8" s="17" t="str">
        <x:v>P1</x:v>
      </x:c>
      <x:c r="F8" s="7" t="str">
        <x:v>Bifurcation locale originale ; elle ne crée pas une autre fin officielle.</x:v>
      </x:c>
      <x:c r="G8" s="7" t="str">
        <x:v>Diversion du drone ou déplacement coordonné ; même issue scénarisée.</x:v>
      </x:c>
      <x:c r="H8" s="7" t="str">
        <x:v>Afficher coût, bénéfice local et condition de retour avant validation ; deux méthodes rejoignent le même verrou de continuité.</x:v>
      </x:c>
      <x:c r="I8" s="7" t="str">
        <x:v>Libellés d’action concrets ; symbole d’effet local ; aucune option désactivée sans motif.</x:v>
      </x:c>
      <x:c r="J8" s="7" t="str">
        <x:v>Réaction courte du groupe ; reprise immédiate des contrôles après résultat.</x:v>
      </x:c>
      <x:c r="K8" s="7" t="str">
        <x:v>Confirmation discrète ; lecture du résultat disponible dans le journal.</x:v>
      </x:c>
      <x:c r="L8" s="7" t="str">
        <x:v>choice.pl.flank ; stocker la méthode et le coût, jamais une réécriture d’événement source.</x:v>
      </x:c>
      <x:c r="M8" s="7" t="str">
        <x:v>Le destin d’Archuk ne devient pas une option de recrutement.</x:v>
      </x:c>
      <x:c r="N8" s="7" t="str">
        <x:v>Les deux branches sont atteignables ; l’état canonique final du module est identique.</x:v>
      </x:c>
      <x:c r="O8" s="7" t="str">
        <x:v>PL-MIS-FLANK</x:v>
      </x:c>
      <x:c r="P8" s="7" t="str"/>
      <x:c r="Q8" s="7" t="str"/>
      <x:c r="R8" s="7" t="str"/>
      <x:c r="S8" s="7" t="str"/>
    </x:row>
    <x:row r="9" ht="54" customHeight="1">
      <x:c r="A9" s="18" t="str">
        <x:v>PL-CHO-CARE</x:v>
      </x:c>
      <x:c r="B9" s="9" t="str">
        <x:v>Entretenir la défense d’une colonie — méthode optionnelle</x:v>
      </x:c>
      <x:c r="C9" s="15" t="str">
        <x:v>Défini</x:v>
      </x:c>
      <x:c r="D9" s="16" t="str">
        <x:v>Extrapolation</x:v>
      </x:c>
      <x:c r="E9" s="16" t="str">
        <x:v>P1</x:v>
      </x:c>
      <x:c r="F9" s="9" t="str">
        <x:v>Bifurcation locale originale ; elle ne crée pas une autre fin officielle.</x:v>
      </x:c>
      <x:c r="G9" s="9" t="str">
        <x:v>Aider d’abord l’atelier ou le poste civil ; mêmes capacités finales.</x:v>
      </x:c>
      <x:c r="H9" s="9" t="str">
        <x:v>Afficher coût, bénéfice local et condition de retour avant validation ; deux méthodes rejoignent le même verrou de continuité.</x:v>
      </x:c>
      <x:c r="I9" s="9" t="str">
        <x:v>Libellés d’action concrets ; symbole d’effet local ; aucune option désactivée sans motif.</x:v>
      </x:c>
      <x:c r="J9" s="9" t="str">
        <x:v>Réaction courte du groupe ; reprise immédiate des contrôles après résultat.</x:v>
      </x:c>
      <x:c r="K9" s="9" t="str">
        <x:v>Confirmation discrète ; lecture du résultat disponible dans le journal.</x:v>
      </x:c>
      <x:c r="L9" s="9" t="str">
        <x:v>choice.pl.care ; stocker la méthode et le coût, jamais une réécriture d’événement source.</x:v>
      </x:c>
      <x:c r="M9" s="9" t="str">
        <x:v>Aucun risque imposé à April comme mini-jeu.</x:v>
      </x:c>
      <x:c r="N9" s="9" t="str">
        <x:v>Les deux branches sont atteignables ; l’état canonique final du module est identique.</x:v>
      </x:c>
      <x:c r="O9" s="9" t="str">
        <x:v>PL-MIS-CARE</x:v>
      </x:c>
      <x:c r="P9" s="9" t="str"/>
      <x:c r="Q9" s="9" t="str"/>
      <x:c r="R9" s="9" t="str"/>
      <x:c r="S9" s="9" t="str"/>
    </x:row>
    <x:row r="10" ht="54" customHeight="1">
      <x:c r="A10" s="19" t="str">
        <x:v>PL-CHO-SIGNAL</x:v>
      </x:c>
      <x:c r="B10" s="7" t="str">
        <x:v>Délimiter un signal inconnu — méthode optionnelle</x:v>
      </x:c>
      <x:c r="C10" s="15" t="str">
        <x:v>Défini</x:v>
      </x:c>
      <x:c r="D10" s="17" t="str">
        <x:v>Extrapolation</x:v>
      </x:c>
      <x:c r="E10" s="17" t="str">
        <x:v>P1</x:v>
      </x:c>
      <x:c r="F10" s="7" t="str">
        <x:v>Bifurcation locale originale ; elle ne crée pas une autre fin officielle.</x:v>
      </x:c>
      <x:c r="G10" s="7" t="str">
        <x:v>Examiner le signal à distance ou inspecter une borne proche.</x:v>
      </x:c>
      <x:c r="H10" s="7" t="str">
        <x:v>Afficher coût, bénéfice local et condition de retour avant validation ; deux méthodes rejoignent le même verrou de continuité.</x:v>
      </x:c>
      <x:c r="I10" s="7" t="str">
        <x:v>Libellés d’action concrets ; symbole d’effet local ; aucune option désactivée sans motif.</x:v>
      </x:c>
      <x:c r="J10" s="7" t="str">
        <x:v>Réaction courte du groupe ; reprise immédiate des contrôles après résultat.</x:v>
      </x:c>
      <x:c r="K10" s="7" t="str">
        <x:v>Confirmation discrète ; lecture du résultat disponible dans le journal.</x:v>
      </x:c>
      <x:c r="L10" s="7" t="str">
        <x:v>choice.pl.signal ; stocker la méthode et le coût, jamais une réécriture d’événement source.</x:v>
      </x:c>
      <x:c r="M10" s="7" t="str">
        <x:v>Liara reste une interlocutrice distante.</x:v>
      </x:c>
      <x:c r="N10" s="7" t="str">
        <x:v>Les deux branches sont atteignables ; l’état canonique final du module est identique.</x:v>
      </x:c>
      <x:c r="O10" s="7" t="str">
        <x:v>PL-MIS-SIGNAL</x:v>
      </x:c>
      <x:c r="P10" s="7" t="str"/>
      <x:c r="Q10" s="7" t="str"/>
      <x:c r="R10" s="7" t="str"/>
      <x:c r="S10" s="7" t="str"/>
    </x:row>
    <x:row r="11" ht="54" customHeight="1">
      <x:c r="A11" s="18" t="str">
        <x:v>PL-CHO-CANNON</x:v>
      </x:c>
      <x:c r="B11" s="9" t="str">
        <x:v>Garder une issue de repli — méthode optionnelle</x:v>
      </x:c>
      <x:c r="C11" s="15" t="str">
        <x:v>Défini</x:v>
      </x:c>
      <x:c r="D11" s="16" t="str">
        <x:v>Extrapolation</x:v>
      </x:c>
      <x:c r="E11" s="16" t="str">
        <x:v>P1</x:v>
      </x:c>
      <x:c r="F11" s="9" t="str">
        <x:v>Bifurcation locale originale ; elle ne crée pas une autre fin officielle.</x:v>
      </x:c>
      <x:c r="G11" s="9" t="str">
        <x:v>Priorité au contrôle de ligne ou à la route de secours.</x:v>
      </x:c>
      <x:c r="H11" s="9" t="str">
        <x:v>Afficher coût, bénéfice local et condition de retour avant validation ; deux méthodes rejoignent le même verrou de continuité.</x:v>
      </x:c>
      <x:c r="I11" s="9" t="str">
        <x:v>Libellés d’action concrets ; symbole d’effet local ; aucune option désactivée sans motif.</x:v>
      </x:c>
      <x:c r="J11" s="9" t="str">
        <x:v>Réaction courte du groupe ; reprise immédiate des contrôles après résultat.</x:v>
      </x:c>
      <x:c r="K11" s="9" t="str">
        <x:v>Confirmation discrète ; lecture du résultat disponible dans le journal.</x:v>
      </x:c>
      <x:c r="L11" s="9" t="str">
        <x:v>choice.pl.cannon ; stocker la méthode et le coût, jamais une réécriture d’événement source.</x:v>
      </x:c>
      <x:c r="M11" s="9" t="str">
        <x:v>Ne pas créer un tir parfait qui annule l’attaque canonique.</x:v>
      </x:c>
      <x:c r="N11" s="9" t="str">
        <x:v>Les deux branches sont atteignables ; l’état canonique final du module est identique.</x:v>
      </x:c>
      <x:c r="O11" s="9" t="str">
        <x:v>PL-MIS-CANNON</x:v>
      </x:c>
      <x:c r="P11" s="9" t="str"/>
      <x:c r="Q11" s="9" t="str"/>
      <x:c r="R11" s="9" t="str"/>
      <x:c r="S11" s="9" t="str"/>
    </x:row>
    <x:row r="12" ht="54" customHeight="1">
      <x:c r="A12" s="19" t="str">
        <x:v>PL-CHO-REFUGE</x:v>
      </x:c>
      <x:c r="B12" s="7" t="str">
        <x:v>Tenir les portes du refuge — méthode optionnelle</x:v>
      </x:c>
      <x:c r="C12" s="15" t="str">
        <x:v>Défini</x:v>
      </x:c>
      <x:c r="D12" s="17" t="str">
        <x:v>Extrapolation</x:v>
      </x:c>
      <x:c r="E12" s="17" t="str">
        <x:v>P1</x:v>
      </x:c>
      <x:c r="F12" s="7" t="str">
        <x:v>Bifurcation locale originale ; elle ne crée pas une autre fin officielle.</x:v>
      </x:c>
      <x:c r="G12" s="7" t="str">
        <x:v>Fermer un sas ou emprunter une galerie ; chaque choix conserve une sortie.</x:v>
      </x:c>
      <x:c r="H12" s="7" t="str">
        <x:v>Afficher coût, bénéfice local et condition de retour avant validation ; deux méthodes rejoignent le même verrou de continuité.</x:v>
      </x:c>
      <x:c r="I12" s="7" t="str">
        <x:v>Libellés d’action concrets ; symbole d’effet local ; aucune option désactivée sans motif.</x:v>
      </x:c>
      <x:c r="J12" s="7" t="str">
        <x:v>Réaction courte du groupe ; reprise immédiate des contrôles après résultat.</x:v>
      </x:c>
      <x:c r="K12" s="7" t="str">
        <x:v>Confirmation discrète ; lecture du résultat disponible dans le journal.</x:v>
      </x:c>
      <x:c r="L12" s="7" t="str">
        <x:v>choice.pl.refuge ; stocker la méthode et le coût, jamais une réécriture d’événement source.</x:v>
      </x:c>
      <x:c r="M12" s="7" t="str">
        <x:v>Présence et pertes de l’équipe doivent suivre les fenêtres du film.</x:v>
      </x:c>
      <x:c r="N12" s="7" t="str">
        <x:v>Les deux branches sont atteignables ; l’état canonique final du module est identique.</x:v>
      </x:c>
      <x:c r="O12" s="7" t="str">
        <x:v>PL-MIS-REFUGE</x:v>
      </x:c>
      <x:c r="P12" s="7" t="str"/>
      <x:c r="Q12" s="7" t="str"/>
      <x:c r="R12" s="7" t="str"/>
      <x:c r="S12" s="7" t="str"/>
    </x:row>
    <x:row r="13" ht="54" customHeight="1">
      <x:c r="A13" s="18" t="str">
        <x:v>PL-CHO-BOARD</x:v>
      </x:c>
      <x:c r="B13" s="9" t="str">
        <x:v>Préparer un abordage local — méthode optionnelle</x:v>
      </x:c>
      <x:c r="C13" s="15" t="str">
        <x:v>Défini</x:v>
      </x:c>
      <x:c r="D13" s="16" t="str">
        <x:v>Extrapolation</x:v>
      </x:c>
      <x:c r="E13" s="16" t="str">
        <x:v>P1</x:v>
      </x:c>
      <x:c r="F13" s="9" t="str">
        <x:v>Bifurcation locale originale ; elle ne crée pas une autre fin officielle.</x:v>
      </x:c>
      <x:c r="G13" s="9" t="str">
        <x:v>Appui offensif bref ou défense du moteur ; pas de libre destruction du vaisseau récolteur.</x:v>
      </x:c>
      <x:c r="H13" s="9" t="str">
        <x:v>Afficher coût, bénéfice local et condition de retour avant validation ; deux méthodes rejoignent le même verrou de continuité.</x:v>
      </x:c>
      <x:c r="I13" s="9" t="str">
        <x:v>Libellés d’action concrets ; symbole d’effet local ; aucune option désactivée sans motif.</x:v>
      </x:c>
      <x:c r="J13" s="9" t="str">
        <x:v>Réaction courte du groupe ; reprise immédiate des contrôles après résultat.</x:v>
      </x:c>
      <x:c r="K13" s="9" t="str">
        <x:v>Confirmation discrète ; lecture du résultat disponible dans le journal.</x:v>
      </x:c>
      <x:c r="L13" s="9" t="str">
        <x:v>choice.pl.board ; stocker la méthode et le coût, jamais une réécriture d’événement source.</x:v>
      </x:c>
      <x:c r="M13" s="9" t="str">
        <x:v>L’issue ne supprime pas les événements ultérieurs du film.</x:v>
      </x:c>
      <x:c r="N13" s="9" t="str">
        <x:v>Les deux branches sont atteignables ; l’état canonique final du module est identique.</x:v>
      </x:c>
      <x:c r="O13" s="9" t="str">
        <x:v>PL-MIS-BOARD</x:v>
      </x:c>
      <x:c r="P13" s="9" t="str"/>
      <x:c r="Q13" s="9" t="str"/>
      <x:c r="R13" s="9" t="str"/>
      <x:c r="S13" s="9" t="str"/>
    </x:row>
    <x:row r="14" ht="54" customHeight="1">
      <x:c r="A14" s="19" t="str">
        <x:v>PL-CHO-INTEL</x:v>
      </x:c>
      <x:c r="B14" s="7" t="str">
        <x:v>Protéger une information sous pression — méthode optionnelle</x:v>
      </x:c>
      <x:c r="C14" s="15" t="str">
        <x:v>Défini</x:v>
      </x:c>
      <x:c r="D14" s="17" t="str">
        <x:v>Extrapolation</x:v>
      </x:c>
      <x:c r="E14" s="17" t="str">
        <x:v>P1</x:v>
      </x:c>
      <x:c r="F14" s="7" t="str">
        <x:v>Bifurcation locale originale ; elle ne crée pas une autre fin officielle.</x:v>
      </x:c>
      <x:c r="G14" s="7" t="str">
        <x:v>Répartir protection entre porte et porteur ou alterner les gardes.</x:v>
      </x:c>
      <x:c r="H14" s="7" t="str">
        <x:v>Afficher coût, bénéfice local et condition de retour avant validation ; deux méthodes rejoignent le même verrou de continuité.</x:v>
      </x:c>
      <x:c r="I14" s="7" t="str">
        <x:v>Libellés d’action concrets ; symbole d’effet local ; aucune option désactivée sans motif.</x:v>
      </x:c>
      <x:c r="J14" s="7" t="str">
        <x:v>Réaction courte du groupe ; reprise immédiate des contrôles après résultat.</x:v>
      </x:c>
      <x:c r="K14" s="7" t="str">
        <x:v>Confirmation discrète ; lecture du résultat disponible dans le journal.</x:v>
      </x:c>
      <x:c r="L14" s="7" t="str">
        <x:v>choice.pl.intel ; stocker la méthode et le coût, jamais une réécriture d’événement source.</x:v>
      </x:c>
      <x:c r="M14" s="7" t="str">
        <x:v>La décision finale de Vega reste celle du film ; pas de fin parfaite.</x:v>
      </x:c>
      <x:c r="N14" s="7" t="str">
        <x:v>Les deux branches sont atteignables ; l’état canonique final du module est identique.</x:v>
      </x:c>
      <x:c r="O14" s="7" t="str">
        <x:v>PL-MIS-INTEL</x:v>
      </x:c>
      <x:c r="P14" s="7" t="str"/>
      <x:c r="Q14" s="7" t="str"/>
      <x:c r="R14" s="7" t="str"/>
      <x:c r="S14" s="7" t="str"/>
    </x:row>
    <x:row r="15" ht="54" customHeight="1">
      <x:c r="A15" s="18" t="str">
        <x:v>PL-CHO-REMEMBER</x:v>
      </x:c>
      <x:c r="B15" s="9" t="str">
        <x:v>Rendre compte des absents — méthode optionnelle</x:v>
      </x:c>
      <x:c r="C15" s="15" t="str">
        <x:v>Défini</x:v>
      </x:c>
      <x:c r="D15" s="16" t="str">
        <x:v>Extrapolation</x:v>
      </x:c>
      <x:c r="E15" s="16" t="str">
        <x:v>P1</x:v>
      </x:c>
      <x:c r="F15" s="9" t="str">
        <x:v>Bifurcation locale originale ; elle ne crée pas une autre fin officielle.</x:v>
      </x:c>
      <x:c r="G15" s="9" t="str">
        <x:v>Parler brièvement ou rester silencieux ; aucun gain de moralité.</x:v>
      </x:c>
      <x:c r="H15" s="9" t="str">
        <x:v>Afficher coût, bénéfice local et condition de retour avant validation ; deux méthodes rejoignent le même verrou de continuité.</x:v>
      </x:c>
      <x:c r="I15" s="9" t="str">
        <x:v>Libellés d’action concrets ; symbole d’effet local ; aucune option désactivée sans motif.</x:v>
      </x:c>
      <x:c r="J15" s="9" t="str">
        <x:v>Réaction courte du groupe ; reprise immédiate des contrôles après résultat.</x:v>
      </x:c>
      <x:c r="K15" s="9" t="str">
        <x:v>Confirmation discrète ; lecture du résultat disponible dans le journal.</x:v>
      </x:c>
      <x:c r="L15" s="9" t="str">
        <x:v>choice.pl.remember ; stocker la méthode et le coût, jamais une réécriture d’événement source.</x:v>
      </x:c>
      <x:c r="M15" s="9" t="str">
        <x:v>Ni résurrection, ni score de victoire basé sur les victimes.</x:v>
      </x:c>
      <x:c r="N15" s="9" t="str">
        <x:v>Les deux branches sont atteignables ; l’état canonique final du module est identique.</x:v>
      </x:c>
      <x:c r="O15" s="9" t="str">
        <x:v>PL-MIS-REMEMBER</x:v>
      </x:c>
      <x:c r="P15" s="9" t="str"/>
      <x:c r="Q15" s="9" t="str"/>
      <x:c r="R15" s="9" t="str"/>
      <x:c r="S15" s="9" t="str"/>
    </x:row>
  </x:sheetData>
  <x:conditionalFormatting sqref="D7:D15">
    <x:cfRule type="cellIs" dxfId="44" priority="1" operator="equal">
      <x:formula>"À vérifier"</x:formula>
    </x:cfRule>
    <x:cfRule type="cellIs" dxfId="45" priority="2" operator="equal">
      <x:formula>"Extrapolation"</x:formula>
    </x:cfRule>
  </x:conditionalFormatting>
  <x:conditionalFormatting sqref="C7:C15">
    <x:cfRule type="cellIs" dxfId="46" priority="3" operator="equal">
      <x:formula>"Validé"</x:formula>
    </x:cfRule>
  </x:conditionalFormatting>
  <x:conditionalFormatting sqref="E7:E15">
    <x:cfRule type="cellIs" dxfId="47" priority="4" operator="equal">
      <x:formula>"P0"</x:formula>
    </x:cfRule>
  </x:conditionalFormatting>
  <x:dataValidations count="3">
    <x:dataValidation type="list" sqref="C7:C15">
      <x:formula1>"Défini,Prototype,Intégré,Validé"</x:formula1>
    </x:dataValidation>
    <x:dataValidation type="list" sqref="D7:D15">
      <x:formula1>"Établi,À vérifier,Extrapolation,Coupé attesté,Concept abandonné,Allégation écartée"</x:formula1>
    </x:dataValidation>
    <x:dataValidation type="list" sqref="E7:E15">
      <x:formula1>"P0,P1,P2"</x:formula1>
    </x:dataValidation>
  </x:dataValidations>
  <x:pageMargins left="0.7" right="0.7" top="0.75" bottom="0.75" header="0.3" footer="0.3"/>
  <x:tableParts count="1">
    <x:tablePart xmlns:r="http://schemas.openxmlformats.org/officeDocument/2006/relationships" r:id="R2552fa891a694d15"/>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Paragon Lost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PL-DIA-VEGA</x:v>
      </x:c>
      <x:c r="B7" s="9" t="str">
        <x:v>James Vega — échange : responsabilité et coût d’une décision</x:v>
      </x:c>
      <x:c r="C7" s="15" t="str">
        <x:v>Défini</x:v>
      </x:c>
      <x:c r="D7" s="16" t="str">
        <x:v>Extrapolation</x:v>
      </x:c>
      <x:c r="E7" s="16" t="str">
        <x:v>P1</x:v>
      </x:c>
      <x:c r="F7" s="9" t="str">
        <x:v>Dialogue original à écrire, sans reproduire les répliques de la publication.</x:v>
      </x:c>
      <x:c r="G7" s="9" t="str">
        <x:v>Intentions : aborder responsabilité et coût d’une décision, poser une question de clarification, puis revenir à l’objectif local.</x:v>
      </x:c>
      <x:c r="H7" s="9" t="str">
        <x:v>Trois intentions proposées : demander un fait, exprimer une réserve, clore. Débloquer un indice local sans imposer une opinion au joueur.</x:v>
      </x:c>
      <x:c r="I7" s="9" t="str">
        <x:v>Portrait James Vega, interlocuteur actif et indication de la personne qui connaît le fait.</x:v>
      </x:c>
      <x:c r="J7" s="9" t="str">
        <x:v>Pose d’écoute puis réaction sobre ; ne pas boucler une émotion pendant une pause de lecture.</x:v>
      </x:c>
      <x:c r="K7" s="9" t="str">
        <x:v>Texte intégral affiché ; éventuelle voix originale avec débit réglable, sans imitation du casting.</x:v>
      </x:c>
      <x:c r="L7" s="9" t="str">
        <x:v>Dialogue graph pl.vega.responsabilite-et-cout-dune-decision ; drapeaux de connaissance locaux.</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Aucune option ne révèle un savoir futur ; quitter puis reprendre conserve les sujets déjà abordés.</x:v>
      </x:c>
      <x:c r="O7" s="9" t="str">
        <x:v>PL-CHR-VEGA</x:v>
      </x:c>
      <x:c r="P7" s="9" t="str"/>
      <x:c r="Q7" s="9" t="str"/>
      <x:c r="R7" s="9" t="str"/>
      <x:c r="S7" s="9" t="str">
        <x:v>Sujet et intentions sont du design original, pas une transcription.</x:v>
      </x:c>
    </x:row>
    <x:row r="8" ht="82" customHeight="1">
      <x:c r="A8" s="19" t="str">
        <x:v>PL-DIA-TREEYA</x:v>
      </x:c>
      <x:c r="B8" s="7" t="str">
        <x:v>Treeya Nuwani — échange : préservation des vestiges et sécurité</x:v>
      </x:c>
      <x:c r="C8" s="15" t="str">
        <x:v>Défini</x:v>
      </x:c>
      <x:c r="D8" s="17" t="str">
        <x:v>Extrapolation</x:v>
      </x:c>
      <x:c r="E8" s="17" t="str">
        <x:v>P1</x:v>
      </x:c>
      <x:c r="F8" s="7" t="str">
        <x:v>Dialogue original à écrire, sans reproduire les répliques de la publication.</x:v>
      </x:c>
      <x:c r="G8" s="7" t="str">
        <x:v>Intentions : aborder préservation des vestiges et sécurité, poser une question de clarification, puis revenir à l’objectif local.</x:v>
      </x:c>
      <x:c r="H8" s="7" t="str">
        <x:v>Trois intentions proposées : demander un fait, exprimer une réserve, clore. Débloquer un indice local sans imposer une opinion au joueur.</x:v>
      </x:c>
      <x:c r="I8" s="7" t="str">
        <x:v>Portrait Treeya Nuwani, interlocuteur actif et indication de la personne qui connaît le fait.</x:v>
      </x:c>
      <x:c r="J8" s="7" t="str">
        <x:v>Pose d’écoute puis réaction sobre ; ne pas boucler une émotion pendant une pause de lecture.</x:v>
      </x:c>
      <x:c r="K8" s="7" t="str">
        <x:v>Texte intégral affiché ; éventuelle voix originale avec débit réglable, sans imitation du casting.</x:v>
      </x:c>
      <x:c r="L8" s="7" t="str">
        <x:v>Dialogue graph pl.treeya.preservation-des-vestiges-et-securite ; drapeaux de connaissance locaux.</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Aucune option ne révèle un savoir futur ; quitter puis reprendre conserve les sujets déjà abordés.</x:v>
      </x:c>
      <x:c r="O8" s="7" t="str">
        <x:v>PL-CHR-TREEYA</x:v>
      </x:c>
      <x:c r="P8" s="7" t="str"/>
      <x:c r="Q8" s="7" t="str"/>
      <x:c r="R8" s="7" t="str"/>
      <x:c r="S8" s="7" t="str">
        <x:v>Sujet et intentions sont du design original, pas une transcription.</x:v>
      </x:c>
    </x:row>
    <x:row r="9" ht="82" customHeight="1">
      <x:c r="A9" s="18" t="str">
        <x:v>PL-DIA-MILQUE</x:v>
      </x:c>
      <x:c r="B9" s="9" t="str">
        <x:v>Milque — échange : précision et protection du groupe</x:v>
      </x:c>
      <x:c r="C9" s="15" t="str">
        <x:v>Défini</x:v>
      </x:c>
      <x:c r="D9" s="16" t="str">
        <x:v>Extrapolation</x:v>
      </x:c>
      <x:c r="E9" s="16" t="str">
        <x:v>P1</x:v>
      </x:c>
      <x:c r="F9" s="9" t="str">
        <x:v>Dialogue original à écrire, sans reproduire les répliques de la publication.</x:v>
      </x:c>
      <x:c r="G9" s="9" t="str">
        <x:v>Intentions : aborder précision et protection du groupe, poser une question de clarification, puis revenir à l’objectif local.</x:v>
      </x:c>
      <x:c r="H9" s="9" t="str">
        <x:v>Trois intentions proposées : demander un fait, exprimer une réserve, clore. Débloquer un indice local sans imposer une opinion au joueur.</x:v>
      </x:c>
      <x:c r="I9" s="9" t="str">
        <x:v>Portrait Milque, interlocuteur actif et indication de la personne qui connaît le fait.</x:v>
      </x:c>
      <x:c r="J9" s="9" t="str">
        <x:v>Pose d’écoute puis réaction sobre ; ne pas boucler une émotion pendant une pause de lecture.</x:v>
      </x:c>
      <x:c r="K9" s="9" t="str">
        <x:v>Texte intégral affiché ; éventuelle voix originale avec débit réglable, sans imitation du casting.</x:v>
      </x:c>
      <x:c r="L9" s="9" t="str">
        <x:v>Dialogue graph pl.milque.precision-et-protection-du-groupe ; drapeaux de connaissance locaux.</x:v>
      </x:c>
      <x:c r="M9"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9" s="9" t="str">
        <x:v>Aucune option ne révèle un savoir futur ; quitter puis reprendre conserve les sujets déjà abordés.</x:v>
      </x:c>
      <x:c r="O9" s="9" t="str">
        <x:v>PL-CHR-MILQUE</x:v>
      </x:c>
      <x:c r="P9" s="9" t="str"/>
      <x:c r="Q9" s="9" t="str"/>
      <x:c r="R9" s="9" t="str"/>
      <x:c r="S9" s="9" t="str">
        <x:v>Sujet et intentions sont du design original, pas une transcription.</x:v>
      </x:c>
    </x:row>
    <x:row r="10" ht="82" customHeight="1">
      <x:c r="A10" s="19" t="str">
        <x:v>PL-DIA-ESSEX</x:v>
      </x:c>
      <x:c r="B10" s="7" t="str">
        <x:v>Essex — échange : usage de la force sous contrainte</x:v>
      </x:c>
      <x:c r="C10" s="15" t="str">
        <x:v>Défini</x:v>
      </x:c>
      <x:c r="D10" s="17" t="str">
        <x:v>Extrapolation</x:v>
      </x:c>
      <x:c r="E10" s="17" t="str">
        <x:v>P1</x:v>
      </x:c>
      <x:c r="F10" s="7" t="str">
        <x:v>Dialogue original à écrire, sans reproduire les répliques de la publication.</x:v>
      </x:c>
      <x:c r="G10" s="7" t="str">
        <x:v>Intentions : aborder usage de la force sous contrainte, poser une question de clarification, puis revenir à l’objectif local.</x:v>
      </x:c>
      <x:c r="H10" s="7" t="str">
        <x:v>Trois intentions proposées : demander un fait, exprimer une réserve, clore. Débloquer un indice local sans imposer une opinion au joueur.</x:v>
      </x:c>
      <x:c r="I10" s="7" t="str">
        <x:v>Portrait Essex, interlocuteur actif et indication de la personne qui connaît le fait.</x:v>
      </x:c>
      <x:c r="J10" s="7" t="str">
        <x:v>Pose d’écoute puis réaction sobre ; ne pas boucler une émotion pendant une pause de lecture.</x:v>
      </x:c>
      <x:c r="K10" s="7" t="str">
        <x:v>Texte intégral affiché ; éventuelle voix originale avec débit réglable, sans imitation du casting.</x:v>
      </x:c>
      <x:c r="L10" s="7" t="str">
        <x:v>Dialogue graph pl.essex.usage-de-la-force-sous-contrainte ; drapeaux de connaissance locaux.</x:v>
      </x:c>
      <x:c r="M10"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0" s="7" t="str">
        <x:v>Aucune option ne révèle un savoir futur ; quitter puis reprendre conserve les sujets déjà abordés.</x:v>
      </x:c>
      <x:c r="O10" s="7" t="str">
        <x:v>PL-CHR-ESSEX</x:v>
      </x:c>
      <x:c r="P10" s="7" t="str"/>
      <x:c r="Q10" s="7" t="str"/>
      <x:c r="R10" s="7" t="str"/>
      <x:c r="S10" s="7" t="str">
        <x:v>Sujet et intentions sont du design original, pas une transcription.</x:v>
      </x:c>
    </x:row>
    <x:row r="11" ht="82" customHeight="1">
      <x:c r="A11" s="18" t="str">
        <x:v>PL-DIA-NICKY</x:v>
      </x:c>
      <x:c r="B11" s="9" t="str">
        <x:v>Nicky — échange : préparation et confiance dans l’équipe</x:v>
      </x:c>
      <x:c r="C11" s="15" t="str">
        <x:v>Défini</x:v>
      </x:c>
      <x:c r="D11" s="16" t="str">
        <x:v>Extrapolation</x:v>
      </x:c>
      <x:c r="E11" s="16" t="str">
        <x:v>P1</x:v>
      </x:c>
      <x:c r="F11" s="9" t="str">
        <x:v>Dialogue original à écrire, sans reproduire les répliques de la publication.</x:v>
      </x:c>
      <x:c r="G11" s="9" t="str">
        <x:v>Intentions : aborder préparation et confiance dans l’équipe, poser une question de clarification, puis revenir à l’objectif local.</x:v>
      </x:c>
      <x:c r="H11" s="9" t="str">
        <x:v>Trois intentions proposées : demander un fait, exprimer une réserve, clore. Débloquer un indice local sans imposer une opinion au joueur.</x:v>
      </x:c>
      <x:c r="I11" s="9" t="str">
        <x:v>Portrait Nicky, interlocuteur actif et indication de la personne qui connaît le fait.</x:v>
      </x:c>
      <x:c r="J11" s="9" t="str">
        <x:v>Pose d’écoute puis réaction sobre ; ne pas boucler une émotion pendant une pause de lecture.</x:v>
      </x:c>
      <x:c r="K11" s="9" t="str">
        <x:v>Texte intégral affiché ; éventuelle voix originale avec débit réglable, sans imitation du casting.</x:v>
      </x:c>
      <x:c r="L11" s="9" t="str">
        <x:v>Dialogue graph pl.nicky.preparation-et-confiance-dans-lequipe ; drapeaux de connaissance locaux.</x:v>
      </x:c>
      <x:c r="M11"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1" s="9" t="str">
        <x:v>Aucune option ne révèle un savoir futur ; quitter puis reprendre conserve les sujets déjà abordés.</x:v>
      </x:c>
      <x:c r="O11" s="9" t="str">
        <x:v>PL-CHR-NICKY</x:v>
      </x:c>
      <x:c r="P11" s="9" t="str"/>
      <x:c r="Q11" s="9" t="str"/>
      <x:c r="R11" s="9" t="str"/>
      <x:c r="S11" s="9" t="str">
        <x:v>Sujet et intentions sont du design original, pas une transcription.</x:v>
      </x:c>
    </x:row>
    <x:row r="12" ht="82" customHeight="1">
      <x:c r="A12" s="19" t="str">
        <x:v>PL-DIA-KAMILLE</x:v>
      </x:c>
      <x:c r="B12" s="7" t="str">
        <x:v>Kamille — échange : solidarité de terrain</x:v>
      </x:c>
      <x:c r="C12" s="15" t="str">
        <x:v>Défini</x:v>
      </x:c>
      <x:c r="D12" s="17" t="str">
        <x:v>Extrapolation</x:v>
      </x:c>
      <x:c r="E12" s="17" t="str">
        <x:v>P1</x:v>
      </x:c>
      <x:c r="F12" s="7" t="str">
        <x:v>Dialogue original à écrire, sans reproduire les répliques de la publication.</x:v>
      </x:c>
      <x:c r="G12" s="7" t="str">
        <x:v>Intentions : aborder solidarité de terrain, poser une question de clarification, puis revenir à l’objectif local.</x:v>
      </x:c>
      <x:c r="H12" s="7" t="str">
        <x:v>Trois intentions proposées : demander un fait, exprimer une réserve, clore. Débloquer un indice local sans imposer une opinion au joueur.</x:v>
      </x:c>
      <x:c r="I12" s="7" t="str">
        <x:v>Portrait Kamille, interlocuteur actif et indication de la personne qui connaît le fait.</x:v>
      </x:c>
      <x:c r="J12" s="7" t="str">
        <x:v>Pose d’écoute puis réaction sobre ; ne pas boucler une émotion pendant une pause de lecture.</x:v>
      </x:c>
      <x:c r="K12" s="7" t="str">
        <x:v>Texte intégral affiché ; éventuelle voix originale avec débit réglable, sans imitation du casting.</x:v>
      </x:c>
      <x:c r="L12" s="7" t="str">
        <x:v>Dialogue graph pl.kamille.solidarite-de-terrain ; drapeaux de connaissance locaux.</x:v>
      </x:c>
      <x:c r="M12"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2" s="7" t="str">
        <x:v>Aucune option ne révèle un savoir futur ; quitter puis reprendre conserve les sujets déjà abordés.</x:v>
      </x:c>
      <x:c r="O12" s="7" t="str">
        <x:v>PL-CHR-KAMILLE</x:v>
      </x:c>
      <x:c r="P12" s="7" t="str"/>
      <x:c r="Q12" s="7" t="str"/>
      <x:c r="R12" s="7" t="str"/>
      <x:c r="S12" s="7" t="str">
        <x:v>Sujet et intentions sont du design original, pas une transcription.</x:v>
      </x:c>
    </x:row>
    <x:row r="13" ht="82" customHeight="1">
      <x:c r="A13" s="18" t="str">
        <x:v>PL-DIA-MASON</x:v>
      </x:c>
      <x:c r="B13" s="9" t="str">
        <x:v>Mason — échange : réaction à une perte et devoir de groupe</x:v>
      </x:c>
      <x:c r="C13" s="15" t="str">
        <x:v>Défini</x:v>
      </x:c>
      <x:c r="D13" s="16" t="str">
        <x:v>Extrapolation</x:v>
      </x:c>
      <x:c r="E13" s="16" t="str">
        <x:v>P1</x:v>
      </x:c>
      <x:c r="F13" s="9" t="str">
        <x:v>Dialogue original à écrire, sans reproduire les répliques de la publication.</x:v>
      </x:c>
      <x:c r="G13" s="9" t="str">
        <x:v>Intentions : aborder réaction à une perte et devoir de groupe, poser une question de clarification, puis revenir à l’objectif local.</x:v>
      </x:c>
      <x:c r="H13" s="9" t="str">
        <x:v>Trois intentions proposées : demander un fait, exprimer une réserve, clore. Débloquer un indice local sans imposer une opinion au joueur.</x:v>
      </x:c>
      <x:c r="I13" s="9" t="str">
        <x:v>Portrait Mason, interlocuteur actif et indication de la personne qui connaît le fait.</x:v>
      </x:c>
      <x:c r="J13" s="9" t="str">
        <x:v>Pose d’écoute puis réaction sobre ; ne pas boucler une émotion pendant une pause de lecture.</x:v>
      </x:c>
      <x:c r="K13" s="9" t="str">
        <x:v>Texte intégral affiché ; éventuelle voix originale avec débit réglable, sans imitation du casting.</x:v>
      </x:c>
      <x:c r="L13" s="9" t="str">
        <x:v>Dialogue graph pl.mason.reaction-a-une-perte-et-devoir-de-groupe ; drapeaux de connaissance locaux.</x:v>
      </x:c>
      <x:c r="M13"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3" s="9" t="str">
        <x:v>Aucune option ne révèle un savoir futur ; quitter puis reprendre conserve les sujets déjà abordés.</x:v>
      </x:c>
      <x:c r="O13" s="9" t="str">
        <x:v>PL-CHR-MASON</x:v>
      </x:c>
      <x:c r="P13" s="9" t="str"/>
      <x:c r="Q13" s="9" t="str"/>
      <x:c r="R13" s="9" t="str"/>
      <x:c r="S13" s="9" t="str">
        <x:v>Sujet et intentions sont du design original, pas une transcription.</x:v>
      </x:c>
    </x:row>
    <x:row r="14" ht="82" customHeight="1">
      <x:c r="A14" s="19" t="str">
        <x:v>PL-DIA-TONI</x:v>
      </x:c>
      <x:c r="B14" s="7" t="str">
        <x:v>Capitaine Toni — échange : chaîne de commandement</x:v>
      </x:c>
      <x:c r="C14" s="15" t="str">
        <x:v>Défini</x:v>
      </x:c>
      <x:c r="D14" s="17" t="str">
        <x:v>Extrapolation</x:v>
      </x:c>
      <x:c r="E14" s="17" t="str">
        <x:v>P1</x:v>
      </x:c>
      <x:c r="F14" s="7" t="str">
        <x:v>Dialogue original à écrire, sans reproduire les répliques de la publication.</x:v>
      </x:c>
      <x:c r="G14" s="7" t="str">
        <x:v>Intentions : aborder chaîne de commandement, poser une question de clarification, puis revenir à l’objectif local.</x:v>
      </x:c>
      <x:c r="H14" s="7" t="str">
        <x:v>Trois intentions proposées : demander un fait, exprimer une réserve, clore. Débloquer un indice local sans imposer une opinion au joueur.</x:v>
      </x:c>
      <x:c r="I14" s="7" t="str">
        <x:v>Portrait Capitaine Toni, interlocuteur actif et indication de la personne qui connaît le fait.</x:v>
      </x:c>
      <x:c r="J14" s="7" t="str">
        <x:v>Pose d’écoute puis réaction sobre ; ne pas boucler une émotion pendant une pause de lecture.</x:v>
      </x:c>
      <x:c r="K14" s="7" t="str">
        <x:v>Texte intégral affiché ; éventuelle voix originale avec débit réglable, sans imitation du casting.</x:v>
      </x:c>
      <x:c r="L14" s="7" t="str">
        <x:v>Dialogue graph pl.toni.chaine-de-commandement ; drapeaux de connaissance locaux.</x:v>
      </x:c>
      <x:c r="M14"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4" s="7" t="str">
        <x:v>Aucune option ne révèle un savoir futur ; quitter puis reprendre conserve les sujets déjà abordés.</x:v>
      </x:c>
      <x:c r="O14" s="7" t="str">
        <x:v>PL-CHR-TONI</x:v>
      </x:c>
      <x:c r="P14" s="7" t="str"/>
      <x:c r="Q14" s="7" t="str"/>
      <x:c r="R14" s="7" t="str"/>
      <x:c r="S14" s="7" t="str">
        <x:v>Sujet et intentions sont du design original, pas une transcription.</x:v>
      </x:c>
    </x:row>
    <x:row r="15" ht="82" customHeight="1">
      <x:c r="A15" s="18" t="str">
        <x:v>PL-DIA-MESSNER</x:v>
      </x:c>
      <x:c r="B15" s="9" t="str">
        <x:v>Messner — échange : utilité et fiabilité</x:v>
      </x:c>
      <x:c r="C15" s="15" t="str">
        <x:v>Défini</x:v>
      </x:c>
      <x:c r="D15" s="16" t="str">
        <x:v>Extrapolation</x:v>
      </x:c>
      <x:c r="E15" s="16" t="str">
        <x:v>P1</x:v>
      </x:c>
      <x:c r="F15" s="9" t="str">
        <x:v>Dialogue original à écrire, sans reproduire les répliques de la publication.</x:v>
      </x:c>
      <x:c r="G15" s="9" t="str">
        <x:v>Intentions : aborder utilité et fiabilité, poser une question de clarification, puis revenir à l’objectif local.</x:v>
      </x:c>
      <x:c r="H15" s="9" t="str">
        <x:v>Trois intentions proposées : demander un fait, exprimer une réserve, clore. Débloquer un indice local sans imposer une opinion au joueur.</x:v>
      </x:c>
      <x:c r="I15" s="9" t="str">
        <x:v>Portrait Messner, interlocuteur actif et indication de la personne qui connaît le fait.</x:v>
      </x:c>
      <x:c r="J15" s="9" t="str">
        <x:v>Pose d’écoute puis réaction sobre ; ne pas boucler une émotion pendant une pause de lecture.</x:v>
      </x:c>
      <x:c r="K15" s="9" t="str">
        <x:v>Texte intégral affiché ; éventuelle voix originale avec débit réglable, sans imitation du casting.</x:v>
      </x:c>
      <x:c r="L15" s="9" t="str">
        <x:v>Dialogue graph pl.messner.utilite-et-fiabilite ; drapeaux de connaissance locaux.</x:v>
      </x:c>
      <x:c r="M15"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5" s="9" t="str">
        <x:v>Aucune option ne révèle un savoir futur ; quitter puis reprendre conserve les sujets déjà abordés.</x:v>
      </x:c>
      <x:c r="O15" s="9" t="str">
        <x:v>PL-CHR-MESSNER</x:v>
      </x:c>
      <x:c r="P15" s="9" t="str"/>
      <x:c r="Q15" s="9" t="str"/>
      <x:c r="R15" s="9" t="str"/>
      <x:c r="S15" s="9" t="str">
        <x:v>Sujet et intentions sont du design original, pas une transcription.</x:v>
      </x:c>
    </x:row>
    <x:row r="16" ht="82" customHeight="1">
      <x:c r="A16" s="19" t="str">
        <x:v>PL-DIA-BROOD</x:v>
      </x:c>
      <x:c r="B16" s="7" t="str">
        <x:v>Brood — échange : dette et choix personnel</x:v>
      </x:c>
      <x:c r="C16" s="15" t="str">
        <x:v>Défini</x:v>
      </x:c>
      <x:c r="D16" s="17" t="str">
        <x:v>Extrapolation</x:v>
      </x:c>
      <x:c r="E16" s="17" t="str">
        <x:v>P1</x:v>
      </x:c>
      <x:c r="F16" s="7" t="str">
        <x:v>Dialogue original à écrire, sans reproduire les répliques de la publication.</x:v>
      </x:c>
      <x:c r="G16" s="7" t="str">
        <x:v>Intentions : aborder dette et choix personnel, poser une question de clarification, puis revenir à l’objectif local.</x:v>
      </x:c>
      <x:c r="H16" s="7" t="str">
        <x:v>Trois intentions proposées : demander un fait, exprimer une réserve, clore. Débloquer un indice local sans imposer une opinion au joueur.</x:v>
      </x:c>
      <x:c r="I16" s="7" t="str">
        <x:v>Portrait Brood, interlocuteur actif et indication de la personne qui connaît le fait.</x:v>
      </x:c>
      <x:c r="J16" s="7" t="str">
        <x:v>Pose d’écoute puis réaction sobre ; ne pas boucler une émotion pendant une pause de lecture.</x:v>
      </x:c>
      <x:c r="K16" s="7" t="str">
        <x:v>Texte intégral affiché ; éventuelle voix originale avec débit réglable, sans imitation du casting.</x:v>
      </x:c>
      <x:c r="L16" s="7" t="str">
        <x:v>Dialogue graph pl.brood.dette-et-choix-personnel ; drapeaux de connaissance locaux.</x:v>
      </x:c>
      <x:c r="M16"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6" s="7" t="str">
        <x:v>Aucune option ne révèle un savoir futur ; quitter puis reprendre conserve les sujets déjà abordés.</x:v>
      </x:c>
      <x:c r="O16" s="7" t="str">
        <x:v>PL-CHR-BROOD</x:v>
      </x:c>
      <x:c r="P16" s="7" t="str"/>
      <x:c r="Q16" s="7" t="str"/>
      <x:c r="R16" s="7" t="str"/>
      <x:c r="S16" s="7" t="str">
        <x:v>Sujet et intentions sont du design original, pas une transcription.</x:v>
      </x:c>
    </x:row>
    <x:row r="17" ht="82" customHeight="1">
      <x:c r="A17" s="18" t="str">
        <x:v>PL-DIA-ARCHUK</x:v>
      </x:c>
      <x:c r="B17" s="9" t="str">
        <x:v>Archuk — échange : pression sur l’escouade</x:v>
      </x:c>
      <x:c r="C17" s="15" t="str">
        <x:v>Défini</x:v>
      </x:c>
      <x:c r="D17" s="16" t="str">
        <x:v>Extrapolation</x:v>
      </x:c>
      <x:c r="E17" s="16" t="str">
        <x:v>P1</x:v>
      </x:c>
      <x:c r="F17" s="9" t="str">
        <x:v>Dialogue original à écrire, sans reproduire les répliques de la publication.</x:v>
      </x:c>
      <x:c r="G17" s="9" t="str">
        <x:v>Intentions : aborder pression sur l’escouade, poser une question de clarification, puis revenir à l’objectif local.</x:v>
      </x:c>
      <x:c r="H17" s="9" t="str">
        <x:v>Trois intentions proposées : demander un fait, exprimer une réserve, clore. Débloquer un indice local sans imposer une opinion au joueur.</x:v>
      </x:c>
      <x:c r="I17" s="9" t="str">
        <x:v>Portrait Archuk, interlocuteur actif et indication de la personne qui connaît le fait.</x:v>
      </x:c>
      <x:c r="J17" s="9" t="str">
        <x:v>Pose d’écoute puis réaction sobre ; ne pas boucler une émotion pendant une pause de lecture.</x:v>
      </x:c>
      <x:c r="K17" s="9" t="str">
        <x:v>Texte intégral affiché ; éventuelle voix originale avec débit réglable, sans imitation du casting.</x:v>
      </x:c>
      <x:c r="L17" s="9" t="str">
        <x:v>Dialogue graph pl.archuk.pression-sur-lescouade ; drapeaux de connaissance locaux.</x:v>
      </x:c>
      <x:c r="M1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7" s="9" t="str">
        <x:v>Aucune option ne révèle un savoir futur ; quitter puis reprendre conserve les sujets déjà abordés.</x:v>
      </x:c>
      <x:c r="O17" s="9" t="str">
        <x:v>PL-CHR-ARCHUK</x:v>
      </x:c>
      <x:c r="P17" s="9" t="str"/>
      <x:c r="Q17" s="9" t="str"/>
      <x:c r="R17" s="9" t="str"/>
      <x:c r="S17" s="9" t="str">
        <x:v>Sujet et intentions sont du design original, pas une transcription.</x:v>
      </x:c>
    </x:row>
    <x:row r="18" ht="82" customHeight="1">
      <x:c r="A18" s="19" t="str">
        <x:v>PL-DIA-APRIL</x:v>
      </x:c>
      <x:c r="B18" s="7" t="str">
        <x:v>April — échange : confiance accordée à un protecteur</x:v>
      </x:c>
      <x:c r="C18" s="15" t="str">
        <x:v>Défini</x:v>
      </x:c>
      <x:c r="D18" s="17" t="str">
        <x:v>Extrapolation</x:v>
      </x:c>
      <x:c r="E18" s="17" t="str">
        <x:v>P1</x:v>
      </x:c>
      <x:c r="F18" s="7" t="str">
        <x:v>Dialogue original à écrire, sans reproduire les répliques de la publication.</x:v>
      </x:c>
      <x:c r="G18" s="7" t="str">
        <x:v>Intentions : aborder confiance accordée à un protecteur, poser une question de clarification, puis revenir à l’objectif local.</x:v>
      </x:c>
      <x:c r="H18" s="7" t="str">
        <x:v>Trois intentions proposées : demander un fait, exprimer une réserve, clore. Débloquer un indice local sans imposer une opinion au joueur.</x:v>
      </x:c>
      <x:c r="I18" s="7" t="str">
        <x:v>Portrait April, interlocuteur actif et indication de la personne qui connaît le fait.</x:v>
      </x:c>
      <x:c r="J18" s="7" t="str">
        <x:v>Pose d’écoute puis réaction sobre ; ne pas boucler une émotion pendant une pause de lecture.</x:v>
      </x:c>
      <x:c r="K18" s="7" t="str">
        <x:v>Texte intégral affiché ; éventuelle voix originale avec débit réglable, sans imitation du casting.</x:v>
      </x:c>
      <x:c r="L18" s="7" t="str">
        <x:v>Dialogue graph pl.april.confiance-accordee-a-un-protecteur ; drapeaux de connaissance locaux.</x:v>
      </x:c>
      <x:c r="M1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8" s="7" t="str">
        <x:v>Aucune option ne révèle un savoir futur ; quitter puis reprendre conserve les sujets déjà abordés.</x:v>
      </x:c>
      <x:c r="O18" s="7" t="str">
        <x:v>PL-CHR-APRIL</x:v>
      </x:c>
      <x:c r="P18" s="7" t="str"/>
      <x:c r="Q18" s="7" t="str"/>
      <x:c r="R18" s="7" t="str"/>
      <x:c r="S18" s="7" t="str">
        <x:v>Sujet et intentions sont du design original, pas une transcription.</x:v>
      </x:c>
    </x:row>
    <x:row r="19" ht="82" customHeight="1">
      <x:c r="A19" s="18" t="str">
        <x:v>PL-DIA-CHRISTINE</x:v>
      </x:c>
      <x:c r="B19" s="9" t="str">
        <x:v>Christine — échange : vie quotidienne et sécurité</x:v>
      </x:c>
      <x:c r="C19" s="15" t="str">
        <x:v>Défini</x:v>
      </x:c>
      <x:c r="D19" s="16" t="str">
        <x:v>Extrapolation</x:v>
      </x:c>
      <x:c r="E19" s="16" t="str">
        <x:v>P1</x:v>
      </x:c>
      <x:c r="F19" s="9" t="str">
        <x:v>Dialogue original à écrire, sans reproduire les répliques de la publication.</x:v>
      </x:c>
      <x:c r="G19" s="9" t="str">
        <x:v>Intentions : aborder vie quotidienne et sécurité, poser une question de clarification, puis revenir à l’objectif local.</x:v>
      </x:c>
      <x:c r="H19" s="9" t="str">
        <x:v>Trois intentions proposées : demander un fait, exprimer une réserve, clore. Débloquer un indice local sans imposer une opinion au joueur.</x:v>
      </x:c>
      <x:c r="I19" s="9" t="str">
        <x:v>Portrait Christine, interlocuteur actif et indication de la personne qui connaît le fait.</x:v>
      </x:c>
      <x:c r="J19" s="9" t="str">
        <x:v>Pose d’écoute puis réaction sobre ; ne pas boucler une émotion pendant une pause de lecture.</x:v>
      </x:c>
      <x:c r="K19" s="9" t="str">
        <x:v>Texte intégral affiché ; éventuelle voix originale avec débit réglable, sans imitation du casting.</x:v>
      </x:c>
      <x:c r="L19" s="9" t="str">
        <x:v>Dialogue graph pl.christine.vie-quotidienne-et-securite ; drapeaux de connaissance locaux.</x:v>
      </x:c>
      <x:c r="M19"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9" s="9" t="str">
        <x:v>Aucune option ne révèle un savoir futur ; quitter puis reprendre conserve les sujets déjà abordés.</x:v>
      </x:c>
      <x:c r="O19" s="9" t="str">
        <x:v>PL-CHR-CHRISTINE</x:v>
      </x:c>
      <x:c r="P19" s="9" t="str"/>
      <x:c r="Q19" s="9" t="str"/>
      <x:c r="R19" s="9" t="str"/>
      <x:c r="S19" s="9" t="str">
        <x:v>Sujet et intentions sont du design original, pas une transcription.</x:v>
      </x:c>
    </x:row>
    <x:row r="20" ht="82" customHeight="1">
      <x:c r="A20" s="19" t="str">
        <x:v>PL-DIA-HACKETT</x:v>
      </x:c>
      <x:c r="B20" s="7" t="str">
        <x:v>Steven Hackett — échange : mission accomplie et pertes</x:v>
      </x:c>
      <x:c r="C20" s="15" t="str">
        <x:v>Défini</x:v>
      </x:c>
      <x:c r="D20" s="17" t="str">
        <x:v>Extrapolation</x:v>
      </x:c>
      <x:c r="E20" s="17" t="str">
        <x:v>P1</x:v>
      </x:c>
      <x:c r="F20" s="7" t="str">
        <x:v>Dialogue original à écrire, sans reproduire les répliques de la publication.</x:v>
      </x:c>
      <x:c r="G20" s="7" t="str">
        <x:v>Intentions : aborder mission accomplie et pertes, poser une question de clarification, puis revenir à l’objectif local.</x:v>
      </x:c>
      <x:c r="H20" s="7" t="str">
        <x:v>Trois intentions proposées : demander un fait, exprimer une réserve, clore. Débloquer un indice local sans imposer une opinion au joueur.</x:v>
      </x:c>
      <x:c r="I20" s="7" t="str">
        <x:v>Portrait Steven Hackett, interlocuteur actif et indication de la personne qui connaît le fait.</x:v>
      </x:c>
      <x:c r="J20" s="7" t="str">
        <x:v>Pose d’écoute puis réaction sobre ; ne pas boucler une émotion pendant une pause de lecture.</x:v>
      </x:c>
      <x:c r="K20" s="7" t="str">
        <x:v>Texte intégral affiché ; éventuelle voix originale avec débit réglable, sans imitation du casting.</x:v>
      </x:c>
      <x:c r="L20" s="7" t="str">
        <x:v>Dialogue graph pl.hackett.mission-accomplie-et-pertes ; drapeaux de connaissance locaux.</x:v>
      </x:c>
      <x:c r="M20"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20" s="7" t="str">
        <x:v>Aucune option ne révèle un savoir futur ; quitter puis reprendre conserve les sujets déjà abordés.</x:v>
      </x:c>
      <x:c r="O20" s="7" t="str">
        <x:v>PL-CHR-HACKETT</x:v>
      </x:c>
      <x:c r="P20" s="7" t="str"/>
      <x:c r="Q20" s="7" t="str"/>
      <x:c r="R20" s="7" t="str"/>
      <x:c r="S20" s="7" t="str">
        <x:v>Sujet et intentions sont du design original, pas une transcription.</x:v>
      </x:c>
    </x:row>
    <x:row r="21" ht="82" customHeight="1">
      <x:c r="A21" s="18" t="str">
        <x:v>PL-DIA-LIARA</x:v>
      </x:c>
      <x:c r="B21" s="9" t="str">
        <x:v>Liara T’Soni — échange : interprétation d’un vestige</x:v>
      </x:c>
      <x:c r="C21" s="15" t="str">
        <x:v>Défini</x:v>
      </x:c>
      <x:c r="D21" s="16" t="str">
        <x:v>Extrapolation</x:v>
      </x:c>
      <x:c r="E21" s="16" t="str">
        <x:v>P1</x:v>
      </x:c>
      <x:c r="F21" s="9" t="str">
        <x:v>Dialogue original à écrire, sans reproduire les répliques de la publication.</x:v>
      </x:c>
      <x:c r="G21" s="9" t="str">
        <x:v>Intentions : aborder interprétation d’un vestige, poser une question de clarification, puis revenir à l’objectif local.</x:v>
      </x:c>
      <x:c r="H21" s="9" t="str">
        <x:v>Trois intentions proposées : demander un fait, exprimer une réserve, clore. Débloquer un indice local sans imposer une opinion au joueur.</x:v>
      </x:c>
      <x:c r="I21" s="9" t="str">
        <x:v>Portrait Liara T’Soni, interlocuteur actif et indication de la personne qui connaît le fait.</x:v>
      </x:c>
      <x:c r="J21" s="9" t="str">
        <x:v>Pose d’écoute puis réaction sobre ; ne pas boucler une émotion pendant une pause de lecture.</x:v>
      </x:c>
      <x:c r="K21" s="9" t="str">
        <x:v>Texte intégral affiché ; éventuelle voix originale avec débit réglable, sans imitation du casting.</x:v>
      </x:c>
      <x:c r="L21" s="9" t="str">
        <x:v>Dialogue graph pl.liara.interpretation-dun-vestige ; drapeaux de connaissance locaux.</x:v>
      </x:c>
      <x:c r="M21"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21" s="9" t="str">
        <x:v>Aucune option ne révèle un savoir futur ; quitter puis reprendre conserve les sujets déjà abordés.</x:v>
      </x:c>
      <x:c r="O21" s="9" t="str">
        <x:v>PL-CHR-LIARA</x:v>
      </x:c>
      <x:c r="P21" s="9" t="str"/>
      <x:c r="Q21" s="9" t="str"/>
      <x:c r="R21" s="9" t="str"/>
      <x:c r="S21" s="9" t="str">
        <x:v>Sujet et intentions sont du design original, pas une transcription.</x:v>
      </x:c>
    </x:row>
  </x:sheetData>
  <x:conditionalFormatting sqref="D7:D21">
    <x:cfRule type="cellIs" dxfId="48" priority="1" operator="equal">
      <x:formula>"À vérifier"</x:formula>
    </x:cfRule>
    <x:cfRule type="cellIs" dxfId="49" priority="2" operator="equal">
      <x:formula>"Extrapolation"</x:formula>
    </x:cfRule>
  </x:conditionalFormatting>
  <x:conditionalFormatting sqref="C7:C21">
    <x:cfRule type="cellIs" dxfId="50" priority="3" operator="equal">
      <x:formula>"Validé"</x:formula>
    </x:cfRule>
  </x:conditionalFormatting>
  <x:conditionalFormatting sqref="E7:E21">
    <x:cfRule type="cellIs" dxfId="51" priority="4" operator="equal">
      <x:formula>"P0"</x:formula>
    </x:cfRule>
  </x:conditionalFormatting>
  <x:dataValidations count="3">
    <x:dataValidation type="list" sqref="C7:C21">
      <x:formula1>"Défini,Prototype,Intégré,Validé"</x:formula1>
    </x:dataValidation>
    <x:dataValidation type="list" sqref="D7:D21">
      <x:formula1>"Établi,À vérifier,Extrapolation,Coupé attesté,Concept abandonné,Allégation écartée"</x:formula1>
    </x:dataValidation>
    <x:dataValidation type="list" sqref="E7:E21">
      <x:formula1>"P0,P1,P2"</x:formula1>
    </x:dataValidation>
  </x:dataValidations>
  <x:pageMargins left="0.7" right="0.7" top="0.75" bottom="0.75" header="0.3" footer="0.3"/>
  <x:tableParts count="1">
    <x:tablePart xmlns:r="http://schemas.openxmlformats.org/officeDocument/2006/relationships" r:id="R5dd44f6d0d7e45a8"/>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Paragon Lost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PL-CIN-LAND</x:v>
      </x:c>
      <x:c r="B7" s="9" t="str">
        <x:v>Rallier l’escouade — transition narrative</x:v>
      </x:c>
      <x:c r="C7" s="15" t="str">
        <x:v>Défini</x:v>
      </x:c>
      <x:c r="D7" s="16" t="str">
        <x:v>Extrapolation</x:v>
      </x:c>
      <x:c r="E7" s="16" t="str">
        <x:v>P1</x:v>
      </x:c>
      <x:c r="F7" s="9" t="str">
        <x:v>Mise en scène originale compacte, sans reconstituer les dialogues de l’œuvre.</x:v>
      </x:c>
      <x:c r="G7" s="9" t="str">
        <x:v>Plan bref de la navette endommagée puis retour aux survivants.</x:v>
      </x:c>
      <x:c r="H7" s="9" t="str">
        <x:v>Caméra et texte uniquement ; aucune commande de combat pendant la transition ; reprise au même état en cas de saut.</x:v>
      </x:c>
      <x:c r="I7" s="9" t="str">
        <x:v>Composition 3D sobre, silhouettes 2D au premier plan ; contrôler l’échelle des personnages.</x:v>
      </x:c>
      <x:c r="J7" s="9" t="str">
        <x:v>Deux ou trois plans courts proposés ; sortie anticipée applique les mêmes drapeaux que lecture complète.</x:v>
      </x:c>
      <x:c r="K7" s="9" t="str">
        <x:v>Musique originale sous les sous-titres ; aucun extrait de bande sonore officielle.</x:v>
      </x:c>
      <x:c r="L7" s="9" t="str">
        <x:v>cinematics/pl/land.timeline ; événements idempotents.</x:v>
      </x:c>
      <x:c r="M7" s="9" t="str">
        <x:v>Le contexte de 2183 est distingué du reste du film.</x:v>
      </x:c>
      <x:c r="N7" s="9" t="str">
        <x:v>Version regardée et version sautée donnent les mêmes inventaire, équipe, carte et objectifs.</x:v>
      </x:c>
      <x:c r="O7" s="9" t="str">
        <x:v>PL-MIS-LAND</x:v>
      </x:c>
      <x:c r="P7" s="9" t="str"/>
      <x:c r="Q7" s="9" t="str"/>
      <x:c r="R7" s="9" t="str"/>
      <x:c r="S7" s="9" t="str"/>
    </x:row>
    <x:row r="8" ht="54" customHeight="1">
      <x:c r="A8" s="19" t="str">
        <x:v>PL-CIN-FLANK</x:v>
      </x:c>
      <x:c r="B8" s="7" t="str">
        <x:v>Coordonner un flanc — transition narrative</x:v>
      </x:c>
      <x:c r="C8" s="15" t="str">
        <x:v>Défini</x:v>
      </x:c>
      <x:c r="D8" s="17" t="str">
        <x:v>Extrapolation</x:v>
      </x:c>
      <x:c r="E8" s="17" t="str">
        <x:v>P1</x:v>
      </x:c>
      <x:c r="F8" s="7" t="str">
        <x:v>Mise en scène originale compacte, sans reconstituer les dialogues de l’œuvre.</x:v>
      </x:c>
      <x:c r="G8" s="7" t="str">
        <x:v>Trois silhouettes se répondent sans reprendre le montage du film.</x:v>
      </x:c>
      <x:c r="H8" s="7" t="str">
        <x:v>Caméra et texte uniquement ; aucune commande de combat pendant la transition ; reprise au même état en cas de saut.</x:v>
      </x:c>
      <x:c r="I8" s="7" t="str">
        <x:v>Composition 3D sobre, silhouettes 2D au premier plan ; contrôler l’échelle des personnages.</x:v>
      </x:c>
      <x:c r="J8" s="7" t="str">
        <x:v>Deux ou trois plans courts proposés ; sortie anticipée applique les mêmes drapeaux que lecture complète.</x:v>
      </x:c>
      <x:c r="K8" s="7" t="str">
        <x:v>Musique originale sous les sous-titres ; aucun extrait de bande sonore officielle.</x:v>
      </x:c>
      <x:c r="L8" s="7" t="str">
        <x:v>cinematics/pl/flank.timeline ; événements idempotents.</x:v>
      </x:c>
      <x:c r="M8" s="7" t="str">
        <x:v>Le destin d’Archuk ne devient pas une option de recrutement.</x:v>
      </x:c>
      <x:c r="N8" s="7" t="str">
        <x:v>Version regardée et version sautée donnent les mêmes inventaire, équipe, carte et objectifs.</x:v>
      </x:c>
      <x:c r="O8" s="7" t="str">
        <x:v>PL-MIS-FLANK</x:v>
      </x:c>
      <x:c r="P8" s="7" t="str"/>
      <x:c r="Q8" s="7" t="str"/>
      <x:c r="R8" s="7" t="str"/>
      <x:c r="S8" s="7" t="str"/>
    </x:row>
    <x:row r="9" ht="54" customHeight="1">
      <x:c r="A9" s="18" t="str">
        <x:v>PL-CIN-CARE</x:v>
      </x:c>
      <x:c r="B9" s="9" t="str">
        <x:v>Entretenir la défense d’une colonie — transition narrative</x:v>
      </x:c>
      <x:c r="C9" s="15" t="str">
        <x:v>Défini</x:v>
      </x:c>
      <x:c r="D9" s="16" t="str">
        <x:v>Extrapolation</x:v>
      </x:c>
      <x:c r="E9" s="16" t="str">
        <x:v>P1</x:v>
      </x:c>
      <x:c r="F9" s="9" t="str">
        <x:v>Mise en scène originale compacte, sans reconstituer les dialogues de l’œuvre.</x:v>
      </x:c>
      <x:c r="G9" s="9" t="str">
        <x:v>Transition temporelle lisible vers une colonie remise en état.</x:v>
      </x:c>
      <x:c r="H9" s="9" t="str">
        <x:v>Caméra et texte uniquement ; aucune commande de combat pendant la transition ; reprise au même état en cas de saut.</x:v>
      </x:c>
      <x:c r="I9" s="9" t="str">
        <x:v>Composition 3D sobre, silhouettes 2D au premier plan ; contrôler l’échelle des personnages.</x:v>
      </x:c>
      <x:c r="J9" s="9" t="str">
        <x:v>Deux ou trois plans courts proposés ; sortie anticipée applique les mêmes drapeaux que lecture complète.</x:v>
      </x:c>
      <x:c r="K9" s="9" t="str">
        <x:v>Musique originale sous les sous-titres ; aucun extrait de bande sonore officielle.</x:v>
      </x:c>
      <x:c r="L9" s="9" t="str">
        <x:v>cinematics/pl/care.timeline ; événements idempotents.</x:v>
      </x:c>
      <x:c r="M9" s="9" t="str">
        <x:v>Aucun risque imposé à April comme mini-jeu.</x:v>
      </x:c>
      <x:c r="N9" s="9" t="str">
        <x:v>Version regardée et version sautée donnent les mêmes inventaire, équipe, carte et objectifs.</x:v>
      </x:c>
      <x:c r="O9" s="9" t="str">
        <x:v>PL-MIS-CARE</x:v>
      </x:c>
      <x:c r="P9" s="9" t="str"/>
      <x:c r="Q9" s="9" t="str"/>
      <x:c r="R9" s="9" t="str"/>
      <x:c r="S9" s="9" t="str"/>
    </x:row>
    <x:row r="10" ht="54" customHeight="1">
      <x:c r="A10" s="19" t="str">
        <x:v>PL-CIN-SIGNAL</x:v>
      </x:c>
      <x:c r="B10" s="7" t="str">
        <x:v>Délimiter un signal inconnu — transition narrative</x:v>
      </x:c>
      <x:c r="C10" s="15" t="str">
        <x:v>Défini</x:v>
      </x:c>
      <x:c r="D10" s="17" t="str">
        <x:v>Extrapolation</x:v>
      </x:c>
      <x:c r="E10" s="17" t="str">
        <x:v>P1</x:v>
      </x:c>
      <x:c r="F10" s="7" t="str">
        <x:v>Mise en scène originale compacte, sans reconstituer les dialogues de l’œuvre.</x:v>
      </x:c>
      <x:c r="G10" s="7" t="str">
        <x:v>Silhouette du Mako près des vestiges et message de liaison court.</x:v>
      </x:c>
      <x:c r="H10" s="7" t="str">
        <x:v>Caméra et texte uniquement ; aucune commande de combat pendant la transition ; reprise au même état en cas de saut.</x:v>
      </x:c>
      <x:c r="I10" s="7" t="str">
        <x:v>Composition 3D sobre, silhouettes 2D au premier plan ; contrôler l’échelle des personnages.</x:v>
      </x:c>
      <x:c r="J10" s="7" t="str">
        <x:v>Deux ou trois plans courts proposés ; sortie anticipée applique les mêmes drapeaux que lecture complète.</x:v>
      </x:c>
      <x:c r="K10" s="7" t="str">
        <x:v>Musique originale sous les sous-titres ; aucun extrait de bande sonore officielle.</x:v>
      </x:c>
      <x:c r="L10" s="7" t="str">
        <x:v>cinematics/pl/signal.timeline ; événements idempotents.</x:v>
      </x:c>
      <x:c r="M10" s="7" t="str">
        <x:v>Liara reste une interlocutrice distante.</x:v>
      </x:c>
      <x:c r="N10" s="7" t="str">
        <x:v>Version regardée et version sautée donnent les mêmes inventaire, équipe, carte et objectifs.</x:v>
      </x:c>
      <x:c r="O10" s="7" t="str">
        <x:v>PL-MIS-SIGNAL</x:v>
      </x:c>
      <x:c r="P10" s="7" t="str"/>
      <x:c r="Q10" s="7" t="str"/>
      <x:c r="R10" s="7" t="str"/>
      <x:c r="S10" s="7" t="str"/>
    </x:row>
    <x:row r="11" ht="54" customHeight="1">
      <x:c r="A11" s="18" t="str">
        <x:v>PL-CIN-CANNON</x:v>
      </x:c>
      <x:c r="B11" s="9" t="str">
        <x:v>Garder une issue de repli — transition narrative</x:v>
      </x:c>
      <x:c r="C11" s="15" t="str">
        <x:v>Défini</x:v>
      </x:c>
      <x:c r="D11" s="16" t="str">
        <x:v>Extrapolation</x:v>
      </x:c>
      <x:c r="E11" s="16" t="str">
        <x:v>P1</x:v>
      </x:c>
      <x:c r="F11" s="9" t="str">
        <x:v>Mise en scène originale compacte, sans reconstituer les dialogues de l’œuvre.</x:v>
      </x:c>
      <x:c r="G11" s="9" t="str">
        <x:v>La caméra montre les personnes avant la machine.</x:v>
      </x:c>
      <x:c r="H11" s="9" t="str">
        <x:v>Caméra et texte uniquement ; aucune commande de combat pendant la transition ; reprise au même état en cas de saut.</x:v>
      </x:c>
      <x:c r="I11" s="9" t="str">
        <x:v>Composition 3D sobre, silhouettes 2D au premier plan ; contrôler l’échelle des personnages.</x:v>
      </x:c>
      <x:c r="J11" s="9" t="str">
        <x:v>Deux ou trois plans courts proposés ; sortie anticipée applique les mêmes drapeaux que lecture complète.</x:v>
      </x:c>
      <x:c r="K11" s="9" t="str">
        <x:v>Musique originale sous les sous-titres ; aucun extrait de bande sonore officielle.</x:v>
      </x:c>
      <x:c r="L11" s="9" t="str">
        <x:v>cinematics/pl/cannon.timeline ; événements idempotents.</x:v>
      </x:c>
      <x:c r="M11" s="9" t="str">
        <x:v>Ne pas créer un tir parfait qui annule l’attaque canonique.</x:v>
      </x:c>
      <x:c r="N11" s="9" t="str">
        <x:v>Version regardée et version sautée donnent les mêmes inventaire, équipe, carte et objectifs.</x:v>
      </x:c>
      <x:c r="O11" s="9" t="str">
        <x:v>PL-MIS-CANNON</x:v>
      </x:c>
      <x:c r="P11" s="9" t="str"/>
      <x:c r="Q11" s="9" t="str"/>
      <x:c r="R11" s="9" t="str"/>
      <x:c r="S11" s="9" t="str"/>
    </x:row>
    <x:row r="12" ht="54" customHeight="1">
      <x:c r="A12" s="19" t="str">
        <x:v>PL-CIN-REFUGE</x:v>
      </x:c>
      <x:c r="B12" s="7" t="str">
        <x:v>Tenir les portes du refuge — transition narrative</x:v>
      </x:c>
      <x:c r="C12" s="15" t="str">
        <x:v>Défini</x:v>
      </x:c>
      <x:c r="D12" s="17" t="str">
        <x:v>Extrapolation</x:v>
      </x:c>
      <x:c r="E12" s="17" t="str">
        <x:v>P1</x:v>
      </x:c>
      <x:c r="F12" s="7" t="str">
        <x:v>Mise en scène originale compacte, sans reconstituer les dialogues de l’œuvre.</x:v>
      </x:c>
      <x:c r="G12" s="7" t="str">
        <x:v>La porte lourde réduit le bruit extérieur, sans apaisement complet.</x:v>
      </x:c>
      <x:c r="H12" s="7" t="str">
        <x:v>Caméra et texte uniquement ; aucune commande de combat pendant la transition ; reprise au même état en cas de saut.</x:v>
      </x:c>
      <x:c r="I12" s="7" t="str">
        <x:v>Composition 3D sobre, silhouettes 2D au premier plan ; contrôler l’échelle des personnages.</x:v>
      </x:c>
      <x:c r="J12" s="7" t="str">
        <x:v>Deux ou trois plans courts proposés ; sortie anticipée applique les mêmes drapeaux que lecture complète.</x:v>
      </x:c>
      <x:c r="K12" s="7" t="str">
        <x:v>Musique originale sous les sous-titres ; aucun extrait de bande sonore officielle.</x:v>
      </x:c>
      <x:c r="L12" s="7" t="str">
        <x:v>cinematics/pl/refuge.timeline ; événements idempotents.</x:v>
      </x:c>
      <x:c r="M12" s="7" t="str">
        <x:v>Présence et pertes de l’équipe doivent suivre les fenêtres du film.</x:v>
      </x:c>
      <x:c r="N12" s="7" t="str">
        <x:v>Version regardée et version sautée donnent les mêmes inventaire, équipe, carte et objectifs.</x:v>
      </x:c>
      <x:c r="O12" s="7" t="str">
        <x:v>PL-MIS-REFUGE</x:v>
      </x:c>
      <x:c r="P12" s="7" t="str"/>
      <x:c r="Q12" s="7" t="str"/>
      <x:c r="R12" s="7" t="str"/>
      <x:c r="S12" s="7" t="str"/>
    </x:row>
    <x:row r="13" ht="54" customHeight="1">
      <x:c r="A13" s="18" t="str">
        <x:v>PL-CIN-BOARD</x:v>
      </x:c>
      <x:c r="B13" s="9" t="str">
        <x:v>Préparer un abordage local — transition narrative</x:v>
      </x:c>
      <x:c r="C13" s="15" t="str">
        <x:v>Défini</x:v>
      </x:c>
      <x:c r="D13" s="16" t="str">
        <x:v>Extrapolation</x:v>
      </x:c>
      <x:c r="E13" s="16" t="str">
        <x:v>P1</x:v>
      </x:c>
      <x:c r="F13" s="9" t="str">
        <x:v>Mise en scène originale compacte, sans reconstituer les dialogues de l’œuvre.</x:v>
      </x:c>
      <x:c r="G13" s="9" t="str">
        <x:v>Un plan extérieur original situe l’échelle des deux vaisseaux.</x:v>
      </x:c>
      <x:c r="H13" s="9" t="str">
        <x:v>Caméra et texte uniquement ; aucune commande de combat pendant la transition ; reprise au même état en cas de saut.</x:v>
      </x:c>
      <x:c r="I13" s="9" t="str">
        <x:v>Composition 3D sobre, silhouettes 2D au premier plan ; contrôler l’échelle des personnages.</x:v>
      </x:c>
      <x:c r="J13" s="9" t="str">
        <x:v>Deux ou trois plans courts proposés ; sortie anticipée applique les mêmes drapeaux que lecture complète.</x:v>
      </x:c>
      <x:c r="K13" s="9" t="str">
        <x:v>Musique originale sous les sous-titres ; aucun extrait de bande sonore officielle.</x:v>
      </x:c>
      <x:c r="L13" s="9" t="str">
        <x:v>cinematics/pl/board.timeline ; événements idempotents.</x:v>
      </x:c>
      <x:c r="M13" s="9" t="str">
        <x:v>L’issue ne supprime pas les événements ultérieurs du film.</x:v>
      </x:c>
      <x:c r="N13" s="9" t="str">
        <x:v>Version regardée et version sautée donnent les mêmes inventaire, équipe, carte et objectifs.</x:v>
      </x:c>
      <x:c r="O13" s="9" t="str">
        <x:v>PL-MIS-BOARD</x:v>
      </x:c>
      <x:c r="P13" s="9" t="str"/>
      <x:c r="Q13" s="9" t="str"/>
      <x:c r="R13" s="9" t="str"/>
      <x:c r="S13" s="9" t="str"/>
    </x:row>
    <x:row r="14" ht="54" customHeight="1">
      <x:c r="A14" s="19" t="str">
        <x:v>PL-CIN-INTEL</x:v>
      </x:c>
      <x:c r="B14" s="7" t="str">
        <x:v>Protéger une information sous pression — transition narrative</x:v>
      </x:c>
      <x:c r="C14" s="15" t="str">
        <x:v>Défini</x:v>
      </x:c>
      <x:c r="D14" s="17" t="str">
        <x:v>Extrapolation</x:v>
      </x:c>
      <x:c r="E14" s="17" t="str">
        <x:v>P1</x:v>
      </x:c>
      <x:c r="F14" s="7" t="str">
        <x:v>Mise en scène originale compacte, sans reconstituer les dialogues de l’œuvre.</x:v>
      </x:c>
      <x:c r="G14" s="7" t="str">
        <x:v>Le bracelet devient un repère visuel, sans reproduire le contenu intégral de l’archive.</x:v>
      </x:c>
      <x:c r="H14" s="7" t="str">
        <x:v>Caméra et texte uniquement ; aucune commande de combat pendant la transition ; reprise au même état en cas de saut.</x:v>
      </x:c>
      <x:c r="I14" s="7" t="str">
        <x:v>Composition 3D sobre, silhouettes 2D au premier plan ; contrôler l’échelle des personnages.</x:v>
      </x:c>
      <x:c r="J14" s="7" t="str">
        <x:v>Deux ou trois plans courts proposés ; sortie anticipée applique les mêmes drapeaux que lecture complète.</x:v>
      </x:c>
      <x:c r="K14" s="7" t="str">
        <x:v>Musique originale sous les sous-titres ; aucun extrait de bande sonore officielle.</x:v>
      </x:c>
      <x:c r="L14" s="7" t="str">
        <x:v>cinematics/pl/intel.timeline ; événements idempotents.</x:v>
      </x:c>
      <x:c r="M14" s="7" t="str">
        <x:v>La décision finale de Vega reste celle du film ; pas de fin parfaite.</x:v>
      </x:c>
      <x:c r="N14" s="7" t="str">
        <x:v>Version regardée et version sautée donnent les mêmes inventaire, équipe, carte et objectifs.</x:v>
      </x:c>
      <x:c r="O14" s="7" t="str">
        <x:v>PL-MIS-INTEL</x:v>
      </x:c>
      <x:c r="P14" s="7" t="str"/>
      <x:c r="Q14" s="7" t="str"/>
      <x:c r="R14" s="7" t="str"/>
      <x:c r="S14" s="7" t="str"/>
    </x:row>
    <x:row r="15" ht="54" customHeight="1">
      <x:c r="A15" s="18" t="str">
        <x:v>PL-CIN-REMEMBER</x:v>
      </x:c>
      <x:c r="B15" s="9" t="str">
        <x:v>Rendre compte des absents — transition narrative</x:v>
      </x:c>
      <x:c r="C15" s="15" t="str">
        <x:v>Défini</x:v>
      </x:c>
      <x:c r="D15" s="16" t="str">
        <x:v>Extrapolation</x:v>
      </x:c>
      <x:c r="E15" s="16" t="str">
        <x:v>P1</x:v>
      </x:c>
      <x:c r="F15" s="9" t="str">
        <x:v>Mise en scène originale compacte, sans reconstituer les dialogues de l’œuvre.</x:v>
      </x:c>
      <x:c r="G15" s="9" t="str">
        <x:v>Plan fixe sur les survivants espacés près du mémorial.</x:v>
      </x:c>
      <x:c r="H15" s="9" t="str">
        <x:v>Caméra et texte uniquement ; aucune commande de combat pendant la transition ; reprise au même état en cas de saut.</x:v>
      </x:c>
      <x:c r="I15" s="9" t="str">
        <x:v>Composition 3D sobre, silhouettes 2D au premier plan ; contrôler l’échelle des personnages.</x:v>
      </x:c>
      <x:c r="J15" s="9" t="str">
        <x:v>Deux ou trois plans courts proposés ; sortie anticipée applique les mêmes drapeaux que lecture complète.</x:v>
      </x:c>
      <x:c r="K15" s="9" t="str">
        <x:v>Musique originale sous les sous-titres ; aucun extrait de bande sonore officielle.</x:v>
      </x:c>
      <x:c r="L15" s="9" t="str">
        <x:v>cinematics/pl/remember.timeline ; événements idempotents.</x:v>
      </x:c>
      <x:c r="M15" s="9" t="str">
        <x:v>Ni résurrection, ni score de victoire basé sur les victimes.</x:v>
      </x:c>
      <x:c r="N15" s="9" t="str">
        <x:v>Version regardée et version sautée donnent les mêmes inventaire, équipe, carte et objectifs.</x:v>
      </x:c>
      <x:c r="O15" s="9" t="str">
        <x:v>PL-MIS-REMEMBER</x:v>
      </x:c>
      <x:c r="P15" s="9" t="str"/>
      <x:c r="Q15" s="9" t="str"/>
      <x:c r="R15" s="9" t="str"/>
      <x:c r="S15" s="9" t="str"/>
    </x:row>
  </x:sheetData>
  <x:conditionalFormatting sqref="D7:D15">
    <x:cfRule type="cellIs" dxfId="52" priority="1" operator="equal">
      <x:formula>"À vérifier"</x:formula>
    </x:cfRule>
    <x:cfRule type="cellIs" dxfId="53" priority="2" operator="equal">
      <x:formula>"Extrapolation"</x:formula>
    </x:cfRule>
  </x:conditionalFormatting>
  <x:conditionalFormatting sqref="C7:C15">
    <x:cfRule type="cellIs" dxfId="54" priority="3" operator="equal">
      <x:formula>"Validé"</x:formula>
    </x:cfRule>
  </x:conditionalFormatting>
  <x:conditionalFormatting sqref="E7:E15">
    <x:cfRule type="cellIs" dxfId="55" priority="4" operator="equal">
      <x:formula>"P0"</x:formula>
    </x:cfRule>
  </x:conditionalFormatting>
  <x:dataValidations count="3">
    <x:dataValidation type="list" sqref="C7:C15">
      <x:formula1>"Défini,Prototype,Intégré,Validé"</x:formula1>
    </x:dataValidation>
    <x:dataValidation type="list" sqref="D7:D15">
      <x:formula1>"Établi,À vérifier,Extrapolation,Coupé attesté,Concept abandonné,Allégation écartée"</x:formula1>
    </x:dataValidation>
    <x:dataValidation type="list" sqref="E7:E15">
      <x:formula1>"P0,P1,P2"</x:formula1>
    </x:dataValidation>
  </x:dataValidations>
  <x:pageMargins left="0.7" right="0.7" top="0.75" bottom="0.75" header="0.3" footer="0.3"/>
  <x:tableParts count="1">
    <x:tablePart xmlns:r="http://schemas.openxmlformats.org/officeDocument/2006/relationships" r:id="Rdaeb2a80311842b2"/>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Paragon Lost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PL-REF-CANNON</x:v>
      </x:c>
      <x:c r="B7" s="9" t="str">
        <x:v>Canon de défense de la colonie</x:v>
      </x:c>
      <x:c r="C7" s="15" t="str">
        <x:v>Défini</x:v>
      </x:c>
      <x:c r="D7" s="16" t="str">
        <x:v>Établi</x:v>
      </x:c>
      <x:c r="E7" s="16" t="str">
        <x:v>P1</x:v>
      </x:c>
      <x:c r="F7" s="9" t="str">
        <x:v>Un canon antinavire équipe les défenses de Fehl Prime.</x:v>
      </x:c>
      <x:c r="G7" s="9" t="str">
        <x:v>Ancrage documentaire du module ; aucune statistique officielle inférée.</x:v>
      </x:c>
      <x:c r="H7" s="9" t="str"/>
      <x:c r="I7" s="9" t="str"/>
      <x:c r="J7" s="9" t="str"/>
      <x:c r="K7" s="9" t="str"/>
      <x:c r="L7" s="9" t="str">
        <x:v>Codex ref.pl.cannon ; affichage bref avec source.</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PL-SRC-WIKI</x:v>
      </x:c>
      <x:c r="R7" s="9" t="str">
        <x:v>https://masseffect.fandom.com/wiki/Mass_Effect:_Paragon_Lost</x:v>
      </x:c>
      <x:c r="S7" s="9" t="str">
        <x:v>Ce relevé n’est ni un inventaire exhaustif ni un résumé scène par scène.</x:v>
      </x:c>
    </x:row>
    <x:row r="8" ht="82" customHeight="1">
      <x:c r="A8" s="19" t="str">
        <x:v>PL-REF-SNIPER</x:v>
      </x:c>
      <x:c r="B8" s="7" t="str">
        <x:v>Fusil de précision de Milque</x:v>
      </x:c>
      <x:c r="C8" s="15" t="str">
        <x:v>Défini</x:v>
      </x:c>
      <x:c r="D8" s="17" t="str">
        <x:v>Établi</x:v>
      </x:c>
      <x:c r="E8" s="17" t="str">
        <x:v>P1</x:v>
      </x:c>
      <x:c r="F8" s="7" t="str">
        <x:v>Milque fournit un appui à longue portée.</x:v>
      </x:c>
      <x:c r="G8" s="7" t="str">
        <x:v>Ancrage documentaire du module ; aucune statistique officielle inférée.</x:v>
      </x:c>
      <x:c r="H8" s="7" t="str"/>
      <x:c r="I8" s="7" t="str"/>
      <x:c r="J8" s="7" t="str"/>
      <x:c r="K8" s="7" t="str"/>
      <x:c r="L8" s="7" t="str">
        <x:v>Codex ref.pl.sniper ; affichage bref avec source.</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PL-SRC-WIKI</x:v>
      </x:c>
      <x:c r="R8" s="7" t="str">
        <x:v>https://masseffect.fandom.com/wiki/Mass_Effect:_Paragon_Lost</x:v>
      </x:c>
      <x:c r="S8" s="7" t="str">
        <x:v>Ce relevé n’est ni un inventaire exhaustif ni un résumé scène par scène.</x:v>
      </x:c>
    </x:row>
  </x:sheetData>
  <x:conditionalFormatting sqref="D7:D8">
    <x:cfRule type="cellIs" dxfId="56" priority="1" operator="equal">
      <x:formula>"À vérifier"</x:formula>
    </x:cfRule>
    <x:cfRule type="cellIs" dxfId="57" priority="2" operator="equal">
      <x:formula>"Extrapolation"</x:formula>
    </x:cfRule>
  </x:conditionalFormatting>
  <x:conditionalFormatting sqref="C7:C8">
    <x:cfRule type="cellIs" dxfId="58" priority="3" operator="equal">
      <x:formula>"Validé"</x:formula>
    </x:cfRule>
  </x:conditionalFormatting>
  <x:conditionalFormatting sqref="E7:E8">
    <x:cfRule type="cellIs" dxfId="59"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9ca1b5af85834712"/>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Paragon Lost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PL-REF-MAKO</x:v>
      </x:c>
      <x:c r="B7" s="9" t="str">
        <x:v>M35 Mako</x:v>
      </x:c>
      <x:c r="C7" s="15" t="str">
        <x:v>Défini</x:v>
      </x:c>
      <x:c r="D7" s="16" t="str">
        <x:v>Établi</x:v>
      </x:c>
      <x:c r="E7" s="16" t="str">
        <x:v>P1</x:v>
      </x:c>
      <x:c r="F7" s="9" t="str">
        <x:v>Messner fournit le véhicule pour le déplacement vers les ruines.</x:v>
      </x:c>
      <x:c r="G7" s="9" t="str">
        <x:v>Ancrage documentaire du module ; aucune statistique officielle inférée.</x:v>
      </x:c>
      <x:c r="H7" s="9" t="str"/>
      <x:c r="I7" s="9" t="str"/>
      <x:c r="J7" s="9" t="str"/>
      <x:c r="K7" s="9" t="str"/>
      <x:c r="L7" s="9" t="str">
        <x:v>Codex ref.pl.mako ; affichage bref avec source.</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PL-SRC-MAKO</x:v>
      </x:c>
      <x:c r="R7" s="9" t="str">
        <x:v>https://masseffect.fandom.com/wiki/M35_Mako</x:v>
      </x:c>
      <x:c r="S7" s="9" t="str">
        <x:v>Ce relevé n’est ni un inventaire exhaustif ni un résumé scène par scène.</x:v>
      </x:c>
    </x:row>
    <x:row r="8" ht="82" customHeight="1">
      <x:c r="A8" s="19" t="str">
        <x:v>PL-REF-BROODSHIP</x:v>
      </x:c>
      <x:c r="B8" s="7" t="str">
        <x:v>Vaisseau de Brood</x:v>
      </x:c>
      <x:c r="C8" s="15" t="str">
        <x:v>Défini</x:v>
      </x:c>
      <x:c r="D8" s="17" t="str">
        <x:v>Établi</x:v>
      </x:c>
      <x:c r="E8" s="17" t="str">
        <x:v>P1</x:v>
      </x:c>
      <x:c r="F8" s="7" t="str">
        <x:v>Il sert au passage vers le vaisseau des Récolteurs.</x:v>
      </x:c>
      <x:c r="G8" s="7" t="str">
        <x:v>Ancrage documentaire du module ; aucune statistique officielle inférée.</x:v>
      </x:c>
      <x:c r="H8" s="7" t="str"/>
      <x:c r="I8" s="7" t="str"/>
      <x:c r="J8" s="7" t="str"/>
      <x:c r="K8" s="7" t="str"/>
      <x:c r="L8" s="7" t="str">
        <x:v>Codex ref.pl.broodship ; affichage bref avec source.</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PL-SRC-BROOD</x:v>
      </x:c>
      <x:c r="R8" s="7" t="str">
        <x:v>https://masseffect.fandom.com/wiki/Brood</x:v>
      </x:c>
      <x:c r="S8" s="7" t="str">
        <x:v>Ce relevé n’est ni un inventaire exhaustif ni un résumé scène par scène.</x:v>
      </x:c>
    </x:row>
  </x:sheetData>
  <x:conditionalFormatting sqref="D7:D8">
    <x:cfRule type="cellIs" dxfId="60" priority="1" operator="equal">
      <x:formula>"À vérifier"</x:formula>
    </x:cfRule>
    <x:cfRule type="cellIs" dxfId="61" priority="2" operator="equal">
      <x:formula>"Extrapolation"</x:formula>
    </x:cfRule>
  </x:conditionalFormatting>
  <x:conditionalFormatting sqref="C7:C8">
    <x:cfRule type="cellIs" dxfId="62" priority="3" operator="equal">
      <x:formula>"Validé"</x:formula>
    </x:cfRule>
  </x:conditionalFormatting>
  <x:conditionalFormatting sqref="E7:E8">
    <x:cfRule type="cellIs" dxfId="6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bee2165fb0114614"/>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Paragon Lost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PL-REF-DRONE</x:v>
      </x:c>
      <x:c r="B7" s="9" t="str">
        <x:v>Drone de combat de Nicky</x:v>
      </x:c>
      <x:c r="C7" s="15" t="str">
        <x:v>Défini</x:v>
      </x:c>
      <x:c r="D7" s="16" t="str">
        <x:v>Établi</x:v>
      </x:c>
      <x:c r="E7" s="16" t="str">
        <x:v>P1</x:v>
      </x:c>
      <x:c r="F7" s="9" t="str">
        <x:v>Le spécialiste déploie un drone pendant l’affrontement initial.</x:v>
      </x:c>
      <x:c r="G7" s="9" t="str">
        <x:v>Ancrage documentaire du module ; aucune statistique officielle inférée.</x:v>
      </x:c>
      <x:c r="H7" s="9" t="str"/>
      <x:c r="I7" s="9" t="str"/>
      <x:c r="J7" s="9" t="str"/>
      <x:c r="K7" s="9" t="str"/>
      <x:c r="L7" s="9" t="str">
        <x:v>Codex ref.pl.drone ; affichage bref avec source.</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PL-SRC-NICKY</x:v>
      </x:c>
      <x:c r="R7" s="9" t="str">
        <x:v>https://masseffect.fandom.com/wiki/Nicky</x:v>
      </x:c>
      <x:c r="S7" s="9" t="str">
        <x:v>Ce relevé n’est ni un inventaire exhaustif ni un résumé scène par scène.</x:v>
      </x:c>
    </x:row>
    <x:row r="8" ht="82" customHeight="1">
      <x:c r="A8" s="19" t="str">
        <x:v>PL-REF-BIO</x:v>
      </x:c>
      <x:c r="B8" s="7" t="str">
        <x:v>Biotique d’Essex</x:v>
      </x:c>
      <x:c r="C8" s="15" t="str">
        <x:v>Défini</x:v>
      </x:c>
      <x:c r="D8" s="17" t="str">
        <x:v>Établi</x:v>
      </x:c>
      <x:c r="E8" s="17" t="str">
        <x:v>P1</x:v>
      </x:c>
      <x:c r="F8" s="7" t="str">
        <x:v>Essex emploie la biotique dans le film.</x:v>
      </x:c>
      <x:c r="G8" s="7" t="str">
        <x:v>Ancrage documentaire du module ; aucune statistique officielle inférée.</x:v>
      </x:c>
      <x:c r="H8" s="7" t="str"/>
      <x:c r="I8" s="7" t="str"/>
      <x:c r="J8" s="7" t="str"/>
      <x:c r="K8" s="7" t="str"/>
      <x:c r="L8" s="7" t="str">
        <x:v>Codex ref.pl.bio ; affichage bref avec source.</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PL-SRC-WIKI</x:v>
      </x:c>
      <x:c r="R8" s="7" t="str">
        <x:v>https://masseffect.fandom.com/wiki/Mass_Effect:_Paragon_Lost</x:v>
      </x:c>
      <x:c r="S8" s="7" t="str">
        <x:v>Ce relevé n’est ni un inventaire exhaustif ni un résumé scène par scène.</x:v>
      </x:c>
    </x:row>
  </x:sheetData>
  <x:conditionalFormatting sqref="D7:D8">
    <x:cfRule type="cellIs" dxfId="64" priority="1" operator="equal">
      <x:formula>"À vérifier"</x:formula>
    </x:cfRule>
    <x:cfRule type="cellIs" dxfId="65" priority="2" operator="equal">
      <x:formula>"Extrapolation"</x:formula>
    </x:cfRule>
  </x:conditionalFormatting>
  <x:conditionalFormatting sqref="C7:C8">
    <x:cfRule type="cellIs" dxfId="66" priority="3" operator="equal">
      <x:formula>"Validé"</x:formula>
    </x:cfRule>
  </x:conditionalFormatting>
  <x:conditionalFormatting sqref="E7:E8">
    <x:cfRule type="cellIs" dxfId="67"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f1355b632f6d45c4"/>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Paragon Lost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PL-MOV-COMMAND</x:v>
      </x:c>
      <x:c r="B7" s="9" t="str">
        <x:v>Coordination Delta</x:v>
      </x:c>
      <x:c r="C7" s="15" t="str">
        <x:v>Défini</x:v>
      </x:c>
      <x:c r="D7" s="16" t="str">
        <x:v>Extrapolation</x:v>
      </x:c>
      <x:c r="E7" s="16" t="str">
        <x:v>P1</x:v>
      </x:c>
      <x:c r="F7" s="9" t="str">
        <x:v>Action de groupe originale ; elle n’est pas une compétence officielle de cette œuvre.</x:v>
      </x:c>
      <x:c r="G7" s="9" t="str">
        <x:v>Vega : Accorder une fenêtre de déplacement à un allié en concentrant l’appui de l’équipe.</x:v>
      </x:c>
      <x:c r="H7" s="9" t="str">
        <x:v>Accorder une fenêtre de déplacement à un allié en concentrant l’appui de l’équipe. Coût initial proposé : une action ATB ; coût et délai restent des paramètres de prototype.</x:v>
      </x:c>
      <x:c r="I7" s="9" t="str">
        <x:v>Flèches entre les deux acteurs concernés.</x:v>
      </x:c>
      <x:c r="J7" s="9" t="str">
        <x:v>Préparation, validation de cible, engagement et récupération ; prévoir animation de refus avec motif.</x:v>
      </x:c>
      <x:c r="K7" s="9" t="str">
        <x:v>Confirmation et refus distingués ; texte d’état accessible au clavier.</x:v>
      </x:c>
      <x:c r="L7" s="9" t="str">
        <x:v>actions/pl/command.json ; commande, cibles autorisées, coût, effets, nettoyage.</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Une cible incompatible ne consomme rien ; l’effet est réversible au rechargement du point de contrôle.</x:v>
      </x:c>
      <x:c r="O7" s="9" t="str"/>
      <x:c r="P7" s="9" t="str"/>
      <x:c r="Q7" s="9" t="str"/>
      <x:c r="R7" s="9" t="str"/>
      <x:c r="S7" s="9" t="str"/>
    </x:row>
    <x:row r="8" ht="82" customHeight="1">
      <x:c r="A8" s="19" t="str">
        <x:v>PL-MOV-DRONE</x:v>
      </x:c>
      <x:c r="B8" s="7" t="str">
        <x:v>Diversion de drone</x:v>
      </x:c>
      <x:c r="C8" s="15" t="str">
        <x:v>Défini</x:v>
      </x:c>
      <x:c r="D8" s="17" t="str">
        <x:v>Extrapolation</x:v>
      </x:c>
      <x:c r="E8" s="17" t="str">
        <x:v>P1</x:v>
      </x:c>
      <x:c r="F8" s="7" t="str">
        <x:v>Action de groupe originale ; elle n’est pas une compétence officielle de cette œuvre.</x:v>
      </x:c>
      <x:c r="G8" s="7" t="str">
        <x:v>Nicky : Déployer un leurre de combat temporaire dans une zone choisie ; durée réglage proposé.</x:v>
      </x:c>
      <x:c r="H8" s="7" t="str">
        <x:v>Déployer un leurre de combat temporaire dans une zone choisie ; durée réglage proposé. Coût initial proposé : une action ATB ; coût et délai restent des paramètres de prototype.</x:v>
      </x:c>
      <x:c r="I8" s="7" t="str">
        <x:v>Drone distinct de l’ennemi et aire d’influence.</x:v>
      </x:c>
      <x:c r="J8" s="7" t="str">
        <x:v>Préparation, validation de cible, engagement et récupération ; prévoir animation de refus avec motif.</x:v>
      </x:c>
      <x:c r="K8" s="7" t="str">
        <x:v>Confirmation et refus distingués ; texte d’état accessible au clavier.</x:v>
      </x:c>
      <x:c r="L8" s="7" t="str">
        <x:v>actions/pl/drone.json ; commande, cibles autorisées, coût, effets, nettoyage.</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Une cible incompatible ne consomme rien ; l’effet est réversible au rechargement du point de contrôle.</x:v>
      </x:c>
      <x:c r="O8" s="7" t="str"/>
      <x:c r="P8" s="7" t="str"/>
      <x:c r="Q8" s="7" t="str"/>
      <x:c r="R8" s="7" t="str"/>
      <x:c r="S8" s="7" t="str"/>
    </x:row>
    <x:row r="9" ht="82" customHeight="1">
      <x:c r="A9" s="18" t="str">
        <x:v>PL-MOV-SNIPE</x:v>
      </x:c>
      <x:c r="B9" s="9" t="str">
        <x:v>Appui de précision</x:v>
      </x:c>
      <x:c r="C9" s="15" t="str">
        <x:v>Défini</x:v>
      </x:c>
      <x:c r="D9" s="16" t="str">
        <x:v>Extrapolation</x:v>
      </x:c>
      <x:c r="E9" s="16" t="str">
        <x:v>P1</x:v>
      </x:c>
      <x:c r="F9" s="9" t="str">
        <x:v>Action de groupe originale ; elle n’est pas une compétence officielle de cette œuvre.</x:v>
      </x:c>
      <x:c r="G9" s="9" t="str">
        <x:v>Milque : Préparer un tir pour interrompre une menace annoncée ; perte de préparation si le tireur se déplace.</x:v>
      </x:c>
      <x:c r="H9" s="9" t="str">
        <x:v>Préparer un tir pour interrompre une menace annoncée ; perte de préparation si le tireur se déplace. Coût initial proposé : une action ATB ; coût et délai restent des paramètres de prototype.</x:v>
      </x:c>
      <x:c r="I9" s="9" t="str">
        <x:v>Ligne fine visible et symbole prêt.</x:v>
      </x:c>
      <x:c r="J9" s="9" t="str">
        <x:v>Préparation, validation de cible, engagement et récupération ; prévoir animation de refus avec motif.</x:v>
      </x:c>
      <x:c r="K9" s="9" t="str">
        <x:v>Confirmation et refus distingués ; texte d’état accessible au clavier.</x:v>
      </x:c>
      <x:c r="L9" s="9" t="str">
        <x:v>actions/pl/snipe.json ; commande, cibles autorisées, coût, effets, nettoyage.</x:v>
      </x:c>
      <x:c r="M9"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9" s="9" t="str">
        <x:v>Une cible incompatible ne consomme rien ; l’effet est réversible au rechargement du point de contrôle.</x:v>
      </x:c>
      <x:c r="O9" s="9" t="str"/>
      <x:c r="P9" s="9" t="str"/>
      <x:c r="Q9" s="9" t="str"/>
      <x:c r="R9" s="9" t="str"/>
      <x:c r="S9" s="9" t="str"/>
    </x:row>
    <x:row r="10" ht="82" customHeight="1">
      <x:c r="A10" s="19" t="str">
        <x:v>PL-MOV-BIOTIC</x:v>
      </x:c>
      <x:c r="B10" s="7" t="str">
        <x:v>Dégagement biotique</x:v>
      </x:c>
      <x:c r="C10" s="15" t="str">
        <x:v>Défini</x:v>
      </x:c>
      <x:c r="D10" s="17" t="str">
        <x:v>Extrapolation</x:v>
      </x:c>
      <x:c r="E10" s="17" t="str">
        <x:v>P1</x:v>
      </x:c>
      <x:c r="F10" s="7" t="str">
        <x:v>Action de groupe originale ; elle n’est pas une compétence officielle de cette œuvre.</x:v>
      </x:c>
      <x:c r="G10" s="7" t="str">
        <x:v>Essex : Repousser un obstacle ou une menace ajoutée hors d’une voie de passage autorisée.</x:v>
      </x:c>
      <x:c r="H10" s="7" t="str">
        <x:v>Repousser un obstacle ou une menace ajoutée hors d’une voie de passage autorisée. Coût initial proposé : une action ATB ; coût et délai restent des paramètres de prototype.</x:v>
      </x:c>
      <x:c r="I10" s="7" t="str">
        <x:v>Onde locale bleue sans flash plein écran.</x:v>
      </x:c>
      <x:c r="J10" s="7" t="str">
        <x:v>Préparation, validation de cible, engagement et récupération ; prévoir animation de refus avec motif.</x:v>
      </x:c>
      <x:c r="K10" s="7" t="str">
        <x:v>Confirmation et refus distingués ; texte d’état accessible au clavier.</x:v>
      </x:c>
      <x:c r="L10" s="7" t="str">
        <x:v>actions/pl/biotic.json ; commande, cibles autorisées, coût, effets, nettoyage.</x:v>
      </x:c>
      <x:c r="M10"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0" s="7" t="str">
        <x:v>Une cible incompatible ne consomme rien ; l’effet est réversible au rechargement du point de contrôle.</x:v>
      </x:c>
      <x:c r="O10" s="7" t="str"/>
      <x:c r="P10" s="7" t="str"/>
      <x:c r="Q10" s="7" t="str"/>
      <x:c r="R10" s="7" t="str"/>
      <x:c r="S10" s="7" t="str"/>
    </x:row>
    <x:row r="11" ht="82" customHeight="1">
      <x:c r="A11" s="18" t="str">
        <x:v>PL-MOV-READ</x:v>
      </x:c>
      <x:c r="B11" s="9" t="str">
        <x:v>Lecture de vestige</x:v>
      </x:c>
      <x:c r="C11" s="15" t="str">
        <x:v>Défini</x:v>
      </x:c>
      <x:c r="D11" s="16" t="str">
        <x:v>Extrapolation</x:v>
      </x:c>
      <x:c r="E11" s="16" t="str">
        <x:v>P1</x:v>
      </x:c>
      <x:c r="F11" s="9" t="str">
        <x:v>Action de groupe originale ; elle n’est pas une compétence officielle de cette œuvre.</x:v>
      </x:c>
      <x:c r="G11" s="9" t="str">
        <x:v>Treeya : Interpréter une trace locale abstraite et afficher ce qui reste incertain.</x:v>
      </x:c>
      <x:c r="H11" s="9" t="str">
        <x:v>Interpréter une trace locale abstraite et afficher ce qui reste incertain. Coût initial proposé : une action ATB ; coût et délai restent des paramètres de prototype.</x:v>
      </x:c>
      <x:c r="I11" s="9" t="str">
        <x:v>Panneau de comparaison sans texte prothéen prétendu authentique.</x:v>
      </x:c>
      <x:c r="J11" s="9" t="str">
        <x:v>Préparation, validation de cible, engagement et récupération ; prévoir animation de refus avec motif.</x:v>
      </x:c>
      <x:c r="K11" s="9" t="str">
        <x:v>Confirmation et refus distingués ; texte d’état accessible au clavier.</x:v>
      </x:c>
      <x:c r="L11" s="9" t="str">
        <x:v>actions/pl/read.json ; commande, cibles autorisées, coût, effets, nettoyage.</x:v>
      </x:c>
      <x:c r="M11"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1" s="9" t="str">
        <x:v>Une cible incompatible ne consomme rien ; l’effet est réversible au rechargement du point de contrôle.</x:v>
      </x:c>
      <x:c r="O11" s="9" t="str"/>
      <x:c r="P11" s="9" t="str"/>
      <x:c r="Q11" s="9" t="str"/>
      <x:c r="R11" s="9" t="str"/>
      <x:c r="S11" s="9" t="str"/>
    </x:row>
    <x:row r="12" ht="82" customHeight="1">
      <x:c r="A12" s="19" t="str">
        <x:v>PL-MOV-FLANK</x:v>
      </x:c>
      <x:c r="B12" s="7" t="str">
        <x:v>Progression latérale</x:v>
      </x:c>
      <x:c r="C12" s="15" t="str">
        <x:v>Défini</x:v>
      </x:c>
      <x:c r="D12" s="17" t="str">
        <x:v>Extrapolation</x:v>
      </x:c>
      <x:c r="E12" s="17" t="str">
        <x:v>P1</x:v>
      </x:c>
      <x:c r="F12" s="7" t="str">
        <x:v>Action de groupe originale ; elle n’est pas une compétence officielle de cette œuvre.</x:v>
      </x:c>
      <x:c r="G12" s="7" t="str">
        <x:v>Kamille et Mason : Changer de couvert en tandem pendant qu’un troisième acteur fixe la menace.</x:v>
      </x:c>
      <x:c r="H12" s="7" t="str">
        <x:v>Changer de couvert en tandem pendant qu’un troisième acteur fixe la menace. Coût initial proposé : une action ATB ; coût et délai restent des paramètres de prototype.</x:v>
      </x:c>
      <x:c r="I12" s="7" t="str">
        <x:v>Deux trajectoires qui restent visibles en pause.</x:v>
      </x:c>
      <x:c r="J12" s="7" t="str">
        <x:v>Préparation, validation de cible, engagement et récupération ; prévoir animation de refus avec motif.</x:v>
      </x:c>
      <x:c r="K12" s="7" t="str">
        <x:v>Confirmation et refus distingués ; texte d’état accessible au clavier.</x:v>
      </x:c>
      <x:c r="L12" s="7" t="str">
        <x:v>actions/pl/flank.json ; commande, cibles autorisées, coût, effets, nettoyage.</x:v>
      </x:c>
      <x:c r="M12"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2" s="7" t="str">
        <x:v>Une cible incompatible ne consomme rien ; l’effet est réversible au rechargement du point de contrôle.</x:v>
      </x:c>
      <x:c r="O12" s="7" t="str"/>
      <x:c r="P12" s="7" t="str"/>
      <x:c r="Q12" s="7" t="str"/>
      <x:c r="R12" s="7" t="str"/>
      <x:c r="S12" s="7" t="str"/>
    </x:row>
    <x:row r="13" ht="82" customHeight="1">
      <x:c r="A13" s="18" t="str">
        <x:v>PL-MOV-PILOT</x:v>
      </x:c>
      <x:c r="B13" s="9" t="str">
        <x:v>Appui de pilote</x:v>
      </x:c>
      <x:c r="C13" s="15" t="str">
        <x:v>Défini</x:v>
      </x:c>
      <x:c r="D13" s="16" t="str">
        <x:v>Extrapolation</x:v>
      </x:c>
      <x:c r="E13" s="16" t="str">
        <x:v>P1</x:v>
      </x:c>
      <x:c r="F13" s="9" t="str">
        <x:v>Action de groupe originale ; elle n’est pas une compétence officielle de cette œuvre.</x:v>
      </x:c>
      <x:c r="G13" s="9" t="str">
        <x:v>Brood : Ouvrir un créneau de transit scénarisé ; aucune navigation libre dans le monde.</x:v>
      </x:c>
      <x:c r="H13" s="9" t="str">
        <x:v>Ouvrir un créneau de transit scénarisé ; aucune navigation libre dans le monde. Coût initial proposé : une action ATB ; coût et délai restent des paramètres de prototype.</x:v>
      </x:c>
      <x:c r="I13" s="9" t="str">
        <x:v>Signal moteur et route d’embarquement.</x:v>
      </x:c>
      <x:c r="J13" s="9" t="str">
        <x:v>Préparation, validation de cible, engagement et récupération ; prévoir animation de refus avec motif.</x:v>
      </x:c>
      <x:c r="K13" s="9" t="str">
        <x:v>Confirmation et refus distingués ; texte d’état accessible au clavier.</x:v>
      </x:c>
      <x:c r="L13" s="9" t="str">
        <x:v>actions/pl/pilot.json ; commande, cibles autorisées, coût, effets, nettoyage.</x:v>
      </x:c>
      <x:c r="M13"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3" s="9" t="str">
        <x:v>Une cible incompatible ne consomme rien ; l’effet est réversible au rechargement du point de contrôle.</x:v>
      </x:c>
      <x:c r="O13" s="9" t="str"/>
      <x:c r="P13" s="9" t="str"/>
      <x:c r="Q13" s="9" t="str"/>
      <x:c r="R13" s="9" t="str"/>
      <x:c r="S13" s="9" t="str"/>
    </x:row>
  </x:sheetData>
  <x:conditionalFormatting sqref="D7:D13">
    <x:cfRule type="cellIs" dxfId="68" priority="1" operator="equal">
      <x:formula>"À vérifier"</x:formula>
    </x:cfRule>
    <x:cfRule type="cellIs" dxfId="69" priority="2" operator="equal">
      <x:formula>"Extrapolation"</x:formula>
    </x:cfRule>
  </x:conditionalFormatting>
  <x:conditionalFormatting sqref="C7:C13">
    <x:cfRule type="cellIs" dxfId="70" priority="3" operator="equal">
      <x:formula>"Validé"</x:formula>
    </x:cfRule>
  </x:conditionalFormatting>
  <x:conditionalFormatting sqref="E7:E13">
    <x:cfRule type="cellIs" dxfId="71"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a5071daa88be41d6"/>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Paragon Lost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PL-EMV-PACK</x:v>
      </x:c>
      <x:c r="B7" s="9" t="str">
        <x:v>Mercenaires du Blood Pack — rencontre proposée — comportement principal</x:v>
      </x:c>
      <x:c r="C7" s="15" t="str">
        <x:v>Défini</x:v>
      </x:c>
      <x:c r="D7" s="16" t="str">
        <x:v>Extrapolation</x:v>
      </x:c>
      <x:c r="E7" s="16" t="str">
        <x:v>P1</x:v>
      </x:c>
      <x:c r="F7" s="9" t="str">
        <x:v>Comportement proposé pour la rencontre liée.</x:v>
      </x:c>
      <x:c r="G7" s="9" t="str">
        <x:v>Alternent tir de maintien et changement de couverture.</x:v>
      </x:c>
      <x:c r="H7" s="9" t="str">
        <x:v>Télégraphe : Préparation de l’arme et arc de tir au sol. Contre-mesure : Utiliser le flanc ouvert par le soutien. Consommer une action ATB à l’engagement ; équilibrage à mesurer au prototype.</x:v>
      </x:c>
      <x:c r="I7" s="9" t="str">
        <x:v>Rendre l’aire touchée lisible au sol et sur le HUD ; ne jamais dépendre seulement de la couleur.</x:v>
      </x:c>
      <x:c r="J7" s="9" t="str">
        <x:v>Bloquer la cible au début de l’engagement ; annuler proprement si les préconditions disparaissent.</x:v>
      </x:c>
      <x:c r="K7" s="9" t="str">
        <x:v>Signal préalable distinct du son d’impact ; option pour réduire les sons agressifs.</x:v>
      </x:c>
      <x:c r="L7" s="9" t="str">
        <x:v>behaviors/pl/pack : prepare/commit/recover ; paramètres séparés du code.</x:v>
      </x:c>
      <x:c r="M7" s="9" t="str">
        <x:v>Uniquement quand la rencontre correspondante est active.</x:v>
      </x:c>
      <x:c r="N7" s="9" t="str">
        <x:v>L’indicateur apparaît avant la conséquence ; la contre-mesure fonctionne en pause et à vitesse normale.</x:v>
      </x:c>
      <x:c r="O7" s="9" t="str">
        <x:v>PL-ENC-PACK</x:v>
      </x:c>
      <x:c r="P7" s="9" t="str"/>
      <x:c r="Q7" s="9" t="str"/>
      <x:c r="R7" s="9" t="str"/>
      <x:c r="S7" s="9" t="str"/>
    </x:row>
    <x:row r="8" ht="68" customHeight="1">
      <x:c r="A8" s="19" t="str">
        <x:v>PL-EMV-ARCHUK</x:v>
      </x:c>
      <x:c r="B8" s="7" t="str">
        <x:v>Archuk — boss tactique proposé — comportement principal</x:v>
      </x:c>
      <x:c r="C8" s="15" t="str">
        <x:v>Défini</x:v>
      </x:c>
      <x:c r="D8" s="17" t="str">
        <x:v>Extrapolation</x:v>
      </x:c>
      <x:c r="E8" s="17" t="str">
        <x:v>P1</x:v>
      </x:c>
      <x:c r="F8" s="7" t="str">
        <x:v>Comportement proposé pour la rencontre liée.</x:v>
      </x:c>
      <x:c r="G8" s="7" t="str">
        <x:v>Menace une prise rapprochée puis expose une ouverture pendant sa récupération.</x:v>
      </x:c>
      <x:c r="H8" s="7" t="str">
        <x:v>Télégraphe : Épaules abaissées et trajet de charge matérialisé. Contre-mesure : Éviter l’axe, attirer son attention et coordonner l’appui. Consommer une action ATB à l’engagement ; équilibrage à mesurer au prototype.</x:v>
      </x:c>
      <x:c r="I8" s="7" t="str">
        <x:v>Rendre l’aire touchée lisible au sol et sur le HUD ; ne jamais dépendre seulement de la couleur.</x:v>
      </x:c>
      <x:c r="J8" s="7" t="str">
        <x:v>Bloquer la cible au début de l’engagement ; annuler proprement si les préconditions disparaissent.</x:v>
      </x:c>
      <x:c r="K8" s="7" t="str">
        <x:v>Signal préalable distinct du son d’impact ; option pour réduire les sons agressifs.</x:v>
      </x:c>
      <x:c r="L8" s="7" t="str">
        <x:v>behaviors/pl/archuk : prepare/commit/recover ; paramètres séparés du code.</x:v>
      </x:c>
      <x:c r="M8" s="7" t="str">
        <x:v>Uniquement quand la rencontre correspondante est active.</x:v>
      </x:c>
      <x:c r="N8" s="7" t="str">
        <x:v>L’indicateur apparaît avant la conséquence ; la contre-mesure fonctionne en pause et à vitesse normale.</x:v>
      </x:c>
      <x:c r="O8" s="7" t="str">
        <x:v>PL-ENC-ARCHUK</x:v>
      </x:c>
      <x:c r="P8" s="7" t="str"/>
      <x:c r="Q8" s="7" t="str"/>
      <x:c r="R8" s="7" t="str"/>
      <x:c r="S8" s="7" t="str"/>
    </x:row>
    <x:row r="9" ht="82" customHeight="1">
      <x:c r="A9" s="18" t="str">
        <x:v>PL-EMV-SEEKERS</x:v>
      </x:c>
      <x:c r="B9" s="9" t="str">
        <x:v>Essaim de chercheurs — danger proposé — comportement principal</x:v>
      </x:c>
      <x:c r="C9" s="15" t="str">
        <x:v>Défini</x:v>
      </x:c>
      <x:c r="D9" s="16" t="str">
        <x:v>Extrapolation</x:v>
      </x:c>
      <x:c r="E9" s="16" t="str">
        <x:v>P1</x:v>
      </x:c>
      <x:c r="F9" s="9" t="str">
        <x:v>Comportement proposé pour la rencontre liée.</x:v>
      </x:c>
      <x:c r="G9" s="9" t="str">
        <x:v>Ferme une portion de terrain et force une route abritée.</x:v>
      </x:c>
      <x:c r="H9" s="9" t="str">
        <x:v>Télégraphe : Nuage identifiable avec bord externe et icône de paralysie de fiction. Contre-mesure : Utiliser le couvert autorisé et attendre une fenêtre sûre. Consommer une action ATB à l’engagement ; équilibrage à mesurer au prototype.</x:v>
      </x:c>
      <x:c r="I9" s="9" t="str">
        <x:v>Rendre l’aire touchée lisible au sol et sur le HUD ; ne jamais dépendre seulement de la couleur.</x:v>
      </x:c>
      <x:c r="J9" s="9" t="str">
        <x:v>Bloquer la cible au début de l’engagement ; annuler proprement si les préconditions disparaissent.</x:v>
      </x:c>
      <x:c r="K9" s="9" t="str">
        <x:v>Signal préalable distinct du son d’impact ; option pour réduire les sons agressifs.</x:v>
      </x:c>
      <x:c r="L9" s="9" t="str">
        <x:v>behaviors/pl/seekers : prepare/commit/recover ; paramètres séparés du code.</x:v>
      </x:c>
      <x:c r="M9" s="9" t="str">
        <x:v>Uniquement quand la rencontre correspondante est active.</x:v>
      </x:c>
      <x:c r="N9" s="9" t="str">
        <x:v>L’indicateur apparaît avant la conséquence ; la contre-mesure fonctionne en pause et à vitesse normale.</x:v>
      </x:c>
      <x:c r="O9" s="9" t="str">
        <x:v>PL-ENC-SEEKERS</x:v>
      </x:c>
      <x:c r="P9" s="9" t="str"/>
      <x:c r="Q9" s="9" t="str"/>
      <x:c r="R9" s="9" t="str"/>
      <x:c r="S9" s="9" t="str"/>
    </x:row>
    <x:row r="10" ht="82" customHeight="1">
      <x:c r="A10" s="19" t="str">
        <x:v>PL-EMV-PRAETORIAN</x:v>
      </x:c>
      <x:c r="B10" s="7" t="str">
        <x:v>Prétorien — poursuite proposée — comportement principal</x:v>
      </x:c>
      <x:c r="C10" s="15" t="str">
        <x:v>Défini</x:v>
      </x:c>
      <x:c r="D10" s="17" t="str">
        <x:v>Extrapolation</x:v>
      </x:c>
      <x:c r="E10" s="17" t="str">
        <x:v>P1</x:v>
      </x:c>
      <x:c r="F10" s="7" t="str">
        <x:v>Comportement proposé pour la rencontre liée.</x:v>
      </x:c>
      <x:c r="G10" s="7" t="str">
        <x:v>Avance sur un couloir et prépare une frappe de zone.</x:v>
      </x:c>
      <x:c r="H10" s="7" t="str">
        <x:v>Télégraphe : Silhouette entière visible, appui des membres et cercle de menace. Contre-mesure : Ouvrir le sas suivant puis interrompre l’approche par une action coordonnée. Consommer une action ATB à l’engagement ; équilibrage à mesurer au prototype.</x:v>
      </x:c>
      <x:c r="I10" s="7" t="str">
        <x:v>Rendre l’aire touchée lisible au sol et sur le HUD ; ne jamais dépendre seulement de la couleur.</x:v>
      </x:c>
      <x:c r="J10" s="7" t="str">
        <x:v>Bloquer la cible au début de l’engagement ; annuler proprement si les préconditions disparaissent.</x:v>
      </x:c>
      <x:c r="K10" s="7" t="str">
        <x:v>Signal préalable distinct du son d’impact ; option pour réduire les sons agressifs.</x:v>
      </x:c>
      <x:c r="L10" s="7" t="str">
        <x:v>behaviors/pl/praetorian : prepare/commit/recover ; paramètres séparés du code.</x:v>
      </x:c>
      <x:c r="M10" s="7" t="str">
        <x:v>Uniquement quand la rencontre correspondante est active.</x:v>
      </x:c>
      <x:c r="N10" s="7" t="str">
        <x:v>L’indicateur apparaît avant la conséquence ; la contre-mesure fonctionne en pause et à vitesse normale.</x:v>
      </x:c>
      <x:c r="O10" s="7" t="str">
        <x:v>PL-ENC-PRAETORIAN</x:v>
      </x:c>
      <x:c r="P10" s="7" t="str"/>
      <x:c r="Q10" s="7" t="str"/>
      <x:c r="R10" s="7" t="str"/>
      <x:c r="S10" s="7" t="str"/>
    </x:row>
    <x:row r="11" ht="68" customHeight="1">
      <x:c r="A11" s="18" t="str">
        <x:v>PL-EMV-DRONES</x:v>
      </x:c>
      <x:c r="B11" s="9" t="str">
        <x:v>Escouade de Récolteurs proposée — comportement principal</x:v>
      </x:c>
      <x:c r="C11" s="15" t="str">
        <x:v>Défini</x:v>
      </x:c>
      <x:c r="D11" s="16" t="str">
        <x:v>Extrapolation</x:v>
      </x:c>
      <x:c r="E11" s="16" t="str">
        <x:v>P1</x:v>
      </x:c>
      <x:c r="F11" s="9" t="str">
        <x:v>Comportement proposé pour la rencontre liée.</x:v>
      </x:c>
      <x:c r="G11" s="9" t="str">
        <x:v>Protège un poste et tente d’isoler le porteur de preuve.</x:v>
      </x:c>
      <x:c r="H11" s="9" t="str">
        <x:v>Télégraphe : Cibles de verrouillage et formation clairement espacée. Contre-mesure : Rompre la ligne et déplacer le porteur sous couverture. Consommer une action ATB à l’engagement ; équilibrage à mesurer au prototype.</x:v>
      </x:c>
      <x:c r="I11" s="9" t="str">
        <x:v>Rendre l’aire touchée lisible au sol et sur le HUD ; ne jamais dépendre seulement de la couleur.</x:v>
      </x:c>
      <x:c r="J11" s="9" t="str">
        <x:v>Bloquer la cible au début de l’engagement ; annuler proprement si les préconditions disparaissent.</x:v>
      </x:c>
      <x:c r="K11" s="9" t="str">
        <x:v>Signal préalable distinct du son d’impact ; option pour réduire les sons agressifs.</x:v>
      </x:c>
      <x:c r="L11" s="9" t="str">
        <x:v>behaviors/pl/drones : prepare/commit/recover ; paramètres séparés du code.</x:v>
      </x:c>
      <x:c r="M11" s="9" t="str">
        <x:v>Uniquement quand la rencontre correspondante est active.</x:v>
      </x:c>
      <x:c r="N11" s="9" t="str">
        <x:v>L’indicateur apparaît avant la conséquence ; la contre-mesure fonctionne en pause et à vitesse normale.</x:v>
      </x:c>
      <x:c r="O11" s="9" t="str">
        <x:v>PL-ENC-DRONES</x:v>
      </x:c>
      <x:c r="P11" s="9" t="str"/>
      <x:c r="Q11" s="9" t="str"/>
      <x:c r="R11" s="9" t="str"/>
      <x:c r="S11" s="9" t="str"/>
    </x:row>
  </x:sheetData>
  <x:conditionalFormatting sqref="D7:D11">
    <x:cfRule type="cellIs" dxfId="72" priority="1" operator="equal">
      <x:formula>"À vérifier"</x:formula>
    </x:cfRule>
    <x:cfRule type="cellIs" dxfId="73" priority="2" operator="equal">
      <x:formula>"Extrapolation"</x:formula>
    </x:cfRule>
  </x:conditionalFormatting>
  <x:conditionalFormatting sqref="C7:C11">
    <x:cfRule type="cellIs" dxfId="74" priority="3" operator="equal">
      <x:formula>"Validé"</x:formula>
    </x:cfRule>
  </x:conditionalFormatting>
  <x:conditionalFormatting sqref="E7:E11">
    <x:cfRule type="cellIs" dxfId="75"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13c173abcfab4528"/>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Paragon Lost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PL-ANI-VEGA</x:v>
      </x:c>
      <x:c r="B7" s="9" t="str">
        <x:v>James Vega — jeu de poses contextuelles</x:v>
      </x:c>
      <x:c r="C7" s="15" t="str">
        <x:v>Défini</x:v>
      </x:c>
      <x:c r="D7" s="16" t="str">
        <x:v>Extrapolation</x:v>
      </x:c>
      <x:c r="E7" s="16" t="str">
        <x:v>P1</x:v>
      </x:c>
      <x:c r="F7" s="9" t="str">
        <x:v>Création proposée : poses nécessaires à l’interaction « Commander une manœuvre de groupe et protéger un déplacement. ».</x:v>
      </x:c>
      <x:c r="G7" s="9" t="str">
        <x:v>Blocage animé de James Vega : anticipation, action, récupération, retour au repos ; prévoir une interruption propre.</x:v>
      </x:c>
      <x:c r="H7" s="9" t="str">
        <x:v>Commander une manœuvre de groupe et protéger un déplacement. L’effet logique ne dépend jamais de la cadence du rendu.</x:v>
      </x:c>
      <x:c r="I7" s="9" t="str">
        <x:v>Conserver les repères de silhouette : Corps puissant, armure du film à contrôler ; ne pas remplacer automatiquement par le modèle de ME3.</x:v>
      </x:c>
      <x:c r="J7" s="9" t="str">
        <x:v>Repos, déplacement, interaction et réaction ; nombre d’images ajusté après essai sur écran ; ne pas ajouter une attaque aux personnages civils.</x:v>
      </x:c>
      <x:c r="K7" s="9" t="str">
        <x:v>Marqueurs animation distincts du fichier audio ; sous-titre court si l’action porte une information.</x:v>
      </x:c>
      <x:c r="L7" s="9" t="str">
        <x:v>Animator actor.pl.vega ; événements start/commit/recover ; annulation avant commit sans effet.</x:v>
      </x:c>
      <x:c r="M7" s="9" t="str">
        <x:v>Animation de blessure ou de décès uniquement si le contexte la justifie ; pas de mort libre d’un personnage établi.</x:v>
      </x:c>
      <x:c r="N7" s="9" t="str">
        <x:v>Une interruption avant commit ne dépense pas la ressource ; aucune pose résiduelle après changement de carte.</x:v>
      </x:c>
      <x:c r="O7" s="9" t="str">
        <x:v>PL-SPR-VEGA</x:v>
      </x:c>
      <x:c r="P7" s="9" t="str"/>
      <x:c r="Q7" s="9" t="str"/>
      <x:c r="R7" s="9" t="str"/>
      <x:c r="S7" s="9" t="str"/>
    </x:row>
    <x:row r="8" ht="54" customHeight="1">
      <x:c r="A8" s="19" t="str">
        <x:v>PL-ANI-TREEYA</x:v>
      </x:c>
      <x:c r="B8" s="7" t="str">
        <x:v>Treeya Nuwani — jeu de poses contextuelles</x:v>
      </x:c>
      <x:c r="C8" s="15" t="str">
        <x:v>Défini</x:v>
      </x:c>
      <x:c r="D8" s="17" t="str">
        <x:v>Extrapolation</x:v>
      </x:c>
      <x:c r="E8" s="17" t="str">
        <x:v>P1</x:v>
      </x:c>
      <x:c r="F8" s="7" t="str">
        <x:v>Création proposée : poses nécessaires à l’interaction « Examiner une trace archéologique sans devenir un soldat par défaut. ».</x:v>
      </x:c>
      <x:c r="G8" s="7" t="str">
        <x:v>Blocage animé de Treeya Nuwani : anticipation, action, récupération, retour au repos ; prévoir une interruption propre.</x:v>
      </x:c>
      <x:c r="H8" s="7" t="str">
        <x:v>Examiner une trace archéologique sans devenir un soldat par défaut. L’effet logique ne dépend jamais de la cadence du rendu.</x:v>
      </x:c>
      <x:c r="I8" s="7" t="str">
        <x:v>Conserver les repères de silhouette : Tenue de recherche du film à relever, silhouette civile distincte de l’escouade.</x:v>
      </x:c>
      <x:c r="J8" s="7" t="str">
        <x:v>Repos, déplacement, interaction et réaction ; nombre d’images ajusté après essai sur écran ; ne pas ajouter une attaque aux personnages civils.</x:v>
      </x:c>
      <x:c r="K8" s="7" t="str">
        <x:v>Marqueurs animation distincts du fichier audio ; sous-titre court si l’action porte une information.</x:v>
      </x:c>
      <x:c r="L8" s="7" t="str">
        <x:v>Animator actor.pl.treeya ; événements start/commit/recover ; annulation avant commit sans effet.</x:v>
      </x:c>
      <x:c r="M8" s="7" t="str">
        <x:v>Animation de blessure ou de décès uniquement si le contexte la justifie ; pas de mort libre d’un personnage établi.</x:v>
      </x:c>
      <x:c r="N8" s="7" t="str">
        <x:v>Une interruption avant commit ne dépense pas la ressource ; aucune pose résiduelle après changement de carte.</x:v>
      </x:c>
      <x:c r="O8" s="7" t="str">
        <x:v>PL-SPR-TREEYA</x:v>
      </x:c>
      <x:c r="P8" s="7" t="str"/>
      <x:c r="Q8" s="7" t="str"/>
      <x:c r="R8" s="7" t="str"/>
      <x:c r="S8" s="7" t="str"/>
    </x:row>
    <x:row r="9" ht="54" customHeight="1">
      <x:c r="A9" s="18" t="str">
        <x:v>PL-ANI-MILQUE</x:v>
      </x:c>
      <x:c r="B9" s="9" t="str">
        <x:v>Milque — jeu de poses contextuelles</x:v>
      </x:c>
      <x:c r="C9" s="15" t="str">
        <x:v>Défini</x:v>
      </x:c>
      <x:c r="D9" s="16" t="str">
        <x:v>Extrapolation</x:v>
      </x:c>
      <x:c r="E9" s="16" t="str">
        <x:v>P1</x:v>
      </x:c>
      <x:c r="F9" s="9" t="str">
        <x:v>Création proposée : poses nécessaires à l’interaction « Couvrir une ligne de passage après une préparation visible. ».</x:v>
      </x:c>
      <x:c r="G9" s="9" t="str">
        <x:v>Blocage animé de Milque : anticipation, action, récupération, retour au repos ; prévoir une interruption propre.</x:v>
      </x:c>
      <x:c r="H9" s="9" t="str">
        <x:v>Couvrir une ligne de passage après une préparation visible. L’effet logique ne dépend jamais de la cadence du rendu.</x:v>
      </x:c>
      <x:c r="I9" s="9" t="str">
        <x:v>Conserver les repères de silhouette : Silhouette allongée et fusil long ; accessoires exacts à relever.</x:v>
      </x:c>
      <x:c r="J9" s="9" t="str">
        <x:v>Repos, déplacement, interaction et réaction ; nombre d’images ajusté après essai sur écran ; ne pas ajouter une attaque aux personnages civils.</x:v>
      </x:c>
      <x:c r="K9" s="9" t="str">
        <x:v>Marqueurs animation distincts du fichier audio ; sous-titre court si l’action porte une information.</x:v>
      </x:c>
      <x:c r="L9" s="9" t="str">
        <x:v>Animator actor.pl.milque ; événements start/commit/recover ; annulation avant commit sans effet.</x:v>
      </x:c>
      <x:c r="M9" s="9" t="str">
        <x:v>Animation de blessure ou de décès uniquement si le contexte la justifie ; pas de mort libre d’un personnage établi.</x:v>
      </x:c>
      <x:c r="N9" s="9" t="str">
        <x:v>Une interruption avant commit ne dépense pas la ressource ; aucune pose résiduelle après changement de carte.</x:v>
      </x:c>
      <x:c r="O9" s="9" t="str">
        <x:v>PL-SPR-MILQUE</x:v>
      </x:c>
      <x:c r="P9" s="9" t="str"/>
      <x:c r="Q9" s="9" t="str"/>
      <x:c r="R9" s="9" t="str"/>
      <x:c r="S9" s="9" t="str"/>
    </x:row>
    <x:row r="10" ht="54" customHeight="1">
      <x:c r="A10" s="19" t="str">
        <x:v>PL-ANI-ESSEX</x:v>
      </x:c>
      <x:c r="B10" s="7" t="str">
        <x:v>Essex — jeu de poses contextuelles</x:v>
      </x:c>
      <x:c r="C10" s="15" t="str">
        <x:v>Défini</x:v>
      </x:c>
      <x:c r="D10" s="17" t="str">
        <x:v>Extrapolation</x:v>
      </x:c>
      <x:c r="E10" s="17" t="str">
        <x:v>P1</x:v>
      </x:c>
      <x:c r="F10" s="7" t="str">
        <x:v>Création proposée : poses nécessaires à l’interaction « Déplacer un obstacle ou maintenir un créneau de défense. ».</x:v>
      </x:c>
      <x:c r="G10" s="7" t="str">
        <x:v>Blocage animé de Essex : anticipation, action, récupération, retour au repos ; prévoir une interruption propre.</x:v>
      </x:c>
      <x:c r="H10" s="7" t="str">
        <x:v>Déplacer un obstacle ou maintenir un créneau de défense. L’effet logique ne dépend jamais de la cadence du rendu.</x:v>
      </x:c>
      <x:c r="I10" s="7" t="str">
        <x:v>Conserver les repères de silhouette : Armure de film et silhouette à vérifier ; posture d’action biotique lisible.</x:v>
      </x:c>
      <x:c r="J10" s="7" t="str">
        <x:v>Repos, déplacement, interaction et réaction ; nombre d’images ajusté après essai sur écran ; ne pas ajouter une attaque aux personnages civils.</x:v>
      </x:c>
      <x:c r="K10" s="7" t="str">
        <x:v>Marqueurs animation distincts du fichier audio ; sous-titre court si l’action porte une information.</x:v>
      </x:c>
      <x:c r="L10" s="7" t="str">
        <x:v>Animator actor.pl.essex ; événements start/commit/recover ; annulation avant commit sans effet.</x:v>
      </x:c>
      <x:c r="M10" s="7" t="str">
        <x:v>Animation de blessure ou de décès uniquement si le contexte la justifie ; pas de mort libre d’un personnage établi.</x:v>
      </x:c>
      <x:c r="N10" s="7" t="str">
        <x:v>Une interruption avant commit ne dépense pas la ressource ; aucune pose résiduelle après changement de carte.</x:v>
      </x:c>
      <x:c r="O10" s="7" t="str">
        <x:v>PL-SPR-ESSEX</x:v>
      </x:c>
      <x:c r="P10" s="7" t="str"/>
      <x:c r="Q10" s="7" t="str"/>
      <x:c r="R10" s="7" t="str"/>
      <x:c r="S10" s="7" t="str"/>
    </x:row>
    <x:row r="11" ht="54" customHeight="1">
      <x:c r="A11" s="18" t="str">
        <x:v>PL-ANI-NICKY</x:v>
      </x:c>
      <x:c r="B11" s="9" t="str">
        <x:v>Nicky — jeu de poses contextuelles</x:v>
      </x:c>
      <x:c r="C11" s="15" t="str">
        <x:v>Défini</x:v>
      </x:c>
      <x:c r="D11" s="16" t="str">
        <x:v>Extrapolation</x:v>
      </x:c>
      <x:c r="E11" s="16" t="str">
        <x:v>P1</x:v>
      </x:c>
      <x:c r="F11" s="9" t="str">
        <x:v>Création proposée : poses nécessaires à l’interaction « Analyser une menace et créer une diversion de drone. ».</x:v>
      </x:c>
      <x:c r="G11" s="9" t="str">
        <x:v>Blocage animé de Nicky : anticipation, action, récupération, retour au repos ; prévoir une interruption propre.</x:v>
      </x:c>
      <x:c r="H11" s="9" t="str">
        <x:v>Analyser une menace et créer une diversion de drone. L’effet logique ne dépend jamais de la cadence du rendu.</x:v>
      </x:c>
      <x:c r="I11" s="9" t="str">
        <x:v>Conserver les repères de silhouette : Silhouette technique, omni-outil et drone distincts ; modèle du film requis.</x:v>
      </x:c>
      <x:c r="J11" s="9" t="str">
        <x:v>Repos, déplacement, interaction et réaction ; nombre d’images ajusté après essai sur écran ; ne pas ajouter une attaque aux personnages civils.</x:v>
      </x:c>
      <x:c r="K11" s="9" t="str">
        <x:v>Marqueurs animation distincts du fichier audio ; sous-titre court si l’action porte une information.</x:v>
      </x:c>
      <x:c r="L11" s="9" t="str">
        <x:v>Animator actor.pl.nicky ; événements start/commit/recover ; annulation avant commit sans effet.</x:v>
      </x:c>
      <x:c r="M11" s="9" t="str">
        <x:v>Animation de blessure ou de décès uniquement si le contexte la justifie ; pas de mort libre d’un personnage établi.</x:v>
      </x:c>
      <x:c r="N11" s="9" t="str">
        <x:v>Une interruption avant commit ne dépense pas la ressource ; aucune pose résiduelle après changement de carte.</x:v>
      </x:c>
      <x:c r="O11" s="9" t="str">
        <x:v>PL-SPR-NICKY</x:v>
      </x:c>
      <x:c r="P11" s="9" t="str"/>
      <x:c r="Q11" s="9" t="str"/>
      <x:c r="R11" s="9" t="str"/>
      <x:c r="S11" s="9" t="str"/>
    </x:row>
    <x:row r="12" ht="68" customHeight="1">
      <x:c r="A12" s="19" t="str">
        <x:v>PL-ANI-KAMILLE</x:v>
      </x:c>
      <x:c r="B12" s="7" t="str">
        <x:v>Kamille — jeu de poses contextuelles</x:v>
      </x:c>
      <x:c r="C12" s="15" t="str">
        <x:v>Défini</x:v>
      </x:c>
      <x:c r="D12" s="17" t="str">
        <x:v>Extrapolation</x:v>
      </x:c>
      <x:c r="E12" s="17" t="str">
        <x:v>P1</x:v>
      </x:c>
      <x:c r="F12" s="7" t="str">
        <x:v>Création proposée : poses nécessaires à l’interaction « Participer à une manœuvre de flanc dans les séquences où sa présence est permise. ».</x:v>
      </x:c>
      <x:c r="G12" s="7" t="str">
        <x:v>Blocage animé de Kamille : anticipation, action, récupération, retour au repos ; prévoir une interruption propre.</x:v>
      </x:c>
      <x:c r="H12" s="7" t="str">
        <x:v>Participer à une manœuvre de flanc dans les séquences où sa présence est permise. L’effet logique ne dépend jamais de la cadence du rendu.</x:v>
      </x:c>
      <x:c r="I12" s="7" t="str">
        <x:v>Conserver les repères de silhouette : Armure et coiffure du film à relever sans invention de modèle officiel.</x:v>
      </x:c>
      <x:c r="J12" s="7" t="str">
        <x:v>Repos, déplacement, interaction et réaction ; nombre d’images ajusté après essai sur écran ; ne pas ajouter une attaque aux personnages civils.</x:v>
      </x:c>
      <x:c r="K12" s="7" t="str">
        <x:v>Marqueurs animation distincts du fichier audio ; sous-titre court si l’action porte une information.</x:v>
      </x:c>
      <x:c r="L12" s="7" t="str">
        <x:v>Animator actor.pl.kamille ; événements start/commit/recover ; annulation avant commit sans effet.</x:v>
      </x:c>
      <x:c r="M12" s="7" t="str">
        <x:v>Animation de blessure ou de décès uniquement si le contexte la justifie ; pas de mort libre d’un personnage établi.</x:v>
      </x:c>
      <x:c r="N12" s="7" t="str">
        <x:v>Une interruption avant commit ne dépense pas la ressource ; aucune pose résiduelle après changement de carte.</x:v>
      </x:c>
      <x:c r="O12" s="7" t="str">
        <x:v>PL-SPR-KAMILLE</x:v>
      </x:c>
      <x:c r="P12" s="7" t="str"/>
      <x:c r="Q12" s="7" t="str"/>
      <x:c r="R12" s="7" t="str"/>
      <x:c r="S12" s="7" t="str"/>
    </x:row>
    <x:row r="13" ht="54" customHeight="1">
      <x:c r="A13" s="18" t="str">
        <x:v>PL-ANI-MASON</x:v>
      </x:c>
      <x:c r="B13" s="9" t="str">
        <x:v>Mason — jeu de poses contextuelles</x:v>
      </x:c>
      <x:c r="C13" s="15" t="str">
        <x:v>Défini</x:v>
      </x:c>
      <x:c r="D13" s="16" t="str">
        <x:v>Extrapolation</x:v>
      </x:c>
      <x:c r="E13" s="16" t="str">
        <x:v>P1</x:v>
      </x:c>
      <x:c r="F13" s="9" t="str">
        <x:v>Création proposée : poses nécessaires à l’interaction « Renforcer une position de repli pendant une séquence locale. ».</x:v>
      </x:c>
      <x:c r="G13" s="9" t="str">
        <x:v>Blocage animé de Mason : anticipation, action, récupération, retour au repos ; prévoir une interruption propre.</x:v>
      </x:c>
      <x:c r="H13" s="9" t="str">
        <x:v>Renforcer une position de repli pendant une séquence locale. L’effet logique ne dépend jamais de la cadence du rendu.</x:v>
      </x:c>
      <x:c r="I13" s="9" t="str">
        <x:v>Conserver les repères de silhouette : Silhouette militaire propre au film, équipement à contrôler.</x:v>
      </x:c>
      <x:c r="J13" s="9" t="str">
        <x:v>Repos, déplacement, interaction et réaction ; nombre d’images ajusté après essai sur écran ; ne pas ajouter une attaque aux personnages civils.</x:v>
      </x:c>
      <x:c r="K13" s="9" t="str">
        <x:v>Marqueurs animation distincts du fichier audio ; sous-titre court si l’action porte une information.</x:v>
      </x:c>
      <x:c r="L13" s="9" t="str">
        <x:v>Animator actor.pl.mason ; événements start/commit/recover ; annulation avant commit sans effet.</x:v>
      </x:c>
      <x:c r="M13" s="9" t="str">
        <x:v>Animation de blessure ou de décès uniquement si le contexte la justifie ; pas de mort libre d’un personnage établi.</x:v>
      </x:c>
      <x:c r="N13" s="9" t="str">
        <x:v>Une interruption avant commit ne dépense pas la ressource ; aucune pose résiduelle après changement de carte.</x:v>
      </x:c>
      <x:c r="O13" s="9" t="str">
        <x:v>PL-SPR-MASON</x:v>
      </x:c>
      <x:c r="P13" s="9" t="str"/>
      <x:c r="Q13" s="9" t="str"/>
      <x:c r="R13" s="9" t="str"/>
      <x:c r="S13" s="9" t="str"/>
    </x:row>
    <x:row r="14" ht="54" customHeight="1">
      <x:c r="A14" s="19" t="str">
        <x:v>PL-ANI-TONI</x:v>
      </x:c>
      <x:c r="B14" s="7" t="str">
        <x:v>Capitaine Toni — jeu de poses contextuelles</x:v>
      </x:c>
      <x:c r="C14" s="15" t="str">
        <x:v>Défini</x:v>
      </x:c>
      <x:c r="D14" s="17" t="str">
        <x:v>Extrapolation</x:v>
      </x:c>
      <x:c r="E14" s="17" t="str">
        <x:v>P1</x:v>
      </x:c>
      <x:c r="F14" s="7" t="str">
        <x:v>Création proposée : poses nécessaires à l’interaction « Donner une consigne et déléguer une tâche à Vega. ».</x:v>
      </x:c>
      <x:c r="G14" s="7" t="str">
        <x:v>Blocage animé de Capitaine Toni : anticipation, action, récupération, retour au repos ; prévoir une interruption propre.</x:v>
      </x:c>
      <x:c r="H14" s="7" t="str">
        <x:v>Donner une consigne et déléguer une tâche à Vega. L’effet logique ne dépend jamais de la cadence du rendu.</x:v>
      </x:c>
      <x:c r="I14" s="7" t="str">
        <x:v>Conserver les repères de silhouette : Uniforme et variante blessée à relever sur le film.</x:v>
      </x:c>
      <x:c r="J14" s="7" t="str">
        <x:v>Repos, déplacement, interaction et réaction ; nombre d’images ajusté après essai sur écran ; ne pas ajouter une attaque aux personnages civils.</x:v>
      </x:c>
      <x:c r="K14" s="7" t="str">
        <x:v>Marqueurs animation distincts du fichier audio ; sous-titre court si l’action porte une information.</x:v>
      </x:c>
      <x:c r="L14" s="7" t="str">
        <x:v>Animator actor.pl.toni ; événements start/commit/recover ; annulation avant commit sans effet.</x:v>
      </x:c>
      <x:c r="M14" s="7" t="str">
        <x:v>Animation de blessure ou de décès uniquement si le contexte la justifie ; pas de mort libre d’un personnage établi.</x:v>
      </x:c>
      <x:c r="N14" s="7" t="str">
        <x:v>Une interruption avant commit ne dépense pas la ressource ; aucune pose résiduelle après changement de carte.</x:v>
      </x:c>
      <x:c r="O14" s="7" t="str">
        <x:v>PL-SPR-TONI</x:v>
      </x:c>
      <x:c r="P14" s="7" t="str"/>
      <x:c r="Q14" s="7" t="str"/>
      <x:c r="R14" s="7" t="str"/>
      <x:c r="S14" s="7" t="str"/>
    </x:row>
    <x:row r="15" ht="54" customHeight="1">
      <x:c r="A15" s="18" t="str">
        <x:v>PL-ANI-MESSNER</x:v>
      </x:c>
      <x:c r="B15" s="9" t="str">
        <x:v>Messner — jeu de poses contextuelles</x:v>
      </x:c>
      <x:c r="C15" s="15" t="str">
        <x:v>Défini</x:v>
      </x:c>
      <x:c r="D15" s="16" t="str">
        <x:v>Extrapolation</x:v>
      </x:c>
      <x:c r="E15" s="16" t="str">
        <x:v>P1</x:v>
      </x:c>
      <x:c r="F15" s="9" t="str">
        <x:v>Création proposée : poses nécessaires à l’interaction « Proposer une ressource utile dont l’usage est surveillé. ».</x:v>
      </x:c>
      <x:c r="G15" s="9" t="str">
        <x:v>Blocage animé de Messner : anticipation, action, récupération, retour au repos ; prévoir une interruption propre.</x:v>
      </x:c>
      <x:c r="H15" s="9" t="str">
        <x:v>Proposer une ressource utile dont l’usage est surveillé. L’effet logique ne dépend jamais de la cadence du rendu.</x:v>
      </x:c>
      <x:c r="I15" s="9" t="str">
        <x:v>Conserver les repères de silhouette : Tenue civile, équipement de transport et bracelet à contrôler.</x:v>
      </x:c>
      <x:c r="J15" s="9" t="str">
        <x:v>Repos, déplacement, interaction et réaction ; nombre d’images ajusté après essai sur écran ; ne pas ajouter une attaque aux personnages civils.</x:v>
      </x:c>
      <x:c r="K15" s="9" t="str">
        <x:v>Marqueurs animation distincts du fichier audio ; sous-titre court si l’action porte une information.</x:v>
      </x:c>
      <x:c r="L15" s="9" t="str">
        <x:v>Animator actor.pl.messner ; événements start/commit/recover ; annulation avant commit sans effet.</x:v>
      </x:c>
      <x:c r="M15" s="9" t="str">
        <x:v>Animation de blessure ou de décès uniquement si le contexte la justifie ; pas de mort libre d’un personnage établi.</x:v>
      </x:c>
      <x:c r="N15" s="9" t="str">
        <x:v>Une interruption avant commit ne dépense pas la ressource ; aucune pose résiduelle après changement de carte.</x:v>
      </x:c>
      <x:c r="O15" s="9" t="str">
        <x:v>PL-SPR-MESSNER</x:v>
      </x:c>
      <x:c r="P15" s="9" t="str"/>
      <x:c r="Q15" s="9" t="str"/>
      <x:c r="R15" s="9" t="str"/>
      <x:c r="S15" s="9" t="str"/>
    </x:row>
    <x:row r="16" ht="54" customHeight="1">
      <x:c r="A16" s="19" t="str">
        <x:v>PL-ANI-BROOD</x:v>
      </x:c>
      <x:c r="B16" s="7" t="str">
        <x:v>Brood — jeu de poses contextuelles</x:v>
      </x:c>
      <x:c r="C16" s="15" t="str">
        <x:v>Défini</x:v>
      </x:c>
      <x:c r="D16" s="17" t="str">
        <x:v>Extrapolation</x:v>
      </x:c>
      <x:c r="E16" s="17" t="str">
        <x:v>P1</x:v>
      </x:c>
      <x:c r="F16" s="7" t="str">
        <x:v>Création proposée : poses nécessaires à l’interaction « Piloter un segment de transit et donner un appui contextuel. ».</x:v>
      </x:c>
      <x:c r="G16" s="7" t="str">
        <x:v>Blocage animé de Brood : anticipation, action, récupération, retour au repos ; prévoir une interruption propre.</x:v>
      </x:c>
      <x:c r="H16" s="7" t="str">
        <x:v>Piloter un segment de transit et donner un appui contextuel. L’effet logique ne dépend jamais de la cadence du rendu.</x:v>
      </x:c>
      <x:c r="I16" s="7" t="str">
        <x:v>Conserver les repères de silhouette : Silhouette krogan du film et dégâts visuels selon la scène, sans gore ajouté.</x:v>
      </x:c>
      <x:c r="J16" s="7" t="str">
        <x:v>Repos, déplacement, interaction et réaction ; nombre d’images ajusté après essai sur écran ; ne pas ajouter une attaque aux personnages civils.</x:v>
      </x:c>
      <x:c r="K16" s="7" t="str">
        <x:v>Marqueurs animation distincts du fichier audio ; sous-titre court si l’action porte une information.</x:v>
      </x:c>
      <x:c r="L16" s="7" t="str">
        <x:v>Animator actor.pl.brood ; événements start/commit/recover ; annulation avant commit sans effet.</x:v>
      </x:c>
      <x:c r="M16" s="7" t="str">
        <x:v>Animation de blessure ou de décès uniquement si le contexte la justifie ; pas de mort libre d’un personnage établi.</x:v>
      </x:c>
      <x:c r="N16" s="7" t="str">
        <x:v>Une interruption avant commit ne dépense pas la ressource ; aucune pose résiduelle après changement de carte.</x:v>
      </x:c>
      <x:c r="O16" s="7" t="str">
        <x:v>PL-SPR-BROOD</x:v>
      </x:c>
      <x:c r="P16" s="7" t="str"/>
      <x:c r="Q16" s="7" t="str"/>
      <x:c r="R16" s="7" t="str"/>
      <x:c r="S16" s="7" t="str"/>
    </x:row>
    <x:row r="17" ht="54" customHeight="1">
      <x:c r="A17" s="18" t="str">
        <x:v>PL-ANI-ARCHUK</x:v>
      </x:c>
      <x:c r="B17" s="9" t="str">
        <x:v>Archuk — jeu de poses contextuelles</x:v>
      </x:c>
      <x:c r="C17" s="15" t="str">
        <x:v>Défini</x:v>
      </x:c>
      <x:c r="D17" s="16" t="str">
        <x:v>Extrapolation</x:v>
      </x:c>
      <x:c r="E17" s="16" t="str">
        <x:v>P1</x:v>
      </x:c>
      <x:c r="F17" s="9" t="str">
        <x:v>Création proposée : poses nécessaires à l’interaction « Opposer une défense que le groupe contourne par coordination. ».</x:v>
      </x:c>
      <x:c r="G17" s="9" t="str">
        <x:v>Blocage animé de Archuk : anticipation, action, récupération, retour au repos ; prévoir une interruption propre.</x:v>
      </x:c>
      <x:c r="H17" s="9" t="str">
        <x:v>Opposer une défense que le groupe contourne par coordination. L’effet logique ne dépend jamais de la cadence du rendu.</x:v>
      </x:c>
      <x:c r="I17" s="9" t="str">
        <x:v>Conserver les repères de silhouette : Armure massive, silhouette de charge, détails pris du film lors de validation.</x:v>
      </x:c>
      <x:c r="J17" s="9" t="str">
        <x:v>Repos, déplacement, interaction et réaction ; nombre d’images ajusté après essai sur écran ; ne pas ajouter une attaque aux personnages civils.</x:v>
      </x:c>
      <x:c r="K17" s="9" t="str">
        <x:v>Marqueurs animation distincts du fichier audio ; sous-titre court si l’action porte une information.</x:v>
      </x:c>
      <x:c r="L17" s="9" t="str">
        <x:v>Animator actor.pl.archuk ; événements start/commit/recover ; annulation avant commit sans effet.</x:v>
      </x:c>
      <x:c r="M17" s="9" t="str">
        <x:v>Animation de blessure ou de décès uniquement si le contexte la justifie ; pas de mort libre d’un personnage établi.</x:v>
      </x:c>
      <x:c r="N17" s="9" t="str">
        <x:v>Une interruption avant commit ne dépense pas la ressource ; aucune pose résiduelle après changement de carte.</x:v>
      </x:c>
      <x:c r="O17" s="9" t="str">
        <x:v>PL-SPR-ARCHUK</x:v>
      </x:c>
      <x:c r="P17" s="9" t="str"/>
      <x:c r="Q17" s="9" t="str"/>
      <x:c r="R17" s="9" t="str"/>
      <x:c r="S17" s="9" t="str"/>
    </x:row>
    <x:row r="18" ht="54" customHeight="1">
      <x:c r="A18" s="19" t="str">
        <x:v>PL-ANI-APRIL</x:v>
      </x:c>
      <x:c r="B18" s="7" t="str">
        <x:v>April — jeu de poses contextuelles</x:v>
      </x:c>
      <x:c r="C18" s="15" t="str">
        <x:v>Défini</x:v>
      </x:c>
      <x:c r="D18" s="17" t="str">
        <x:v>Extrapolation</x:v>
      </x:c>
      <x:c r="E18" s="17" t="str">
        <x:v>P1</x:v>
      </x:c>
      <x:c r="F18" s="7" t="str">
        <x:v>Création proposée : poses nécessaires à l’interaction « Participer à une scène civile originale située dans la période autorisée. ».</x:v>
      </x:c>
      <x:c r="G18" s="7" t="str">
        <x:v>Blocage animé de April : anticipation, action, récupération, retour au repos ; prévoir une interruption propre.</x:v>
      </x:c>
      <x:c r="H18" s="7" t="str">
        <x:v>Participer à une scène civile originale située dans la période autorisée. L’effet logique ne dépend jamais de la cadence du rendu.</x:v>
      </x:c>
      <x:c r="I18" s="7" t="str">
        <x:v>Conserver les repères de silhouette : Silhouette enfantine du film, animation calme hors combat.</x:v>
      </x:c>
      <x:c r="J18" s="7" t="str">
        <x:v>Repos, déplacement, interaction et réaction ; nombre d’images ajusté après essai sur écran ; ne pas ajouter une attaque aux personnages civils.</x:v>
      </x:c>
      <x:c r="K18" s="7" t="str">
        <x:v>Marqueurs animation distincts du fichier audio ; sous-titre court si l’action porte une information.</x:v>
      </x:c>
      <x:c r="L18" s="7" t="str">
        <x:v>Animator actor.pl.april ; événements start/commit/recover ; annulation avant commit sans effet.</x:v>
      </x:c>
      <x:c r="M18" s="7" t="str">
        <x:v>Animation de blessure ou de décès uniquement si le contexte la justifie ; pas de mort libre d’un personnage établi.</x:v>
      </x:c>
      <x:c r="N18" s="7" t="str">
        <x:v>Une interruption avant commit ne dépense pas la ressource ; aucune pose résiduelle après changement de carte.</x:v>
      </x:c>
      <x:c r="O18" s="7" t="str">
        <x:v>PL-SPR-APRIL</x:v>
      </x:c>
      <x:c r="P18" s="7" t="str"/>
      <x:c r="Q18" s="7" t="str"/>
      <x:c r="R18" s="7" t="str"/>
      <x:c r="S18" s="7" t="str"/>
    </x:row>
    <x:row r="19" ht="54" customHeight="1">
      <x:c r="A19" s="18" t="str">
        <x:v>PL-ANI-CHRISTINE</x:v>
      </x:c>
      <x:c r="B19" s="9" t="str">
        <x:v>Christine — jeu de poses contextuelles</x:v>
      </x:c>
      <x:c r="C19" s="15" t="str">
        <x:v>Défini</x:v>
      </x:c>
      <x:c r="D19" s="16" t="str">
        <x:v>Extrapolation</x:v>
      </x:c>
      <x:c r="E19" s="16" t="str">
        <x:v>P1</x:v>
      </x:c>
      <x:c r="F19" s="9" t="str">
        <x:v>Création proposée : poses nécessaires à l’interaction « Expliquer un besoin de la colonie dans une tâche annexe originale. ».</x:v>
      </x:c>
      <x:c r="G19" s="9" t="str">
        <x:v>Blocage animé de Christine : anticipation, action, récupération, retour au repos ; prévoir une interruption propre.</x:v>
      </x:c>
      <x:c r="H19" s="9" t="str">
        <x:v>Expliquer un besoin de la colonie dans une tâche annexe originale. L’effet logique ne dépend jamais de la cadence du rendu.</x:v>
      </x:c>
      <x:c r="I19" s="9" t="str">
        <x:v>Conserver les repères de silhouette : Tenue civile du film à relever, posture protectrice.</x:v>
      </x:c>
      <x:c r="J19" s="9" t="str">
        <x:v>Repos, déplacement, interaction et réaction ; nombre d’images ajusté après essai sur écran ; ne pas ajouter une attaque aux personnages civils.</x:v>
      </x:c>
      <x:c r="K19" s="9" t="str">
        <x:v>Marqueurs animation distincts du fichier audio ; sous-titre court si l’action porte une information.</x:v>
      </x:c>
      <x:c r="L19" s="9" t="str">
        <x:v>Animator actor.pl.christine ; événements start/commit/recover ; annulation avant commit sans effet.</x:v>
      </x:c>
      <x:c r="M19" s="9" t="str">
        <x:v>Animation de blessure ou de décès uniquement si le contexte la justifie ; pas de mort libre d’un personnage établi.</x:v>
      </x:c>
      <x:c r="N19" s="9" t="str">
        <x:v>Une interruption avant commit ne dépense pas la ressource ; aucune pose résiduelle après changement de carte.</x:v>
      </x:c>
      <x:c r="O19" s="9" t="str">
        <x:v>PL-SPR-CHRISTINE</x:v>
      </x:c>
      <x:c r="P19" s="9" t="str"/>
      <x:c r="Q19" s="9" t="str"/>
      <x:c r="R19" s="9" t="str"/>
      <x:c r="S19" s="9" t="str"/>
    </x:row>
    <x:row r="20" ht="54" customHeight="1">
      <x:c r="A20" s="19" t="str">
        <x:v>PL-ANI-HACKETT</x:v>
      </x:c>
      <x:c r="B20" s="7" t="str">
        <x:v>Steven Hackett — jeu de poses contextuelles</x:v>
      </x:c>
      <x:c r="C20" s="15" t="str">
        <x:v>Défini</x:v>
      </x:c>
      <x:c r="D20" s="17" t="str">
        <x:v>Extrapolation</x:v>
      </x:c>
      <x:c r="E20" s="17" t="str">
        <x:v>P1</x:v>
      </x:c>
      <x:c r="F20" s="7" t="str">
        <x:v>Création proposée : poses nécessaires à l’interaction « Recevoir un rapport limité aux faits disponibles. ».</x:v>
      </x:c>
      <x:c r="G20" s="7" t="str">
        <x:v>Prévoir ouverture de liaison, écoute, réponse et coupure ; pas de déplacement physique.</x:v>
      </x:c>
      <x:c r="H20" s="7" t="str">
        <x:v>Recevoir un rapport limité aux faits disponibles. L’effet logique ne dépend jamais de la cadence du rendu.</x:v>
      </x:c>
      <x:c r="I20" s="7" t="str">
        <x:v>Conserver les repères de silhouette : Portrait de communication de période, pas de sprite combattant nécessaire.</x:v>
      </x:c>
      <x:c r="J20" s="7" t="str">
        <x:v>Transitions de liaison et poses de portrait seulement ; sous-titres synchronisés indépendamment.</x:v>
      </x:c>
      <x:c r="K20" s="7" t="str">
        <x:v>Marqueurs animation distincts du fichier audio ; sous-titre court si l’action porte une information.</x:v>
      </x:c>
      <x:c r="L20" s="7" t="str">
        <x:v>Contrôleur de communication ; aucun acteur physique instancié.</x:v>
      </x:c>
      <x:c r="M20" s="7" t="str">
        <x:v>Animation de blessure ou de décès uniquement si le contexte la justifie ; pas de mort libre d’un personnage établi.</x:v>
      </x:c>
      <x:c r="N20" s="7" t="str">
        <x:v>Une interruption avant commit ne dépense pas la ressource ; aucune pose résiduelle après changement de carte.</x:v>
      </x:c>
      <x:c r="O20" s="7" t="str">
        <x:v>PL-SPR-HACKETT</x:v>
      </x:c>
      <x:c r="P20" s="7" t="str"/>
      <x:c r="Q20" s="7" t="str"/>
      <x:c r="R20" s="7" t="str"/>
      <x:c r="S20" s="7" t="str"/>
    </x:row>
    <x:row r="21" ht="54" customHeight="1">
      <x:c r="A21" s="18" t="str">
        <x:v>PL-ANI-LIARA</x:v>
      </x:c>
      <x:c r="B21" s="9" t="str">
        <x:v>Liara T’Soni — jeu de poses contextuelles</x:v>
      </x:c>
      <x:c r="C21" s="15" t="str">
        <x:v>Défini</x:v>
      </x:c>
      <x:c r="D21" s="16" t="str">
        <x:v>Extrapolation</x:v>
      </x:c>
      <x:c r="E21" s="16" t="str">
        <x:v>P1</x:v>
      </x:c>
      <x:c r="F21" s="9" t="str">
        <x:v>Création proposée : poses nécessaires à l’interaction « Répondre à une question de recherche sans rejoindre l’équipe. ».</x:v>
      </x:c>
      <x:c r="G21" s="9" t="str">
        <x:v>Prévoir ouverture de liaison, écoute, réponse et coupure ; pas de déplacement physique.</x:v>
      </x:c>
      <x:c r="H21" s="9" t="str">
        <x:v>Répondre à une question de recherche sans rejoindre l’équipe. L’effet logique ne dépend jamais de la cadence du rendu.</x:v>
      </x:c>
      <x:c r="I21" s="9" t="str">
        <x:v>Conserver les repères de silhouette : Portrait de liaison à confirmer ; aucune présence physique ajoutée.</x:v>
      </x:c>
      <x:c r="J21" s="9" t="str">
        <x:v>Transitions de liaison et poses de portrait seulement ; sous-titres synchronisés indépendamment.</x:v>
      </x:c>
      <x:c r="K21" s="9" t="str">
        <x:v>Marqueurs animation distincts du fichier audio ; sous-titre court si l’action porte une information.</x:v>
      </x:c>
      <x:c r="L21" s="9" t="str">
        <x:v>Contrôleur de communication ; aucun acteur physique instancié.</x:v>
      </x:c>
      <x:c r="M21" s="9" t="str">
        <x:v>Animation de blessure ou de décès uniquement si le contexte la justifie ; pas de mort libre d’un personnage établi.</x:v>
      </x:c>
      <x:c r="N21" s="9" t="str">
        <x:v>Une interruption avant commit ne dépense pas la ressource ; aucune pose résiduelle après changement de carte.</x:v>
      </x:c>
      <x:c r="O21" s="9" t="str">
        <x:v>PL-SPR-LIARA</x:v>
      </x:c>
      <x:c r="P21" s="9" t="str"/>
      <x:c r="Q21" s="9" t="str"/>
      <x:c r="R21" s="9" t="str"/>
      <x:c r="S21" s="9" t="str"/>
    </x:row>
  </x:sheetData>
  <x:conditionalFormatting sqref="D7:D21">
    <x:cfRule type="cellIs" dxfId="76" priority="1" operator="equal">
      <x:formula>"À vérifier"</x:formula>
    </x:cfRule>
    <x:cfRule type="cellIs" dxfId="77" priority="2" operator="equal">
      <x:formula>"Extrapolation"</x:formula>
    </x:cfRule>
  </x:conditionalFormatting>
  <x:conditionalFormatting sqref="C7:C21">
    <x:cfRule type="cellIs" dxfId="78" priority="3" operator="equal">
      <x:formula>"Validé"</x:formula>
    </x:cfRule>
  </x:conditionalFormatting>
  <x:conditionalFormatting sqref="E7:E21">
    <x:cfRule type="cellIs" dxfId="79" priority="4" operator="equal">
      <x:formula>"P0"</x:formula>
    </x:cfRule>
  </x:conditionalFormatting>
  <x:dataValidations count="3">
    <x:dataValidation type="list" sqref="C7:C21">
      <x:formula1>"Défini,Prototype,Intégré,Validé"</x:formula1>
    </x:dataValidation>
    <x:dataValidation type="list" sqref="D7:D21">
      <x:formula1>"Établi,À vérifier,Extrapolation,Coupé attesté,Concept abandonné,Allégation écartée"</x:formula1>
    </x:dataValidation>
    <x:dataValidation type="list" sqref="E7:E21">
      <x:formula1>"P0,P1,P2"</x:formula1>
    </x:dataValidation>
  </x:dataValidations>
  <x:pageMargins left="0.7" right="0.7" top="0.75" bottom="0.75" header="0.3" footer="0.3"/>
  <x:tableParts count="1">
    <x:tablePart xmlns:r="http://schemas.openxmlformats.org/officeDocument/2006/relationships" r:id="Re681b14a869e4371"/>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Paragon Lost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PL-SPR-VEGA</x:v>
      </x:c>
      <x:c r="B7" s="9" t="str">
        <x:v>James Vega — planche sprite</x:v>
      </x:c>
      <x:c r="C7" s="15" t="str">
        <x:v>Défini</x:v>
      </x:c>
      <x:c r="D7" s="16" t="str">
        <x:v>Extrapolation</x:v>
      </x:c>
      <x:c r="E7" s="16" t="str">
        <x:v>P1</x:v>
      </x:c>
      <x:c r="F7" s="9" t="str">
        <x:v>Création proposée : représentation 2D de James Vega pour ce module.</x:v>
      </x:c>
      <x:c r="G7" s="9" t="str">
        <x:v>Corps puissant, armure du film à contrôler ; ne pas remplacer automatiquement par le modèle de ME3. Préparer silhouette entière, portrait de dialogue et masque de sélection.</x:v>
      </x:c>
      <x:c r="H7" s="9" t="str">
        <x:v>La zone interactive reste stable entre les poses ; la tenue ne confère aucun bonus implicite.</x:v>
      </x:c>
      <x:c r="I7" s="9" t="str">
        <x:v>Corps puissant, armure du film à contrôler ; ne pas remplacer automatiquement par le modèle de ME3. Palette proposée à valider ; comparaison en miniature et sur le décor le plus sombre.</x:v>
      </x:c>
      <x:c r="J7" s="9" t="str">
        <x:v>Vue de trois quarts ; pivots dans huit directions proposées ; symétrie interdite si elle inverse un accessoire identifiable.</x:v>
      </x:c>
      <x:c r="K7" s="9" t="str">
        <x:v>Aucun échantillon du jeu ou du film ; le changement de sélection utilise le son UI du module.</x:v>
      </x:c>
      <x:c r="L7" s="9" t="str">
        <x:v>Prévoir assets/pl/actors/vega/atlas.png + atlas.json, pivot aux pieds.</x:v>
      </x:c>
      <x:c r="M7" s="9" t="str">
        <x:v>Visible uniquement quand James Vega est autorisé par l’état narratif.</x:v>
      </x:c>
      <x:c r="N7" s="9" t="str">
        <x:v>Silhouette reconnue sans nom ; pieds sans glissement ; portrait et sprite cohérents à échelle réelle.</x:v>
      </x:c>
      <x:c r="O7" s="9" t="str">
        <x:v>PL-CHR-VEGA</x:v>
      </x:c>
      <x:c r="P7" s="9" t="str"/>
      <x:c r="Q7" s="9" t="str"/>
      <x:c r="R7" s="9" t="str"/>
      <x:c r="S7" s="9" t="str"/>
    </x:row>
    <x:row r="8" ht="68" customHeight="1">
      <x:c r="A8" s="19" t="str">
        <x:v>PL-SPR-TREEYA</x:v>
      </x:c>
      <x:c r="B8" s="7" t="str">
        <x:v>Treeya Nuwani — planche sprite</x:v>
      </x:c>
      <x:c r="C8" s="15" t="str">
        <x:v>Défini</x:v>
      </x:c>
      <x:c r="D8" s="17" t="str">
        <x:v>Extrapolation</x:v>
      </x:c>
      <x:c r="E8" s="17" t="str">
        <x:v>P1</x:v>
      </x:c>
      <x:c r="F8" s="7" t="str">
        <x:v>Création proposée : représentation 2D de Treeya Nuwani pour ce module.</x:v>
      </x:c>
      <x:c r="G8" s="7" t="str">
        <x:v>Tenue de recherche du film à relever, silhouette civile distincte de l’escouade. Préparer silhouette entière, portrait de dialogue et masque de sélection.</x:v>
      </x:c>
      <x:c r="H8" s="7" t="str">
        <x:v>La zone interactive reste stable entre les poses ; la tenue ne confère aucun bonus implicite.</x:v>
      </x:c>
      <x:c r="I8" s="7" t="str">
        <x:v>Tenue de recherche du film à relever, silhouette civile distincte de l’escouade. Palette proposée à valider ; comparaison en miniature et sur le décor le plus sombre.</x:v>
      </x:c>
      <x:c r="J8" s="7" t="str">
        <x:v>Vue de trois quarts ; pivots dans huit directions proposées ; symétrie interdite si elle inverse un accessoire identifiable.</x:v>
      </x:c>
      <x:c r="K8" s="7" t="str">
        <x:v>Aucun échantillon du jeu ou du film ; le changement de sélection utilise le son UI du module.</x:v>
      </x:c>
      <x:c r="L8" s="7" t="str">
        <x:v>Prévoir assets/pl/actors/treeya/atlas.png + atlas.json, pivot aux pieds.</x:v>
      </x:c>
      <x:c r="M8" s="7" t="str">
        <x:v>Visible uniquement quand Treeya Nuwani est autorisé par l’état narratif.</x:v>
      </x:c>
      <x:c r="N8" s="7" t="str">
        <x:v>Silhouette reconnue sans nom ; pieds sans glissement ; portrait et sprite cohérents à échelle réelle.</x:v>
      </x:c>
      <x:c r="O8" s="7" t="str">
        <x:v>PL-CHR-TREEYA</x:v>
      </x:c>
      <x:c r="P8" s="7" t="str"/>
      <x:c r="Q8" s="7" t="str"/>
      <x:c r="R8" s="7" t="str"/>
      <x:c r="S8" s="7" t="str"/>
    </x:row>
    <x:row r="9" ht="68" customHeight="1">
      <x:c r="A9" s="18" t="str">
        <x:v>PL-SPR-MILQUE</x:v>
      </x:c>
      <x:c r="B9" s="9" t="str">
        <x:v>Milque — planche sprite</x:v>
      </x:c>
      <x:c r="C9" s="15" t="str">
        <x:v>Défini</x:v>
      </x:c>
      <x:c r="D9" s="16" t="str">
        <x:v>Extrapolation</x:v>
      </x:c>
      <x:c r="E9" s="16" t="str">
        <x:v>P1</x:v>
      </x:c>
      <x:c r="F9" s="9" t="str">
        <x:v>Création proposée : représentation 2D de Milque pour ce module.</x:v>
      </x:c>
      <x:c r="G9" s="9" t="str">
        <x:v>Silhouette allongée et fusil long ; accessoires exacts à relever. Préparer silhouette entière, portrait de dialogue et masque de sélection.</x:v>
      </x:c>
      <x:c r="H9" s="9" t="str">
        <x:v>La zone interactive reste stable entre les poses ; la tenue ne confère aucun bonus implicite.</x:v>
      </x:c>
      <x:c r="I9" s="9" t="str">
        <x:v>Silhouette allongée et fusil long ; accessoires exacts à relever. Palette proposée à valider ; comparaison en miniature et sur le décor le plus sombre.</x:v>
      </x:c>
      <x:c r="J9" s="9" t="str">
        <x:v>Vue de trois quarts ; pivots dans huit directions proposées ; symétrie interdite si elle inverse un accessoire identifiable.</x:v>
      </x:c>
      <x:c r="K9" s="9" t="str">
        <x:v>Aucun échantillon du jeu ou du film ; le changement de sélection utilise le son UI du module.</x:v>
      </x:c>
      <x:c r="L9" s="9" t="str">
        <x:v>Prévoir assets/pl/actors/milque/atlas.png + atlas.json, pivot aux pieds.</x:v>
      </x:c>
      <x:c r="M9" s="9" t="str">
        <x:v>Visible uniquement quand Milque est autorisé par l’état narratif.</x:v>
      </x:c>
      <x:c r="N9" s="9" t="str">
        <x:v>Silhouette reconnue sans nom ; pieds sans glissement ; portrait et sprite cohérents à échelle réelle.</x:v>
      </x:c>
      <x:c r="O9" s="9" t="str">
        <x:v>PL-CHR-MILQUE</x:v>
      </x:c>
      <x:c r="P9" s="9" t="str"/>
      <x:c r="Q9" s="9" t="str"/>
      <x:c r="R9" s="9" t="str"/>
      <x:c r="S9" s="9" t="str"/>
    </x:row>
    <x:row r="10" ht="68" customHeight="1">
      <x:c r="A10" s="19" t="str">
        <x:v>PL-SPR-ESSEX</x:v>
      </x:c>
      <x:c r="B10" s="7" t="str">
        <x:v>Essex — planche sprite</x:v>
      </x:c>
      <x:c r="C10" s="15" t="str">
        <x:v>Défini</x:v>
      </x:c>
      <x:c r="D10" s="17" t="str">
        <x:v>Extrapolation</x:v>
      </x:c>
      <x:c r="E10" s="17" t="str">
        <x:v>P1</x:v>
      </x:c>
      <x:c r="F10" s="7" t="str">
        <x:v>Création proposée : représentation 2D de Essex pour ce module.</x:v>
      </x:c>
      <x:c r="G10" s="7" t="str">
        <x:v>Armure de film et silhouette à vérifier ; posture d’action biotique lisible. Préparer silhouette entière, portrait de dialogue et masque de sélection.</x:v>
      </x:c>
      <x:c r="H10" s="7" t="str">
        <x:v>La zone interactive reste stable entre les poses ; la tenue ne confère aucun bonus implicite.</x:v>
      </x:c>
      <x:c r="I10" s="7" t="str">
        <x:v>Armure de film et silhouette à vérifier ; posture d’action biotique lisible. Palette proposée à valider ; comparaison en miniature et sur le décor le plus sombre.</x:v>
      </x:c>
      <x:c r="J10" s="7" t="str">
        <x:v>Vue de trois quarts ; pivots dans huit directions proposées ; symétrie interdite si elle inverse un accessoire identifiable.</x:v>
      </x:c>
      <x:c r="K10" s="7" t="str">
        <x:v>Aucun échantillon du jeu ou du film ; le changement de sélection utilise le son UI du module.</x:v>
      </x:c>
      <x:c r="L10" s="7" t="str">
        <x:v>Prévoir assets/pl/actors/essex/atlas.png + atlas.json, pivot aux pieds.</x:v>
      </x:c>
      <x:c r="M10" s="7" t="str">
        <x:v>Visible uniquement quand Essex est autorisé par l’état narratif.</x:v>
      </x:c>
      <x:c r="N10" s="7" t="str">
        <x:v>Silhouette reconnue sans nom ; pieds sans glissement ; portrait et sprite cohérents à échelle réelle.</x:v>
      </x:c>
      <x:c r="O10" s="7" t="str">
        <x:v>PL-CHR-ESSEX</x:v>
      </x:c>
      <x:c r="P10" s="7" t="str"/>
      <x:c r="Q10" s="7" t="str"/>
      <x:c r="R10" s="7" t="str"/>
      <x:c r="S10" s="7" t="str"/>
    </x:row>
    <x:row r="11" ht="68" customHeight="1">
      <x:c r="A11" s="18" t="str">
        <x:v>PL-SPR-NICKY</x:v>
      </x:c>
      <x:c r="B11" s="9" t="str">
        <x:v>Nicky — planche sprite</x:v>
      </x:c>
      <x:c r="C11" s="15" t="str">
        <x:v>Défini</x:v>
      </x:c>
      <x:c r="D11" s="16" t="str">
        <x:v>Extrapolation</x:v>
      </x:c>
      <x:c r="E11" s="16" t="str">
        <x:v>P1</x:v>
      </x:c>
      <x:c r="F11" s="9" t="str">
        <x:v>Création proposée : représentation 2D de Nicky pour ce module.</x:v>
      </x:c>
      <x:c r="G11" s="9" t="str">
        <x:v>Silhouette technique, omni-outil et drone distincts ; modèle du film requis. Préparer silhouette entière, portrait de dialogue et masque de sélection.</x:v>
      </x:c>
      <x:c r="H11" s="9" t="str">
        <x:v>La zone interactive reste stable entre les poses ; la tenue ne confère aucun bonus implicite.</x:v>
      </x:c>
      <x:c r="I11" s="9" t="str">
        <x:v>Silhouette technique, omni-outil et drone distincts ; modèle du film requis. Palette proposée à valider ; comparaison en miniature et sur le décor le plus sombre.</x:v>
      </x:c>
      <x:c r="J11" s="9" t="str">
        <x:v>Vue de trois quarts ; pivots dans huit directions proposées ; symétrie interdite si elle inverse un accessoire identifiable.</x:v>
      </x:c>
      <x:c r="K11" s="9" t="str">
        <x:v>Aucun échantillon du jeu ou du film ; le changement de sélection utilise le son UI du module.</x:v>
      </x:c>
      <x:c r="L11" s="9" t="str">
        <x:v>Prévoir assets/pl/actors/nicky/atlas.png + atlas.json, pivot aux pieds.</x:v>
      </x:c>
      <x:c r="M11" s="9" t="str">
        <x:v>Visible uniquement quand Nicky est autorisé par l’état narratif.</x:v>
      </x:c>
      <x:c r="N11" s="9" t="str">
        <x:v>Silhouette reconnue sans nom ; pieds sans glissement ; portrait et sprite cohérents à échelle réelle.</x:v>
      </x:c>
      <x:c r="O11" s="9" t="str">
        <x:v>PL-CHR-NICKY</x:v>
      </x:c>
      <x:c r="P11" s="9" t="str"/>
      <x:c r="Q11" s="9" t="str"/>
      <x:c r="R11" s="9" t="str"/>
      <x:c r="S11" s="9" t="str"/>
    </x:row>
    <x:row r="12" ht="68" customHeight="1">
      <x:c r="A12" s="19" t="str">
        <x:v>PL-SPR-KAMILLE</x:v>
      </x:c>
      <x:c r="B12" s="7" t="str">
        <x:v>Kamille — planche sprite</x:v>
      </x:c>
      <x:c r="C12" s="15" t="str">
        <x:v>Défini</x:v>
      </x:c>
      <x:c r="D12" s="17" t="str">
        <x:v>Extrapolation</x:v>
      </x:c>
      <x:c r="E12" s="17" t="str">
        <x:v>P1</x:v>
      </x:c>
      <x:c r="F12" s="7" t="str">
        <x:v>Création proposée : représentation 2D de Kamille pour ce module.</x:v>
      </x:c>
      <x:c r="G12" s="7" t="str">
        <x:v>Armure et coiffure du film à relever sans invention de modèle officiel. Préparer silhouette entière, portrait de dialogue et masque de sélection.</x:v>
      </x:c>
      <x:c r="H12" s="7" t="str">
        <x:v>La zone interactive reste stable entre les poses ; la tenue ne confère aucun bonus implicite.</x:v>
      </x:c>
      <x:c r="I12" s="7" t="str">
        <x:v>Armure et coiffure du film à relever sans invention de modèle officiel. Palette proposée à valider ; comparaison en miniature et sur le décor le plus sombre.</x:v>
      </x:c>
      <x:c r="J12" s="7" t="str">
        <x:v>Vue de trois quarts ; pivots dans huit directions proposées ; symétrie interdite si elle inverse un accessoire identifiable.</x:v>
      </x:c>
      <x:c r="K12" s="7" t="str">
        <x:v>Aucun échantillon du jeu ou du film ; le changement de sélection utilise le son UI du module.</x:v>
      </x:c>
      <x:c r="L12" s="7" t="str">
        <x:v>Prévoir assets/pl/actors/kamille/atlas.png + atlas.json, pivot aux pieds.</x:v>
      </x:c>
      <x:c r="M12" s="7" t="str">
        <x:v>Visible uniquement quand Kamille est autorisé par l’état narratif.</x:v>
      </x:c>
      <x:c r="N12" s="7" t="str">
        <x:v>Silhouette reconnue sans nom ; pieds sans glissement ; portrait et sprite cohérents à échelle réelle.</x:v>
      </x:c>
      <x:c r="O12" s="7" t="str">
        <x:v>PL-CHR-KAMILLE</x:v>
      </x:c>
      <x:c r="P12" s="7" t="str"/>
      <x:c r="Q12" s="7" t="str"/>
      <x:c r="R12" s="7" t="str"/>
      <x:c r="S12" s="7" t="str"/>
    </x:row>
    <x:row r="13" ht="54" customHeight="1">
      <x:c r="A13" s="18" t="str">
        <x:v>PL-SPR-MASON</x:v>
      </x:c>
      <x:c r="B13" s="9" t="str">
        <x:v>Mason — planche sprite</x:v>
      </x:c>
      <x:c r="C13" s="15" t="str">
        <x:v>Défini</x:v>
      </x:c>
      <x:c r="D13" s="16" t="str">
        <x:v>Extrapolation</x:v>
      </x:c>
      <x:c r="E13" s="16" t="str">
        <x:v>P1</x:v>
      </x:c>
      <x:c r="F13" s="9" t="str">
        <x:v>Création proposée : représentation 2D de Mason pour ce module.</x:v>
      </x:c>
      <x:c r="G13" s="9" t="str">
        <x:v>Silhouette militaire propre au film, équipement à contrôler. Préparer silhouette entière, portrait de dialogue et masque de sélection.</x:v>
      </x:c>
      <x:c r="H13" s="9" t="str">
        <x:v>La zone interactive reste stable entre les poses ; la tenue ne confère aucun bonus implicite.</x:v>
      </x:c>
      <x:c r="I13" s="9" t="str">
        <x:v>Silhouette militaire propre au film, équipement à contrôler. Palette proposée à valider ; comparaison en miniature et sur le décor le plus sombre.</x:v>
      </x:c>
      <x:c r="J13" s="9" t="str">
        <x:v>Vue de trois quarts ; pivots dans huit directions proposées ; symétrie interdite si elle inverse un accessoire identifiable.</x:v>
      </x:c>
      <x:c r="K13" s="9" t="str">
        <x:v>Aucun échantillon du jeu ou du film ; le changement de sélection utilise le son UI du module.</x:v>
      </x:c>
      <x:c r="L13" s="9" t="str">
        <x:v>Prévoir assets/pl/actors/mason/atlas.png + atlas.json, pivot aux pieds.</x:v>
      </x:c>
      <x:c r="M13" s="9" t="str">
        <x:v>Visible uniquement quand Mason est autorisé par l’état narratif.</x:v>
      </x:c>
      <x:c r="N13" s="9" t="str">
        <x:v>Silhouette reconnue sans nom ; pieds sans glissement ; portrait et sprite cohérents à échelle réelle.</x:v>
      </x:c>
      <x:c r="O13" s="9" t="str">
        <x:v>PL-CHR-MASON</x:v>
      </x:c>
      <x:c r="P13" s="9" t="str"/>
      <x:c r="Q13" s="9" t="str"/>
      <x:c r="R13" s="9" t="str"/>
      <x:c r="S13" s="9" t="str"/>
    </x:row>
    <x:row r="14" ht="54" customHeight="1">
      <x:c r="A14" s="19" t="str">
        <x:v>PL-SPR-TONI</x:v>
      </x:c>
      <x:c r="B14" s="7" t="str">
        <x:v>Capitaine Toni — planche sprite</x:v>
      </x:c>
      <x:c r="C14" s="15" t="str">
        <x:v>Défini</x:v>
      </x:c>
      <x:c r="D14" s="17" t="str">
        <x:v>Extrapolation</x:v>
      </x:c>
      <x:c r="E14" s="17" t="str">
        <x:v>P1</x:v>
      </x:c>
      <x:c r="F14" s="7" t="str">
        <x:v>Création proposée : représentation 2D de Capitaine Toni pour ce module.</x:v>
      </x:c>
      <x:c r="G14" s="7" t="str">
        <x:v>Uniforme et variante blessée à relever sur le film. Préparer silhouette entière, portrait de dialogue et masque de sélection.</x:v>
      </x:c>
      <x:c r="H14" s="7" t="str">
        <x:v>La zone interactive reste stable entre les poses ; la tenue ne confère aucun bonus implicite.</x:v>
      </x:c>
      <x:c r="I14" s="7" t="str">
        <x:v>Uniforme et variante blessée à relever sur le film. Palette proposée à valider ; comparaison en miniature et sur le décor le plus sombre.</x:v>
      </x:c>
      <x:c r="J14" s="7" t="str">
        <x:v>Vue de trois quarts ; pivots dans huit directions proposées ; symétrie interdite si elle inverse un accessoire identifiable.</x:v>
      </x:c>
      <x:c r="K14" s="7" t="str">
        <x:v>Aucun échantillon du jeu ou du film ; le changement de sélection utilise le son UI du module.</x:v>
      </x:c>
      <x:c r="L14" s="7" t="str">
        <x:v>Prévoir assets/pl/actors/toni/atlas.png + atlas.json, pivot aux pieds.</x:v>
      </x:c>
      <x:c r="M14" s="7" t="str">
        <x:v>Visible uniquement quand Capitaine Toni est autorisé par l’état narratif.</x:v>
      </x:c>
      <x:c r="N14" s="7" t="str">
        <x:v>Silhouette reconnue sans nom ; pieds sans glissement ; portrait et sprite cohérents à échelle réelle.</x:v>
      </x:c>
      <x:c r="O14" s="7" t="str">
        <x:v>PL-CHR-TONI</x:v>
      </x:c>
      <x:c r="P14" s="7" t="str"/>
      <x:c r="Q14" s="7" t="str"/>
      <x:c r="R14" s="7" t="str"/>
      <x:c r="S14" s="7" t="str"/>
    </x:row>
    <x:row r="15" ht="54" customHeight="1">
      <x:c r="A15" s="18" t="str">
        <x:v>PL-SPR-MESSNER</x:v>
      </x:c>
      <x:c r="B15" s="9" t="str">
        <x:v>Messner — planche sprite</x:v>
      </x:c>
      <x:c r="C15" s="15" t="str">
        <x:v>Défini</x:v>
      </x:c>
      <x:c r="D15" s="16" t="str">
        <x:v>Extrapolation</x:v>
      </x:c>
      <x:c r="E15" s="16" t="str">
        <x:v>P1</x:v>
      </x:c>
      <x:c r="F15" s="9" t="str">
        <x:v>Création proposée : représentation 2D de Messner pour ce module.</x:v>
      </x:c>
      <x:c r="G15" s="9" t="str">
        <x:v>Tenue civile, équipement de transport et bracelet à contrôler. Préparer silhouette entière, portrait de dialogue et masque de sélection.</x:v>
      </x:c>
      <x:c r="H15" s="9" t="str">
        <x:v>La zone interactive reste stable entre les poses ; la tenue ne confère aucun bonus implicite.</x:v>
      </x:c>
      <x:c r="I15" s="9" t="str">
        <x:v>Tenue civile, équipement de transport et bracelet à contrôler. Palette proposée à valider ; comparaison en miniature et sur le décor le plus sombre.</x:v>
      </x:c>
      <x:c r="J15" s="9" t="str">
        <x:v>Vue de trois quarts ; pivots dans huit directions proposées ; symétrie interdite si elle inverse un accessoire identifiable.</x:v>
      </x:c>
      <x:c r="K15" s="9" t="str">
        <x:v>Aucun échantillon du jeu ou du film ; le changement de sélection utilise le son UI du module.</x:v>
      </x:c>
      <x:c r="L15" s="9" t="str">
        <x:v>Prévoir assets/pl/actors/messner/atlas.png + atlas.json, pivot aux pieds.</x:v>
      </x:c>
      <x:c r="M15" s="9" t="str">
        <x:v>Visible uniquement quand Messner est autorisé par l’état narratif.</x:v>
      </x:c>
      <x:c r="N15" s="9" t="str">
        <x:v>Silhouette reconnue sans nom ; pieds sans glissement ; portrait et sprite cohérents à échelle réelle.</x:v>
      </x:c>
      <x:c r="O15" s="9" t="str">
        <x:v>PL-CHR-MESSNER</x:v>
      </x:c>
      <x:c r="P15" s="9" t="str"/>
      <x:c r="Q15" s="9" t="str"/>
      <x:c r="R15" s="9" t="str"/>
      <x:c r="S15" s="9" t="str"/>
    </x:row>
    <x:row r="16" ht="68" customHeight="1">
      <x:c r="A16" s="19" t="str">
        <x:v>PL-SPR-BROOD</x:v>
      </x:c>
      <x:c r="B16" s="7" t="str">
        <x:v>Brood — planche sprite</x:v>
      </x:c>
      <x:c r="C16" s="15" t="str">
        <x:v>Défini</x:v>
      </x:c>
      <x:c r="D16" s="17" t="str">
        <x:v>Extrapolation</x:v>
      </x:c>
      <x:c r="E16" s="17" t="str">
        <x:v>P1</x:v>
      </x:c>
      <x:c r="F16" s="7" t="str">
        <x:v>Création proposée : représentation 2D de Brood pour ce module.</x:v>
      </x:c>
      <x:c r="G16" s="7" t="str">
        <x:v>Silhouette krogan du film et dégâts visuels selon la scène, sans gore ajouté. Préparer silhouette entière, portrait de dialogue et masque de sélection.</x:v>
      </x:c>
      <x:c r="H16" s="7" t="str">
        <x:v>La zone interactive reste stable entre les poses ; la tenue ne confère aucun bonus implicite.</x:v>
      </x:c>
      <x:c r="I16" s="7" t="str">
        <x:v>Silhouette krogan du film et dégâts visuels selon la scène, sans gore ajouté. Palette proposée à valider ; comparaison en miniature et sur le décor le plus sombre.</x:v>
      </x:c>
      <x:c r="J16" s="7" t="str">
        <x:v>Vue de trois quarts ; pivots dans huit directions proposées ; symétrie interdite si elle inverse un accessoire identifiable.</x:v>
      </x:c>
      <x:c r="K16" s="7" t="str">
        <x:v>Aucun échantillon du jeu ou du film ; le changement de sélection utilise le son UI du module.</x:v>
      </x:c>
      <x:c r="L16" s="7" t="str">
        <x:v>Prévoir assets/pl/actors/brood/atlas.png + atlas.json, pivot aux pieds.</x:v>
      </x:c>
      <x:c r="M16" s="7" t="str">
        <x:v>Visible uniquement quand Brood est autorisé par l’état narratif.</x:v>
      </x:c>
      <x:c r="N16" s="7" t="str">
        <x:v>Silhouette reconnue sans nom ; pieds sans glissement ; portrait et sprite cohérents à échelle réelle.</x:v>
      </x:c>
      <x:c r="O16" s="7" t="str">
        <x:v>PL-CHR-BROOD</x:v>
      </x:c>
      <x:c r="P16" s="7" t="str"/>
      <x:c r="Q16" s="7" t="str"/>
      <x:c r="R16" s="7" t="str"/>
      <x:c r="S16" s="7" t="str"/>
    </x:row>
    <x:row r="17" ht="68" customHeight="1">
      <x:c r="A17" s="18" t="str">
        <x:v>PL-SPR-ARCHUK</x:v>
      </x:c>
      <x:c r="B17" s="9" t="str">
        <x:v>Archuk — planche sprite</x:v>
      </x:c>
      <x:c r="C17" s="15" t="str">
        <x:v>Défini</x:v>
      </x:c>
      <x:c r="D17" s="16" t="str">
        <x:v>Extrapolation</x:v>
      </x:c>
      <x:c r="E17" s="16" t="str">
        <x:v>P1</x:v>
      </x:c>
      <x:c r="F17" s="9" t="str">
        <x:v>Création proposée : représentation 2D de Archuk pour ce module.</x:v>
      </x:c>
      <x:c r="G17" s="9" t="str">
        <x:v>Armure massive, silhouette de charge, détails pris du film lors de validation. Préparer silhouette entière, portrait de dialogue et masque de sélection.</x:v>
      </x:c>
      <x:c r="H17" s="9" t="str">
        <x:v>La zone interactive reste stable entre les poses ; la tenue ne confère aucun bonus implicite.</x:v>
      </x:c>
      <x:c r="I17" s="9" t="str">
        <x:v>Armure massive, silhouette de charge, détails pris du film lors de validation. Palette proposée à valider ; comparaison en miniature et sur le décor le plus sombre.</x:v>
      </x:c>
      <x:c r="J17" s="9" t="str">
        <x:v>Vue de trois quarts ; pivots dans huit directions proposées ; symétrie interdite si elle inverse un accessoire identifiable.</x:v>
      </x:c>
      <x:c r="K17" s="9" t="str">
        <x:v>Aucun échantillon du jeu ou du film ; le changement de sélection utilise le son UI du module.</x:v>
      </x:c>
      <x:c r="L17" s="9" t="str">
        <x:v>Prévoir assets/pl/actors/archuk/atlas.png + atlas.json, pivot aux pieds.</x:v>
      </x:c>
      <x:c r="M17" s="9" t="str">
        <x:v>Visible uniquement quand Archuk est autorisé par l’état narratif.</x:v>
      </x:c>
      <x:c r="N17" s="9" t="str">
        <x:v>Silhouette reconnue sans nom ; pieds sans glissement ; portrait et sprite cohérents à échelle réelle.</x:v>
      </x:c>
      <x:c r="O17" s="9" t="str">
        <x:v>PL-CHR-ARCHUK</x:v>
      </x:c>
      <x:c r="P17" s="9" t="str"/>
      <x:c r="Q17" s="9" t="str"/>
      <x:c r="R17" s="9" t="str"/>
      <x:c r="S17" s="9" t="str"/>
    </x:row>
    <x:row r="18" ht="54" customHeight="1">
      <x:c r="A18" s="19" t="str">
        <x:v>PL-SPR-APRIL</x:v>
      </x:c>
      <x:c r="B18" s="7" t="str">
        <x:v>April — planche sprite</x:v>
      </x:c>
      <x:c r="C18" s="15" t="str">
        <x:v>Défini</x:v>
      </x:c>
      <x:c r="D18" s="17" t="str">
        <x:v>Extrapolation</x:v>
      </x:c>
      <x:c r="E18" s="17" t="str">
        <x:v>P1</x:v>
      </x:c>
      <x:c r="F18" s="7" t="str">
        <x:v>Création proposée : représentation 2D de April pour ce module.</x:v>
      </x:c>
      <x:c r="G18" s="7" t="str">
        <x:v>Silhouette enfantine du film, animation calme hors combat. Préparer silhouette entière, portrait de dialogue et masque de sélection.</x:v>
      </x:c>
      <x:c r="H18" s="7" t="str">
        <x:v>La zone interactive reste stable entre les poses ; la tenue ne confère aucun bonus implicite.</x:v>
      </x:c>
      <x:c r="I18" s="7" t="str">
        <x:v>Silhouette enfantine du film, animation calme hors combat. Palette proposée à valider ; comparaison en miniature et sur le décor le plus sombre.</x:v>
      </x:c>
      <x:c r="J18" s="7" t="str">
        <x:v>Vue de trois quarts ; pivots dans huit directions proposées ; symétrie interdite si elle inverse un accessoire identifiable.</x:v>
      </x:c>
      <x:c r="K18" s="7" t="str">
        <x:v>Aucun échantillon du jeu ou du film ; le changement de sélection utilise le son UI du module.</x:v>
      </x:c>
      <x:c r="L18" s="7" t="str">
        <x:v>Prévoir assets/pl/actors/april/atlas.png + atlas.json, pivot aux pieds.</x:v>
      </x:c>
      <x:c r="M18" s="7" t="str">
        <x:v>Visible uniquement quand April est autorisé par l’état narratif.</x:v>
      </x:c>
      <x:c r="N18" s="7" t="str">
        <x:v>Silhouette reconnue sans nom ; pieds sans glissement ; portrait et sprite cohérents à échelle réelle.</x:v>
      </x:c>
      <x:c r="O18" s="7" t="str">
        <x:v>PL-CHR-APRIL</x:v>
      </x:c>
      <x:c r="P18" s="7" t="str"/>
      <x:c r="Q18" s="7" t="str"/>
      <x:c r="R18" s="7" t="str"/>
      <x:c r="S18" s="7" t="str"/>
    </x:row>
    <x:row r="19" ht="54" customHeight="1">
      <x:c r="A19" s="18" t="str">
        <x:v>PL-SPR-CHRISTINE</x:v>
      </x:c>
      <x:c r="B19" s="9" t="str">
        <x:v>Christine — planche sprite</x:v>
      </x:c>
      <x:c r="C19" s="15" t="str">
        <x:v>Défini</x:v>
      </x:c>
      <x:c r="D19" s="16" t="str">
        <x:v>Extrapolation</x:v>
      </x:c>
      <x:c r="E19" s="16" t="str">
        <x:v>P1</x:v>
      </x:c>
      <x:c r="F19" s="9" t="str">
        <x:v>Création proposée : représentation 2D de Christine pour ce module.</x:v>
      </x:c>
      <x:c r="G19" s="9" t="str">
        <x:v>Tenue civile du film à relever, posture protectrice. Préparer silhouette entière, portrait de dialogue et masque de sélection.</x:v>
      </x:c>
      <x:c r="H19" s="9" t="str">
        <x:v>La zone interactive reste stable entre les poses ; la tenue ne confère aucun bonus implicite.</x:v>
      </x:c>
      <x:c r="I19" s="9" t="str">
        <x:v>Tenue civile du film à relever, posture protectrice. Palette proposée à valider ; comparaison en miniature et sur le décor le plus sombre.</x:v>
      </x:c>
      <x:c r="J19" s="9" t="str">
        <x:v>Vue de trois quarts ; pivots dans huit directions proposées ; symétrie interdite si elle inverse un accessoire identifiable.</x:v>
      </x:c>
      <x:c r="K19" s="9" t="str">
        <x:v>Aucun échantillon du jeu ou du film ; le changement de sélection utilise le son UI du module.</x:v>
      </x:c>
      <x:c r="L19" s="9" t="str">
        <x:v>Prévoir assets/pl/actors/christine/atlas.png + atlas.json, pivot aux pieds.</x:v>
      </x:c>
      <x:c r="M19" s="9" t="str">
        <x:v>Visible uniquement quand Christine est autorisé par l’état narratif.</x:v>
      </x:c>
      <x:c r="N19" s="9" t="str">
        <x:v>Silhouette reconnue sans nom ; pieds sans glissement ; portrait et sprite cohérents à échelle réelle.</x:v>
      </x:c>
      <x:c r="O19" s="9" t="str">
        <x:v>PL-CHR-CHRISTINE</x:v>
      </x:c>
      <x:c r="P19" s="9" t="str"/>
      <x:c r="Q19" s="9" t="str"/>
      <x:c r="R19" s="9" t="str"/>
      <x:c r="S19" s="9" t="str"/>
    </x:row>
    <x:row r="20" ht="68" customHeight="1">
      <x:c r="A20" s="19" t="str">
        <x:v>PL-SPR-HACKETT</x:v>
      </x:c>
      <x:c r="B20" s="7" t="str">
        <x:v>Steven Hackett — planche sprite</x:v>
      </x:c>
      <x:c r="C20" s="15" t="str">
        <x:v>Défini</x:v>
      </x:c>
      <x:c r="D20" s="17" t="str">
        <x:v>Extrapolation</x:v>
      </x:c>
      <x:c r="E20" s="17" t="str">
        <x:v>P1</x:v>
      </x:c>
      <x:c r="F20" s="7" t="str">
        <x:v>Création proposée : représentation 2D de Steven Hackett pour ce module.</x:v>
      </x:c>
      <x:c r="G20" s="7" t="str">
        <x:v>Créer un portrait de communication et ses états de liaison ; aucune présence physique ajoutée au groupe.</x:v>
      </x:c>
      <x:c r="H20" s="7" t="str">
        <x:v>La zone interactive reste stable entre les poses ; la tenue ne confère aucun bonus implicite.</x:v>
      </x:c>
      <x:c r="I20" s="7" t="str">
        <x:v>Portrait de communication de période, pas de sprite combattant nécessaire. Palette proposée à valider ; comparaison en miniature et sur le décor le plus sombre.</x:v>
      </x:c>
      <x:c r="J20" s="7" t="str">
        <x:v>Portrait fixe et légères variations de liaison ; absence de locomotion et de hitbox.</x:v>
      </x:c>
      <x:c r="K20" s="7" t="str">
        <x:v>Aucun échantillon du jeu ou du film ; le changement de sélection utilise le son UI du module.</x:v>
      </x:c>
      <x:c r="L20" s="7" t="str">
        <x:v>assets/pl/comms/ ; portrait, vignette de liaison et état hors ligne.</x:v>
      </x:c>
      <x:c r="M20" s="7" t="str">
        <x:v>Visible uniquement quand Steven Hackett est autorisé par l’état narratif.</x:v>
      </x:c>
      <x:c r="N20" s="7" t="str">
        <x:v>Le portrait apparaît seulement pendant les communications prévues ; aucun sprite combattant n’est créé sur la carte.</x:v>
      </x:c>
      <x:c r="O20" s="7" t="str">
        <x:v>PL-CHR-HACKETT</x:v>
      </x:c>
      <x:c r="P20" s="7" t="str"/>
      <x:c r="Q20" s="7" t="str"/>
      <x:c r="R20" s="7" t="str"/>
      <x:c r="S20" s="7" t="str"/>
    </x:row>
    <x:row r="21" ht="68" customHeight="1">
      <x:c r="A21" s="18" t="str">
        <x:v>PL-SPR-LIARA</x:v>
      </x:c>
      <x:c r="B21" s="9" t="str">
        <x:v>Liara T’Soni — planche sprite</x:v>
      </x:c>
      <x:c r="C21" s="15" t="str">
        <x:v>Défini</x:v>
      </x:c>
      <x:c r="D21" s="16" t="str">
        <x:v>Extrapolation</x:v>
      </x:c>
      <x:c r="E21" s="16" t="str">
        <x:v>P1</x:v>
      </x:c>
      <x:c r="F21" s="9" t="str">
        <x:v>Création proposée : représentation 2D de Liara T’Soni pour ce module.</x:v>
      </x:c>
      <x:c r="G21" s="9" t="str">
        <x:v>Créer un portrait de communication et ses états de liaison ; aucune présence physique ajoutée au groupe.</x:v>
      </x:c>
      <x:c r="H21" s="9" t="str">
        <x:v>La zone interactive reste stable entre les poses ; la tenue ne confère aucun bonus implicite.</x:v>
      </x:c>
      <x:c r="I21" s="9" t="str">
        <x:v>Portrait de liaison à confirmer ; aucune présence physique ajoutée. Palette proposée à valider ; comparaison en miniature et sur le décor le plus sombre.</x:v>
      </x:c>
      <x:c r="J21" s="9" t="str">
        <x:v>Portrait fixe et légères variations de liaison ; absence de locomotion et de hitbox.</x:v>
      </x:c>
      <x:c r="K21" s="9" t="str">
        <x:v>Aucun échantillon du jeu ou du film ; le changement de sélection utilise le son UI du module.</x:v>
      </x:c>
      <x:c r="L21" s="9" t="str">
        <x:v>assets/pl/comms/ ; portrait, vignette de liaison et état hors ligne.</x:v>
      </x:c>
      <x:c r="M21" s="9" t="str">
        <x:v>Visible uniquement quand Liara T’Soni est autorisé par l’état narratif.</x:v>
      </x:c>
      <x:c r="N21" s="9" t="str">
        <x:v>Le portrait apparaît seulement pendant les communications prévues ; aucun sprite combattant n’est créé sur la carte.</x:v>
      </x:c>
      <x:c r="O21" s="9" t="str">
        <x:v>PL-CHR-LIARA</x:v>
      </x:c>
      <x:c r="P21" s="9" t="str"/>
      <x:c r="Q21" s="9" t="str"/>
      <x:c r="R21" s="9" t="str"/>
      <x:c r="S21" s="9" t="str"/>
    </x:row>
  </x:sheetData>
  <x:conditionalFormatting sqref="D7:D21">
    <x:cfRule type="cellIs" dxfId="80" priority="1" operator="equal">
      <x:formula>"À vérifier"</x:formula>
    </x:cfRule>
    <x:cfRule type="cellIs" dxfId="81" priority="2" operator="equal">
      <x:formula>"Extrapolation"</x:formula>
    </x:cfRule>
  </x:conditionalFormatting>
  <x:conditionalFormatting sqref="C7:C21">
    <x:cfRule type="cellIs" dxfId="82" priority="3" operator="equal">
      <x:formula>"Validé"</x:formula>
    </x:cfRule>
  </x:conditionalFormatting>
  <x:conditionalFormatting sqref="E7:E21">
    <x:cfRule type="cellIs" dxfId="83" priority="4" operator="equal">
      <x:formula>"P0"</x:formula>
    </x:cfRule>
  </x:conditionalFormatting>
  <x:dataValidations count="3">
    <x:dataValidation type="list" sqref="C7:C21">
      <x:formula1>"Défini,Prototype,Intégré,Validé"</x:formula1>
    </x:dataValidation>
    <x:dataValidation type="list" sqref="D7:D21">
      <x:formula1>"Établi,À vérifier,Extrapolation,Coupé attesté,Concept abandonné,Allégation écartée"</x:formula1>
    </x:dataValidation>
    <x:dataValidation type="list" sqref="E7:E21">
      <x:formula1>"P0,P1,P2"</x:formula1>
    </x:dataValidation>
  </x:dataValidations>
  <x:pageMargins left="0.7" right="0.7" top="0.75" bottom="0.75" header="0.3" footer="0.3"/>
  <x:tableParts count="1">
    <x:tablePart xmlns:r="http://schemas.openxmlformats.org/officeDocument/2006/relationships" r:id="R0df455e351f34224"/>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Paragon Lost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PL-VFX-PACK</x:v>
      </x:c>
      <x:c r="B7" s="9" t="str">
        <x:v>Mercenaires du Blood Pack — rencontre proposée — effet lisible</x:v>
      </x:c>
      <x:c r="C7" s="15" t="str">
        <x:v>Défini</x:v>
      </x:c>
      <x:c r="D7" s="16" t="str">
        <x:v>Extrapolation</x:v>
      </x:c>
      <x:c r="E7" s="16" t="str">
        <x:v>P1</x:v>
      </x:c>
      <x:c r="F7" s="9" t="str">
        <x:v>Effet original de prévision et de résultat pour la rencontre.</x:v>
      </x:c>
      <x:c r="G7" s="9" t="str">
        <x:v>Préparation de l’arme et arc de tir au sol.</x:v>
      </x:c>
      <x:c r="H7" s="9" t="str">
        <x:v>Aire de prévision égale à l’aire logique ; masque de cible conservé en daltonisme.</x:v>
      </x:c>
      <x:c r="I7" s="9" t="str">
        <x:v>Préparation de l’arme et arc de tir au sol. Limiter les flashes ; option intensité réduite conservant contours et pictogrammes.</x:v>
      </x:c>
      <x:c r="J7" s="9" t="str">
        <x:v>Apparition, maintien, résolution et extinction distinctes ; pas de particule persistante après sortie de carte.</x:v>
      </x:c>
      <x:c r="K7" s="9" t="str">
        <x:v>Un son par engagement ; pas d’empilement de boucles sur recharge de sauvegarde.</x:v>
      </x:c>
      <x:c r="L7" s="9" t="str">
        <x:v>fx/pl/pack ; pool local nettoyé au changement de scène.</x:v>
      </x:c>
      <x:c r="M7" s="9" t="str">
        <x:v>Effet lié au comportement, jamais déclenché par une animation décorative.</x:v>
      </x:c>
      <x:c r="N7" s="9" t="str">
        <x:v>Aucune cible hors aire n’est affectée ; mode réduit conserve la compréhension.</x:v>
      </x:c>
      <x:c r="O7" s="9" t="str">
        <x:v>PL-EMV-PACK</x:v>
      </x:c>
      <x:c r="P7" s="9" t="str"/>
      <x:c r="Q7" s="9" t="str"/>
      <x:c r="R7" s="9" t="str"/>
      <x:c r="S7" s="9" t="str"/>
    </x:row>
    <x:row r="8" ht="54" customHeight="1">
      <x:c r="A8" s="19" t="str">
        <x:v>PL-VFX-ARCHUK</x:v>
      </x:c>
      <x:c r="B8" s="7" t="str">
        <x:v>Archuk — boss tactique proposé — effet lisible</x:v>
      </x:c>
      <x:c r="C8" s="15" t="str">
        <x:v>Défini</x:v>
      </x:c>
      <x:c r="D8" s="17" t="str">
        <x:v>Extrapolation</x:v>
      </x:c>
      <x:c r="E8" s="17" t="str">
        <x:v>P1</x:v>
      </x:c>
      <x:c r="F8" s="7" t="str">
        <x:v>Effet original de prévision et de résultat pour la rencontre.</x:v>
      </x:c>
      <x:c r="G8" s="7" t="str">
        <x:v>Épaules abaissées et trajet de charge matérialisé.</x:v>
      </x:c>
      <x:c r="H8" s="7" t="str">
        <x:v>Aire de prévision égale à l’aire logique ; masque de cible conservé en daltonisme.</x:v>
      </x:c>
      <x:c r="I8" s="7" t="str">
        <x:v>Épaules abaissées et trajet de charge matérialisé. Limiter les flashes ; option intensité réduite conservant contours et pictogrammes.</x:v>
      </x:c>
      <x:c r="J8" s="7" t="str">
        <x:v>Apparition, maintien, résolution et extinction distinctes ; pas de particule persistante après sortie de carte.</x:v>
      </x:c>
      <x:c r="K8" s="7" t="str">
        <x:v>Un son par engagement ; pas d’empilement de boucles sur recharge de sauvegarde.</x:v>
      </x:c>
      <x:c r="L8" s="7" t="str">
        <x:v>fx/pl/archuk ; pool local nettoyé au changement de scène.</x:v>
      </x:c>
      <x:c r="M8" s="7" t="str">
        <x:v>Effet lié au comportement, jamais déclenché par une animation décorative.</x:v>
      </x:c>
      <x:c r="N8" s="7" t="str">
        <x:v>Aucune cible hors aire n’est affectée ; mode réduit conserve la compréhension.</x:v>
      </x:c>
      <x:c r="O8" s="7" t="str">
        <x:v>PL-EMV-ARCHUK</x:v>
      </x:c>
      <x:c r="P8" s="7" t="str"/>
      <x:c r="Q8" s="7" t="str"/>
      <x:c r="R8" s="7" t="str"/>
      <x:c r="S8" s="7" t="str"/>
    </x:row>
    <x:row r="9" ht="68" customHeight="1">
      <x:c r="A9" s="18" t="str">
        <x:v>PL-VFX-SEEKERS</x:v>
      </x:c>
      <x:c r="B9" s="9" t="str">
        <x:v>Essaim de chercheurs — danger proposé — effet lisible</x:v>
      </x:c>
      <x:c r="C9" s="15" t="str">
        <x:v>Défini</x:v>
      </x:c>
      <x:c r="D9" s="16" t="str">
        <x:v>Extrapolation</x:v>
      </x:c>
      <x:c r="E9" s="16" t="str">
        <x:v>P1</x:v>
      </x:c>
      <x:c r="F9" s="9" t="str">
        <x:v>Effet original de prévision et de résultat pour la rencontre.</x:v>
      </x:c>
      <x:c r="G9" s="9" t="str">
        <x:v>Nuage identifiable avec bord externe et icône de paralysie de fiction.</x:v>
      </x:c>
      <x:c r="H9" s="9" t="str">
        <x:v>Aire de prévision égale à l’aire logique ; masque de cible conservé en daltonisme.</x:v>
      </x:c>
      <x:c r="I9" s="9" t="str">
        <x:v>Nuage identifiable avec bord externe et icône de paralysie de fiction. Limiter les flashes ; option intensité réduite conservant contours et pictogrammes.</x:v>
      </x:c>
      <x:c r="J9" s="9" t="str">
        <x:v>Apparition, maintien, résolution et extinction distinctes ; pas de particule persistante après sortie de carte.</x:v>
      </x:c>
      <x:c r="K9" s="9" t="str">
        <x:v>Un son par engagement ; pas d’empilement de boucles sur recharge de sauvegarde.</x:v>
      </x:c>
      <x:c r="L9" s="9" t="str">
        <x:v>fx/pl/seekers ; pool local nettoyé au changement de scène.</x:v>
      </x:c>
      <x:c r="M9" s="9" t="str">
        <x:v>Effet lié au comportement, jamais déclenché par une animation décorative.</x:v>
      </x:c>
      <x:c r="N9" s="9" t="str">
        <x:v>Aucune cible hors aire n’est affectée ; mode réduit conserve la compréhension.</x:v>
      </x:c>
      <x:c r="O9" s="9" t="str">
        <x:v>PL-EMV-SEEKERS</x:v>
      </x:c>
      <x:c r="P9" s="9" t="str"/>
      <x:c r="Q9" s="9" t="str"/>
      <x:c r="R9" s="9" t="str"/>
      <x:c r="S9" s="9" t="str"/>
    </x:row>
    <x:row r="10" ht="68" customHeight="1">
      <x:c r="A10" s="19" t="str">
        <x:v>PL-VFX-PRAETORIAN</x:v>
      </x:c>
      <x:c r="B10" s="7" t="str">
        <x:v>Prétorien — poursuite proposée — effet lisible</x:v>
      </x:c>
      <x:c r="C10" s="15" t="str">
        <x:v>Défini</x:v>
      </x:c>
      <x:c r="D10" s="17" t="str">
        <x:v>Extrapolation</x:v>
      </x:c>
      <x:c r="E10" s="17" t="str">
        <x:v>P1</x:v>
      </x:c>
      <x:c r="F10" s="7" t="str">
        <x:v>Effet original de prévision et de résultat pour la rencontre.</x:v>
      </x:c>
      <x:c r="G10" s="7" t="str">
        <x:v>Silhouette entière visible, appui des membres et cercle de menace.</x:v>
      </x:c>
      <x:c r="H10" s="7" t="str">
        <x:v>Aire de prévision égale à l’aire logique ; masque de cible conservé en daltonisme.</x:v>
      </x:c>
      <x:c r="I10" s="7" t="str">
        <x:v>Silhouette entière visible, appui des membres et cercle de menace. Limiter les flashes ; option intensité réduite conservant contours et pictogrammes.</x:v>
      </x:c>
      <x:c r="J10" s="7" t="str">
        <x:v>Apparition, maintien, résolution et extinction distinctes ; pas de particule persistante après sortie de carte.</x:v>
      </x:c>
      <x:c r="K10" s="7" t="str">
        <x:v>Un son par engagement ; pas d’empilement de boucles sur recharge de sauvegarde.</x:v>
      </x:c>
      <x:c r="L10" s="7" t="str">
        <x:v>fx/pl/praetorian ; pool local nettoyé au changement de scène.</x:v>
      </x:c>
      <x:c r="M10" s="7" t="str">
        <x:v>Effet lié au comportement, jamais déclenché par une animation décorative.</x:v>
      </x:c>
      <x:c r="N10" s="7" t="str">
        <x:v>Aucune cible hors aire n’est affectée ; mode réduit conserve la compréhension.</x:v>
      </x:c>
      <x:c r="O10" s="7" t="str">
        <x:v>PL-EMV-PRAETORIAN</x:v>
      </x:c>
      <x:c r="P10" s="7" t="str"/>
      <x:c r="Q10" s="7" t="str"/>
      <x:c r="R10" s="7" t="str"/>
      <x:c r="S10" s="7" t="str"/>
    </x:row>
    <x:row r="11" ht="54" customHeight="1">
      <x:c r="A11" s="18" t="str">
        <x:v>PL-VFX-DRONES</x:v>
      </x:c>
      <x:c r="B11" s="9" t="str">
        <x:v>Escouade de Récolteurs proposée — effet lisible</x:v>
      </x:c>
      <x:c r="C11" s="15" t="str">
        <x:v>Défini</x:v>
      </x:c>
      <x:c r="D11" s="16" t="str">
        <x:v>Extrapolation</x:v>
      </x:c>
      <x:c r="E11" s="16" t="str">
        <x:v>P1</x:v>
      </x:c>
      <x:c r="F11" s="9" t="str">
        <x:v>Effet original de prévision et de résultat pour la rencontre.</x:v>
      </x:c>
      <x:c r="G11" s="9" t="str">
        <x:v>Cibles de verrouillage et formation clairement espacée.</x:v>
      </x:c>
      <x:c r="H11" s="9" t="str">
        <x:v>Aire de prévision égale à l’aire logique ; masque de cible conservé en daltonisme.</x:v>
      </x:c>
      <x:c r="I11" s="9" t="str">
        <x:v>Cibles de verrouillage et formation clairement espacée. Limiter les flashes ; option intensité réduite conservant contours et pictogrammes.</x:v>
      </x:c>
      <x:c r="J11" s="9" t="str">
        <x:v>Apparition, maintien, résolution et extinction distinctes ; pas de particule persistante après sortie de carte.</x:v>
      </x:c>
      <x:c r="K11" s="9" t="str">
        <x:v>Un son par engagement ; pas d’empilement de boucles sur recharge de sauvegarde.</x:v>
      </x:c>
      <x:c r="L11" s="9" t="str">
        <x:v>fx/pl/drones ; pool local nettoyé au changement de scène.</x:v>
      </x:c>
      <x:c r="M11" s="9" t="str">
        <x:v>Effet lié au comportement, jamais déclenché par une animation décorative.</x:v>
      </x:c>
      <x:c r="N11" s="9" t="str">
        <x:v>Aucune cible hors aire n’est affectée ; mode réduit conserve la compréhension.</x:v>
      </x:c>
      <x:c r="O11" s="9" t="str">
        <x:v>PL-EMV-DRONES</x:v>
      </x:c>
      <x:c r="P11" s="9" t="str"/>
      <x:c r="Q11" s="9" t="str"/>
      <x:c r="R11" s="9" t="str"/>
      <x:c r="S11" s="9" t="str"/>
    </x:row>
  </x:sheetData>
  <x:conditionalFormatting sqref="D7:D11">
    <x:cfRule type="cellIs" dxfId="84" priority="1" operator="equal">
      <x:formula>"À vérifier"</x:formula>
    </x:cfRule>
    <x:cfRule type="cellIs" dxfId="85" priority="2" operator="equal">
      <x:formula>"Extrapolation"</x:formula>
    </x:cfRule>
  </x:conditionalFormatting>
  <x:conditionalFormatting sqref="C7:C11">
    <x:cfRule type="cellIs" dxfId="86" priority="3" operator="equal">
      <x:formula>"Validé"</x:formula>
    </x:cfRule>
  </x:conditionalFormatting>
  <x:conditionalFormatting sqref="E7:E11">
    <x:cfRule type="cellIs" dxfId="87"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02236d19ee624ecb"/>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Paragon Lost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PL-AUD-01</x:v>
      </x:c>
      <x:c r="B7" s="9" t="str">
        <x:v>Delta en action</x:v>
      </x:c>
      <x:c r="C7" s="15" t="str">
        <x:v>Défini</x:v>
      </x:c>
      <x:c r="D7" s="16" t="str">
        <x:v>Extrapolation</x:v>
      </x:c>
      <x:c r="E7" s="16" t="str">
        <x:v>P1</x:v>
      </x:c>
      <x:c r="F7" s="9" t="str">
        <x:v>Création sonore originale pour le fan game.</x:v>
      </x:c>
      <x:c r="G7" s="9" t="str">
        <x:v>Bruitages originaux nets, appels tactiques courts et sous-titrés.</x:v>
      </x:c>
      <x:c r="H7" s="9" t="str">
        <x:v>Déclenchement à l’événement logique ; priorité à la compréhension des commandes du groupe.</x:v>
      </x:c>
      <x:c r="I7" s="9" t="str">
        <x:v>Sous-titre d’ambiance facultatif ; pictogramme si le son fournit une alerte.</x:v>
      </x:c>
      <x:c r="J7" s="9" t="str">
        <x:v>Points de synchro notés dans la fiche animation concernée ; aucune dépendance à la vitesse de lecture.</x:v>
      </x:c>
      <x:c r="K7" s="9" t="str">
        <x:v>Bruitages originaux nets, appels tactiques courts et sous-titrés. Musique, bruitages et éventuelles voix à produire sans extraire les enregistrements officiels.</x:v>
      </x:c>
      <x:c r="L7" s="9" t="str">
        <x:v>audio/pl/delta-en-action.ogg ; bus ambiance/musique/interface séparés.</x:v>
      </x:c>
      <x:c r="M7" s="9" t="str">
        <x:v>La source narrative inspire l’intention, pas une mélodie ou un enregistrement à copier.</x:v>
      </x:c>
      <x:c r="N7" s="9" t="str">
        <x:v>Boucle sans clic ; transitions propres ; information compréhensible volume coupé.</x:v>
      </x:c>
      <x:c r="O7" s="9" t="str"/>
      <x:c r="P7" s="9" t="str"/>
      <x:c r="Q7" s="9" t="str"/>
      <x:c r="R7" s="9" t="str"/>
      <x:c r="S7" s="9" t="str"/>
    </x:row>
    <x:row r="8" ht="68" customHeight="1">
      <x:c r="A8" s="19" t="str">
        <x:v>PL-AUD-02</x:v>
      </x:c>
      <x:c r="B8" s="7" t="str">
        <x:v>Colonie vivante</x:v>
      </x:c>
      <x:c r="C8" s="15" t="str">
        <x:v>Défini</x:v>
      </x:c>
      <x:c r="D8" s="17" t="str">
        <x:v>Extrapolation</x:v>
      </x:c>
      <x:c r="E8" s="17" t="str">
        <x:v>P1</x:v>
      </x:c>
      <x:c r="F8" s="7" t="str">
        <x:v>Création sonore originale pour le fan game.</x:v>
      </x:c>
      <x:c r="G8" s="7" t="str">
        <x:v>Travail, pas civils et musique originale calme pendant l’accalmie.</x:v>
      </x:c>
      <x:c r="H8" s="7" t="str">
        <x:v>Déclenchement à l’événement logique ; priorité à la compréhension des commandes du groupe.</x:v>
      </x:c>
      <x:c r="I8" s="7" t="str">
        <x:v>Sous-titre d’ambiance facultatif ; pictogramme si le son fournit une alerte.</x:v>
      </x:c>
      <x:c r="J8" s="7" t="str">
        <x:v>Points de synchro notés dans la fiche animation concernée ; aucune dépendance à la vitesse de lecture.</x:v>
      </x:c>
      <x:c r="K8" s="7" t="str">
        <x:v>Travail, pas civils et musique originale calme pendant l’accalmie. Musique, bruitages et éventuelles voix à produire sans extraire les enregistrements officiels.</x:v>
      </x:c>
      <x:c r="L8" s="7" t="str">
        <x:v>audio/pl/colonie-vivante.ogg ; bus ambiance/musique/interface séparés.</x:v>
      </x:c>
      <x:c r="M8" s="7" t="str">
        <x:v>La source narrative inspire l’intention, pas une mélodie ou un enregistrement à copier.</x:v>
      </x:c>
      <x:c r="N8" s="7" t="str">
        <x:v>Boucle sans clic ; transitions propres ; information compréhensible volume coupé.</x:v>
      </x:c>
      <x:c r="O8" s="7" t="str"/>
      <x:c r="P8" s="7" t="str"/>
      <x:c r="Q8" s="7" t="str"/>
      <x:c r="R8" s="7" t="str"/>
      <x:c r="S8" s="7" t="str"/>
    </x:row>
    <x:row r="9" ht="82" customHeight="1">
      <x:c r="A9" s="18" t="str">
        <x:v>PL-AUD-03</x:v>
      </x:c>
      <x:c r="B9" s="9" t="str">
        <x:v>Vestiges et liaison</x:v>
      </x:c>
      <x:c r="C9" s="15" t="str">
        <x:v>Défini</x:v>
      </x:c>
      <x:c r="D9" s="16" t="str">
        <x:v>Extrapolation</x:v>
      </x:c>
      <x:c r="E9" s="16" t="str">
        <x:v>P1</x:v>
      </x:c>
      <x:c r="F9" s="9" t="str">
        <x:v>Création sonore originale pour le fan game.</x:v>
      </x:c>
      <x:c r="G9" s="9" t="str">
        <x:v>Souffle extérieur et interface de communication légère ; aucun extrait de voix de Liara.</x:v>
      </x:c>
      <x:c r="H9" s="9" t="str">
        <x:v>Déclenchement à l’événement logique ; priorité à la compréhension des commandes du groupe.</x:v>
      </x:c>
      <x:c r="I9" s="9" t="str">
        <x:v>Sous-titre d’ambiance facultatif ; pictogramme si le son fournit une alerte.</x:v>
      </x:c>
      <x:c r="J9" s="9" t="str">
        <x:v>Points de synchro notés dans la fiche animation concernée ; aucune dépendance à la vitesse de lecture.</x:v>
      </x:c>
      <x:c r="K9" s="9" t="str">
        <x:v>Souffle extérieur et interface de communication légère ; aucun extrait de voix de Liara. Musique, bruitages et éventuelles voix à produire sans extraire les enregistrements officiels.</x:v>
      </x:c>
      <x:c r="L9" s="9" t="str">
        <x:v>audio/pl/vestiges-et-liaison.ogg ; bus ambiance/musique/interface séparés.</x:v>
      </x:c>
      <x:c r="M9" s="9" t="str">
        <x:v>La source narrative inspire l’intention, pas une mélodie ou un enregistrement à copier.</x:v>
      </x:c>
      <x:c r="N9" s="9" t="str">
        <x:v>Boucle sans clic ; transitions propres ; information compréhensible volume coupé.</x:v>
      </x:c>
      <x:c r="O9" s="9" t="str"/>
      <x:c r="P9" s="9" t="str"/>
      <x:c r="Q9" s="9" t="str"/>
      <x:c r="R9" s="9" t="str"/>
      <x:c r="S9" s="9" t="str"/>
    </x:row>
    <x:row r="10" ht="82" customHeight="1">
      <x:c r="A10" s="19" t="str">
        <x:v>PL-AUD-04</x:v>
      </x:c>
      <x:c r="B10" s="7" t="str">
        <x:v>Essaims</x:v>
      </x:c>
      <x:c r="C10" s="15" t="str">
        <x:v>Défini</x:v>
      </x:c>
      <x:c r="D10" s="17" t="str">
        <x:v>Extrapolation</x:v>
      </x:c>
      <x:c r="E10" s="17" t="str">
        <x:v>P1</x:v>
      </x:c>
      <x:c r="F10" s="7" t="str">
        <x:v>Création sonore originale pour le fan game.</x:v>
      </x:c>
      <x:c r="G10" s="7" t="str">
        <x:v>Texture sonore non agressive réglable, avertissement directionnel doublé d’un contour visuel.</x:v>
      </x:c>
      <x:c r="H10" s="7" t="str">
        <x:v>Déclenchement à l’événement logique ; priorité à la compréhension des commandes du groupe.</x:v>
      </x:c>
      <x:c r="I10" s="7" t="str">
        <x:v>Sous-titre d’ambiance facultatif ; pictogramme si le son fournit une alerte.</x:v>
      </x:c>
      <x:c r="J10" s="7" t="str">
        <x:v>Points de synchro notés dans la fiche animation concernée ; aucune dépendance à la vitesse de lecture.</x:v>
      </x:c>
      <x:c r="K10" s="7" t="str">
        <x:v>Texture sonore non agressive réglable, avertissement directionnel doublé d’un contour visuel. Musique, bruitages et éventuelles voix à produire sans extraire les enregistrements officiels.</x:v>
      </x:c>
      <x:c r="L10" s="7" t="str">
        <x:v>audio/pl/essaims.ogg ; bus ambiance/musique/interface séparés.</x:v>
      </x:c>
      <x:c r="M10" s="7" t="str">
        <x:v>La source narrative inspire l’intention, pas une mélodie ou un enregistrement à copier.</x:v>
      </x:c>
      <x:c r="N10" s="7" t="str">
        <x:v>Boucle sans clic ; transitions propres ; information compréhensible volume coupé.</x:v>
      </x:c>
      <x:c r="O10" s="7" t="str"/>
      <x:c r="P10" s="7" t="str"/>
      <x:c r="Q10" s="7" t="str"/>
      <x:c r="R10" s="7" t="str"/>
      <x:c r="S10" s="7" t="str"/>
    </x:row>
    <x:row r="11" ht="68" customHeight="1">
      <x:c r="A11" s="18" t="str">
        <x:v>PL-AUD-05</x:v>
      </x:c>
      <x:c r="B11" s="9" t="str">
        <x:v>Vaisseau récolteur</x:v>
      </x:c>
      <x:c r="C11" s="15" t="str">
        <x:v>Défini</x:v>
      </x:c>
      <x:c r="D11" s="16" t="str">
        <x:v>Extrapolation</x:v>
      </x:c>
      <x:c r="E11" s="16" t="str">
        <x:v>P1</x:v>
      </x:c>
      <x:c r="F11" s="9" t="str">
        <x:v>Création sonore originale pour le fan game.</x:v>
      </x:c>
      <x:c r="G11" s="9" t="str">
        <x:v>Pulsations organomécaniques originales sans copier la bande sonore du film.</x:v>
      </x:c>
      <x:c r="H11" s="9" t="str">
        <x:v>Déclenchement à l’événement logique ; priorité à la compréhension des commandes du groupe.</x:v>
      </x:c>
      <x:c r="I11" s="9" t="str">
        <x:v>Sous-titre d’ambiance facultatif ; pictogramme si le son fournit une alerte.</x:v>
      </x:c>
      <x:c r="J11" s="9" t="str">
        <x:v>Points de synchro notés dans la fiche animation concernée ; aucune dépendance à la vitesse de lecture.</x:v>
      </x:c>
      <x:c r="K11" s="9" t="str">
        <x:v>Pulsations organomécaniques originales sans copier la bande sonore du film. Musique, bruitages et éventuelles voix à produire sans extraire les enregistrements officiels.</x:v>
      </x:c>
      <x:c r="L11" s="9" t="str">
        <x:v>audio/pl/vaisseau-recolteur.ogg ; bus ambiance/musique/interface séparés.</x:v>
      </x:c>
      <x:c r="M11" s="9" t="str">
        <x:v>La source narrative inspire l’intention, pas une mélodie ou un enregistrement à copier.</x:v>
      </x:c>
      <x:c r="N11" s="9" t="str">
        <x:v>Boucle sans clic ; transitions propres ; information compréhensible volume coupé.</x:v>
      </x:c>
      <x:c r="O11" s="9" t="str"/>
      <x:c r="P11" s="9" t="str"/>
      <x:c r="Q11" s="9" t="str"/>
      <x:c r="R11" s="9" t="str"/>
      <x:c r="S11" s="9" t="str"/>
    </x:row>
    <x:row r="12" ht="68" customHeight="1">
      <x:c r="A12" s="19" t="str">
        <x:v>PL-AUD-06</x:v>
      </x:c>
      <x:c r="B12" s="7" t="str">
        <x:v>Mémorial</x:v>
      </x:c>
      <x:c r="C12" s="15" t="str">
        <x:v>Défini</x:v>
      </x:c>
      <x:c r="D12" s="17" t="str">
        <x:v>Extrapolation</x:v>
      </x:c>
      <x:c r="E12" s="17" t="str">
        <x:v>P1</x:v>
      </x:c>
      <x:c r="F12" s="7" t="str">
        <x:v>Création sonore originale pour le fan game.</x:v>
      </x:c>
      <x:c r="G12" s="7" t="str">
        <x:v>Silence, vent et motif musical original discret ; aucune célébration des pertes.</x:v>
      </x:c>
      <x:c r="H12" s="7" t="str">
        <x:v>Déclenchement à l’événement logique ; priorité à la compréhension des commandes du groupe.</x:v>
      </x:c>
      <x:c r="I12" s="7" t="str">
        <x:v>Sous-titre d’ambiance facultatif ; pictogramme si le son fournit une alerte.</x:v>
      </x:c>
      <x:c r="J12" s="7" t="str">
        <x:v>Points de synchro notés dans la fiche animation concernée ; aucune dépendance à la vitesse de lecture.</x:v>
      </x:c>
      <x:c r="K12" s="7" t="str">
        <x:v>Silence, vent et motif musical original discret ; aucune célébration des pertes. Musique, bruitages et éventuelles voix à produire sans extraire les enregistrements officiels.</x:v>
      </x:c>
      <x:c r="L12" s="7" t="str">
        <x:v>audio/pl/memorial.ogg ; bus ambiance/musique/interface séparés.</x:v>
      </x:c>
      <x:c r="M12" s="7" t="str">
        <x:v>La source narrative inspire l’intention, pas une mélodie ou un enregistrement à copier.</x:v>
      </x:c>
      <x:c r="N12" s="7" t="str">
        <x:v>Boucle sans clic ; transitions propres ; information compréhensible volume coupé.</x:v>
      </x:c>
      <x:c r="O12" s="7" t="str"/>
      <x:c r="P12" s="7" t="str"/>
      <x:c r="Q12" s="7" t="str"/>
      <x:c r="R12" s="7" t="str"/>
      <x:c r="S12" s="7" t="str"/>
    </x:row>
  </x:sheetData>
  <x:conditionalFormatting sqref="D7:D12">
    <x:cfRule type="cellIs" dxfId="88" priority="1" operator="equal">
      <x:formula>"À vérifier"</x:formula>
    </x:cfRule>
    <x:cfRule type="cellIs" dxfId="89" priority="2" operator="equal">
      <x:formula>"Extrapolation"</x:formula>
    </x:cfRule>
  </x:conditionalFormatting>
  <x:conditionalFormatting sqref="C7:C12">
    <x:cfRule type="cellIs" dxfId="90" priority="3" operator="equal">
      <x:formula>"Validé"</x:formula>
    </x:cfRule>
  </x:conditionalFormatting>
  <x:conditionalFormatting sqref="E7:E12">
    <x:cfRule type="cellIs" dxfId="9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34d2b6a1497e413f"/>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Paragon Lost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PL-SYS-01</x:v>
      </x:c>
      <x:c r="B7" s="9" t="str">
        <x:v>Fenêtres de Delta Squad</x:v>
      </x:c>
      <x:c r="C7" s="15" t="str">
        <x:v>Défini</x:v>
      </x:c>
      <x:c r="D7" s="16" t="str">
        <x:v>Extrapolation</x:v>
      </x:c>
      <x:c r="E7" s="16" t="str">
        <x:v>P0</x:v>
      </x:c>
      <x:c r="F7" s="9" t="str">
        <x:v>Système original de production propre au module.</x:v>
      </x:c>
      <x:c r="G7" s="9" t="str">
        <x:v>Activer chaque membre seulement dans les phases où sa présence est autorisée ; aucun recrutement permanent des personnages perdus.</x:v>
      </x:c>
      <x:c r="H7" s="9" t="str">
        <x:v>Activer chaque membre seulement dans les phases où sa présence est autorisée ; aucun recrutement permanent des personnages perdus.</x:v>
      </x:c>
      <x:c r="I7" s="9" t="str">
        <x:v>État visible dans le HUD et le journal ; libellés complets, icônes non exclusives.</x:v>
      </x:c>
      <x:c r="J7" s="9" t="str">
        <x:v>Transitions rapides et possibilité de réduire les mouvements UI.</x:v>
      </x:c>
      <x:c r="K7" s="9" t="str">
        <x:v>Chaque changement critique possède un équivalent textuel ; pas de message sonore seul.</x:v>
      </x:c>
      <x:c r="L7" s="9" t="str">
        <x:v>systems/pl/fenetres-de-delta-squad.ts prévu ; sauvegarde versionnée avec valeurs par défaut.</x:v>
      </x:c>
      <x:c r="M7" s="9" t="str">
        <x:v>Activé seulement dans ce module ; ne modifie pas les sauvegardes des jeux officiels.</x:v>
      </x:c>
      <x:c r="N7" s="9" t="str">
        <x:v>Chargement et reprise conservent l’état ; clavier et pointeur donnent le même résultat.</x:v>
      </x:c>
      <x:c r="O7" s="9" t="str"/>
      <x:c r="P7" s="9" t="str"/>
      <x:c r="Q7" s="9" t="str"/>
      <x:c r="R7" s="9" t="str"/>
      <x:c r="S7" s="9" t="str"/>
    </x:row>
    <x:row r="8" ht="54" customHeight="1">
      <x:c r="A8" s="19" t="str">
        <x:v>PL-SYS-02</x:v>
      </x:c>
      <x:c r="B8" s="7" t="str">
        <x:v>Deux périodes</x:v>
      </x:c>
      <x:c r="C8" s="15" t="str">
        <x:v>Défini</x:v>
      </x:c>
      <x:c r="D8" s="17" t="str">
        <x:v>Extrapolation</x:v>
      </x:c>
      <x:c r="E8" s="17" t="str">
        <x:v>P0</x:v>
      </x:c>
      <x:c r="F8" s="7" t="str">
        <x:v>Système original de production propre au module.</x:v>
      </x:c>
      <x:c r="G8" s="7" t="str">
        <x:v>Afficher explicitement la transition entre l’attaque initiale et la crise suivante ; modifier décor et habitants de manière contrôlée.</x:v>
      </x:c>
      <x:c r="H8" s="7" t="str">
        <x:v>Afficher explicitement la transition entre l’attaque initiale et la crise suivante ; modifier décor et habitants de manière contrôlée.</x:v>
      </x:c>
      <x:c r="I8" s="7" t="str">
        <x:v>État visible dans le HUD et le journal ; libellés complets, icônes non exclusives.</x:v>
      </x:c>
      <x:c r="J8" s="7" t="str">
        <x:v>Transitions rapides et possibilité de réduire les mouvements UI.</x:v>
      </x:c>
      <x:c r="K8" s="7" t="str">
        <x:v>Chaque changement critique possède un équivalent textuel ; pas de message sonore seul.</x:v>
      </x:c>
      <x:c r="L8" s="7" t="str">
        <x:v>systems/pl/deux-periodes.ts prévu ; sauvegarde versionnée avec valeurs par défaut.</x:v>
      </x:c>
      <x:c r="M8" s="7" t="str">
        <x:v>Activé seulement dans ce module ; ne modifie pas les sauvegardes des jeux officiels.</x:v>
      </x:c>
      <x:c r="N8" s="7" t="str">
        <x:v>Chargement et reprise conservent l’état ; clavier et pointeur donnent le même résultat.</x:v>
      </x:c>
      <x:c r="O8" s="7" t="str"/>
      <x:c r="P8" s="7" t="str"/>
      <x:c r="Q8" s="7" t="str"/>
      <x:c r="R8" s="7" t="str"/>
      <x:c r="S8" s="7" t="str"/>
    </x:row>
    <x:row r="9" ht="54" customHeight="1">
      <x:c r="A9" s="18" t="str">
        <x:v>PL-SYS-03</x:v>
      </x:c>
      <x:c r="B9" s="9" t="str">
        <x:v>Méthodes sans fin alternative</x:v>
      </x:c>
      <x:c r="C9" s="15" t="str">
        <x:v>Défini</x:v>
      </x:c>
      <x:c r="D9" s="16" t="str">
        <x:v>Extrapolation</x:v>
      </x:c>
      <x:c r="E9" s="16" t="str">
        <x:v>P1</x:v>
      </x:c>
      <x:c r="F9" s="9" t="str">
        <x:v>Système original de production propre au module.</x:v>
      </x:c>
      <x:c r="G9" s="9" t="str">
        <x:v>Les choix portent sur couverts, répartition et collecte locale ; ils ne proposent pas de sauver simultanément tout le monde.</x:v>
      </x:c>
      <x:c r="H9" s="9" t="str">
        <x:v>Les choix portent sur couverts, répartition et collecte locale ; ils ne proposent pas de sauver simultanément tout le monde.</x:v>
      </x:c>
      <x:c r="I9" s="9" t="str">
        <x:v>État visible dans le HUD et le journal ; libellés complets, icônes non exclusives.</x:v>
      </x:c>
      <x:c r="J9" s="9" t="str">
        <x:v>Transitions rapides et possibilité de réduire les mouvements UI.</x:v>
      </x:c>
      <x:c r="K9" s="9" t="str">
        <x:v>Chaque changement critique possède un équivalent textuel ; pas de message sonore seul.</x:v>
      </x:c>
      <x:c r="L9" s="9" t="str">
        <x:v>systems/pl/methodes-sans-fin-alternative.ts prévu ; sauvegarde versionnée avec valeurs par défaut.</x:v>
      </x:c>
      <x:c r="M9" s="9" t="str">
        <x:v>Activé seulement dans ce module ; ne modifie pas les sauvegardes des jeux officiels.</x:v>
      </x:c>
      <x:c r="N9" s="9" t="str">
        <x:v>Chargement et reprise conservent l’état ; clavier et pointeur donnent le même résultat.</x:v>
      </x:c>
      <x:c r="O9" s="9" t="str"/>
      <x:c r="P9" s="9" t="str"/>
      <x:c r="Q9" s="9" t="str"/>
      <x:c r="R9" s="9" t="str"/>
      <x:c r="S9" s="9" t="str"/>
    </x:row>
    <x:row r="10" ht="54" customHeight="1">
      <x:c r="A10" s="19" t="str">
        <x:v>PL-SYS-04</x:v>
      </x:c>
      <x:c r="B10" s="7" t="str">
        <x:v>Civil et militaire</x:v>
      </x:c>
      <x:c r="C10" s="15" t="str">
        <x:v>Défini</x:v>
      </x:c>
      <x:c r="D10" s="17" t="str">
        <x:v>Extrapolation</x:v>
      </x:c>
      <x:c r="E10" s="17" t="str">
        <x:v>P1</x:v>
      </x:c>
      <x:c r="F10" s="7" t="str">
        <x:v>Système original de production propre au module.</x:v>
      </x:c>
      <x:c r="G10" s="7" t="str">
        <x:v>Treeya, April et Christine conservent des fonctions distinctes de celles des Marines ; pas d’armement automatique du groupe entier.</x:v>
      </x:c>
      <x:c r="H10" s="7" t="str">
        <x:v>Treeya, April et Christine conservent des fonctions distinctes de celles des Marines ; pas d’armement automatique du groupe entier.</x:v>
      </x:c>
      <x:c r="I10" s="7" t="str">
        <x:v>État visible dans le HUD et le journal ; libellés complets, icônes non exclusives.</x:v>
      </x:c>
      <x:c r="J10" s="7" t="str">
        <x:v>Transitions rapides et possibilité de réduire les mouvements UI.</x:v>
      </x:c>
      <x:c r="K10" s="7" t="str">
        <x:v>Chaque changement critique possède un équivalent textuel ; pas de message sonore seul.</x:v>
      </x:c>
      <x:c r="L10" s="7" t="str">
        <x:v>systems/pl/civil-et-militaire.ts prévu ; sauvegarde versionnée avec valeurs par défaut.</x:v>
      </x:c>
      <x:c r="M10" s="7" t="str">
        <x:v>Activé seulement dans ce module ; ne modifie pas les sauvegardes des jeux officiels.</x:v>
      </x:c>
      <x:c r="N10" s="7" t="str">
        <x:v>Chargement et reprise conservent l’état ; clavier et pointeur donnent le même résultat.</x:v>
      </x:c>
      <x:c r="O10" s="7" t="str"/>
      <x:c r="P10" s="7" t="str"/>
      <x:c r="Q10" s="7" t="str"/>
      <x:c r="R10" s="7" t="str"/>
      <x:c r="S10" s="7" t="str"/>
    </x:row>
    <x:row r="11" ht="44" customHeight="1">
      <x:c r="A11" s="18" t="str">
        <x:v>PL-SYS-05</x:v>
      </x:c>
      <x:c r="B11" s="9" t="str">
        <x:v>Lecture des essaims</x:v>
      </x:c>
      <x:c r="C11" s="15" t="str">
        <x:v>Défini</x:v>
      </x:c>
      <x:c r="D11" s="16" t="str">
        <x:v>Extrapolation</x:v>
      </x:c>
      <x:c r="E11" s="16" t="str">
        <x:v>P1</x:v>
      </x:c>
      <x:c r="F11" s="9" t="str">
        <x:v>Système original de production propre au module.</x:v>
      </x:c>
      <x:c r="G11" s="9" t="str">
        <x:v>Danger spatial visible et solution de passage claire ; le système de paralysie est un réglage fictif.</x:v>
      </x:c>
      <x:c r="H11" s="9" t="str">
        <x:v>Danger spatial visible et solution de passage claire ; le système de paralysie est un réglage fictif.</x:v>
      </x:c>
      <x:c r="I11" s="9" t="str">
        <x:v>État visible dans le HUD et le journal ; libellés complets, icônes non exclusives.</x:v>
      </x:c>
      <x:c r="J11" s="9" t="str">
        <x:v>Transitions rapides et possibilité de réduire les mouvements UI.</x:v>
      </x:c>
      <x:c r="K11" s="9" t="str">
        <x:v>Chaque changement critique possède un équivalent textuel ; pas de message sonore seul.</x:v>
      </x:c>
      <x:c r="L11" s="9" t="str">
        <x:v>systems/pl/lecture-des-essaims.ts prévu ; sauvegarde versionnée avec valeurs par défaut.</x:v>
      </x:c>
      <x:c r="M11" s="9" t="str">
        <x:v>Activé seulement dans ce module ; ne modifie pas les sauvegardes des jeux officiels.</x:v>
      </x:c>
      <x:c r="N11" s="9" t="str">
        <x:v>Chargement et reprise conservent l’état ; clavier et pointeur donnent le même résultat.</x:v>
      </x:c>
      <x:c r="O11" s="9" t="str"/>
      <x:c r="P11" s="9" t="str"/>
      <x:c r="Q11" s="9" t="str"/>
      <x:c r="R11" s="9" t="str"/>
      <x:c r="S11" s="9" t="str"/>
    </x:row>
    <x:row r="12" ht="54" customHeight="1">
      <x:c r="A12" s="19" t="str">
        <x:v>PL-SYS-06</x:v>
      </x:c>
      <x:c r="B12" s="7" t="str">
        <x:v>Objets de preuve</x:v>
      </x:c>
      <x:c r="C12" s="15" t="str">
        <x:v>Défini</x:v>
      </x:c>
      <x:c r="D12" s="17" t="str">
        <x:v>Extrapolation</x:v>
      </x:c>
      <x:c r="E12" s="17" t="str">
        <x:v>P1</x:v>
      </x:c>
      <x:c r="F12" s="7" t="str">
        <x:v>Système original de production propre au module.</x:v>
      </x:c>
      <x:c r="G12" s="7" t="str">
        <x:v>Le bracelet et ses données suivent un seul porteur logique ; aucune duplication après changement de carte.</x:v>
      </x:c>
      <x:c r="H12" s="7" t="str">
        <x:v>Le bracelet et ses données suivent un seul porteur logique ; aucune duplication après changement de carte.</x:v>
      </x:c>
      <x:c r="I12" s="7" t="str">
        <x:v>État visible dans le HUD et le journal ; libellés complets, icônes non exclusives.</x:v>
      </x:c>
      <x:c r="J12" s="7" t="str">
        <x:v>Transitions rapides et possibilité de réduire les mouvements UI.</x:v>
      </x:c>
      <x:c r="K12" s="7" t="str">
        <x:v>Chaque changement critique possède un équivalent textuel ; pas de message sonore seul.</x:v>
      </x:c>
      <x:c r="L12" s="7" t="str">
        <x:v>systems/pl/objets-de-preuve.ts prévu ; sauvegarde versionnée avec valeurs par défaut.</x:v>
      </x:c>
      <x:c r="M12" s="7" t="str">
        <x:v>Activé seulement dans ce module ; ne modifie pas les sauvegardes des jeux officiels.</x:v>
      </x:c>
      <x:c r="N12" s="7" t="str">
        <x:v>Chargement et reprise conservent l’état ; clavier et pointeur donnent le même résultat.</x:v>
      </x:c>
      <x:c r="O12" s="7" t="str"/>
      <x:c r="P12" s="7" t="str"/>
      <x:c r="Q12" s="7" t="str"/>
      <x:c r="R12" s="7" t="str"/>
      <x:c r="S12" s="7" t="str"/>
    </x:row>
    <x:row r="13" ht="44" customHeight="1">
      <x:c r="A13" s="18" t="str">
        <x:v>PL-SYS-07</x:v>
      </x:c>
      <x:c r="B13" s="9" t="str">
        <x:v>Échelle du vaisseau</x:v>
      </x:c>
      <x:c r="C13" s="15" t="str">
        <x:v>Défini</x:v>
      </x:c>
      <x:c r="D13" s="16" t="str">
        <x:v>Extrapolation</x:v>
      </x:c>
      <x:c r="E13" s="16" t="str">
        <x:v>P1</x:v>
      </x:c>
      <x:c r="F13" s="9" t="str">
        <x:v>Système original de production propre au module.</x:v>
      </x:c>
      <x:c r="G13" s="9" t="str">
        <x:v>Les segments d’abordage sont scénarisés et cadrés ; pas de fausse promesse d’exploration intégrale.</x:v>
      </x:c>
      <x:c r="H13" s="9" t="str">
        <x:v>Les segments d’abordage sont scénarisés et cadrés ; pas de fausse promesse d’exploration intégrale.</x:v>
      </x:c>
      <x:c r="I13" s="9" t="str">
        <x:v>État visible dans le HUD et le journal ; libellés complets, icônes non exclusives.</x:v>
      </x:c>
      <x:c r="J13" s="9" t="str">
        <x:v>Transitions rapides et possibilité de réduire les mouvements UI.</x:v>
      </x:c>
      <x:c r="K13" s="9" t="str">
        <x:v>Chaque changement critique possède un équivalent textuel ; pas de message sonore seul.</x:v>
      </x:c>
      <x:c r="L13" s="9" t="str">
        <x:v>systems/pl/echelle-du-vaisseau.ts prévu ; sauvegarde versionnée avec valeurs par défaut.</x:v>
      </x:c>
      <x:c r="M13" s="9" t="str">
        <x:v>Activé seulement dans ce module ; ne modifie pas les sauvegardes des jeux officiels.</x:v>
      </x:c>
      <x:c r="N13" s="9" t="str">
        <x:v>Chargement et reprise conservent l’état ; clavier et pointeur donnent le même résultat.</x:v>
      </x:c>
      <x:c r="O13" s="9" t="str"/>
      <x:c r="P13" s="9" t="str"/>
      <x:c r="Q13" s="9" t="str"/>
      <x:c r="R13" s="9" t="str"/>
      <x:c r="S13" s="9" t="str"/>
    </x:row>
    <x:row r="14" ht="44" customHeight="1">
      <x:c r="A14" s="19" t="str">
        <x:v>PL-SYS-08</x:v>
      </x:c>
      <x:c r="B14" s="7" t="str">
        <x:v>Rapport sans score moral</x:v>
      </x:c>
      <x:c r="C14" s="15" t="str">
        <x:v>Défini</x:v>
      </x:c>
      <x:c r="D14" s="17" t="str">
        <x:v>Extrapolation</x:v>
      </x:c>
      <x:c r="E14" s="17" t="str">
        <x:v>P1</x:v>
      </x:c>
      <x:c r="F14" s="7" t="str">
        <x:v>Système original de production propre au module.</x:v>
      </x:c>
      <x:c r="G14" s="7" t="str">
        <x:v>L’épilogue conserve les conséquences sans noter le deuil ni classer le joueur sur une échelle de vertu.</x:v>
      </x:c>
      <x:c r="H14" s="7" t="str">
        <x:v>L’épilogue conserve les conséquences sans noter le deuil ni classer le joueur sur une échelle de vertu.</x:v>
      </x:c>
      <x:c r="I14" s="7" t="str">
        <x:v>État visible dans le HUD et le journal ; libellés complets, icônes non exclusives.</x:v>
      </x:c>
      <x:c r="J14" s="7" t="str">
        <x:v>Transitions rapides et possibilité de réduire les mouvements UI.</x:v>
      </x:c>
      <x:c r="K14" s="7" t="str">
        <x:v>Chaque changement critique possède un équivalent textuel ; pas de message sonore seul.</x:v>
      </x:c>
      <x:c r="L14" s="7" t="str">
        <x:v>systems/pl/rapport-sans-score-moral.ts prévu ; sauvegarde versionnée avec valeurs par défaut.</x:v>
      </x:c>
      <x:c r="M14" s="7" t="str">
        <x:v>Activé seulement dans ce module ; ne modifie pas les sauvegardes des jeux officiels.</x:v>
      </x:c>
      <x:c r="N14" s="7" t="str">
        <x:v>Chargement et reprise conservent l’état ; clavier et pointeur donnent le même résultat.</x:v>
      </x:c>
      <x:c r="O14" s="7" t="str"/>
      <x:c r="P14" s="7" t="str"/>
      <x:c r="Q14" s="7" t="str"/>
      <x:c r="R14" s="7" t="str"/>
      <x:c r="S14" s="7" t="str"/>
    </x:row>
    <x:row r="15" ht="54" customHeight="1">
      <x:c r="A15" s="18" t="str">
        <x:v>PL-SYS-09</x:v>
      </x:c>
      <x:c r="B15" s="9" t="str">
        <x:v>Références visuelles du film</x:v>
      </x:c>
      <x:c r="C15" s="15" t="str">
        <x:v>Défini</x:v>
      </x:c>
      <x:c r="D15" s="16" t="str">
        <x:v>Extrapolation</x:v>
      </x:c>
      <x:c r="E15" s="16" t="str">
        <x:v>P1</x:v>
      </x:c>
      <x:c r="F15" s="9" t="str">
        <x:v>Système original de production propre au module.</x:v>
      </x:c>
      <x:c r="G15" s="9" t="str">
        <x:v>Distinguer style du film et modèles des jeux ; toute harmonisation en sprites est une décision d’adaptation explicitée.</x:v>
      </x:c>
      <x:c r="H15" s="9" t="str">
        <x:v>Distinguer style du film et modèles des jeux ; toute harmonisation en sprites est une décision d’adaptation explicitée.</x:v>
      </x:c>
      <x:c r="I15" s="9" t="str">
        <x:v>État visible dans le HUD et le journal ; libellés complets, icônes non exclusives.</x:v>
      </x:c>
      <x:c r="J15" s="9" t="str">
        <x:v>Transitions rapides et possibilité de réduire les mouvements UI.</x:v>
      </x:c>
      <x:c r="K15" s="9" t="str">
        <x:v>Chaque changement critique possède un équivalent textuel ; pas de message sonore seul.</x:v>
      </x:c>
      <x:c r="L15" s="9" t="str">
        <x:v>systems/pl/references-visuelles-du-film.ts prévu ; sauvegarde versionnée avec valeurs par défaut.</x:v>
      </x:c>
      <x:c r="M15" s="9" t="str">
        <x:v>Activé seulement dans ce module ; ne modifie pas les sauvegardes des jeux officiels.</x:v>
      </x:c>
      <x:c r="N15" s="9" t="str">
        <x:v>Chargement et reprise conservent l’état ; clavier et pointeur donnent le même résultat.</x:v>
      </x:c>
      <x:c r="O15" s="9" t="str"/>
      <x:c r="P15" s="9" t="str"/>
      <x:c r="Q15" s="9" t="str"/>
      <x:c r="R15" s="9" t="str"/>
      <x:c r="S15" s="9" t="str"/>
    </x:row>
  </x:sheetData>
  <x:conditionalFormatting sqref="D7:D15">
    <x:cfRule type="cellIs" dxfId="92" priority="1" operator="equal">
      <x:formula>"À vérifier"</x:formula>
    </x:cfRule>
    <x:cfRule type="cellIs" dxfId="93" priority="2" operator="equal">
      <x:formula>"Extrapolation"</x:formula>
    </x:cfRule>
  </x:conditionalFormatting>
  <x:conditionalFormatting sqref="C7:C15">
    <x:cfRule type="cellIs" dxfId="94" priority="3" operator="equal">
      <x:formula>"Validé"</x:formula>
    </x:cfRule>
  </x:conditionalFormatting>
  <x:conditionalFormatting sqref="E7:E15">
    <x:cfRule type="cellIs" dxfId="95" priority="4" operator="equal">
      <x:formula>"P0"</x:formula>
    </x:cfRule>
  </x:conditionalFormatting>
  <x:dataValidations count="3">
    <x:dataValidation type="list" sqref="C7:C15">
      <x:formula1>"Défini,Prototype,Intégré,Validé"</x:formula1>
    </x:dataValidation>
    <x:dataValidation type="list" sqref="D7:D15">
      <x:formula1>"Établi,À vérifier,Extrapolation,Coupé attesté,Concept abandonné,Allégation écartée"</x:formula1>
    </x:dataValidation>
    <x:dataValidation type="list" sqref="E7:E15">
      <x:formula1>"P0,P1,P2"</x:formula1>
    </x:dataValidation>
  </x:dataValidations>
  <x:pageMargins left="0.7" right="0.7" top="0.75" bottom="0.75" header="0.3" footer="0.3"/>
  <x:tableParts count="1">
    <x:tablePart xmlns:r="http://schemas.openxmlformats.org/officeDocument/2006/relationships" r:id="R512acfb4069e4387"/>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Paragon Lost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44" customHeight="1">
      <x:c r="A7" s="18" t="str">
        <x:v>PL-TST-LAND</x:v>
      </x:c>
      <x:c r="B7" s="9" t="str">
        <x:v>Rallier l’escouade — scénario d’acceptation</x:v>
      </x:c>
      <x:c r="C7" s="15" t="str">
        <x:v>Défini</x:v>
      </x:c>
      <x:c r="D7" s="16" t="str">
        <x:v>Extrapolation</x:v>
      </x:c>
      <x:c r="E7" s="16" t="str">
        <x:v>P1</x:v>
      </x:c>
      <x:c r="F7" s="9" t="str">
        <x:v>Test de comportement spécifique à la mission proposée.</x:v>
      </x:c>
      <x:c r="G7" s="9" t="str">
        <x:v>Exécuter Rallier l’escouade avec la méthode la plus lente puis avec la méthode alternative.</x:v>
      </x:c>
      <x:c r="H7" s="9" t="str">
        <x:v>Contrôler les transitions de la règle suivante : Alterner déplacement assisté, couverture et repérage de sortie.</x:v>
      </x:c>
      <x:c r="I7" s="9" t="str">
        <x:v>Capturer le moment où la sortie devient valide et celui où le choix devient indisponible.</x:v>
      </x:c>
      <x:c r="J7" s="9" t="str">
        <x:v>Interrompre une action à son anticipation et une autre après son engagement.</x:v>
      </x:c>
      <x:c r="K7" s="9" t="str">
        <x:v>Rejouer sans son pour vérifier les informations essentielles.</x:v>
      </x:c>
      <x:c r="L7" s="9" t="str">
        <x:v>qa/pl/land.md : état initial, actions, attendu, résultat, capture.</x:v>
      </x:c>
      <x:c r="M7" s="9" t="str">
        <x:v>Le contexte de 2183 est distingué du reste du film.</x:v>
      </x:c>
      <x:c r="N7" s="9" t="str">
        <x:v>Aucun blocage, récompense multiple, information future ou divergence entre pause ATB et temps normal.</x:v>
      </x:c>
      <x:c r="O7" s="9" t="str">
        <x:v>PL-MIS-LAND, PL-CHO-LAND, PL-OPT-LAND</x:v>
      </x:c>
      <x:c r="P7" s="9" t="str"/>
      <x:c r="Q7" s="9" t="str"/>
      <x:c r="R7" s="9" t="str"/>
      <x:c r="S7" s="9" t="str"/>
    </x:row>
    <x:row r="8" ht="54" customHeight="1">
      <x:c r="A8" s="19" t="str">
        <x:v>PL-TST-FLANK</x:v>
      </x:c>
      <x:c r="B8" s="7" t="str">
        <x:v>Coordonner un flanc — scénario d’acceptation</x:v>
      </x:c>
      <x:c r="C8" s="15" t="str">
        <x:v>Défini</x:v>
      </x:c>
      <x:c r="D8" s="17" t="str">
        <x:v>Extrapolation</x:v>
      </x:c>
      <x:c r="E8" s="17" t="str">
        <x:v>P1</x:v>
      </x:c>
      <x:c r="F8" s="7" t="str">
        <x:v>Test de comportement spécifique à la mission proposée.</x:v>
      </x:c>
      <x:c r="G8" s="7" t="str">
        <x:v>Exécuter Coordonner un flanc avec la méthode la plus lente puis avec la méthode alternative.</x:v>
      </x:c>
      <x:c r="H8" s="7" t="str">
        <x:v>Contrôler les transitions de la règle suivante : Vega attire la pression pendant que drone et appui ouvrent une ligne de passage.</x:v>
      </x:c>
      <x:c r="I8" s="7" t="str">
        <x:v>Capturer le moment où la sortie devient valide et celui où le choix devient indisponible.</x:v>
      </x:c>
      <x:c r="J8" s="7" t="str">
        <x:v>Interrompre une action à son anticipation et une autre après son engagement.</x:v>
      </x:c>
      <x:c r="K8" s="7" t="str">
        <x:v>Rejouer sans son pour vérifier les informations essentielles.</x:v>
      </x:c>
      <x:c r="L8" s="7" t="str">
        <x:v>qa/pl/flank.md : état initial, actions, attendu, résultat, capture.</x:v>
      </x:c>
      <x:c r="M8" s="7" t="str">
        <x:v>Le destin d’Archuk ne devient pas une option de recrutement.</x:v>
      </x:c>
      <x:c r="N8" s="7" t="str">
        <x:v>Aucun blocage, récompense multiple, information future ou divergence entre pause ATB et temps normal.</x:v>
      </x:c>
      <x:c r="O8" s="7" t="str">
        <x:v>PL-MIS-FLANK, PL-CHO-FLANK, PL-OPT-FLANK</x:v>
      </x:c>
      <x:c r="P8" s="7" t="str"/>
      <x:c r="Q8" s="7" t="str"/>
      <x:c r="R8" s="7" t="str"/>
      <x:c r="S8" s="7" t="str"/>
    </x:row>
    <x:row r="9" ht="54" customHeight="1">
      <x:c r="A9" s="18" t="str">
        <x:v>PL-TST-CARE</x:v>
      </x:c>
      <x:c r="B9" s="9" t="str">
        <x:v>Entretenir la défense d’une colonie — scénario d’acceptation</x:v>
      </x:c>
      <x:c r="C9" s="15" t="str">
        <x:v>Défini</x:v>
      </x:c>
      <x:c r="D9" s="16" t="str">
        <x:v>Extrapolation</x:v>
      </x:c>
      <x:c r="E9" s="16" t="str">
        <x:v>P1</x:v>
      </x:c>
      <x:c r="F9" s="9" t="str">
        <x:v>Test de comportement spécifique à la mission proposée.</x:v>
      </x:c>
      <x:c r="G9" s="9" t="str">
        <x:v>Exécuter Entretenir la défense d’une colonie avec la méthode la plus lente puis avec la méthode alternative.</x:v>
      </x:c>
      <x:c r="H9" s="9" t="str">
        <x:v>Contrôler les transitions de la règle suivante : Répartir diagnostic, livraison et essai de sécurité ; pas de combat nécessaire.</x:v>
      </x:c>
      <x:c r="I9" s="9" t="str">
        <x:v>Capturer le moment où la sortie devient valide et celui où le choix devient indisponible.</x:v>
      </x:c>
      <x:c r="J9" s="9" t="str">
        <x:v>Interrompre une action à son anticipation et une autre après son engagement.</x:v>
      </x:c>
      <x:c r="K9" s="9" t="str">
        <x:v>Rejouer sans son pour vérifier les informations essentielles.</x:v>
      </x:c>
      <x:c r="L9" s="9" t="str">
        <x:v>qa/pl/care.md : état initial, actions, attendu, résultat, capture.</x:v>
      </x:c>
      <x:c r="M9" s="9" t="str">
        <x:v>Aucun risque imposé à April comme mini-jeu.</x:v>
      </x:c>
      <x:c r="N9" s="9" t="str">
        <x:v>Aucun blocage, récompense multiple, information future ou divergence entre pause ATB et temps normal.</x:v>
      </x:c>
      <x:c r="O9" s="9" t="str">
        <x:v>PL-MIS-CARE, PL-CHO-CARE, PL-OPT-CARE</x:v>
      </x:c>
      <x:c r="P9" s="9" t="str"/>
      <x:c r="Q9" s="9" t="str"/>
      <x:c r="R9" s="9" t="str"/>
      <x:c r="S9" s="9" t="str"/>
    </x:row>
    <x:row r="10" ht="54" customHeight="1">
      <x:c r="A10" s="19" t="str">
        <x:v>PL-TST-SIGNAL</x:v>
      </x:c>
      <x:c r="B10" s="7" t="str">
        <x:v>Délimiter un signal inconnu — scénario d’acceptation</x:v>
      </x:c>
      <x:c r="C10" s="15" t="str">
        <x:v>Défini</x:v>
      </x:c>
      <x:c r="D10" s="17" t="str">
        <x:v>Extrapolation</x:v>
      </x:c>
      <x:c r="E10" s="17" t="str">
        <x:v>P1</x:v>
      </x:c>
      <x:c r="F10" s="7" t="str">
        <x:v>Test de comportement spécifique à la mission proposée.</x:v>
      </x:c>
      <x:c r="G10" s="7" t="str">
        <x:v>Exécuter Délimiter un signal inconnu avec la méthode la plus lente puis avec la méthode alternative.</x:v>
      </x:c>
      <x:c r="H10" s="7" t="str">
        <x:v>Contrôler les transitions de la règle suivante : Triangulation abstraite, protection du périmètre et vérification d’un relevé.</x:v>
      </x:c>
      <x:c r="I10" s="7" t="str">
        <x:v>Capturer le moment où la sortie devient valide et celui où le choix devient indisponible.</x:v>
      </x:c>
      <x:c r="J10" s="7" t="str">
        <x:v>Interrompre une action à son anticipation et une autre après son engagement.</x:v>
      </x:c>
      <x:c r="K10" s="7" t="str">
        <x:v>Rejouer sans son pour vérifier les informations essentielles.</x:v>
      </x:c>
      <x:c r="L10" s="7" t="str">
        <x:v>qa/pl/signal.md : état initial, actions, attendu, résultat, capture.</x:v>
      </x:c>
      <x:c r="M10" s="7" t="str">
        <x:v>Liara reste une interlocutrice distante.</x:v>
      </x:c>
      <x:c r="N10" s="7" t="str">
        <x:v>Aucun blocage, récompense multiple, information future ou divergence entre pause ATB et temps normal.</x:v>
      </x:c>
      <x:c r="O10" s="7" t="str">
        <x:v>PL-MIS-SIGNAL, PL-CHO-SIGNAL, PL-OPT-SIGNAL</x:v>
      </x:c>
      <x:c r="P10" s="7" t="str"/>
      <x:c r="Q10" s="7" t="str"/>
      <x:c r="R10" s="7" t="str"/>
      <x:c r="S10" s="7" t="str"/>
    </x:row>
    <x:row r="11" ht="54" customHeight="1">
      <x:c r="A11" s="18" t="str">
        <x:v>PL-TST-CANNON</x:v>
      </x:c>
      <x:c r="B11" s="9" t="str">
        <x:v>Garder une issue de repli — scénario d’acceptation</x:v>
      </x:c>
      <x:c r="C11" s="15" t="str">
        <x:v>Défini</x:v>
      </x:c>
      <x:c r="D11" s="16" t="str">
        <x:v>Extrapolation</x:v>
      </x:c>
      <x:c r="E11" s="16" t="str">
        <x:v>P1</x:v>
      </x:c>
      <x:c r="F11" s="9" t="str">
        <x:v>Test de comportement spécifique à la mission proposée.</x:v>
      </x:c>
      <x:c r="G11" s="9" t="str">
        <x:v>Exécuter Garder une issue de repli avec la méthode la plus lente puis avec la méthode alternative.</x:v>
      </x:c>
      <x:c r="H11" s="9" t="str">
        <x:v>Contrôler les transitions de la règle suivante : Activer alimentation, vérification et couverture ; afficher le coût local des actions.</x:v>
      </x:c>
      <x:c r="I11" s="9" t="str">
        <x:v>Capturer le moment où la sortie devient valide et celui où le choix devient indisponible.</x:v>
      </x:c>
      <x:c r="J11" s="9" t="str">
        <x:v>Interrompre une action à son anticipation et une autre après son engagement.</x:v>
      </x:c>
      <x:c r="K11" s="9" t="str">
        <x:v>Rejouer sans son pour vérifier les informations essentielles.</x:v>
      </x:c>
      <x:c r="L11" s="9" t="str">
        <x:v>qa/pl/cannon.md : état initial, actions, attendu, résultat, capture.</x:v>
      </x:c>
      <x:c r="M11" s="9" t="str">
        <x:v>Ne pas créer un tir parfait qui annule l’attaque canonique.</x:v>
      </x:c>
      <x:c r="N11" s="9" t="str">
        <x:v>Aucun blocage, récompense multiple, information future ou divergence entre pause ATB et temps normal.</x:v>
      </x:c>
      <x:c r="O11" s="9" t="str">
        <x:v>PL-MIS-CANNON, PL-CHO-CANNON, PL-OPT-CANNON</x:v>
      </x:c>
      <x:c r="P11" s="9" t="str"/>
      <x:c r="Q11" s="9" t="str"/>
      <x:c r="R11" s="9" t="str"/>
      <x:c r="S11" s="9" t="str"/>
    </x:row>
    <x:row r="12" ht="54" customHeight="1">
      <x:c r="A12" s="19" t="str">
        <x:v>PL-TST-REFUGE</x:v>
      </x:c>
      <x:c r="B12" s="7" t="str">
        <x:v>Tenir les portes du refuge — scénario d’acceptation</x:v>
      </x:c>
      <x:c r="C12" s="15" t="str">
        <x:v>Défini</x:v>
      </x:c>
      <x:c r="D12" s="17" t="str">
        <x:v>Extrapolation</x:v>
      </x:c>
      <x:c r="E12" s="17" t="str">
        <x:v>P1</x:v>
      </x:c>
      <x:c r="F12" s="7" t="str">
        <x:v>Test de comportement spécifique à la mission proposée.</x:v>
      </x:c>
      <x:c r="G12" s="7" t="str">
        <x:v>Exécuter Tenir les portes du refuge avec la méthode la plus lente puis avec la méthode alternative.</x:v>
      </x:c>
      <x:c r="H12" s="7" t="str">
        <x:v>Contrôler les transitions de la règle suivante : Nicky contrôle un accès, un autre couvre et Treeya vérifie une information.</x:v>
      </x:c>
      <x:c r="I12" s="7" t="str">
        <x:v>Capturer le moment où la sortie devient valide et celui où le choix devient indisponible.</x:v>
      </x:c>
      <x:c r="J12" s="7" t="str">
        <x:v>Interrompre une action à son anticipation et une autre après son engagement.</x:v>
      </x:c>
      <x:c r="K12" s="7" t="str">
        <x:v>Rejouer sans son pour vérifier les informations essentielles.</x:v>
      </x:c>
      <x:c r="L12" s="7" t="str">
        <x:v>qa/pl/refuge.md : état initial, actions, attendu, résultat, capture.</x:v>
      </x:c>
      <x:c r="M12" s="7" t="str">
        <x:v>Présence et pertes de l’équipe doivent suivre les fenêtres du film.</x:v>
      </x:c>
      <x:c r="N12" s="7" t="str">
        <x:v>Aucun blocage, récompense multiple, information future ou divergence entre pause ATB et temps normal.</x:v>
      </x:c>
      <x:c r="O12" s="7" t="str">
        <x:v>PL-MIS-REFUGE, PL-CHO-REFUGE, PL-OPT-REFUGE</x:v>
      </x:c>
      <x:c r="P12" s="7" t="str"/>
      <x:c r="Q12" s="7" t="str"/>
      <x:c r="R12" s="7" t="str"/>
      <x:c r="S12" s="7" t="str"/>
    </x:row>
    <x:row r="13" ht="54" customHeight="1">
      <x:c r="A13" s="18" t="str">
        <x:v>PL-TST-BOARD</x:v>
      </x:c>
      <x:c r="B13" s="9" t="str">
        <x:v>Préparer un abordage local — scénario d’acceptation</x:v>
      </x:c>
      <x:c r="C13" s="15" t="str">
        <x:v>Défini</x:v>
      </x:c>
      <x:c r="D13" s="16" t="str">
        <x:v>Extrapolation</x:v>
      </x:c>
      <x:c r="E13" s="16" t="str">
        <x:v>P1</x:v>
      </x:c>
      <x:c r="F13" s="9" t="str">
        <x:v>Test de comportement spécifique à la mission proposée.</x:v>
      </x:c>
      <x:c r="G13" s="9" t="str">
        <x:v>Exécuter Préparer un abordage local avec la méthode la plus lente puis avec la méthode alternative.</x:v>
      </x:c>
      <x:c r="H13" s="9" t="str">
        <x:v>Contrôler les transitions de la règle suivante : Protéger un poste, répondre à des alertes directionnelles et maintenir l’accès de groupe.</x:v>
      </x:c>
      <x:c r="I13" s="9" t="str">
        <x:v>Capturer le moment où la sortie devient valide et celui où le choix devient indisponible.</x:v>
      </x:c>
      <x:c r="J13" s="9" t="str">
        <x:v>Interrompre une action à son anticipation et une autre après son engagement.</x:v>
      </x:c>
      <x:c r="K13" s="9" t="str">
        <x:v>Rejouer sans son pour vérifier les informations essentielles.</x:v>
      </x:c>
      <x:c r="L13" s="9" t="str">
        <x:v>qa/pl/board.md : état initial, actions, attendu, résultat, capture.</x:v>
      </x:c>
      <x:c r="M13" s="9" t="str">
        <x:v>L’issue ne supprime pas les événements ultérieurs du film.</x:v>
      </x:c>
      <x:c r="N13" s="9" t="str">
        <x:v>Aucun blocage, récompense multiple, information future ou divergence entre pause ATB et temps normal.</x:v>
      </x:c>
      <x:c r="O13" s="9" t="str">
        <x:v>PL-MIS-BOARD, PL-CHO-BOARD, PL-OPT-BOARD</x:v>
      </x:c>
      <x:c r="P13" s="9" t="str"/>
      <x:c r="Q13" s="9" t="str"/>
      <x:c r="R13" s="9" t="str"/>
      <x:c r="S13" s="9" t="str"/>
    </x:row>
    <x:row r="14" ht="54" customHeight="1">
      <x:c r="A14" s="19" t="str">
        <x:v>PL-TST-INTEL</x:v>
      </x:c>
      <x:c r="B14" s="7" t="str">
        <x:v>Protéger une information sous pression — scénario d’acceptation</x:v>
      </x:c>
      <x:c r="C14" s="15" t="str">
        <x:v>Défini</x:v>
      </x:c>
      <x:c r="D14" s="17" t="str">
        <x:v>Extrapolation</x:v>
      </x:c>
      <x:c r="E14" s="17" t="str">
        <x:v>P1</x:v>
      </x:c>
      <x:c r="F14" s="7" t="str">
        <x:v>Test de comportement spécifique à la mission proposée.</x:v>
      </x:c>
      <x:c r="G14" s="7" t="str">
        <x:v>Exécuter Protéger une information sous pression avec la méthode la plus lente puis avec la méthode alternative.</x:v>
      </x:c>
      <x:c r="H14" s="7" t="str">
        <x:v>Contrôler les transitions de la règle suivante : Identifier le conteneur, garantir sa présence et ouvrir un trajet autorisé.</x:v>
      </x:c>
      <x:c r="I14" s="7" t="str">
        <x:v>Capturer le moment où la sortie devient valide et celui où le choix devient indisponible.</x:v>
      </x:c>
      <x:c r="J14" s="7" t="str">
        <x:v>Interrompre une action à son anticipation et une autre après son engagement.</x:v>
      </x:c>
      <x:c r="K14" s="7" t="str">
        <x:v>Rejouer sans son pour vérifier les informations essentielles.</x:v>
      </x:c>
      <x:c r="L14" s="7" t="str">
        <x:v>qa/pl/intel.md : état initial, actions, attendu, résultat, capture.</x:v>
      </x:c>
      <x:c r="M14" s="7" t="str">
        <x:v>La décision finale de Vega reste celle du film ; pas de fin parfaite.</x:v>
      </x:c>
      <x:c r="N14" s="7" t="str">
        <x:v>Aucun blocage, récompense multiple, information future ou divergence entre pause ATB et temps normal.</x:v>
      </x:c>
      <x:c r="O14" s="7" t="str">
        <x:v>PL-MIS-INTEL, PL-CHO-INTEL, PL-OPT-INTEL</x:v>
      </x:c>
      <x:c r="P14" s="7" t="str"/>
      <x:c r="Q14" s="7" t="str"/>
      <x:c r="R14" s="7" t="str"/>
      <x:c r="S14" s="7" t="str"/>
    </x:row>
    <x:row r="15" ht="54" customHeight="1">
      <x:c r="A15" s="18" t="str">
        <x:v>PL-TST-REMEMBER</x:v>
      </x:c>
      <x:c r="B15" s="9" t="str">
        <x:v>Rendre compte des absents — scénario d’acceptation</x:v>
      </x:c>
      <x:c r="C15" s="15" t="str">
        <x:v>Défini</x:v>
      </x:c>
      <x:c r="D15" s="16" t="str">
        <x:v>Extrapolation</x:v>
      </x:c>
      <x:c r="E15" s="16" t="str">
        <x:v>P1</x:v>
      </x:c>
      <x:c r="F15" s="9" t="str">
        <x:v>Test de comportement spécifique à la mission proposée.</x:v>
      </x:c>
      <x:c r="G15" s="9" t="str">
        <x:v>Exécuter Rendre compte des absents avec la méthode la plus lente puis avec la méthode alternative.</x:v>
      </x:c>
      <x:c r="H15" s="9" t="str">
        <x:v>Contrôler les transitions de la règle suivante : Consulter le registre du groupe et choisir une intention de parole originale.</x:v>
      </x:c>
      <x:c r="I15" s="9" t="str">
        <x:v>Capturer le moment où la sortie devient valide et celui où le choix devient indisponible.</x:v>
      </x:c>
      <x:c r="J15" s="9" t="str">
        <x:v>Interrompre une action à son anticipation et une autre après son engagement.</x:v>
      </x:c>
      <x:c r="K15" s="9" t="str">
        <x:v>Rejouer sans son pour vérifier les informations essentielles.</x:v>
      </x:c>
      <x:c r="L15" s="9" t="str">
        <x:v>qa/pl/remember.md : état initial, actions, attendu, résultat, capture.</x:v>
      </x:c>
      <x:c r="M15" s="9" t="str">
        <x:v>Ni résurrection, ni score de victoire basé sur les victimes.</x:v>
      </x:c>
      <x:c r="N15" s="9" t="str">
        <x:v>Aucun blocage, récompense multiple, information future ou divergence entre pause ATB et temps normal.</x:v>
      </x:c>
      <x:c r="O15" s="9" t="str">
        <x:v>PL-MIS-REMEMBER, PL-CHO-REMEMBER, PL-OPT-REMEMBER</x:v>
      </x:c>
      <x:c r="P15" s="9" t="str"/>
      <x:c r="Q15" s="9" t="str"/>
      <x:c r="R15" s="9" t="str"/>
      <x:c r="S15" s="9" t="str"/>
    </x:row>
    <x:row r="16" ht="82" customHeight="1">
      <x:c r="A16" s="19" t="str">
        <x:v>PL-QA-SOURCES</x:v>
      </x:c>
      <x:c r="B16" s="7" t="str">
        <x:v>Provenance et non-substitution</x:v>
      </x:c>
      <x:c r="C16" s="15" t="str">
        <x:v>Défini</x:v>
      </x:c>
      <x:c r="D16" s="17" t="str">
        <x:v>Extrapolation</x:v>
      </x:c>
      <x:c r="E16" s="17" t="str">
        <x:v>P0</x:v>
      </x:c>
      <x:c r="F16" s="7" t="str">
        <x:v>Contrôle éditorial du catalogue de production.</x:v>
      </x:c>
      <x:c r="G16" s="7" t="str">
        <x:v>Comparer les seuls faits de référence avec les pages citées ; conserver toutes les mécaniques ajoutées comme Extrapolation.</x:v>
      </x:c>
      <x:c r="H16" s="7" t="str">
        <x:v>Vérifier qu’aucune fiche ne présente une statistique ATB comme une valeur du roman ou du film.</x:v>
      </x:c>
      <x:c r="I16" s="7" t="str"/>
      <x:c r="J16" s="7" t="str"/>
      <x:c r="K16" s="7" t="str"/>
      <x:c r="L16" s="7" t="str">
        <x:v>Filtrer PL par nature puis sourceIds ; revue ciblée des éléments sans source.</x:v>
      </x:c>
      <x:c r="M16"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6" s="7" t="str">
        <x:v>Sources accessibles ou limites tracées ; aucun long extrait, dialogue reproduit ou résumé continu substitutif.</x:v>
      </x:c>
      <x:c r="O16" s="7" t="str"/>
      <x:c r="P16" s="7" t="str"/>
      <x:c r="Q16" s="7" t="str"/>
      <x:c r="R16" s="7" t="str"/>
      <x:c r="S16" s="7" t="str"/>
    </x:row>
    <x:row r="17" ht="82" customHeight="1">
      <x:c r="A17" s="18" t="str">
        <x:v>PL-QA-SAVE</x:v>
      </x:c>
      <x:c r="B17" s="9" t="str">
        <x:v>Reprise des états et du groupe</x:v>
      </x:c>
      <x:c r="C17" s="15" t="str">
        <x:v>Défini</x:v>
      </x:c>
      <x:c r="D17" s="16" t="str">
        <x:v>Extrapolation</x:v>
      </x:c>
      <x:c r="E17" s="16" t="str">
        <x:v>P0</x:v>
      </x:c>
      <x:c r="F17" s="9" t="str">
        <x:v>Contrôle de sauvegarde du module proposé.</x:v>
      </x:c>
      <x:c r="G17" s="9" t="str">
        <x:v>Sauver avant une transition, une option et une crise ; charger puis comparer les états de progression et de présence.</x:v>
      </x:c>
      <x:c r="H17" s="9" t="str">
        <x:v>Le coût d’action est appliqué exactement une fois ; les acteurs absents ne réapparaissent pas au chargement.</x:v>
      </x:c>
      <x:c r="I17" s="9" t="str"/>
      <x:c r="J17" s="9" t="str"/>
      <x:c r="K17" s="9" t="str"/>
      <x:c r="L17" s="9" t="str">
        <x:v>qa/pl/save-reload.md avec capture avant/après.</x:v>
      </x:c>
      <x:c r="M1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7" s="9" t="str">
        <x:v>Inventaire, acteurs disponibles, indices et limites de continuité restent identiques.</x:v>
      </x:c>
      <x:c r="O17" s="9" t="str"/>
      <x:c r="P17" s="9" t="str"/>
      <x:c r="Q17" s="9" t="str"/>
      <x:c r="R17" s="9" t="str"/>
      <x:c r="S17" s="9" t="str"/>
    </x:row>
    <x:row r="18" ht="54" customHeight="1">
      <x:c r="A18" s="19" t="str">
        <x:v>PL-QA-VISUAL</x:v>
      </x:c>
      <x:c r="B18" s="7" t="str">
        <x:v>Lisibilité sprites 2D sur volumes 3D</x:v>
      </x:c>
      <x:c r="C18" s="15" t="str">
        <x:v>Défini</x:v>
      </x:c>
      <x:c r="D18" s="17" t="str">
        <x:v>Extrapolation</x:v>
      </x:c>
      <x:c r="E18" s="17" t="str">
        <x:v>P0</x:v>
      </x:c>
      <x:c r="F18" s="7" t="str">
        <x:v>Contrôle visuel de production du module.</x:v>
      </x:c>
      <x:c r="G18" s="7" t="str">
        <x:v>Photographier chaque carrefour et engagement avec effets actifs, puis répéter à petite résolution et sans couleur.</x:v>
      </x:c>
      <x:c r="H18" s="7" t="str">
        <x:v>La zone cliquable correspond aux pieds des sprites, jamais au sommet d’un décor.</x:v>
      </x:c>
      <x:c r="I18" s="7" t="str"/>
      <x:c r="J18" s="7" t="str"/>
      <x:c r="K18" s="7" t="str"/>
      <x:c r="L18" s="7" t="str">
        <x:v>qa/pl/readability/ : captures scènes et grille de comparaison.</x:v>
      </x:c>
      <x:c r="M18" s="7" t="str">
        <x:v>Validation sur les cartes de ce catalogue uniquement.</x:v>
      </x:c>
      <x:c r="N18" s="7" t="str">
        <x:v>Aucune occlusion totale du personnage actif ; les sorties et télégraphes restent compréhensibles.</x:v>
      </x:c>
      <x:c r="O18" s="7" t="str"/>
      <x:c r="P18" s="7" t="str"/>
      <x:c r="Q18" s="7" t="str"/>
      <x:c r="R18" s="7" t="str"/>
      <x:c r="S18" s="7" t="str"/>
    </x:row>
    <x:row r="19" ht="54" customHeight="1">
      <x:c r="A19" s="18" t="str">
        <x:v>PL-QA-ACCESS</x:v>
      </x:c>
      <x:c r="B19" s="9" t="str">
        <x:v>Commandes, texte et effets accessibles</x:v>
      </x:c>
      <x:c r="C19" s="15" t="str">
        <x:v>Défini</x:v>
      </x:c>
      <x:c r="D19" s="16" t="str">
        <x:v>Extrapolation</x:v>
      </x:c>
      <x:c r="E19" s="16" t="str">
        <x:v>P1</x:v>
      </x:c>
      <x:c r="F19" s="9" t="str">
        <x:v>Contrôle fonctionnel des options proposées.</x:v>
      </x:c>
      <x:c r="G19" s="9" t="str">
        <x:v>Parcourir le module au clavier, avec sous-titres et effets réduits ; désactiver l’audio et tester les avertissements.</x:v>
      </x:c>
      <x:c r="H19" s="9" t="str">
        <x:v>La pause ATB permet de lire un choix ou un indice sans pénalité de temps.</x:v>
      </x:c>
      <x:c r="I19" s="9" t="str"/>
      <x:c r="J19" s="9" t="str"/>
      <x:c r="K19" s="9" t="str"/>
      <x:c r="L19" s="9" t="str">
        <x:v>qa/pl/accessibility.md ; cas de navigation, focus, contraste et interruption.</x:v>
      </x:c>
      <x:c r="M19" s="9" t="str">
        <x:v>Conserver les règles de présence narrative pendant tous les essais.</x:v>
      </x:c>
      <x:c r="N19" s="9" t="str">
        <x:v>Toute action essentielle est réalisable ; aucune information indispensable ne dépend du son ou de la seule couleur.</x:v>
      </x:c>
      <x:c r="O19" s="9" t="str"/>
      <x:c r="P19" s="9" t="str"/>
      <x:c r="Q19" s="9" t="str"/>
      <x:c r="R19" s="9" t="str"/>
      <x:c r="S19" s="9" t="str"/>
    </x:row>
  </x:sheetData>
  <x:conditionalFormatting sqref="D7:D19">
    <x:cfRule type="cellIs" dxfId="96" priority="1" operator="equal">
      <x:formula>"À vérifier"</x:formula>
    </x:cfRule>
    <x:cfRule type="cellIs" dxfId="97" priority="2" operator="equal">
      <x:formula>"Extrapolation"</x:formula>
    </x:cfRule>
  </x:conditionalFormatting>
  <x:conditionalFormatting sqref="C7:C19">
    <x:cfRule type="cellIs" dxfId="98" priority="3" operator="equal">
      <x:formula>"Validé"</x:formula>
    </x:cfRule>
  </x:conditionalFormatting>
  <x:conditionalFormatting sqref="E7:E19">
    <x:cfRule type="cellIs" dxfId="99" priority="4" operator="equal">
      <x:formula>"P0"</x:formula>
    </x:cfRule>
  </x:conditionalFormatting>
  <x:dataValidations count="3">
    <x:dataValidation type="list" sqref="C7:C19">
      <x:formula1>"Défini,Prototype,Intégré,Validé"</x:formula1>
    </x:dataValidation>
    <x:dataValidation type="list" sqref="D7:D19">
      <x:formula1>"Établi,À vérifier,Extrapolation,Coupé attesté,Concept abandonné,Allégation écartée"</x:formula1>
    </x:dataValidation>
    <x:dataValidation type="list" sqref="E7:E19">
      <x:formula1>"P0,P1,P2"</x:formula1>
    </x:dataValidation>
  </x:dataValidations>
  <x:pageMargins left="0.7" right="0.7" top="0.75" bottom="0.75" header="0.3" footer="0.3"/>
  <x:tableParts count="1">
    <x:tablePart xmlns:r="http://schemas.openxmlformats.org/officeDocument/2006/relationships" r:id="R1e11f882d31f4210"/>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8"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Paragon Lost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PL-CON-01</x:v>
      </x:c>
      <x:c r="B7" s="9" t="str">
        <x:v>Nature de l’œuvre</x:v>
      </x:c>
      <x:c r="C7" s="15" t="str">
        <x:v>Défini</x:v>
      </x:c>
      <x:c r="D7" s="16" t="str">
        <x:v>Établi</x:v>
      </x:c>
      <x:c r="E7" s="16" t="str">
        <x:v>P0</x:v>
      </x:c>
      <x:c r="F7" s="9" t="str">
        <x:v>BioWare présente Paragon Lost comme un anime movie : c’est un long métrage animé et non une série.</x:v>
      </x:c>
      <x:c r="G7" s="9" t="str">
        <x:v>Contrainte éditoriale : verrouiller les dépendances avant intégration du module.</x:v>
      </x:c>
      <x:c r="H7" s="9" t="str"/>
      <x:c r="I7" s="9" t="str"/>
      <x:c r="J7" s="9" t="str"/>
      <x:c r="K7" s="9" t="str"/>
      <x:c r="L7" s="9" t="str">
        <x:v>continuity/pl.json ; règle documentée et décision de validation datée.</x:v>
      </x:c>
      <x:c r="M7"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7" s="9" t="str">
        <x:v>La règle est contrôlée dans les textes, cartes, choix et sauvegardes ; incertitude résolue ou affichée.</x:v>
      </x:c>
      <x:c r="O7" s="9" t="str"/>
      <x:c r="P7" s="9" t="str">
        <x:v>Limite de continuité / contrôle transversal</x:v>
      </x:c>
      <x:c r="Q7" s="9" t="str">
        <x:v>PL-SRC-BW</x:v>
      </x:c>
      <x:c r="R7" s="9" t="str">
        <x:v>https://blog.bioware.com/2013/03/12/mass-effect-paragon-lost-available-now-in-the-uk/</x:v>
      </x:c>
      <x:c r="S7" s="9" t="str">
        <x:v>Aucun numéro de chapitre ou de page n’est attribué sans exemplaire vérifié.</x:v>
      </x:c>
    </x:row>
    <x:row r="8" ht="82" customHeight="1">
      <x:c r="A8" s="19" t="str">
        <x:v>PL-CON-02</x:v>
      </x:c>
      <x:c r="B8" s="7" t="str">
        <x:v>Périodes</x:v>
      </x:c>
      <x:c r="C8" s="15" t="str">
        <x:v>Défini</x:v>
      </x:c>
      <x:c r="D8" s="17" t="str">
        <x:v>Établi</x:v>
      </x:c>
      <x:c r="E8" s="17" t="str">
        <x:v>P0</x:v>
      </x:c>
      <x:c r="F8" s="7" t="str">
        <x:v>L’attaque initiale se déroule en 2183, la crise des Récolteurs deux ans plus tard ; vérifier le cartouche temporel du film.</x:v>
      </x:c>
      <x:c r="G8" s="7" t="str">
        <x:v>Contrainte éditoriale : verrouiller les dépendances avant intégration du module.</x:v>
      </x:c>
      <x:c r="H8" s="7" t="str"/>
      <x:c r="I8" s="7" t="str"/>
      <x:c r="J8" s="7" t="str"/>
      <x:c r="K8" s="7" t="str"/>
      <x:c r="L8" s="7" t="str">
        <x:v>continuity/pl.json ; règle documentée et décision de validation datée.</x:v>
      </x:c>
      <x:c r="M8"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8" s="7" t="str">
        <x:v>La règle est contrôlée dans les textes, cartes, choix et sauvegardes ; incertitude résolue ou affichée.</x:v>
      </x:c>
      <x:c r="O8" s="7" t="str"/>
      <x:c r="P8" s="7" t="str">
        <x:v>Limite de continuité / contrôle transversal</x:v>
      </x:c>
      <x:c r="Q8" s="7" t="str">
        <x:v>PL-SRC-WIKI</x:v>
      </x:c>
      <x:c r="R8" s="7" t="str">
        <x:v>https://masseffect.fandom.com/wiki/Mass_Effect:_Paragon_Lost</x:v>
      </x:c>
      <x:c r="S8" s="7" t="str">
        <x:v>Aucun numéro de chapitre ou de page n’est attribué sans exemplaire vérifié.</x:v>
      </x:c>
    </x:row>
    <x:row r="9" ht="82" customHeight="1">
      <x:c r="A9" s="18" t="str">
        <x:v>PL-CON-03</x:v>
      </x:c>
      <x:c r="B9" s="9" t="str">
        <x:v>Liara distante</x:v>
      </x:c>
      <x:c r="C9" s="15" t="str">
        <x:v>Défini</x:v>
      </x:c>
      <x:c r="D9" s="16" t="str">
        <x:v>Établi</x:v>
      </x:c>
      <x:c r="E9" s="16" t="str">
        <x:v>P0</x:v>
      </x:c>
      <x:c r="F9" s="9" t="str">
        <x:v>Son intervention passe par la communication avec Treeya ; aucune mission physique sur Fehl Prime n’est ajoutée.</x:v>
      </x:c>
      <x:c r="G9" s="9" t="str">
        <x:v>Contrainte éditoriale : verrouiller les dépendances avant intégration du module.</x:v>
      </x:c>
      <x:c r="H9" s="9" t="str"/>
      <x:c r="I9" s="9" t="str"/>
      <x:c r="J9" s="9" t="str"/>
      <x:c r="K9" s="9" t="str"/>
      <x:c r="L9" s="9" t="str">
        <x:v>continuity/pl.json ; règle documentée et décision de validation datée.</x:v>
      </x:c>
      <x:c r="M9"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9" s="9" t="str">
        <x:v>La règle est contrôlée dans les textes, cartes, choix et sauvegardes ; incertitude résolue ou affichée.</x:v>
      </x:c>
      <x:c r="O9" s="9" t="str"/>
      <x:c r="P9" s="9" t="str">
        <x:v>Limite de continuité / contrôle transversal</x:v>
      </x:c>
      <x:c r="Q9" s="9" t="str">
        <x:v>PL-SRC-WIKI</x:v>
      </x:c>
      <x:c r="R9" s="9" t="str">
        <x:v>https://masseffect.fandom.com/wiki/Mass_Effect:_Paragon_Lost</x:v>
      </x:c>
      <x:c r="S9" s="9" t="str">
        <x:v>Aucun numéro de chapitre ou de page n’est attribué sans exemplaire vérifié.</x:v>
      </x:c>
    </x:row>
    <x:row r="10" ht="82" customHeight="1">
      <x:c r="A10" s="19" t="str">
        <x:v>PL-CON-04</x:v>
      </x:c>
      <x:c r="B10" s="7" t="str">
        <x:v>Décision de Vega</x:v>
      </x:c>
      <x:c r="C10" s="15" t="str">
        <x:v>Défini</x:v>
      </x:c>
      <x:c r="D10" s="17" t="str">
        <x:v>Établi</x:v>
      </x:c>
      <x:c r="E10" s="17" t="str">
        <x:v>P0</x:v>
      </x:c>
      <x:c r="F10" s="7" t="str">
        <x:v>Le choix narratif final privilégie Treeya et le renseignement ; la colonie n’est pas sauvée par une branche parfaite.</x:v>
      </x:c>
      <x:c r="G10" s="7" t="str">
        <x:v>Contrainte éditoriale : verrouiller les dépendances avant intégration du module.</x:v>
      </x:c>
      <x:c r="H10" s="7" t="str"/>
      <x:c r="I10" s="7" t="str"/>
      <x:c r="J10" s="7" t="str"/>
      <x:c r="K10" s="7" t="str"/>
      <x:c r="L10" s="7" t="str">
        <x:v>continuity/pl.json ; règle documentée et décision de validation datée.</x:v>
      </x:c>
      <x:c r="M10"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0" s="7" t="str">
        <x:v>La règle est contrôlée dans les textes, cartes, choix et sauvegardes ; incertitude résolue ou affichée.</x:v>
      </x:c>
      <x:c r="O10" s="7" t="str"/>
      <x:c r="P10" s="7" t="str">
        <x:v>Limite de continuité / contrôle transversal</x:v>
      </x:c>
      <x:c r="Q10" s="7" t="str">
        <x:v>PL-SRC-FEHL</x:v>
      </x:c>
      <x:c r="R10" s="7" t="str">
        <x:v>https://masseffect.fandom.com/wiki/Fehl_Prime</x:v>
      </x:c>
      <x:c r="S10" s="7" t="str">
        <x:v>Aucun numéro de chapitre ou de page n’est attribué sans exemplaire vérifié.</x:v>
      </x:c>
    </x:row>
    <x:row r="11" ht="82" customHeight="1">
      <x:c r="A11" s="18" t="str">
        <x:v>PL-CON-05</x:v>
      </x:c>
      <x:c r="B11" s="9" t="str">
        <x:v>Brood</x:v>
      </x:c>
      <x:c r="C11" s="15" t="str">
        <x:v>Défini</x:v>
      </x:c>
      <x:c r="D11" s="16" t="str">
        <x:v>Établi</x:v>
      </x:c>
      <x:c r="E11" s="16" t="str">
        <x:v>P0</x:v>
      </x:c>
      <x:c r="F11" s="9" t="str">
        <x:v>Ne pas transformer son assistance contextuelle en présence durable dans les épisodes suivants.</x:v>
      </x:c>
      <x:c r="G11" s="9" t="str">
        <x:v>Contrainte éditoriale : verrouiller les dépendances avant intégration du module.</x:v>
      </x:c>
      <x:c r="H11" s="9" t="str"/>
      <x:c r="I11" s="9" t="str"/>
      <x:c r="J11" s="9" t="str"/>
      <x:c r="K11" s="9" t="str"/>
      <x:c r="L11" s="9" t="str">
        <x:v>continuity/pl.json ; règle documentée et décision de validation datée.</x:v>
      </x:c>
      <x:c r="M11"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1" s="9" t="str">
        <x:v>La règle est contrôlée dans les textes, cartes, choix et sauvegardes ; incertitude résolue ou affichée.</x:v>
      </x:c>
      <x:c r="O11" s="9" t="str"/>
      <x:c r="P11" s="9" t="str">
        <x:v>Limite de continuité / contrôle transversal</x:v>
      </x:c>
      <x:c r="Q11" s="9" t="str">
        <x:v>PL-SRC-BROOD</x:v>
      </x:c>
      <x:c r="R11" s="9" t="str">
        <x:v>https://masseffect.fandom.com/wiki/Brood</x:v>
      </x:c>
      <x:c r="S11" s="9" t="str">
        <x:v>Aucun numéro de chapitre ou de page n’est attribué sans exemplaire vérifié.</x:v>
      </x:c>
    </x:row>
    <x:row r="12" ht="82" customHeight="1">
      <x:c r="A12" s="19" t="str">
        <x:v>PL-CON-06</x:v>
      </x:c>
      <x:c r="B12" s="7" t="str">
        <x:v>Cellule et biotique</x:v>
      </x:c>
      <x:c r="C12" s="15" t="str">
        <x:v>Défini</x:v>
      </x:c>
      <x:c r="D12" s="17" t="str">
        <x:v>Établi</x:v>
      </x:c>
      <x:c r="E12" s="17" t="str">
        <x:v>P0</x:v>
      </x:c>
      <x:c r="F12" s="7" t="str">
        <x:v>L’usage d’une cellule dans le film ne doit pas devenir une règle universelle prétendue de toute la biotique Mass Effect.</x:v>
      </x:c>
      <x:c r="G12" s="7" t="str">
        <x:v>Contrainte éditoriale : verrouiller les dépendances avant intégration du module.</x:v>
      </x:c>
      <x:c r="H12" s="7" t="str"/>
      <x:c r="I12" s="7" t="str"/>
      <x:c r="J12" s="7" t="str"/>
      <x:c r="K12" s="7" t="str"/>
      <x:c r="L12" s="7" t="str">
        <x:v>continuity/pl.json ; règle documentée et décision de validation datée.</x:v>
      </x:c>
      <x:c r="M12"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2" s="7" t="str">
        <x:v>La règle est contrôlée dans les textes, cartes, choix et sauvegardes ; incertitude résolue ou affichée.</x:v>
      </x:c>
      <x:c r="O12" s="7" t="str"/>
      <x:c r="P12" s="7" t="str">
        <x:v>Limite de continuité / contrôle transversal</x:v>
      </x:c>
      <x:c r="Q12" s="7" t="str">
        <x:v>PL-SRC-WIKI</x:v>
      </x:c>
      <x:c r="R12" s="7" t="str">
        <x:v>https://masseffect.fandom.com/wiki/Mass_Effect:_Paragon_Lost</x:v>
      </x:c>
      <x:c r="S12" s="7" t="str">
        <x:v>Aucun numéro de chapitre ou de page n’est attribué sans exemplaire vérifié.</x:v>
      </x:c>
    </x:row>
    <x:row r="13" ht="82" customHeight="1">
      <x:c r="A13" s="18" t="str">
        <x:v>PL-CON-07</x:v>
      </x:c>
      <x:c r="B13" s="9" t="str">
        <x:v>Renseignements</x:v>
      </x:c>
      <x:c r="C13" s="15" t="str">
        <x:v>Défini</x:v>
      </x:c>
      <x:c r="D13" s="16" t="str">
        <x:v>Établi</x:v>
      </x:c>
      <x:c r="E13" s="16" t="str">
        <x:v>P0</x:v>
      </x:c>
      <x:c r="F13" s="9" t="str">
        <x:v>Les données finissent à l’Alliance ; ne pas inventer leur transmission réussie à Cerberus.</x:v>
      </x:c>
      <x:c r="G13" s="9" t="str">
        <x:v>Contrainte éditoriale : verrouiller les dépendances avant intégration du module.</x:v>
      </x:c>
      <x:c r="H13" s="9" t="str"/>
      <x:c r="I13" s="9" t="str"/>
      <x:c r="J13" s="9" t="str"/>
      <x:c r="K13" s="9" t="str"/>
      <x:c r="L13" s="9" t="str">
        <x:v>continuity/pl.json ; règle documentée et décision de validation datée.</x:v>
      </x:c>
      <x:c r="M13"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3" s="9" t="str">
        <x:v>La règle est contrôlée dans les textes, cartes, choix et sauvegardes ; incertitude résolue ou affichée.</x:v>
      </x:c>
      <x:c r="O13" s="9" t="str"/>
      <x:c r="P13" s="9" t="str">
        <x:v>Limite de continuité / contrôle transversal</x:v>
      </x:c>
      <x:c r="Q13" s="9" t="str">
        <x:v>PL-SRC-CERB</x:v>
      </x:c>
      <x:c r="R13" s="9" t="str">
        <x:v>https://masseffect.fandom.com/wiki/Cerberus</x:v>
      </x:c>
      <x:c r="S13" s="9" t="str">
        <x:v>Aucun numéro de chapitre ou de page n’est attribué sans exemplaire vérifié.</x:v>
      </x:c>
    </x:row>
    <x:row r="14" ht="82" customHeight="1">
      <x:c r="A14" s="19" t="str">
        <x:v>PL-CON-08</x:v>
      </x:c>
      <x:c r="B14" s="7" t="str">
        <x:v>Destins de l’équipe</x:v>
      </x:c>
      <x:c r="C14" s="15" t="str">
        <x:v>Défini</x:v>
      </x:c>
      <x:c r="D14" s="17" t="str">
        <x:v>À vérifier</x:v>
      </x:c>
      <x:c r="E14" s="17" t="str">
        <x:v>P0</x:v>
      </x:c>
      <x:c r="F14" s="7" t="str">
        <x:v>Vérifier chaque disparition et sa fenêtre avant de finaliser dialogue, sprite et placement.</x:v>
      </x:c>
      <x:c r="G14" s="7" t="str">
        <x:v>Contrainte éditoriale : verrouiller les dépendances avant intégration du module.</x:v>
      </x:c>
      <x:c r="H14" s="7" t="str"/>
      <x:c r="I14" s="7" t="str"/>
      <x:c r="J14" s="7" t="str"/>
      <x:c r="K14" s="7" t="str"/>
      <x:c r="L14" s="7" t="str">
        <x:v>continuity/pl.json ; règle documentée et décision de validation datée.</x:v>
      </x:c>
      <x:c r="M14"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4" s="7" t="str">
        <x:v>La règle est contrôlée dans les textes, cartes, choix et sauvegardes ; incertitude résolue ou affichée.</x:v>
      </x:c>
      <x:c r="O14" s="7" t="str"/>
      <x:c r="P14" s="7" t="str">
        <x:v>Limite de continuité / contrôle transversal</x:v>
      </x:c>
      <x:c r="Q14" s="7" t="str"/>
      <x:c r="R14" s="7" t="str"/>
      <x:c r="S14" s="7" t="str">
        <x:v>Aucun numéro de chapitre ou de page n’est attribué sans exemplaire vérifié.</x:v>
      </x:c>
    </x:row>
    <x:row r="15" ht="82" customHeight="1">
      <x:c r="A15" s="18" t="str">
        <x:v>PL-CON-09</x:v>
      </x:c>
      <x:c r="B15" s="9" t="str">
        <x:v>Style et exactitude</x:v>
      </x:c>
      <x:c r="C15" s="15" t="str">
        <x:v>Défini</x:v>
      </x:c>
      <x:c r="D15" s="16" t="str">
        <x:v>Extrapolation</x:v>
      </x:c>
      <x:c r="E15" s="16" t="str">
        <x:v>P0</x:v>
      </x:c>
      <x:c r="F15" s="9" t="str">
        <x:v>Sans visionnage détaillé, palettes, modèles d’armes et costumes restent des tâches de validation visuelle.</x:v>
      </x:c>
      <x:c r="G15" s="9" t="str">
        <x:v>Contrainte éditoriale : verrouiller les dépendances avant intégration du module.</x:v>
      </x:c>
      <x:c r="H15" s="9" t="str"/>
      <x:c r="I15" s="9" t="str"/>
      <x:c r="J15" s="9" t="str"/>
      <x:c r="K15" s="9" t="str"/>
      <x:c r="L15" s="9" t="str">
        <x:v>continuity/pl.json ; règle documentée et décision de validation datée.</x:v>
      </x:c>
      <x:c r="M15" s="9"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5" s="9" t="str">
        <x:v>La règle est contrôlée dans les textes, cartes, choix et sauvegardes ; incertitude résolue ou affichée.</x:v>
      </x:c>
      <x:c r="O15" s="9" t="str"/>
      <x:c r="P15" s="9" t="str">
        <x:v>Limite de continuité / contrôle transversal</x:v>
      </x:c>
      <x:c r="Q15" s="9" t="str"/>
      <x:c r="R15" s="9" t="str"/>
      <x:c r="S15" s="9" t="str">
        <x:v>Aucun numéro de chapitre ou de page n’est attribué sans exemplaire vérifié.</x:v>
      </x:c>
    </x:row>
    <x:row r="16" ht="82" customHeight="1">
      <x:c r="A16" s="19" t="str">
        <x:v>PL-CON-10</x:v>
      </x:c>
      <x:c r="B16" s="7" t="str">
        <x:v>Œuvre nécessaire</x:v>
      </x:c>
      <x:c r="C16" s="15" t="str">
        <x:v>Défini</x:v>
      </x:c>
      <x:c r="D16" s="17" t="str">
        <x:v>Extrapolation</x:v>
      </x:c>
      <x:c r="E16" s="17" t="str">
        <x:v>P0</x:v>
      </x:c>
      <x:c r="F16" s="7" t="str">
        <x:v>Les fiches ne remplacent ni le visionnage ni la validation des scènes ; aucun dialogue ou montage complet n’est reproduit.</x:v>
      </x:c>
      <x:c r="G16" s="7" t="str">
        <x:v>Contrainte éditoriale : verrouiller les dépendances avant intégration du module.</x:v>
      </x:c>
      <x:c r="H16" s="7" t="str"/>
      <x:c r="I16" s="7" t="str"/>
      <x:c r="J16" s="7" t="str"/>
      <x:c r="K16" s="7" t="str"/>
      <x:c r="L16" s="7" t="str">
        <x:v>continuity/pl.json ; règle documentée et décision de validation datée.</x:v>
      </x:c>
      <x:c r="M16" s="7" t="str">
        <x:v>Paragon Lost est un film, pas une série. Préserver les pertes et la décision finale de Vega ; les choix jouables portent sur les méthodes locales. Toute variante contrefactuelle éventuelle doit être séparée du module de continuité, et n’est pas définie ici.</x:v>
      </x:c>
      <x:c r="N16" s="7" t="str">
        <x:v>La règle est contrôlée dans les textes, cartes, choix et sauvegardes ; incertitude résolue ou affichée.</x:v>
      </x:c>
      <x:c r="O16" s="7" t="str"/>
      <x:c r="P16" s="7" t="str">
        <x:v>Limite de continuité / contrôle transversal</x:v>
      </x:c>
      <x:c r="Q16" s="7" t="str"/>
      <x:c r="R16" s="7" t="str"/>
      <x:c r="S16" s="7" t="str">
        <x:v>Aucun numéro de chapitre ou de page n’est attribué sans exemplaire vérifié.</x:v>
      </x:c>
    </x:row>
  </x:sheetData>
  <x:conditionalFormatting sqref="D7:D16">
    <x:cfRule type="cellIs" dxfId="100" priority="1" operator="equal">
      <x:formula>"À vérifier"</x:formula>
    </x:cfRule>
    <x:cfRule type="cellIs" dxfId="101" priority="2" operator="equal">
      <x:formula>"Extrapolation"</x:formula>
    </x:cfRule>
  </x:conditionalFormatting>
  <x:conditionalFormatting sqref="C7:C16">
    <x:cfRule type="cellIs" dxfId="102" priority="3" operator="equal">
      <x:formula>"Validé"</x:formula>
    </x:cfRule>
  </x:conditionalFormatting>
  <x:conditionalFormatting sqref="E7:E16">
    <x:cfRule type="cellIs" dxfId="103"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6e87a48f35b44c4c"/>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Paragon Lost</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8" t="str">
        <x:v>Champ</x:v>
      </x:c>
      <x:c r="B6" s="30" t="str">
        <x:v>Définition</x:v>
      </x:c>
      <x:c r="C6" s="2"/>
      <x:c r="D6" s="2"/>
      <x:c r="E6" s="2"/>
      <x:c r="F6" s="2"/>
    </x:row>
    <x:row r="7" ht="30" customHeight="1">
      <x:c r="A7" s="7" t="str">
        <x:v>Œuvre</x:v>
      </x:c>
      <x:c r="B7" s="7" t="str">
        <x:v>Mass Effect: Paragon Lost</x:v>
      </x:c>
      <x:c r="C7" s="2"/>
      <x:c r="D7" s="2"/>
      <x:c r="E7" s="2"/>
      <x:c r="F7" s="2"/>
    </x:row>
    <x:row r="8" ht="30" customHeight="1">
      <x:c r="A8" s="7" t="str">
        <x:v>Support</x:v>
      </x:c>
      <x:c r="B8" s="7" t="str">
        <x:v>Long métrage animé</x:v>
      </x:c>
      <x:c r="C8" s="2"/>
      <x:c r="D8" s="2"/>
      <x:c r="E8" s="2"/>
      <x:c r="F8" s="2"/>
    </x:row>
    <x:row r="9" ht="40" customHeight="1">
      <x:c r="A9" s="7" t="str">
        <x:v>Périmètre</x:v>
      </x:c>
      <x:c r="B9" s="7" t="str">
        <x:v>Film animé réalisé avec BioWare, FUNimation et Production I.G. ; carrière de James Vega avant ME3.</x:v>
      </x:c>
      <x:c r="C9" s="2"/>
      <x:c r="D9" s="2"/>
      <x:c r="E9" s="2"/>
      <x:c r="F9" s="2"/>
    </x:row>
    <x:row r="10" ht="82" customHeight="1">
      <x:c r="A10" s="7" t="str">
        <x:v>Projet</x:v>
      </x:c>
      <x:c r="B10" s="7" t="str">
        <x:v>Delta Squad, Fehl Prime, Treeya et attaque des Récolteurs ; fiches de production originales couvrant coopération tactique, protection civile et conséquences du commandement. Prototype partiel : 1 profils sélectionnables et 0 équipements en Chroniques ; le reste demeure documentaire.</x:v>
      </x:c>
      <x:c r="C10" s="2"/>
      <x:c r="D10" s="2"/>
      <x:c r="E10" s="2"/>
      <x:c r="F10" s="2"/>
    </x:row>
    <x:row r="11" ht="124" customHeight="1">
      <x:c r="A11" s="7" t="str">
        <x:v>Références et limites</x:v>
      </x:c>
      <x:c r="B11" s="7" t="str">
        <x:v>Paragon Lost est un film, pas une série. Préserver les pertes et la décision finale de Vega ; les choix jouables portent sur les méthodes locales. Toute variante contrefactuelle éventuelle doit être séparée du module de continuité, et n’est pas définie ici. Les données de gameplay, plans, choix, statistiques, sprites et sons sont des créations d’adaptation ; tous les ajouts jouables sont marqués Extrapolation. Sources consultées le 22 octobre 2026.</x:v>
      </x:c>
      <x:c r="C11" s="2"/>
      <x:c r="D11" s="2"/>
      <x:c r="E11" s="2"/>
      <x:c r="F11" s="2"/>
    </x:row>
    <x:row r="12" ht="30" customHeight="1">
      <x:c r="A12" s="7" t="str">
        <x:v>Date de référence</x:v>
      </x:c>
      <x:c r="B12" s="42"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8" t="str">
        <x:v>Source</x:v>
      </x:c>
      <x:c r="B26" s="29" t="str">
        <x:v>Titre</x:v>
      </x:c>
      <x:c r="C26" s="29" t="str">
        <x:v>Type</x:v>
      </x:c>
      <x:c r="D26" s="29" t="str">
        <x:v>URL</x:v>
      </x:c>
      <x:c r="E26" s="29" t="str">
        <x:v>Périmètre</x:v>
      </x:c>
      <x:c r="F26" s="30" t="str">
        <x:v>Accès et limites</x:v>
      </x:c>
    </x:row>
    <x:row r="27" ht="54" customHeight="1">
      <x:c r="A27" s="6" t="str">
        <x:v>PL-SRC-BW</x:v>
      </x:c>
      <x:c r="B27" s="6" t="str">
        <x:v>BioWare — Paragon Lost disponible au Royaume-Uni</x:v>
      </x:c>
      <x:c r="C27" s="6" t="str">
        <x:v>source officielle</x:v>
      </x:c>
      <x:c r="D27" s="6" t="str">
        <x:v>https://blog.bioware.com/2013/03/12/mass-effect-paragon-lost-available-now-in-the-uk/</x:v>
      </x:c>
      <x:c r="E27" s="6" t="str">
        <x:v>Statut de film animé, James Vega et Récolteurs</x:v>
      </x:c>
      <x:c r="F27" s="6" t="str">
        <x:v>Consulté le 22 octobre 2026. Faits courts uniquement ; la publication originale reste nécessaire pour contrôler les détails.</x:v>
      </x:c>
    </x:row>
    <x:row r="28" ht="54" customHeight="1">
      <x:c r="A28" s="6" t="str">
        <x:v>PL-SRC-WIKI</x:v>
      </x:c>
      <x:c r="B28" s="6" t="str">
        <x:v>Mass Effect Wiki — Paragon Lost</x:v>
      </x:c>
      <x:c r="C28" s="6" t="str">
        <x:v>wiki</x:v>
      </x:c>
      <x:c r="D28" s="6" t="str">
        <x:v>https://masseffect.fandom.com/wiki/Mass_Effect:_Paragon_Lost</x:v>
      </x:c>
      <x:c r="E28" s="6" t="str">
        <x:v>Structure générale, personnages et objets ; page ouverte</x:v>
      </x:c>
      <x:c r="F28" s="6" t="str">
        <x:v>Consulté le 22 octobre 2026. Faits courts uniquement ; la publication originale reste nécessaire pour contrôler les détails.</x:v>
      </x:c>
    </x:row>
    <x:row r="29" ht="54" customHeight="1">
      <x:c r="A29" s="6" t="str">
        <x:v>PL-SRC-CAST</x:v>
      </x:c>
      <x:c r="B29" s="6" t="str">
        <x:v>Mass Effect Wiki — personnages de Paragon Lost</x:v>
      </x:c>
      <x:c r="C29" s="6" t="str">
        <x:v>wiki</x:v>
      </x:c>
      <x:c r="D29" s="6" t="str">
        <x:v>https://masseffect.fandom.com/wiki/Characters/Mass_Effect%3A_Paragon_Lost</x:v>
      </x:c>
      <x:c r="E29" s="6" t="str">
        <x:v>Présence des protagonistes, alliés et adversaires</x:v>
      </x:c>
      <x:c r="F29" s="6" t="str">
        <x:v>Consulté le 22 octobre 2026. Faits courts uniquement ; la publication originale reste nécessaire pour contrôler les détails.</x:v>
      </x:c>
    </x:row>
    <x:row r="30" ht="54" customHeight="1">
      <x:c r="A30" s="6" t="str">
        <x:v>PL-SRC-DELTA</x:v>
      </x:c>
      <x:c r="B30" s="6" t="str">
        <x:v>Mass Effect Wiki — Delta Squad</x:v>
      </x:c>
      <x:c r="C30" s="6" t="str">
        <x:v>wiki</x:v>
      </x:c>
      <x:c r="D30" s="6" t="str">
        <x:v>https://masseffect.fandom.com/wiki/Delta_Squad</x:v>
      </x:c>
      <x:c r="E30" s="6" t="str">
        <x:v>Unité Alliance, déploiement et briefing</x:v>
      </x:c>
      <x:c r="F30" s="6" t="str">
        <x:v>Consulté le 22 octobre 2026. Faits courts uniquement ; la publication originale reste nécessaire pour contrôler les détails.</x:v>
      </x:c>
    </x:row>
    <x:row r="31" ht="54" customHeight="1">
      <x:c r="A31" s="6" t="str">
        <x:v>PL-SRC-TREEYA</x:v>
      </x:c>
      <x:c r="B31" s="6" t="str">
        <x:v>Mass Effect Wiki — Treeya Nuwani</x:v>
      </x:c>
      <x:c r="C31" s="6" t="str">
        <x:v>wiki</x:v>
      </x:c>
      <x:c r="D31" s="6" t="str">
        <x:v>https://masseffect.fandom.com/wiki/Treeya_Nuwani</x:v>
      </x:c>
      <x:c r="E31" s="6" t="str">
        <x:v>Anthropologue asari et Fehl Prime</x:v>
      </x:c>
      <x:c r="F31" s="6" t="str">
        <x:v>Consulté le 22 octobre 2026. Faits courts uniquement ; la publication originale reste nécessaire pour contrôler les détails.</x:v>
      </x:c>
    </x:row>
    <x:row r="32" ht="54" customHeight="1">
      <x:c r="A32" s="6" t="str">
        <x:v>PL-SRC-NICKY</x:v>
      </x:c>
      <x:c r="B32" s="6" t="str">
        <x:v>Mass Effect Wiki — Nicky</x:v>
      </x:c>
      <x:c r="C32" s="6" t="str">
        <x:v>wiki</x:v>
      </x:c>
      <x:c r="D32" s="6" t="str">
        <x:v>https://masseffect.fandom.com/wiki/Nicky</x:v>
      </x:c>
      <x:c r="E32" s="6" t="str">
        <x:v>Spécialiste technique et drone</x:v>
      </x:c>
      <x:c r="F32" s="6" t="str">
        <x:v>Consulté le 22 octobre 2026. Faits courts uniquement ; la publication originale reste nécessaire pour contrôler les détails.</x:v>
      </x:c>
    </x:row>
    <x:row r="33" ht="54" customHeight="1">
      <x:c r="A33" s="6" t="str">
        <x:v>PL-SRC-BROOD</x:v>
      </x:c>
      <x:c r="B33" s="6" t="str">
        <x:v>Mass Effect Wiki — Brood</x:v>
      </x:c>
      <x:c r="C33" s="6" t="str">
        <x:v>wiki</x:v>
      </x:c>
      <x:c r="D33" s="6" t="str">
        <x:v>https://masseffect.fandom.com/wiki/Brood</x:v>
      </x:c>
      <x:c r="E33" s="6" t="str">
        <x:v>Mercenaire, vaisseau et cellule d’énergie</x:v>
      </x:c>
      <x:c r="F33" s="6" t="str">
        <x:v>Consulté le 22 octobre 2026. Faits courts uniquement ; la publication originale reste nécessaire pour contrôler les détails.</x:v>
      </x:c>
    </x:row>
    <x:row r="34" ht="54" customHeight="1">
      <x:c r="A34" s="6" t="str">
        <x:v>PL-SRC-MESSNER</x:v>
      </x:c>
      <x:c r="B34" s="6" t="str">
        <x:v>Mass Effect Wiki — Messner</x:v>
      </x:c>
      <x:c r="C34" s="6" t="str">
        <x:v>wiki</x:v>
      </x:c>
      <x:c r="D34" s="6" t="str">
        <x:v>https://masseffect.fandom.com/wiki/Messner</x:v>
      </x:c>
      <x:c r="E34" s="6" t="str">
        <x:v>Couverture, affiliation, Mako et archive</x:v>
      </x:c>
      <x:c r="F34" s="6" t="str">
        <x:v>Consulté le 22 octobre 2026. Faits courts uniquement ; la publication originale reste nécessaire pour contrôler les détails.</x:v>
      </x:c>
    </x:row>
    <x:row r="35" ht="54" customHeight="1">
      <x:c r="A35" s="6" t="str">
        <x:v>PL-SRC-MAKO</x:v>
      </x:c>
      <x:c r="B35" s="6" t="str">
        <x:v>Mass Effect Wiki — M35 Mako</x:v>
      </x:c>
      <x:c r="C35" s="6" t="str">
        <x:v>wiki</x:v>
      </x:c>
      <x:c r="D35" s="6" t="str">
        <x:v>https://masseffect.fandom.com/wiki/M35_Mako</x:v>
      </x:c>
      <x:c r="E35" s="6" t="str">
        <x:v>Véhicule de Messner dans le film</x:v>
      </x:c>
      <x:c r="F35" s="6" t="str">
        <x:v>Consulté le 22 octobre 2026. Faits courts uniquement ; la publication originale reste nécessaire pour contrôler les détails.</x:v>
      </x:c>
    </x:row>
    <x:row r="36" ht="54" customHeight="1">
      <x:c r="A36" s="6" t="str">
        <x:v>PL-SRC-ESSEX</x:v>
      </x:c>
      <x:c r="B36" s="6" t="str">
        <x:v>Mass Effect Wiki — Essex</x:v>
      </x:c>
      <x:c r="C36" s="6" t="str">
        <x:v>wiki</x:v>
      </x:c>
      <x:c r="D36" s="6" t="str">
        <x:v>https://masseffect.fandom.com/wiki/Essex</x:v>
      </x:c>
      <x:c r="E36" s="6" t="str">
        <x:v>Membre du groupe et trajectoire dans le film</x:v>
      </x:c>
      <x:c r="F36" s="6" t="str">
        <x:v>Consulté le 22 octobre 2026. Faits courts uniquement ; la publication originale reste nécessaire pour contrôler les détails.</x:v>
      </x:c>
    </x:row>
    <x:row r="37" ht="54" customHeight="1">
      <x:c r="A37" s="6" t="str">
        <x:v>PL-SRC-MILQUE</x:v>
      </x:c>
      <x:c r="B37" s="6" t="str">
        <x:v>Mass Effect Wiki — Milque</x:v>
      </x:c>
      <x:c r="C37" s="6" t="str">
        <x:v>wiki</x:v>
      </x:c>
      <x:c r="D37" s="6" t="str">
        <x:v>https://masseffect.fandom.com/wiki/Milque</x:v>
      </x:c>
      <x:c r="E37" s="6" t="str">
        <x:v>Membre de l’équipe et mémorial</x:v>
      </x:c>
      <x:c r="F37" s="6" t="str">
        <x:v>Consulté le 22 octobre 2026. Faits courts uniquement ; la publication originale reste nécessaire pour contrôler les détails.</x:v>
      </x:c>
    </x:row>
    <x:row r="38" ht="54" customHeight="1">
      <x:c r="A38" s="6" t="str">
        <x:v>PL-SRC-FEHL</x:v>
      </x:c>
      <x:c r="B38" s="6" t="str">
        <x:v>Mass Effect Wiki — Fehl Prime</x:v>
      </x:c>
      <x:c r="C38" s="6" t="str">
        <x:v>wiki</x:v>
      </x:c>
      <x:c r="D38" s="6" t="str">
        <x:v>https://masseffect.fandom.com/wiki/Fehl_Prime</x:v>
      </x:c>
      <x:c r="E38" s="6" t="str">
        <x:v>Colonie, Récolteurs et décision de Vega</x:v>
      </x:c>
      <x:c r="F38" s="6" t="str">
        <x:v>Consulté le 22 octobre 2026. Faits courts uniquement ; la publication originale reste nécessaire pour contrôler les détails.</x:v>
      </x:c>
    </x:row>
    <x:row r="39" ht="54" customHeight="1">
      <x:c r="A39" s="6" t="str">
        <x:v>PL-SRC-CERB</x:v>
      </x:c>
      <x:c r="B39" s="6" t="str">
        <x:v>Mass Effect Wiki — Cerberus</x:v>
      </x:c>
      <x:c r="C39" s="6" t="str">
        <x:v>wiki</x:v>
      </x:c>
      <x:c r="D39" s="6" t="str">
        <x:v>https://masseffect.fandom.com/wiki/Cerberus</x:v>
      </x:c>
      <x:c r="E39" s="6" t="str">
        <x:v>Rôle de Messner et destination des renseignements</x:v>
      </x:c>
      <x:c r="F39" s="6" t="str">
        <x:v>Consulté le 22 octobre 2026. Faits courts uniquement ; la publication originale reste nécessaire pour contrôler les détails.</x:v>
      </x:c>
    </x:row>
    <x:row r="40" ht="22" customHeight="1">
      <x:c r="A40" s="2"/>
      <x:c r="B40" s="2"/>
      <x:c r="C40" s="2"/>
      <x:c r="D40" s="2"/>
      <x:c r="E40" s="2"/>
      <x:c r="F40" s="2"/>
    </x:row>
    <x:row r="41" ht="22" customHeight="1">
      <x:c r="A41" s="2"/>
      <x:c r="B41" s="2"/>
      <x:c r="C41" s="2"/>
      <x:c r="D41" s="2"/>
      <x:c r="E41" s="2"/>
      <x:c r="F41" s="2"/>
    </x:row>
    <x:row r="42" ht="22" customHeight="1">
      <x:c r="A42" s="2"/>
      <x:c r="B42" s="2"/>
      <x:c r="C42" s="2"/>
      <x:c r="D42" s="2"/>
      <x:c r="E42" s="2"/>
      <x:c r="F42" s="2"/>
    </x:row>
    <x:row r="43" ht="34" customHeight="1">
      <x:c r="A43" s="28" t="str">
        <x:v>Domaine</x:v>
      </x:c>
      <x:c r="B43" s="29" t="str">
        <x:v>Couverture actuelle</x:v>
      </x:c>
      <x:c r="C43" s="30" t="str">
        <x:v>Travail restant</x:v>
      </x:c>
      <x:c r="D43" s="2"/>
      <x:c r="E43" s="2"/>
      <x:c r="F43" s="2"/>
    </x:row>
    <x:row r="44" ht="110" customHeight="1">
      <x:c r="A44" s="6" t="str">
        <x:v>Références canoniques</x:v>
      </x:c>
      <x:c r="B44" s="6" t="str">
        <x:v>Delta Squad, Fehl Prime, Treeya et attaque des Récolteurs ; fiches de production originales couvrant coopération tactique, protection civile et conséquences du commandement.</x:v>
      </x:c>
      <x:c r="C44" s="6" t="str">
        <x:v>Film non visionné image par image dans cette tâche. Modèles visuels, armes exactes, expressions et montage doivent être contrôlés sur une copie légale avant réalisation ; aucun horodatage inventé. La source reste nécessaire pour suivre le récit complet.</x:v>
      </x:c>
      <x:c r="D44" s="2"/>
      <x:c r="E44" s="2"/>
      <x:c r="F44" s="2"/>
    </x:row>
    <x:row r="45" ht="68" customHeight="1">
      <x:c r="A45" s="6" t="str">
        <x:v>Personnages et direction artistique</x:v>
      </x:c>
      <x:c r="B45" s="6" t="str">
        <x:v>15 personnages/PNJ documentés, avec planches, poses et intentions de dialogues originales distinctes.</x:v>
      </x:c>
      <x:c r="C45" s="6" t="str">
        <x:v>Valider les costumes, accessoires et nuances de caractérisation avec un exemplaire légal de l’œuvre ; pour le film, établir une bible visuelle par visionnage.</x:v>
      </x:c>
      <x:c r="D45" s="2"/>
      <x:c r="E45" s="2"/>
      <x:c r="F45" s="2"/>
    </x:row>
    <x:row r="46" ht="54" customHeight="1">
      <x:c r="A46" s="6" t="str">
        <x:v>Cartes et progression</x:v>
      </x:c>
      <x:c r="B46" s="6" t="str">
        <x:v>9 cartes proposées, leurs kits et transitions ; 9 missions originales avec options, annexes, cinématiques et critères de test.</x:v>
      </x:c>
      <x:c r="C46" s="6" t="str">
        <x:v>Blockouts, distances, budgets mémoire et temps de parcours à mesurer ; aucune carte officielle n’est revendiquée.</x:v>
      </x:c>
      <x:c r="D46" s="2"/>
      <x:c r="E46" s="2"/>
      <x:c r="F46" s="2"/>
    </x:row>
    <x:row r="47" ht="68" customHeight="1">
      <x:c r="A47" s="6" t="str">
        <x:v>Combat, systèmes et médias</x:v>
      </x:c>
      <x:c r="B47" s="6" t="str">
        <x:v>5 rencontres proposées, movesets, VFX, actions alliées, interface, audio et sauvegarde.</x:v>
      </x:c>
      <x:c r="C47" s="6" t="str">
        <x:v>Prototype, équilibrage, réalisation des assets, doublage éventuel et tests encore à faire. Aucune ligne ne signifie que le fan game contient déjà cet élément.</x:v>
      </x:c>
      <x:c r="D47" s="2"/>
      <x:c r="E47" s="2"/>
      <x:c r="F47" s="2"/>
    </x:row>
    <x:row r="48" ht="68" customHeight="1">
      <x:c r="A48" s="6" t="str">
        <x:v>Accès aux pages demandées</x:v>
      </x:c>
      <x:c r="B48" s="6" t="str">
        <x:v>Page wiki demandée ouverte ; sources secondaires utilisées seulement pour les points visibles.</x:v>
      </x:c>
      <x:c r="C48" s="6" t="str">
        <x:v>Les extraits indexés ne remplacent pas une vérification de l’œuvre intégrale. Les traductions françaises des noms et titres restent à contrôler selon l’édition retenue.</x:v>
      </x:c>
      <x:c r="D48" s="2"/>
      <x:c r="E48" s="2"/>
      <x:c r="F48" s="2"/>
    </x:row>
    <x:row r="49" ht="96" customHeight="1">
      <x:c r="A49" s="6" t="str">
        <x:v>Prototype Chroniques indépendant</x:v>
      </x:c>
      <x:c r="B49" s="6" t="str">
        <x:v>1 personnages sélectionnables, 0 équipements utilisables sous restrictions d’œuvre, segment, scène et porteur ; preuves dans implementationPaths et evidence des seules lignes Prototype.</x:v>
      </x:c>
      <x:c r="C49" s="6" t="str">
        <x:v>Campagne complète, dialogues, acquisition canonique, sprites, costumes, animations et statistiques originales à réaliser ou vérifier. Les ateliers sont des essais de préparation ATB, sans progression canonique ni transfert ME1.</x:v>
      </x:c>
      <x:c r="D49" s="2"/>
      <x:c r="E49" s="2"/>
      <x:c r="F49" s="2"/>
    </x:row>
    <x:row r="50" ht="22" customHeight="1">
      <x:c r="A50" s="2"/>
      <x:c r="B50" s="2"/>
      <x:c r="C50" s="2"/>
      <x:c r="D50" s="2"/>
      <x:c r="E50" s="2"/>
      <x:c r="F50" s="2"/>
    </x:row>
    <x:row r="51" ht="22" customHeight="1">
      <x:c r="A51" s="2"/>
      <x:c r="B51" s="2"/>
      <x:c r="C51" s="2"/>
      <x:c r="D51" s="2"/>
      <x:c r="E51" s="2"/>
      <x:c r="F51" s="2"/>
    </x:row>
    <x:row r="52" ht="22" customHeight="1">
      <x:c r="A52" s="2"/>
      <x:c r="B52" s="2"/>
      <x:c r="C52" s="2"/>
      <x:c r="D52" s="2"/>
      <x:c r="E52" s="2"/>
      <x:c r="F52" s="2"/>
    </x:row>
    <x:row r="53" ht="22" customHeight="1">
      <x:c r="A53" s="2"/>
      <x:c r="B53" s="2"/>
      <x:c r="C53" s="2"/>
      <x:c r="D53" s="2"/>
      <x:c r="E53" s="2"/>
      <x:c r="F53" s="2"/>
    </x:row>
    <x:row r="54" ht="22" customHeight="1">
      <x:c r="A54" s="2"/>
      <x:c r="B54" s="2"/>
      <x:c r="C54" s="2"/>
      <x:c r="D54" s="2"/>
      <x:c r="E54" s="2"/>
      <x:c r="F54" s="2"/>
    </x:row>
    <x:row r="55" ht="22" customHeight="1">
      <x:c r="A55" s="2"/>
      <x:c r="B55" s="2"/>
      <x:c r="C55" s="2"/>
      <x:c r="D55" s="2"/>
      <x:c r="E55" s="2"/>
      <x:c r="F55" s="2"/>
    </x:row>
    <x:row r="56" ht="22" customHeight="1">
      <x:c r="A56" s="2"/>
      <x:c r="B56" s="2"/>
      <x:c r="C56" s="2"/>
      <x:c r="D56" s="2"/>
      <x:c r="E56" s="2"/>
      <x:c r="F56" s="2"/>
    </x:row>
    <x:row r="57" ht="22" customHeight="1">
      <x:c r="A57" s="2"/>
      <x:c r="B57" s="2"/>
      <x:c r="C57" s="2"/>
      <x:c r="D57" s="2"/>
      <x:c r="E57" s="2"/>
      <x:c r="F57" s="2"/>
    </x:row>
    <x:row r="58" ht="22" customHeight="1">
      <x:c r="A58" s="2"/>
      <x:c r="B58" s="2"/>
      <x:c r="C58" s="2"/>
      <x:c r="D58" s="2"/>
      <x:c r="E58" s="2"/>
      <x:c r="F58" s="2"/>
    </x:row>
    <x:row r="59" ht="22" customHeight="1">
      <x:c r="A59" s="2"/>
      <x:c r="B59" s="2"/>
      <x:c r="C59" s="2"/>
      <x:c r="D59" s="2"/>
      <x:c r="E59" s="2"/>
      <x:c r="F59" s="2"/>
    </x:row>
    <x:row r="60" ht="22" customHeight="1">
      <x:c r="A60" s="2"/>
      <x:c r="B60" s="2"/>
      <x:c r="C60" s="2"/>
      <x:c r="D60" s="2"/>
      <x:c r="E60" s="2"/>
      <x:c r="F60" s="2"/>
    </x:row>
    <x:row r="61" ht="22" customHeight="1">
      <x:c r="A61" s="2"/>
      <x:c r="B61" s="2"/>
      <x:c r="C61" s="2"/>
      <x:c r="D61" s="2"/>
      <x:c r="E61" s="2"/>
      <x:c r="F61" s="2"/>
    </x:row>
    <x:row r="62" ht="22" customHeight="1">
      <x:c r="A62" s="2"/>
      <x:c r="B62" s="2"/>
      <x:c r="C62" s="2"/>
      <x:c r="D62" s="2"/>
      <x:c r="E62" s="2"/>
      <x:c r="F62" s="2"/>
    </x:row>
    <x:row r="63" ht="22" customHeight="1">
      <x:c r="A63" s="2"/>
      <x:c r="B63" s="2"/>
      <x:c r="C63" s="2"/>
      <x:c r="D63" s="2"/>
      <x:c r="E63" s="2"/>
      <x:c r="F63" s="2"/>
    </x:row>
    <x:row r="64" ht="22" customHeight="1">
      <x:c r="A64" s="2"/>
      <x:c r="B64" s="2"/>
      <x:c r="C64" s="2"/>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sheetData>
  <x:pageMargins left="0.7" right="0.7" top="0.75" bottom="0.75" header="0.3" footer="0.3"/>
</x:worksheet>
</file>