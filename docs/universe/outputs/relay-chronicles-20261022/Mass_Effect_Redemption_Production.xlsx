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e36827627047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7ba2fcf71564d91"/>
    <x:sheet xmlns:r="http://schemas.openxmlformats.org/officeDocument/2006/relationships" name="Personnages" sheetId="2" r:id="R5066af2115b64d06"/>
    <x:sheet xmlns:r="http://schemas.openxmlformats.org/officeDocument/2006/relationships" name="PNJ" sheetId="3" r:id="R8673827a358b4ea3"/>
    <x:sheet xmlns:r="http://schemas.openxmlformats.org/officeDocument/2006/relationships" name="Especes_factions" sheetId="4" r:id="R607d353244394d8f"/>
    <x:sheet xmlns:r="http://schemas.openxmlformats.org/officeDocument/2006/relationships" name="Mondes" sheetId="5" r:id="Rad4c9ef03f4a4a8c"/>
    <x:sheet xmlns:r="http://schemas.openxmlformats.org/officeDocument/2006/relationships" name="Zones" sheetId="6" r:id="Rebdbc218ba464e06"/>
    <x:sheet xmlns:r="http://schemas.openxmlformats.org/officeDocument/2006/relationships" name="Liaisons" sheetId="7" r:id="R442b7e4dfd3e4de4"/>
    <x:sheet xmlns:r="http://schemas.openxmlformats.org/officeDocument/2006/relationships" name="Decors" sheetId="8" r:id="Re4f1b59724da4c85"/>
    <x:sheet xmlns:r="http://schemas.openxmlformats.org/officeDocument/2006/relationships" name="Props" sheetId="9" r:id="Re0c6c09a84094da3"/>
    <x:sheet xmlns:r="http://schemas.openxmlformats.org/officeDocument/2006/relationships" name="Ennemis_boss" sheetId="10" r:id="R4c8f5a72e58b45c5"/>
    <x:sheet xmlns:r="http://schemas.openxmlformats.org/officeDocument/2006/relationships" name="Missions" sheetId="11" r:id="R2b230ce175c842a0"/>
    <x:sheet xmlns:r="http://schemas.openxmlformats.org/officeDocument/2006/relationships" name="Secondaires_DLC" sheetId="12" r:id="R50041db60ddf4f3f"/>
    <x:sheet xmlns:r="http://schemas.openxmlformats.org/officeDocument/2006/relationships" name="Choix_relations" sheetId="13" r:id="R561bb4bd412d4072"/>
    <x:sheet xmlns:r="http://schemas.openxmlformats.org/officeDocument/2006/relationships" name="Dialogues" sheetId="14" r:id="Rc3182daa0881488f"/>
    <x:sheet xmlns:r="http://schemas.openxmlformats.org/officeDocument/2006/relationships" name="Cinematiques" sheetId="15" r:id="R6e9f3342cd094009"/>
    <x:sheet xmlns:r="http://schemas.openxmlformats.org/officeDocument/2006/relationships" name="Armes" sheetId="16" r:id="R02d0763f313c42d1"/>
    <x:sheet xmlns:r="http://schemas.openxmlformats.org/officeDocument/2006/relationships" name="Armures_equipement" sheetId="17" r:id="R39573526c937425f"/>
    <x:sheet xmlns:r="http://schemas.openxmlformats.org/officeDocument/2006/relationships" name="Pouvoirs" sheetId="18" r:id="R4b26ae6662534a89"/>
    <x:sheet xmlns:r="http://schemas.openxmlformats.org/officeDocument/2006/relationships" name="Movesets_allies" sheetId="19" r:id="R3894bad1a7744e9f"/>
    <x:sheet xmlns:r="http://schemas.openxmlformats.org/officeDocument/2006/relationships" name="Movesets_ennemis" sheetId="20" r:id="Rcbd7a5d1217943c2"/>
    <x:sheet xmlns:r="http://schemas.openxmlformats.org/officeDocument/2006/relationships" name="Animations" sheetId="21" r:id="R1fda79d4e2964704"/>
    <x:sheet xmlns:r="http://schemas.openxmlformats.org/officeDocument/2006/relationships" name="Sprites" sheetId="22" r:id="R3e31e3a5047249fe"/>
    <x:sheet xmlns:r="http://schemas.openxmlformats.org/officeDocument/2006/relationships" name="VFX" sheetId="23" r:id="Rd9e170709c074cb8"/>
    <x:sheet xmlns:r="http://schemas.openxmlformats.org/officeDocument/2006/relationships" name="Audio" sheetId="24" r:id="Rb13616c3e34647d6"/>
    <x:sheet xmlns:r="http://schemas.openxmlformats.org/officeDocument/2006/relationships" name="UI_systemes" sheetId="25" r:id="R1ae998f5d4584111"/>
    <x:sheet xmlns:r="http://schemas.openxmlformats.org/officeDocument/2006/relationships" name="QA" sheetId="26" r:id="R7ea63ac426a44efe"/>
    <x:sheet xmlns:r="http://schemas.openxmlformats.org/officeDocument/2006/relationships" name="Continuite" sheetId="27" r:id="R9be96b19fa264d54"/>
    <x:sheet xmlns:r="http://schemas.openxmlformats.org/officeDocument/2006/relationships" name="Guide" sheetId="28" r:id="R3a205d7aa7e64b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bb4224eb27486c" /><Relationship Type="http://schemas.openxmlformats.org/officeDocument/2006/relationships/theme" Target="/xl/theme/theme1.xml" Id="R5006e67c8b6f40a2" /><Relationship Type="http://schemas.openxmlformats.org/officeDocument/2006/relationships/sharedStrings" Target="/xl/sharedStrings.xml" Id="Rfdb8761efd2b48af" /><Relationship Type="http://schemas.openxmlformats.org/officeDocument/2006/relationships/worksheet" Target="/xl/worksheets/sheet1.xml" Id="R87ba2fcf71564d91" /><Relationship Type="http://schemas.openxmlformats.org/officeDocument/2006/relationships/worksheet" Target="/xl/worksheets/sheet2.xml" Id="R5066af2115b64d06" /><Relationship Type="http://schemas.openxmlformats.org/officeDocument/2006/relationships/worksheet" Target="/xl/worksheets/sheet3.xml" Id="R8673827a358b4ea3" /><Relationship Type="http://schemas.openxmlformats.org/officeDocument/2006/relationships/worksheet" Target="/xl/worksheets/sheet4.xml" Id="R607d353244394d8f" /><Relationship Type="http://schemas.openxmlformats.org/officeDocument/2006/relationships/worksheet" Target="/xl/worksheets/sheet5.xml" Id="Rad4c9ef03f4a4a8c" /><Relationship Type="http://schemas.openxmlformats.org/officeDocument/2006/relationships/worksheet" Target="/xl/worksheets/sheet6.xml" Id="Rebdbc218ba464e06" /><Relationship Type="http://schemas.openxmlformats.org/officeDocument/2006/relationships/worksheet" Target="/xl/worksheets/sheet7.xml" Id="R442b7e4dfd3e4de4" /><Relationship Type="http://schemas.openxmlformats.org/officeDocument/2006/relationships/worksheet" Target="/xl/worksheets/sheet8.xml" Id="Re4f1b59724da4c85" /><Relationship Type="http://schemas.openxmlformats.org/officeDocument/2006/relationships/worksheet" Target="/xl/worksheets/sheet9.xml" Id="Re0c6c09a84094da3" /><Relationship Type="http://schemas.openxmlformats.org/officeDocument/2006/relationships/worksheet" Target="/xl/worksheets/sheet10.xml" Id="R4c8f5a72e58b45c5" /><Relationship Type="http://schemas.openxmlformats.org/officeDocument/2006/relationships/worksheet" Target="/xl/worksheets/sheet11.xml" Id="R2b230ce175c842a0" /><Relationship Type="http://schemas.openxmlformats.org/officeDocument/2006/relationships/worksheet" Target="/xl/worksheets/sheet12.xml" Id="R50041db60ddf4f3f" /><Relationship Type="http://schemas.openxmlformats.org/officeDocument/2006/relationships/worksheet" Target="/xl/worksheets/sheet13.xml" Id="R561bb4bd412d4072" /><Relationship Type="http://schemas.openxmlformats.org/officeDocument/2006/relationships/worksheet" Target="/xl/worksheets/sheet14.xml" Id="Rc3182daa0881488f" /><Relationship Type="http://schemas.openxmlformats.org/officeDocument/2006/relationships/worksheet" Target="/xl/worksheets/sheet15.xml" Id="R6e9f3342cd094009" /><Relationship Type="http://schemas.openxmlformats.org/officeDocument/2006/relationships/worksheet" Target="/xl/worksheets/sheet16.xml" Id="R02d0763f313c42d1" /><Relationship Type="http://schemas.openxmlformats.org/officeDocument/2006/relationships/worksheet" Target="/xl/worksheets/sheet17.xml" Id="R39573526c937425f" /><Relationship Type="http://schemas.openxmlformats.org/officeDocument/2006/relationships/worksheet" Target="/xl/worksheets/sheet18.xml" Id="R4b26ae6662534a89" /><Relationship Type="http://schemas.openxmlformats.org/officeDocument/2006/relationships/worksheet" Target="/xl/worksheets/sheet19.xml" Id="R3894bad1a7744e9f" /><Relationship Type="http://schemas.openxmlformats.org/officeDocument/2006/relationships/worksheet" Target="/xl/worksheets/sheet20.xml" Id="Rcbd7a5d1217943c2" /><Relationship Type="http://schemas.openxmlformats.org/officeDocument/2006/relationships/worksheet" Target="/xl/worksheets/sheet21.xml" Id="R1fda79d4e2964704" /><Relationship Type="http://schemas.openxmlformats.org/officeDocument/2006/relationships/worksheet" Target="/xl/worksheets/sheet22.xml" Id="R3e31e3a5047249fe" /><Relationship Type="http://schemas.openxmlformats.org/officeDocument/2006/relationships/worksheet" Target="/xl/worksheets/sheet23.xml" Id="Rd9e170709c074cb8" /><Relationship Type="http://schemas.openxmlformats.org/officeDocument/2006/relationships/worksheet" Target="/xl/worksheets/sheet24.xml" Id="Rb13616c3e34647d6" /><Relationship Type="http://schemas.openxmlformats.org/officeDocument/2006/relationships/worksheet" Target="/xl/worksheets/sheet25.xml" Id="R1ae998f5d4584111" /><Relationship Type="http://schemas.openxmlformats.org/officeDocument/2006/relationships/worksheet" Target="/xl/worksheets/sheet26.xml" Id="R7ea63ac426a44efe" /><Relationship Type="http://schemas.openxmlformats.org/officeDocument/2006/relationships/worksheet" Target="/xl/worksheets/sheet27.xml" Id="R9be96b19fa264d54" /><Relationship Type="http://schemas.openxmlformats.org/officeDocument/2006/relationships/worksheet" Target="/xl/worksheets/sheet28.xml" Id="R3a205d7aa7e64b68" /></Relationships>
</file>

<file path=xl/tables/table1.xml><?xml version="1.0" encoding="utf-8"?>
<x:table xmlns:x="http://schemas.openxmlformats.org/spreadsheetml/2006/main" id="1" name="RED_characters" displayName="RED_charact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D_npcs" displayName="RED_npc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D_lore" displayName="RED_lore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D_worlds" displayName="RED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D_zones" displayName="RED_zon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D_links" displayName="RED_link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D_scenery" displayName="RED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D_props" displayName="RED_prop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ED_enemies" displayName="RED_enemi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ED_main_quests" displayName="RED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ED_side_quests" displayName="RED_side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D_choices" displayName="RED_choic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ED_dialogues" displayName="RED_dialogu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RED_cinematics" displayName="RED_cinemati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RED_weapons" displayName="RED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D_equipment" displayName="RED_equipment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RED_powers" displayName="RED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RED_ally_moves" displayName="RED_ally_mov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RED_enemy_moves" displayName="RED_enem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RED_animations" displayName="RED_animation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RED_sprites" displayName="RED_sprit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RED_vfx" displayName="RED_vfx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RED_audio" displayName="RED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RED_systems" displayName="RED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RED_qa" displayName="RED_qa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RED_continuity" displayName="RED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df4888143c4b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06929b7e0441a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b62b30b0c7040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e5b8892e80f448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4c5faa4deda40a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71612844348478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73061dd80154ea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ae512b3029d48b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c6a041aa26c4c5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21fbb69e4e1c4a8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71981caaf1f43d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2e7eed74f804d6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2534ee07cf24d9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69536b9d48aa4228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86dbe53824734ab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e9eba77ec7954294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ad896cbac5b452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0433d7c6f4194548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e80cb1093f364717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806996ec0c78491a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5f7f8c8492614305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bb81f3afe5ec4199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64b95bb56851482f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2f92ec4b6558465f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156964386f04468c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11977d3bda924e4d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Redemption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3" t="n">
        <x:f>SUM(B10:B35)</x:f>
        <x:v>117</x:v>
      </x:c>
      <x:c r="C5" s="2"/>
      <x:c r="D5" s="2" t="str">
        <x:v>Intégrés</x:v>
      </x:c>
      <x:c r="E5" s="33" t="n">
        <x:f>SUM(E10:F35)</x:f>
        <x:v>0</x:v>
      </x:c>
      <x:c r="F5" s="2"/>
      <x:c r="G5" s="2" t="str">
        <x:v>À vérifier</x:v>
      </x:c>
      <x:c r="H5" s="33" t="n">
        <x:f>SUM(H10:H35)</x:f>
        <x:v>8</x:v>
      </x:c>
      <x:c r="I5" s="2"/>
      <x:c r="J5" s="2" t="str">
        <x:v>Extrapolations</x:v>
      </x:c>
      <x:c r="K5" s="33" t="n">
        <x:f>SUM(I10:I35)</x:f>
        <x:v>94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4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30" t="str">
        <x:v>Domaine</x:v>
      </x:c>
      <x:c r="B9" s="31" t="str">
        <x:v>Total</x:v>
      </x:c>
      <x:c r="C9" s="31" t="str">
        <x:v>Défini</x:v>
      </x:c>
      <x:c r="D9" s="31" t="str">
        <x:v>Prototype</x:v>
      </x:c>
      <x:c r="E9" s="31" t="str">
        <x:v>Intégré</x:v>
      </x:c>
      <x:c r="F9" s="31" t="str">
        <x:v>Validé</x:v>
      </x:c>
      <x:c r="G9" s="31" t="str">
        <x:v>Établi</x:v>
      </x:c>
      <x:c r="H9" s="31" t="str">
        <x:v>À vérifier</x:v>
      </x:c>
      <x:c r="I9" s="31" t="str">
        <x:v>Extrapolation</x:v>
      </x:c>
      <x:c r="J9" s="31" t="str">
        <x:v>Coupé attesté</x:v>
      </x:c>
      <x:c r="K9" s="31" t="str">
        <x:v>Concept abandonné</x:v>
      </x:c>
      <x:c r="L9" s="31" t="str">
        <x:v>Allégation écartée</x:v>
      </x:c>
      <x:c r="M9" s="32" t="str">
        <x:v>Priorité P0</x:v>
      </x:c>
    </x:row>
    <x:row r="10" ht="22" customHeight="1">
      <x:c r="A10" s="35" t="str">
        <x:v>Personnages</x:v>
      </x:c>
      <x:c r="B10" s="39" t="n">
        <x:f>COUNTA('Personnages'!$A$7:$A$9)</x:f>
        <x:v>3</x:v>
      </x:c>
      <x:c r="C10" s="39" t="n">
        <x:f>COUNTIFS('Personnages'!$C$7:$C$9,"Défini")</x:f>
        <x:v>3</x:v>
      </x:c>
      <x:c r="D10" s="39" t="n">
        <x:f>COUNTIFS('Personnages'!$C$7:$C$9,"Prototype")</x:f>
        <x:v>0</x:v>
      </x:c>
      <x:c r="E10" s="39" t="n">
        <x:f>COUNTIFS('Personnages'!$C$7:$C$9,"Intégré")</x:f>
        <x:v>0</x:v>
      </x:c>
      <x:c r="F10" s="39" t="n">
        <x:f>COUNTIFS('Personnages'!$C$7:$C$9,"Validé")</x:f>
        <x:v>0</x:v>
      </x:c>
      <x:c r="G10" s="39" t="n">
        <x:f>COUNTIFS('Personnages'!$D$7:$D$9,"Établi")</x:f>
        <x:v>2</x:v>
      </x:c>
      <x:c r="H10" s="39" t="n">
        <x:f>COUNTIFS('Personnages'!$D$7:$D$9,"À vérifier")</x:f>
        <x:v>1</x:v>
      </x:c>
      <x:c r="I10" s="39" t="n">
        <x:f>COUNTIFS('Personnages'!$D$7:$D$9,"Extrapolation")</x:f>
        <x:v>0</x:v>
      </x:c>
      <x:c r="J10" s="39" t="n">
        <x:f>COUNTIFS('Personnages'!$D$7:$D$9,"Coupé attesté")</x:f>
        <x:v>0</x:v>
      </x:c>
      <x:c r="K10" s="39" t="n">
        <x:f>COUNTIFS('Personnages'!$D$7:$D$9,"Concept abandonné")</x:f>
        <x:v>0</x:v>
      </x:c>
      <x:c r="L10" s="39" t="n">
        <x:f>COUNTIFS('Personnages'!$D$7:$D$9,"Allégation écartée")</x:f>
        <x:v>0</x:v>
      </x:c>
      <x:c r="M10" s="39" t="n">
        <x:f>COUNTIFS('Personnages'!$E$7:$E$9,"P0")</x:f>
        <x:v>0</x:v>
      </x:c>
    </x:row>
    <x:row r="11" ht="22" customHeight="1">
      <x:c r="A11" s="2" t="str">
        <x:v>PNJ</x:v>
      </x:c>
      <x:c r="B11" s="40" t="n">
        <x:f>COUNTA('PNJ'!$A$7:$A$10)</x:f>
        <x:v>4</x:v>
      </x:c>
      <x:c r="C11" s="40" t="n">
        <x:f>COUNTIFS('PNJ'!$C$7:$C$10,"Défini")</x:f>
        <x:v>4</x:v>
      </x:c>
      <x:c r="D11" s="40" t="n">
        <x:f>COUNTIFS('PNJ'!$C$7:$C$10,"Prototype")</x:f>
        <x:v>0</x:v>
      </x:c>
      <x:c r="E11" s="40" t="n">
        <x:f>COUNTIFS('PNJ'!$C$7:$C$10,"Intégré")</x:f>
        <x:v>0</x:v>
      </x:c>
      <x:c r="F11" s="40" t="n">
        <x:f>COUNTIFS('PNJ'!$C$7:$C$10,"Validé")</x:f>
        <x:v>0</x:v>
      </x:c>
      <x:c r="G11" s="40" t="n">
        <x:f>COUNTIFS('PNJ'!$D$7:$D$10,"Établi")</x:f>
        <x:v>3</x:v>
      </x:c>
      <x:c r="H11" s="40" t="n">
        <x:f>COUNTIFS('PNJ'!$D$7:$D$10,"À vérifier")</x:f>
        <x:v>1</x:v>
      </x:c>
      <x:c r="I11" s="40" t="n">
        <x:f>COUNTIFS('PNJ'!$D$7:$D$10,"Extrapolation")</x:f>
        <x:v>0</x:v>
      </x:c>
      <x:c r="J11" s="40" t="n">
        <x:f>COUNTIFS('PNJ'!$D$7:$D$10,"Coupé attesté")</x:f>
        <x:v>0</x:v>
      </x:c>
      <x:c r="K11" s="40" t="n">
        <x:f>COUNTIFS('PNJ'!$D$7:$D$10,"Concept abandonné")</x:f>
        <x:v>0</x:v>
      </x:c>
      <x:c r="L11" s="40" t="n">
        <x:f>COUNTIFS('PNJ'!$D$7:$D$10,"Allégation écartée")</x:f>
        <x:v>0</x:v>
      </x:c>
      <x:c r="M11" s="40" t="n">
        <x:f>COUNTIFS('PNJ'!$E$7:$E$10,"P0")</x:f>
        <x:v>0</x:v>
      </x:c>
    </x:row>
    <x:row r="12" ht="22" customHeight="1">
      <x:c r="A12" s="35" t="str">
        <x:v>Espèces et factions</x:v>
      </x:c>
      <x:c r="B12" s="39" t="n">
        <x:f>COUNTA('Especes_factions'!$A$7:$A$16)</x:f>
        <x:v>10</x:v>
      </x:c>
      <x:c r="C12" s="39" t="n">
        <x:f>COUNTIFS('Especes_factions'!$C$7:$C$16,"Défini")</x:f>
        <x:v>10</x:v>
      </x:c>
      <x:c r="D12" s="39" t="n">
        <x:f>COUNTIFS('Especes_factions'!$C$7:$C$16,"Prototype")</x:f>
        <x:v>0</x:v>
      </x:c>
      <x:c r="E12" s="39" t="n">
        <x:f>COUNTIFS('Especes_factions'!$C$7:$C$16,"Intégré")</x:f>
        <x:v>0</x:v>
      </x:c>
      <x:c r="F12" s="39" t="n">
        <x:f>COUNTIFS('Especes_factions'!$C$7:$C$16,"Validé")</x:f>
        <x:v>0</x:v>
      </x:c>
      <x:c r="G12" s="39" t="n">
        <x:f>COUNTIFS('Especes_factions'!$D$7:$D$16,"Établi")</x:f>
        <x:v>7</x:v>
      </x:c>
      <x:c r="H12" s="39" t="n">
        <x:f>COUNTIFS('Especes_factions'!$D$7:$D$16,"À vérifier")</x:f>
        <x:v>3</x:v>
      </x:c>
      <x:c r="I12" s="39" t="n">
        <x:f>COUNTIFS('Especes_factions'!$D$7:$D$16,"Extrapolation")</x:f>
        <x:v>0</x:v>
      </x:c>
      <x:c r="J12" s="39" t="n">
        <x:f>COUNTIFS('Especes_factions'!$D$7:$D$16,"Coupé attesté")</x:f>
        <x:v>0</x:v>
      </x:c>
      <x:c r="K12" s="39" t="n">
        <x:f>COUNTIFS('Especes_factions'!$D$7:$D$16,"Concept abandonné")</x:f>
        <x:v>0</x:v>
      </x:c>
      <x:c r="L12" s="39" t="n">
        <x:f>COUNTIFS('Especes_factions'!$D$7:$D$16,"Allégation écartée")</x:f>
        <x:v>0</x:v>
      </x:c>
      <x:c r="M12" s="39" t="n">
        <x:f>COUNTIFS('Especes_factions'!$E$7:$E$16,"P0")</x:f>
        <x:v>4</x:v>
      </x:c>
    </x:row>
    <x:row r="13" ht="22" customHeight="1">
      <x:c r="A13" s="2" t="str">
        <x:v>Mondes</x:v>
      </x:c>
      <x:c r="B13" s="40" t="n">
        <x:f>COUNTA('Mondes'!$A$7:$A$9)</x:f>
        <x:v>3</x:v>
      </x:c>
      <x:c r="C13" s="40" t="n">
        <x:f>COUNTIFS('Mondes'!$C$7:$C$9,"Défini")</x:f>
        <x:v>3</x:v>
      </x:c>
      <x:c r="D13" s="40" t="n">
        <x:f>COUNTIFS('Mondes'!$C$7:$C$9,"Prototype")</x:f>
        <x:v>0</x:v>
      </x:c>
      <x:c r="E13" s="40" t="n">
        <x:f>COUNTIFS('Mondes'!$C$7:$C$9,"Intégré")</x:f>
        <x:v>0</x:v>
      </x:c>
      <x:c r="F13" s="40" t="n">
        <x:f>COUNTIFS('Mondes'!$C$7:$C$9,"Validé")</x:f>
        <x:v>0</x:v>
      </x:c>
      <x:c r="G13" s="40" t="n">
        <x:f>COUNTIFS('Mondes'!$D$7:$D$9,"Établi")</x:f>
        <x:v>3</x:v>
      </x:c>
      <x:c r="H13" s="40" t="n">
        <x:f>COUNTIFS('Mondes'!$D$7:$D$9,"À vérifier")</x:f>
        <x:v>0</x:v>
      </x:c>
      <x:c r="I13" s="40" t="n">
        <x:f>COUNTIFS('Mondes'!$D$7:$D$9,"Extrapolation")</x:f>
        <x:v>0</x:v>
      </x:c>
      <x:c r="J13" s="40" t="n">
        <x:f>COUNTIFS('Mondes'!$D$7:$D$9,"Coupé attesté")</x:f>
        <x:v>0</x:v>
      </x:c>
      <x:c r="K13" s="40" t="n">
        <x:f>COUNTIFS('Mondes'!$D$7:$D$9,"Concept abandonné")</x:f>
        <x:v>0</x:v>
      </x:c>
      <x:c r="L13" s="40" t="n">
        <x:f>COUNTIFS('Mondes'!$D$7:$D$9,"Allégation écartée")</x:f>
        <x:v>0</x:v>
      </x:c>
      <x:c r="M13" s="40" t="n">
        <x:f>COUNTIFS('Mondes'!$E$7:$E$9,"P0")</x:f>
        <x:v>0</x:v>
      </x:c>
    </x:row>
    <x:row r="14" ht="22" customHeight="1">
      <x:c r="A14" s="35" t="str">
        <x:v>Zones</x:v>
      </x:c>
      <x:c r="B14" s="39" t="n">
        <x:f>COUNTA('Zones'!$A$7:$A$9)</x:f>
        <x:v>3</x:v>
      </x:c>
      <x:c r="C14" s="39" t="n">
        <x:f>COUNTIFS('Zones'!$C$7:$C$9,"Défini")</x:f>
        <x:v>3</x:v>
      </x:c>
      <x:c r="D14" s="39" t="n">
        <x:f>COUNTIFS('Zones'!$C$7:$C$9,"Prototype")</x:f>
        <x:v>0</x:v>
      </x:c>
      <x:c r="E14" s="39" t="n">
        <x:f>COUNTIFS('Zones'!$C$7:$C$9,"Intégré")</x:f>
        <x:v>0</x:v>
      </x:c>
      <x:c r="F14" s="39" t="n">
        <x:f>COUNTIFS('Zones'!$C$7:$C$9,"Validé")</x:f>
        <x:v>0</x:v>
      </x:c>
      <x:c r="G14" s="39" t="n">
        <x:f>COUNTIFS('Zones'!$D$7:$D$9,"Établi")</x:f>
        <x:v>0</x:v>
      </x:c>
      <x:c r="H14" s="39" t="n">
        <x:f>COUNTIFS('Zones'!$D$7:$D$9,"À vérifier")</x:f>
        <x:v>0</x:v>
      </x:c>
      <x:c r="I14" s="39" t="n">
        <x:f>COUNTIFS('Zones'!$D$7:$D$9,"Extrapolation")</x:f>
        <x:v>3</x:v>
      </x:c>
      <x:c r="J14" s="39" t="n">
        <x:f>COUNTIFS('Zones'!$D$7:$D$9,"Coupé attesté")</x:f>
        <x:v>0</x:v>
      </x:c>
      <x:c r="K14" s="39" t="n">
        <x:f>COUNTIFS('Zones'!$D$7:$D$9,"Concept abandonné")</x:f>
        <x:v>0</x:v>
      </x:c>
      <x:c r="L14" s="39" t="n">
        <x:f>COUNTIFS('Zones'!$D$7:$D$9,"Allégation écartée")</x:f>
        <x:v>0</x:v>
      </x:c>
      <x:c r="M14" s="39" t="n">
        <x:f>COUNTIFS('Zones'!$E$7:$E$9,"P0")</x:f>
        <x:v>0</x:v>
      </x:c>
    </x:row>
    <x:row r="15" ht="22" customHeight="1">
      <x:c r="A15" s="2" t="str">
        <x:v>Liaisons</x:v>
      </x:c>
      <x:c r="B15" s="40" t="n">
        <x:f>COUNTA('Liaisons'!$A$7:$A$9)</x:f>
        <x:v>3</x:v>
      </x:c>
      <x:c r="C15" s="40" t="n">
        <x:f>COUNTIFS('Liaisons'!$C$7:$C$9,"Défini")</x:f>
        <x:v>3</x:v>
      </x:c>
      <x:c r="D15" s="40" t="n">
        <x:f>COUNTIFS('Liaisons'!$C$7:$C$9,"Prototype")</x:f>
        <x:v>0</x:v>
      </x:c>
      <x:c r="E15" s="40" t="n">
        <x:f>COUNTIFS('Liaisons'!$C$7:$C$9,"Intégré")</x:f>
        <x:v>0</x:v>
      </x:c>
      <x:c r="F15" s="40" t="n">
        <x:f>COUNTIFS('Liaisons'!$C$7:$C$9,"Validé")</x:f>
        <x:v>0</x:v>
      </x:c>
      <x:c r="G15" s="40" t="n">
        <x:f>COUNTIFS('Liaisons'!$D$7:$D$9,"Établi")</x:f>
        <x:v>0</x:v>
      </x:c>
      <x:c r="H15" s="40" t="n">
        <x:f>COUNTIFS('Liaisons'!$D$7:$D$9,"À vérifier")</x:f>
        <x:v>0</x:v>
      </x:c>
      <x:c r="I15" s="40" t="n">
        <x:f>COUNTIFS('Liaisons'!$D$7:$D$9,"Extrapolation")</x:f>
        <x:v>3</x:v>
      </x:c>
      <x:c r="J15" s="40" t="n">
        <x:f>COUNTIFS('Liaisons'!$D$7:$D$9,"Coupé attesté")</x:f>
        <x:v>0</x:v>
      </x:c>
      <x:c r="K15" s="40" t="n">
        <x:f>COUNTIFS('Liaisons'!$D$7:$D$9,"Concept abandonné")</x:f>
        <x:v>0</x:v>
      </x:c>
      <x:c r="L15" s="40" t="n">
        <x:f>COUNTIFS('Liaisons'!$D$7:$D$9,"Allégation écartée")</x:f>
        <x:v>0</x:v>
      </x:c>
      <x:c r="M15" s="40" t="n">
        <x:f>COUNTIFS('Liaisons'!$E$7:$E$9,"P0")</x:f>
        <x:v>0</x:v>
      </x:c>
    </x:row>
    <x:row r="16" ht="22" customHeight="1">
      <x:c r="A16" s="35" t="str">
        <x:v>Décors</x:v>
      </x:c>
      <x:c r="B16" s="39" t="n">
        <x:f>COUNTA('Decors'!$A$7:$A$9)</x:f>
        <x:v>3</x:v>
      </x:c>
      <x:c r="C16" s="39" t="n">
        <x:f>COUNTIFS('Decors'!$C$7:$C$9,"Défini")</x:f>
        <x:v>3</x:v>
      </x:c>
      <x:c r="D16" s="39" t="n">
        <x:f>COUNTIFS('Decors'!$C$7:$C$9,"Prototype")</x:f>
        <x:v>0</x:v>
      </x:c>
      <x:c r="E16" s="39" t="n">
        <x:f>COUNTIFS('Decors'!$C$7:$C$9,"Intégré")</x:f>
        <x:v>0</x:v>
      </x:c>
      <x:c r="F16" s="39" t="n">
        <x:f>COUNTIFS('Decors'!$C$7:$C$9,"Validé")</x:f>
        <x:v>0</x:v>
      </x:c>
      <x:c r="G16" s="39" t="n">
        <x:f>COUNTIFS('Decors'!$D$7:$D$9,"Établi")</x:f>
        <x:v>0</x:v>
      </x:c>
      <x:c r="H16" s="39" t="n">
        <x:f>COUNTIFS('Decors'!$D$7:$D$9,"À vérifier")</x:f>
        <x:v>0</x:v>
      </x:c>
      <x:c r="I16" s="39" t="n">
        <x:f>COUNTIFS('Decors'!$D$7:$D$9,"Extrapolation")</x:f>
        <x:v>3</x:v>
      </x:c>
      <x:c r="J16" s="39" t="n">
        <x:f>COUNTIFS('Decors'!$D$7:$D$9,"Coupé attesté")</x:f>
        <x:v>0</x:v>
      </x:c>
      <x:c r="K16" s="39" t="n">
        <x:f>COUNTIFS('Decors'!$D$7:$D$9,"Concept abandonné")</x:f>
        <x:v>0</x:v>
      </x:c>
      <x:c r="L16" s="39" t="n">
        <x:f>COUNTIFS('Decors'!$D$7:$D$9,"Allégation écartée")</x:f>
        <x:v>0</x:v>
      </x:c>
      <x:c r="M16" s="39" t="n">
        <x:f>COUNTIFS('Decors'!$E$7:$E$9,"P0")</x:f>
        <x:v>0</x:v>
      </x:c>
    </x:row>
    <x:row r="17" ht="22" customHeight="1">
      <x:c r="A17" s="2" t="str">
        <x:v>Props</x:v>
      </x:c>
      <x:c r="B17" s="40" t="n">
        <x:f>COUNTA('Props'!$A$7:$A$12)</x:f>
        <x:v>6</x:v>
      </x:c>
      <x:c r="C17" s="40" t="n">
        <x:f>COUNTIFS('Props'!$C$7:$C$12,"Défini")</x:f>
        <x:v>6</x:v>
      </x:c>
      <x:c r="D17" s="40" t="n">
        <x:f>COUNTIFS('Props'!$C$7:$C$12,"Prototype")</x:f>
        <x:v>0</x:v>
      </x:c>
      <x:c r="E17" s="40" t="n">
        <x:f>COUNTIFS('Props'!$C$7:$C$12,"Intégré")</x:f>
        <x:v>0</x:v>
      </x:c>
      <x:c r="F17" s="40" t="n">
        <x:f>COUNTIFS('Props'!$C$7:$C$12,"Validé")</x:f>
        <x:v>0</x:v>
      </x:c>
      <x:c r="G17" s="40" t="n">
        <x:f>COUNTIFS('Props'!$D$7:$D$12,"Établi")</x:f>
        <x:v>0</x:v>
      </x:c>
      <x:c r="H17" s="40" t="n">
        <x:f>COUNTIFS('Props'!$D$7:$D$12,"À vérifier")</x:f>
        <x:v>0</x:v>
      </x:c>
      <x:c r="I17" s="40" t="n">
        <x:f>COUNTIFS('Props'!$D$7:$D$12,"Extrapolation")</x:f>
        <x:v>6</x:v>
      </x:c>
      <x:c r="J17" s="40" t="n">
        <x:f>COUNTIFS('Props'!$D$7:$D$12,"Coupé attesté")</x:f>
        <x:v>0</x:v>
      </x:c>
      <x:c r="K17" s="40" t="n">
        <x:f>COUNTIFS('Props'!$D$7:$D$12,"Concept abandonné")</x:f>
        <x:v>0</x:v>
      </x:c>
      <x:c r="L17" s="40" t="n">
        <x:f>COUNTIFS('Props'!$D$7:$D$12,"Allégation écartée")</x:f>
        <x:v>0</x:v>
      </x:c>
      <x:c r="M17" s="40" t="n">
        <x:f>COUNTIFS('Props'!$E$7:$E$12,"P0")</x:f>
        <x:v>0</x:v>
      </x:c>
    </x:row>
    <x:row r="18" ht="22" customHeight="1">
      <x:c r="A18" s="35" t="str">
        <x:v>Ennemis et boss</x:v>
      </x:c>
      <x:c r="B18" s="39" t="n">
        <x:f>COUNTA('Ennemis_boss'!$A$7:$A$9)</x:f>
        <x:v>3</x:v>
      </x:c>
      <x:c r="C18" s="39" t="n">
        <x:f>COUNTIFS('Ennemis_boss'!$C$7:$C$9,"Défini")</x:f>
        <x:v>3</x:v>
      </x:c>
      <x:c r="D18" s="39" t="n">
        <x:f>COUNTIFS('Ennemis_boss'!$C$7:$C$9,"Prototype")</x:f>
        <x:v>0</x:v>
      </x:c>
      <x:c r="E18" s="39" t="n">
        <x:f>COUNTIFS('Ennemis_boss'!$C$7:$C$9,"Intégré")</x:f>
        <x:v>0</x:v>
      </x:c>
      <x:c r="F18" s="39" t="n">
        <x:f>COUNTIFS('Ennemis_boss'!$C$7:$C$9,"Validé")</x:f>
        <x:v>0</x:v>
      </x:c>
      <x:c r="G18" s="39" t="n">
        <x:f>COUNTIFS('Ennemis_boss'!$D$7:$D$9,"Établi")</x:f>
        <x:v>0</x:v>
      </x:c>
      <x:c r="H18" s="39" t="n">
        <x:f>COUNTIFS('Ennemis_boss'!$D$7:$D$9,"À vérifier")</x:f>
        <x:v>3</x:v>
      </x:c>
      <x:c r="I18" s="39" t="n">
        <x:f>COUNTIFS('Ennemis_boss'!$D$7:$D$9,"Extrapolation")</x:f>
        <x:v>0</x:v>
      </x:c>
      <x:c r="J18" s="39" t="n">
        <x:f>COUNTIFS('Ennemis_boss'!$D$7:$D$9,"Coupé attesté")</x:f>
        <x:v>0</x:v>
      </x:c>
      <x:c r="K18" s="39" t="n">
        <x:f>COUNTIFS('Ennemis_boss'!$D$7:$D$9,"Concept abandonné")</x:f>
        <x:v>0</x:v>
      </x:c>
      <x:c r="L18" s="39" t="n">
        <x:f>COUNTIFS('Ennemis_boss'!$D$7:$D$9,"Allégation écartée")</x:f>
        <x:v>0</x:v>
      </x:c>
      <x:c r="M18" s="39" t="n">
        <x:f>COUNTIFS('Ennemis_boss'!$E$7:$E$9,"P0")</x:f>
        <x:v>0</x:v>
      </x:c>
    </x:row>
    <x:row r="19" ht="22" customHeight="1">
      <x:c r="A19" s="2" t="str">
        <x:v>Missions</x:v>
      </x:c>
      <x:c r="B19" s="40" t="n">
        <x:f>COUNTA('Missions'!$A$7:$A$12)</x:f>
        <x:v>6</x:v>
      </x:c>
      <x:c r="C19" s="40" t="n">
        <x:f>COUNTIFS('Missions'!$C$7:$C$12,"Défini")</x:f>
        <x:v>6</x:v>
      </x:c>
      <x:c r="D19" s="40" t="n">
        <x:f>COUNTIFS('Missions'!$C$7:$C$12,"Prototype")</x:f>
        <x:v>0</x:v>
      </x:c>
      <x:c r="E19" s="40" t="n">
        <x:f>COUNTIFS('Missions'!$C$7:$C$12,"Intégré")</x:f>
        <x:v>0</x:v>
      </x:c>
      <x:c r="F19" s="40" t="n">
        <x:f>COUNTIFS('Missions'!$C$7:$C$12,"Validé")</x:f>
        <x:v>0</x:v>
      </x:c>
      <x:c r="G19" s="40" t="n">
        <x:f>COUNTIFS('Missions'!$D$7:$D$12,"Établi")</x:f>
        <x:v>0</x:v>
      </x:c>
      <x:c r="H19" s="40" t="n">
        <x:f>COUNTIFS('Missions'!$D$7:$D$12,"À vérifier")</x:f>
        <x:v>0</x:v>
      </x:c>
      <x:c r="I19" s="40" t="n">
        <x:f>COUNTIFS('Missions'!$D$7:$D$12,"Extrapolation")</x:f>
        <x:v>6</x:v>
      </x:c>
      <x:c r="J19" s="40" t="n">
        <x:f>COUNTIFS('Missions'!$D$7:$D$12,"Coupé attesté")</x:f>
        <x:v>0</x:v>
      </x:c>
      <x:c r="K19" s="40" t="n">
        <x:f>COUNTIFS('Missions'!$D$7:$D$12,"Concept abandonné")</x:f>
        <x:v>0</x:v>
      </x:c>
      <x:c r="L19" s="40" t="n">
        <x:f>COUNTIFS('Missions'!$D$7:$D$12,"Allégation écartée")</x:f>
        <x:v>0</x:v>
      </x:c>
      <x:c r="M19" s="40" t="n">
        <x:f>COUNTIFS('Missions'!$E$7:$E$12,"P0")</x:f>
        <x:v>6</x:v>
      </x:c>
    </x:row>
    <x:row r="20" ht="22" customHeight="1">
      <x:c r="A20" s="35" t="str">
        <x:v>Secondaires et DLC</x:v>
      </x:c>
      <x:c r="B20" s="39" t="n">
        <x:f>COUNTA('Secondaires_DLC'!$A$7:$A$12)</x:f>
        <x:v>6</x:v>
      </x:c>
      <x:c r="C20" s="39" t="n">
        <x:f>COUNTIFS('Secondaires_DLC'!$C$7:$C$12,"Défini")</x:f>
        <x:v>6</x:v>
      </x:c>
      <x:c r="D20" s="39" t="n">
        <x:f>COUNTIFS('Secondaires_DLC'!$C$7:$C$12,"Prototype")</x:f>
        <x:v>0</x:v>
      </x:c>
      <x:c r="E20" s="39" t="n">
        <x:f>COUNTIFS('Secondaires_DLC'!$C$7:$C$12,"Intégré")</x:f>
        <x:v>0</x:v>
      </x:c>
      <x:c r="F20" s="39" t="n">
        <x:f>COUNTIFS('Secondaires_DLC'!$C$7:$C$12,"Validé")</x:f>
        <x:v>0</x:v>
      </x:c>
      <x:c r="G20" s="39" t="n">
        <x:f>COUNTIFS('Secondaires_DLC'!$D$7:$D$12,"Établi")</x:f>
        <x:v>0</x:v>
      </x:c>
      <x:c r="H20" s="39" t="n">
        <x:f>COUNTIFS('Secondaires_DLC'!$D$7:$D$12,"À vérifier")</x:f>
        <x:v>0</x:v>
      </x:c>
      <x:c r="I20" s="39" t="n">
        <x:f>COUNTIFS('Secondaires_DLC'!$D$7:$D$12,"Extrapolation")</x:f>
        <x:v>6</x:v>
      </x:c>
      <x:c r="J20" s="39" t="n">
        <x:f>COUNTIFS('Secondaires_DLC'!$D$7:$D$12,"Coupé attesté")</x:f>
        <x:v>0</x:v>
      </x:c>
      <x:c r="K20" s="39" t="n">
        <x:f>COUNTIFS('Secondaires_DLC'!$D$7:$D$12,"Concept abandonné")</x:f>
        <x:v>0</x:v>
      </x:c>
      <x:c r="L20" s="39" t="n">
        <x:f>COUNTIFS('Secondaires_DLC'!$D$7:$D$12,"Allégation écartée")</x:f>
        <x:v>0</x:v>
      </x:c>
      <x:c r="M20" s="39" t="n">
        <x:f>COUNTIFS('Secondaires_DLC'!$E$7:$E$12,"P0")</x:f>
        <x:v>0</x:v>
      </x:c>
    </x:row>
    <x:row r="21" ht="22" customHeight="1">
      <x:c r="A21" s="2" t="str">
        <x:v>Choix et relations</x:v>
      </x:c>
      <x:c r="B21" s="40" t="n">
        <x:f>COUNTA('Choix_relations'!$A$7:$A$12)</x:f>
        <x:v>6</x:v>
      </x:c>
      <x:c r="C21" s="40" t="n">
        <x:f>COUNTIFS('Choix_relations'!$C$7:$C$12,"Défini")</x:f>
        <x:v>6</x:v>
      </x:c>
      <x:c r="D21" s="40" t="n">
        <x:f>COUNTIFS('Choix_relations'!$C$7:$C$12,"Prototype")</x:f>
        <x:v>0</x:v>
      </x:c>
      <x:c r="E21" s="40" t="n">
        <x:f>COUNTIFS('Choix_relations'!$C$7:$C$12,"Intégré")</x:f>
        <x:v>0</x:v>
      </x:c>
      <x:c r="F21" s="40" t="n">
        <x:f>COUNTIFS('Choix_relations'!$C$7:$C$12,"Validé")</x:f>
        <x:v>0</x:v>
      </x:c>
      <x:c r="G21" s="40" t="n">
        <x:f>COUNTIFS('Choix_relations'!$D$7:$D$12,"Établi")</x:f>
        <x:v>0</x:v>
      </x:c>
      <x:c r="H21" s="40" t="n">
        <x:f>COUNTIFS('Choix_relations'!$D$7:$D$12,"À vérifier")</x:f>
        <x:v>0</x:v>
      </x:c>
      <x:c r="I21" s="40" t="n">
        <x:f>COUNTIFS('Choix_relations'!$D$7:$D$12,"Extrapolation")</x:f>
        <x:v>6</x:v>
      </x:c>
      <x:c r="J21" s="40" t="n">
        <x:f>COUNTIFS('Choix_relations'!$D$7:$D$12,"Coupé attesté")</x:f>
        <x:v>0</x:v>
      </x:c>
      <x:c r="K21" s="40" t="n">
        <x:f>COUNTIFS('Choix_relations'!$D$7:$D$12,"Concept abandonné")</x:f>
        <x:v>0</x:v>
      </x:c>
      <x:c r="L21" s="40" t="n">
        <x:f>COUNTIFS('Choix_relations'!$D$7:$D$12,"Allégation écartée")</x:f>
        <x:v>0</x:v>
      </x:c>
      <x:c r="M21" s="40" t="n">
        <x:f>COUNTIFS('Choix_relations'!$E$7:$E$12,"P0")</x:f>
        <x:v>0</x:v>
      </x:c>
    </x:row>
    <x:row r="22" ht="22" customHeight="1">
      <x:c r="A22" s="35" t="str">
        <x:v>Dialogues</x:v>
      </x:c>
      <x:c r="B22" s="39" t="n">
        <x:f>COUNTA('Dialogues'!$A$7:$A$12)</x:f>
        <x:v>6</x:v>
      </x:c>
      <x:c r="C22" s="39" t="n">
        <x:f>COUNTIFS('Dialogues'!$C$7:$C$12,"Défini")</x:f>
        <x:v>6</x:v>
      </x:c>
      <x:c r="D22" s="39" t="n">
        <x:f>COUNTIFS('Dialogues'!$C$7:$C$12,"Prototype")</x:f>
        <x:v>0</x:v>
      </x:c>
      <x:c r="E22" s="39" t="n">
        <x:f>COUNTIFS('Dialogues'!$C$7:$C$12,"Intégré")</x:f>
        <x:v>0</x:v>
      </x:c>
      <x:c r="F22" s="39" t="n">
        <x:f>COUNTIFS('Dialogues'!$C$7:$C$12,"Validé")</x:f>
        <x:v>0</x:v>
      </x:c>
      <x:c r="G22" s="39" t="n">
        <x:f>COUNTIFS('Dialogues'!$D$7:$D$12,"Établi")</x:f>
        <x:v>0</x:v>
      </x:c>
      <x:c r="H22" s="39" t="n">
        <x:f>COUNTIFS('Dialogues'!$D$7:$D$12,"À vérifier")</x:f>
        <x:v>0</x:v>
      </x:c>
      <x:c r="I22" s="39" t="n">
        <x:f>COUNTIFS('Dialogues'!$D$7:$D$12,"Extrapolation")</x:f>
        <x:v>6</x:v>
      </x:c>
      <x:c r="J22" s="39" t="n">
        <x:f>COUNTIFS('Dialogues'!$D$7:$D$12,"Coupé attesté")</x:f>
        <x:v>0</x:v>
      </x:c>
      <x:c r="K22" s="39" t="n">
        <x:f>COUNTIFS('Dialogues'!$D$7:$D$12,"Concept abandonné")</x:f>
        <x:v>0</x:v>
      </x:c>
      <x:c r="L22" s="39" t="n">
        <x:f>COUNTIFS('Dialogues'!$D$7:$D$12,"Allégation écartée")</x:f>
        <x:v>0</x:v>
      </x:c>
      <x:c r="M22" s="39" t="n">
        <x:f>COUNTIFS('Dialogues'!$E$7:$E$12,"P0")</x:f>
        <x:v>0</x:v>
      </x:c>
    </x:row>
    <x:row r="23" ht="22" customHeight="1">
      <x:c r="A23" s="2" t="str">
        <x:v>Cinématiques</x:v>
      </x:c>
      <x:c r="B23" s="40" t="n">
        <x:f>COUNTA('Cinematiques'!$A$7:$A$12)</x:f>
        <x:v>6</x:v>
      </x:c>
      <x:c r="C23" s="40" t="n">
        <x:f>COUNTIFS('Cinematiques'!$C$7:$C$12,"Défini")</x:f>
        <x:v>6</x:v>
      </x:c>
      <x:c r="D23" s="40" t="n">
        <x:f>COUNTIFS('Cinematiques'!$C$7:$C$12,"Prototype")</x:f>
        <x:v>0</x:v>
      </x:c>
      <x:c r="E23" s="40" t="n">
        <x:f>COUNTIFS('Cinematiques'!$C$7:$C$12,"Intégré")</x:f>
        <x:v>0</x:v>
      </x:c>
      <x:c r="F23" s="40" t="n">
        <x:f>COUNTIFS('Cinematiques'!$C$7:$C$12,"Validé")</x:f>
        <x:v>0</x:v>
      </x:c>
      <x:c r="G23" s="40" t="n">
        <x:f>COUNTIFS('Cinematiques'!$D$7:$D$12,"Établi")</x:f>
        <x:v>0</x:v>
      </x:c>
      <x:c r="H23" s="40" t="n">
        <x:f>COUNTIFS('Cinematiques'!$D$7:$D$12,"À vérifier")</x:f>
        <x:v>0</x:v>
      </x:c>
      <x:c r="I23" s="40" t="n">
        <x:f>COUNTIFS('Cinematiques'!$D$7:$D$12,"Extrapolation")</x:f>
        <x:v>6</x:v>
      </x:c>
      <x:c r="J23" s="40" t="n">
        <x:f>COUNTIFS('Cinematiques'!$D$7:$D$12,"Coupé attesté")</x:f>
        <x:v>0</x:v>
      </x:c>
      <x:c r="K23" s="40" t="n">
        <x:f>COUNTIFS('Cinematiques'!$D$7:$D$12,"Concept abandonné")</x:f>
        <x:v>0</x:v>
      </x:c>
      <x:c r="L23" s="40" t="n">
        <x:f>COUNTIFS('Cinematiques'!$D$7:$D$12,"Allégation écartée")</x:f>
        <x:v>0</x:v>
      </x:c>
      <x:c r="M23" s="40" t="n">
        <x:f>COUNTIFS('Cinematiques'!$E$7:$E$12,"P0")</x:f>
        <x:v>0</x:v>
      </x:c>
    </x:row>
    <x:row r="24" ht="22" customHeight="1">
      <x:c r="A24" s="35" t="str">
        <x:v>Armes</x:v>
      </x:c>
      <x:c r="B24" s="39" t="n">
        <x:f>COUNTA('Armes'!$A$7:$A$7)</x:f>
        <x:v>1</x:v>
      </x:c>
      <x:c r="C24" s="39" t="n">
        <x:f>COUNTIFS('Armes'!$C$7:$C$7,"Défini")</x:f>
        <x:v>1</x:v>
      </x:c>
      <x:c r="D24" s="39" t="n">
        <x:f>COUNTIFS('Armes'!$C$7:$C$7,"Prototype")</x:f>
        <x:v>0</x:v>
      </x:c>
      <x:c r="E24" s="39" t="n">
        <x:f>COUNTIFS('Armes'!$C$7:$C$7,"Intégré")</x:f>
        <x:v>0</x:v>
      </x:c>
      <x:c r="F24" s="39" t="n">
        <x:f>COUNTIFS('Armes'!$C$7:$C$7,"Validé")</x:f>
        <x:v>0</x:v>
      </x:c>
      <x:c r="G24" s="39" t="n">
        <x:f>COUNTIFS('Armes'!$D$7:$D$7,"Établi")</x:f>
        <x:v>0</x:v>
      </x:c>
      <x:c r="H24" s="39" t="n">
        <x:f>COUNTIFS('Armes'!$D$7:$D$7,"À vérifier")</x:f>
        <x:v>0</x:v>
      </x:c>
      <x:c r="I24" s="39" t="n">
        <x:f>COUNTIFS('Armes'!$D$7:$D$7,"Extrapolation")</x:f>
        <x:v>1</x:v>
      </x:c>
      <x:c r="J24" s="39" t="n">
        <x:f>COUNTIFS('Armes'!$D$7:$D$7,"Coupé attesté")</x:f>
        <x:v>0</x:v>
      </x:c>
      <x:c r="K24" s="39" t="n">
        <x:f>COUNTIFS('Armes'!$D$7:$D$7,"Concept abandonné")</x:f>
        <x:v>0</x:v>
      </x:c>
      <x:c r="L24" s="39" t="n">
        <x:f>COUNTIFS('Armes'!$D$7:$D$7,"Allégation écartée")</x:f>
        <x:v>0</x:v>
      </x:c>
      <x:c r="M24" s="39" t="n">
        <x:f>COUNTIFS('Armes'!$E$7:$E$7,"P0")</x:f>
        <x:v>0</x:v>
      </x:c>
    </x:row>
    <x:row r="25" ht="22" customHeight="1">
      <x:c r="A25" s="2" t="str">
        <x:v>Armures et équipement</x:v>
      </x:c>
      <x:c r="B25" s="40" t="n">
        <x:f>COUNTA('Armures_equipement'!$A$7:$A$7)</x:f>
        <x:v>1</x:v>
      </x:c>
      <x:c r="C25" s="40" t="n">
        <x:f>COUNTIFS('Armures_equipement'!$C$7:$C$7,"Défini")</x:f>
        <x:v>1</x:v>
      </x:c>
      <x:c r="D25" s="40" t="n">
        <x:f>COUNTIFS('Armures_equipement'!$C$7:$C$7,"Prototype")</x:f>
        <x:v>0</x:v>
      </x:c>
      <x:c r="E25" s="40" t="n">
        <x:f>COUNTIFS('Armures_equipement'!$C$7:$C$7,"Intégré")</x:f>
        <x:v>0</x:v>
      </x:c>
      <x:c r="F25" s="40" t="n">
        <x:f>COUNTIFS('Armures_equipement'!$C$7:$C$7,"Validé")</x:f>
        <x:v>0</x:v>
      </x:c>
      <x:c r="G25" s="40" t="n">
        <x:f>COUNTIFS('Armures_equipement'!$D$7:$D$7,"Établi")</x:f>
        <x:v>0</x:v>
      </x:c>
      <x:c r="H25" s="40" t="n">
        <x:f>COUNTIFS('Armures_equipement'!$D$7:$D$7,"À vérifier")</x:f>
        <x:v>0</x:v>
      </x:c>
      <x:c r="I25" s="40" t="n">
        <x:f>COUNTIFS('Armures_equipement'!$D$7:$D$7,"Extrapolation")</x:f>
        <x:v>1</x:v>
      </x:c>
      <x:c r="J25" s="40" t="n">
        <x:f>COUNTIFS('Armures_equipement'!$D$7:$D$7,"Coupé attesté")</x:f>
        <x:v>0</x:v>
      </x:c>
      <x:c r="K25" s="40" t="n">
        <x:f>COUNTIFS('Armures_equipement'!$D$7:$D$7,"Concept abandonné")</x:f>
        <x:v>0</x:v>
      </x:c>
      <x:c r="L25" s="40" t="n">
        <x:f>COUNTIFS('Armures_equipement'!$D$7:$D$7,"Allégation écartée")</x:f>
        <x:v>0</x:v>
      </x:c>
      <x:c r="M25" s="40" t="n">
        <x:f>COUNTIFS('Armures_equipement'!$E$7:$E$7,"P0")</x:f>
        <x:v>0</x:v>
      </x:c>
    </x:row>
    <x:row r="26" ht="22" customHeight="1">
      <x:c r="A26" s="35" t="str">
        <x:v>Pouvoirs</x:v>
      </x:c>
      <x:c r="B26" s="39" t="n">
        <x:f>COUNTA('Pouvoirs'!$A$7:$A$7)</x:f>
        <x:v>1</x:v>
      </x:c>
      <x:c r="C26" s="39" t="n">
        <x:f>COUNTIFS('Pouvoirs'!$C$7:$C$7,"Défini")</x:f>
        <x:v>1</x:v>
      </x:c>
      <x:c r="D26" s="39" t="n">
        <x:f>COUNTIFS('Pouvoirs'!$C$7:$C$7,"Prototype")</x:f>
        <x:v>0</x:v>
      </x:c>
      <x:c r="E26" s="39" t="n">
        <x:f>COUNTIFS('Pouvoirs'!$C$7:$C$7,"Intégré")</x:f>
        <x:v>0</x:v>
      </x:c>
      <x:c r="F26" s="39" t="n">
        <x:f>COUNTIFS('Pouvoirs'!$C$7:$C$7,"Validé")</x:f>
        <x:v>0</x:v>
      </x:c>
      <x:c r="G26" s="39" t="n">
        <x:f>COUNTIFS('Pouvoirs'!$D$7:$D$7,"Établi")</x:f>
        <x:v>0</x:v>
      </x:c>
      <x:c r="H26" s="39" t="n">
        <x:f>COUNTIFS('Pouvoirs'!$D$7:$D$7,"À vérifier")</x:f>
        <x:v>0</x:v>
      </x:c>
      <x:c r="I26" s="39" t="n">
        <x:f>COUNTIFS('Pouvoirs'!$D$7:$D$7,"Extrapolation")</x:f>
        <x:v>1</x:v>
      </x:c>
      <x:c r="J26" s="39" t="n">
        <x:f>COUNTIFS('Pouvoirs'!$D$7:$D$7,"Coupé attesté")</x:f>
        <x:v>0</x:v>
      </x:c>
      <x:c r="K26" s="39" t="n">
        <x:f>COUNTIFS('Pouvoirs'!$D$7:$D$7,"Concept abandonné")</x:f>
        <x:v>0</x:v>
      </x:c>
      <x:c r="L26" s="39" t="n">
        <x:f>COUNTIFS('Pouvoirs'!$D$7:$D$7,"Allégation écartée")</x:f>
        <x:v>0</x:v>
      </x:c>
      <x:c r="M26" s="39" t="n">
        <x:f>COUNTIFS('Pouvoirs'!$E$7:$E$7,"P0")</x:f>
        <x:v>0</x:v>
      </x:c>
    </x:row>
    <x:row r="27" ht="22" customHeight="1">
      <x:c r="A27" s="2" t="str">
        <x:v>Movesets alliés</x:v>
      </x:c>
      <x:c r="B27" s="40" t="n">
        <x:f>COUNTA('Movesets_allies'!$A$7:$A$8)</x:f>
        <x:v>2</x:v>
      </x:c>
      <x:c r="C27" s="40" t="n">
        <x:f>COUNTIFS('Movesets_allies'!$C$7:$C$8,"Défini")</x:f>
        <x:v>2</x:v>
      </x:c>
      <x:c r="D27" s="40" t="n">
        <x:f>COUNTIFS('Movesets_allies'!$C$7:$C$8,"Prototype")</x:f>
        <x:v>0</x:v>
      </x:c>
      <x:c r="E27" s="40" t="n">
        <x:f>COUNTIFS('Movesets_allies'!$C$7:$C$8,"Intégré")</x:f>
        <x:v>0</x:v>
      </x:c>
      <x:c r="F27" s="40" t="n">
        <x:f>COUNTIFS('Movesets_allies'!$C$7:$C$8,"Validé")</x:f>
        <x:v>0</x:v>
      </x:c>
      <x:c r="G27" s="40" t="n">
        <x:f>COUNTIFS('Movesets_allies'!$D$7:$D$8,"Établi")</x:f>
        <x:v>0</x:v>
      </x:c>
      <x:c r="H27" s="40" t="n">
        <x:f>COUNTIFS('Movesets_allies'!$D$7:$D$8,"À vérifier")</x:f>
        <x:v>0</x:v>
      </x:c>
      <x:c r="I27" s="40" t="n">
        <x:f>COUNTIFS('Movesets_allies'!$D$7:$D$8,"Extrapolation")</x:f>
        <x:v>2</x:v>
      </x:c>
      <x:c r="J27" s="40" t="n">
        <x:f>COUNTIFS('Movesets_allies'!$D$7:$D$8,"Coupé attesté")</x:f>
        <x:v>0</x:v>
      </x:c>
      <x:c r="K27" s="40" t="n">
        <x:f>COUNTIFS('Movesets_allies'!$D$7:$D$8,"Concept abandonné")</x:f>
        <x:v>0</x:v>
      </x:c>
      <x:c r="L27" s="40" t="n">
        <x:f>COUNTIFS('Movesets_allies'!$D$7:$D$8,"Allégation écartée")</x:f>
        <x:v>0</x:v>
      </x:c>
      <x:c r="M27" s="40" t="n">
        <x:f>COUNTIFS('Movesets_allies'!$E$7:$E$8,"P0")</x:f>
        <x:v>0</x:v>
      </x:c>
    </x:row>
    <x:row r="28" ht="22" customHeight="1">
      <x:c r="A28" s="35" t="str">
        <x:v>Movesets ennemis</x:v>
      </x:c>
      <x:c r="B28" s="39" t="n">
        <x:f>COUNTA('Movesets_ennemis'!$A$7:$A$12)</x:f>
        <x:v>6</x:v>
      </x:c>
      <x:c r="C28" s="39" t="n">
        <x:f>COUNTIFS('Movesets_ennemis'!$C$7:$C$12,"Défini")</x:f>
        <x:v>6</x:v>
      </x:c>
      <x:c r="D28" s="39" t="n">
        <x:f>COUNTIFS('Movesets_ennemis'!$C$7:$C$12,"Prototype")</x:f>
        <x:v>0</x:v>
      </x:c>
      <x:c r="E28" s="39" t="n">
        <x:f>COUNTIFS('Movesets_ennemis'!$C$7:$C$12,"Intégré")</x:f>
        <x:v>0</x:v>
      </x:c>
      <x:c r="F28" s="39" t="n">
        <x:f>COUNTIFS('Movesets_ennemis'!$C$7:$C$12,"Validé")</x:f>
        <x:v>0</x:v>
      </x:c>
      <x:c r="G28" s="39" t="n">
        <x:f>COUNTIFS('Movesets_ennemis'!$D$7:$D$12,"Établi")</x:f>
        <x:v>0</x:v>
      </x:c>
      <x:c r="H28" s="39" t="n">
        <x:f>COUNTIFS('Movesets_ennemis'!$D$7:$D$12,"À vérifier")</x:f>
        <x:v>0</x:v>
      </x:c>
      <x:c r="I28" s="39" t="n">
        <x:f>COUNTIFS('Movesets_ennemis'!$D$7:$D$12,"Extrapolation")</x:f>
        <x:v>6</x:v>
      </x:c>
      <x:c r="J28" s="39" t="n">
        <x:f>COUNTIFS('Movesets_ennemis'!$D$7:$D$12,"Coupé attesté")</x:f>
        <x:v>0</x:v>
      </x:c>
      <x:c r="K28" s="39" t="n">
        <x:f>COUNTIFS('Movesets_ennemis'!$D$7:$D$12,"Concept abandonné")</x:f>
        <x:v>0</x:v>
      </x:c>
      <x:c r="L28" s="39" t="n">
        <x:f>COUNTIFS('Movesets_ennemis'!$D$7:$D$12,"Allégation écartée")</x:f>
        <x:v>0</x:v>
      </x:c>
      <x:c r="M28" s="39" t="n">
        <x:f>COUNTIFS('Movesets_ennemis'!$E$7:$E$12,"P0")</x:f>
        <x:v>0</x:v>
      </x:c>
    </x:row>
    <x:row r="29" ht="22" customHeight="1">
      <x:c r="A29" s="2" t="str">
        <x:v>Animations</x:v>
      </x:c>
      <x:c r="B29" s="40" t="n">
        <x:f>COUNTA('Animations'!$A$7:$A$13)</x:f>
        <x:v>7</x:v>
      </x:c>
      <x:c r="C29" s="40" t="n">
        <x:f>COUNTIFS('Animations'!$C$7:$C$13,"Défini")</x:f>
        <x:v>7</x:v>
      </x:c>
      <x:c r="D29" s="40" t="n">
        <x:f>COUNTIFS('Animations'!$C$7:$C$13,"Prototype")</x:f>
        <x:v>0</x:v>
      </x:c>
      <x:c r="E29" s="40" t="n">
        <x:f>COUNTIFS('Animations'!$C$7:$C$13,"Intégré")</x:f>
        <x:v>0</x:v>
      </x:c>
      <x:c r="F29" s="40" t="n">
        <x:f>COUNTIFS('Animations'!$C$7:$C$13,"Validé")</x:f>
        <x:v>0</x:v>
      </x:c>
      <x:c r="G29" s="40" t="n">
        <x:f>COUNTIFS('Animations'!$D$7:$D$13,"Établi")</x:f>
        <x:v>0</x:v>
      </x:c>
      <x:c r="H29" s="40" t="n">
        <x:f>COUNTIFS('Animations'!$D$7:$D$13,"À vérifier")</x:f>
        <x:v>0</x:v>
      </x:c>
      <x:c r="I29" s="40" t="n">
        <x:f>COUNTIFS('Animations'!$D$7:$D$13,"Extrapolation")</x:f>
        <x:v>7</x:v>
      </x:c>
      <x:c r="J29" s="40" t="n">
        <x:f>COUNTIFS('Animations'!$D$7:$D$13,"Coupé attesté")</x:f>
        <x:v>0</x:v>
      </x:c>
      <x:c r="K29" s="40" t="n">
        <x:f>COUNTIFS('Animations'!$D$7:$D$13,"Concept abandonné")</x:f>
        <x:v>0</x:v>
      </x:c>
      <x:c r="L29" s="40" t="n">
        <x:f>COUNTIFS('Animations'!$D$7:$D$13,"Allégation écartée")</x:f>
        <x:v>0</x:v>
      </x:c>
      <x:c r="M29" s="40" t="n">
        <x:f>COUNTIFS('Animations'!$E$7:$E$13,"P0")</x:f>
        <x:v>0</x:v>
      </x:c>
    </x:row>
    <x:row r="30" ht="22" customHeight="1">
      <x:c r="A30" s="35" t="str">
        <x:v>Sprites</x:v>
      </x:c>
      <x:c r="B30" s="39" t="n">
        <x:f>COUNTA('Sprites'!$A$7:$A$13)</x:f>
        <x:v>7</x:v>
      </x:c>
      <x:c r="C30" s="39" t="n">
        <x:f>COUNTIFS('Sprites'!$C$7:$C$13,"Défini")</x:f>
        <x:v>7</x:v>
      </x:c>
      <x:c r="D30" s="39" t="n">
        <x:f>COUNTIFS('Sprites'!$C$7:$C$13,"Prototype")</x:f>
        <x:v>0</x:v>
      </x:c>
      <x:c r="E30" s="39" t="n">
        <x:f>COUNTIFS('Sprites'!$C$7:$C$13,"Intégré")</x:f>
        <x:v>0</x:v>
      </x:c>
      <x:c r="F30" s="39" t="n">
        <x:f>COUNTIFS('Sprites'!$C$7:$C$13,"Validé")</x:f>
        <x:v>0</x:v>
      </x:c>
      <x:c r="G30" s="39" t="n">
        <x:f>COUNTIFS('Sprites'!$D$7:$D$13,"Établi")</x:f>
        <x:v>0</x:v>
      </x:c>
      <x:c r="H30" s="39" t="n">
        <x:f>COUNTIFS('Sprites'!$D$7:$D$13,"À vérifier")</x:f>
        <x:v>0</x:v>
      </x:c>
      <x:c r="I30" s="39" t="n">
        <x:f>COUNTIFS('Sprites'!$D$7:$D$13,"Extrapolation")</x:f>
        <x:v>7</x:v>
      </x:c>
      <x:c r="J30" s="39" t="n">
        <x:f>COUNTIFS('Sprites'!$D$7:$D$13,"Coupé attesté")</x:f>
        <x:v>0</x:v>
      </x:c>
      <x:c r="K30" s="39" t="n">
        <x:f>COUNTIFS('Sprites'!$D$7:$D$13,"Concept abandonné")</x:f>
        <x:v>0</x:v>
      </x:c>
      <x:c r="L30" s="39" t="n">
        <x:f>COUNTIFS('Sprites'!$D$7:$D$13,"Allégation écartée")</x:f>
        <x:v>0</x:v>
      </x:c>
      <x:c r="M30" s="39" t="n">
        <x:f>COUNTIFS('Sprites'!$E$7:$E$13,"P0")</x:f>
        <x:v>0</x:v>
      </x:c>
    </x:row>
    <x:row r="31" ht="22" customHeight="1">
      <x:c r="A31" s="2" t="str">
        <x:v>VFX</x:v>
      </x:c>
      <x:c r="B31" s="40" t="n">
        <x:f>COUNTA('VFX'!$A$7:$A$12)</x:f>
        <x:v>6</x:v>
      </x:c>
      <x:c r="C31" s="40" t="n">
        <x:f>COUNTIFS('VFX'!$C$7:$C$12,"Défini")</x:f>
        <x:v>6</x:v>
      </x:c>
      <x:c r="D31" s="40" t="n">
        <x:f>COUNTIFS('VFX'!$C$7:$C$12,"Prototype")</x:f>
        <x:v>0</x:v>
      </x:c>
      <x:c r="E31" s="40" t="n">
        <x:f>COUNTIFS('VFX'!$C$7:$C$12,"Intégré")</x:f>
        <x:v>0</x:v>
      </x:c>
      <x:c r="F31" s="40" t="n">
        <x:f>COUNTIFS('VFX'!$C$7:$C$12,"Validé")</x:f>
        <x:v>0</x:v>
      </x:c>
      <x:c r="G31" s="40" t="n">
        <x:f>COUNTIFS('VFX'!$D$7:$D$12,"Établi")</x:f>
        <x:v>0</x:v>
      </x:c>
      <x:c r="H31" s="40" t="n">
        <x:f>COUNTIFS('VFX'!$D$7:$D$12,"À vérifier")</x:f>
        <x:v>0</x:v>
      </x:c>
      <x:c r="I31" s="40" t="n">
        <x:f>COUNTIFS('VFX'!$D$7:$D$12,"Extrapolation")</x:f>
        <x:v>6</x:v>
      </x:c>
      <x:c r="J31" s="40" t="n">
        <x:f>COUNTIFS('VFX'!$D$7:$D$12,"Coupé attesté")</x:f>
        <x:v>0</x:v>
      </x:c>
      <x:c r="K31" s="40" t="n">
        <x:f>COUNTIFS('VFX'!$D$7:$D$12,"Concept abandonné")</x:f>
        <x:v>0</x:v>
      </x:c>
      <x:c r="L31" s="40" t="n">
        <x:f>COUNTIFS('VFX'!$D$7:$D$12,"Allégation écartée")</x:f>
        <x:v>0</x:v>
      </x:c>
      <x:c r="M31" s="40" t="n">
        <x:f>COUNTIFS('VFX'!$E$7:$E$12,"P0")</x:f>
        <x:v>0</x:v>
      </x:c>
    </x:row>
    <x:row r="32" ht="22" customHeight="1">
      <x:c r="A32" s="35" t="str">
        <x:v>Audio</x:v>
      </x:c>
      <x:c r="B32" s="39" t="n">
        <x:f>COUNTA('Audio'!$A$7:$A$9)</x:f>
        <x:v>3</x:v>
      </x:c>
      <x:c r="C32" s="39" t="n">
        <x:f>COUNTIFS('Audio'!$C$7:$C$9,"Défini")</x:f>
        <x:v>3</x:v>
      </x:c>
      <x:c r="D32" s="39" t="n">
        <x:f>COUNTIFS('Audio'!$C$7:$C$9,"Prototype")</x:f>
        <x:v>0</x:v>
      </x:c>
      <x:c r="E32" s="39" t="n">
        <x:f>COUNTIFS('Audio'!$C$7:$C$9,"Intégré")</x:f>
        <x:v>0</x:v>
      </x:c>
      <x:c r="F32" s="39" t="n">
        <x:f>COUNTIFS('Audio'!$C$7:$C$9,"Validé")</x:f>
        <x:v>0</x:v>
      </x:c>
      <x:c r="G32" s="39" t="n">
        <x:f>COUNTIFS('Audio'!$D$7:$D$9,"Établi")</x:f>
        <x:v>0</x:v>
      </x:c>
      <x:c r="H32" s="39" t="n">
        <x:f>COUNTIFS('Audio'!$D$7:$D$9,"À vérifier")</x:f>
        <x:v>0</x:v>
      </x:c>
      <x:c r="I32" s="39" t="n">
        <x:f>COUNTIFS('Audio'!$D$7:$D$9,"Extrapolation")</x:f>
        <x:v>3</x:v>
      </x:c>
      <x:c r="J32" s="39" t="n">
        <x:f>COUNTIFS('Audio'!$D$7:$D$9,"Coupé attesté")</x:f>
        <x:v>0</x:v>
      </x:c>
      <x:c r="K32" s="39" t="n">
        <x:f>COUNTIFS('Audio'!$D$7:$D$9,"Concept abandonné")</x:f>
        <x:v>0</x:v>
      </x:c>
      <x:c r="L32" s="39" t="n">
        <x:f>COUNTIFS('Audio'!$D$7:$D$9,"Allégation écartée")</x:f>
        <x:v>0</x:v>
      </x:c>
      <x:c r="M32" s="39" t="n">
        <x:f>COUNTIFS('Audio'!$E$7:$E$9,"P0")</x:f>
        <x:v>0</x:v>
      </x:c>
    </x:row>
    <x:row r="33" ht="22" customHeight="1">
      <x:c r="A33" s="2" t="str">
        <x:v>Systèmes et UI</x:v>
      </x:c>
      <x:c r="B33" s="40" t="n">
        <x:f>COUNTA('UI_systemes'!$A$7:$A$10)</x:f>
        <x:v>4</x:v>
      </x:c>
      <x:c r="C33" s="40" t="n">
        <x:f>COUNTIFS('UI_systemes'!$C$7:$C$10,"Défini")</x:f>
        <x:v>4</x:v>
      </x:c>
      <x:c r="D33" s="40" t="n">
        <x:f>COUNTIFS('UI_systemes'!$C$7:$C$10,"Prototype")</x:f>
        <x:v>0</x:v>
      </x:c>
      <x:c r="E33" s="40" t="n">
        <x:f>COUNTIFS('UI_systemes'!$C$7:$C$10,"Intégré")</x:f>
        <x:v>0</x:v>
      </x:c>
      <x:c r="F33" s="40" t="n">
        <x:f>COUNTIFS('UI_systemes'!$C$7:$C$10,"Validé")</x:f>
        <x:v>0</x:v>
      </x:c>
      <x:c r="G33" s="40" t="n">
        <x:f>COUNTIFS('UI_systemes'!$D$7:$D$10,"Établi")</x:f>
        <x:v>0</x:v>
      </x:c>
      <x:c r="H33" s="40" t="n">
        <x:f>COUNTIFS('UI_systemes'!$D$7:$D$10,"À vérifier")</x:f>
        <x:v>0</x:v>
      </x:c>
      <x:c r="I33" s="40" t="n">
        <x:f>COUNTIFS('UI_systemes'!$D$7:$D$10,"Extrapolation")</x:f>
        <x:v>4</x:v>
      </x:c>
      <x:c r="J33" s="40" t="n">
        <x:f>COUNTIFS('UI_systemes'!$D$7:$D$10,"Coupé attesté")</x:f>
        <x:v>0</x:v>
      </x:c>
      <x:c r="K33" s="40" t="n">
        <x:f>COUNTIFS('UI_systemes'!$D$7:$D$10,"Concept abandonné")</x:f>
        <x:v>0</x:v>
      </x:c>
      <x:c r="L33" s="40" t="n">
        <x:f>COUNTIFS('UI_systemes'!$D$7:$D$10,"Allégation écartée")</x:f>
        <x:v>0</x:v>
      </x:c>
      <x:c r="M33" s="40" t="n">
        <x:f>COUNTIFS('UI_systemes'!$E$7:$E$10,"P0")</x:f>
        <x:v>0</x:v>
      </x:c>
    </x:row>
    <x:row r="34" ht="22" customHeight="1">
      <x:c r="A34" s="35" t="str">
        <x:v>QA</x:v>
      </x:c>
      <x:c r="B34" s="39" t="n">
        <x:f>COUNTA('QA'!$A$7:$A$15)</x:f>
        <x:v>9</x:v>
      </x:c>
      <x:c r="C34" s="39" t="n">
        <x:f>COUNTIFS('QA'!$C$7:$C$15,"Défini")</x:f>
        <x:v>9</x:v>
      </x:c>
      <x:c r="D34" s="39" t="n">
        <x:f>COUNTIFS('QA'!$C$7:$C$15,"Prototype")</x:f>
        <x:v>0</x:v>
      </x:c>
      <x:c r="E34" s="39" t="n">
        <x:f>COUNTIFS('QA'!$C$7:$C$15,"Intégré")</x:f>
        <x:v>0</x:v>
      </x:c>
      <x:c r="F34" s="39" t="n">
        <x:f>COUNTIFS('QA'!$C$7:$C$15,"Validé")</x:f>
        <x:v>0</x:v>
      </x:c>
      <x:c r="G34" s="39" t="n">
        <x:f>COUNTIFS('QA'!$D$7:$D$15,"Établi")</x:f>
        <x:v>0</x:v>
      </x:c>
      <x:c r="H34" s="39" t="n">
        <x:f>COUNTIFS('QA'!$D$7:$D$15,"À vérifier")</x:f>
        <x:v>0</x:v>
      </x:c>
      <x:c r="I34" s="39" t="n">
        <x:f>COUNTIFS('QA'!$D$7:$D$15,"Extrapolation")</x:f>
        <x:v>9</x:v>
      </x:c>
      <x:c r="J34" s="39" t="n">
        <x:f>COUNTIFS('QA'!$D$7:$D$15,"Coupé attesté")</x:f>
        <x:v>0</x:v>
      </x:c>
      <x:c r="K34" s="39" t="n">
        <x:f>COUNTIFS('QA'!$D$7:$D$15,"Concept abandonné")</x:f>
        <x:v>0</x:v>
      </x:c>
      <x:c r="L34" s="39" t="n">
        <x:f>COUNTIFS('QA'!$D$7:$D$15,"Allégation écartée")</x:f>
        <x:v>0</x:v>
      </x:c>
      <x:c r="M34" s="39" t="n">
        <x:f>COUNTIFS('QA'!$E$7:$E$15,"P0")</x:f>
        <x:v>9</x:v>
      </x:c>
    </x:row>
    <x:row r="35" ht="22" customHeight="1">
      <x:c r="A35" s="2" t="str">
        <x:v>Continuité</x:v>
      </x:c>
      <x:c r="B35" s="40" t="n">
        <x:f>COUNTA('Continuite'!$A$7:$A$8)</x:f>
        <x:v>2</x:v>
      </x:c>
      <x:c r="C35" s="40" t="n">
        <x:f>COUNTIFS('Continuite'!$C$7:$C$8,"Défini")</x:f>
        <x:v>2</x:v>
      </x:c>
      <x:c r="D35" s="40" t="n">
        <x:f>COUNTIFS('Continuite'!$C$7:$C$8,"Prototype")</x:f>
        <x:v>0</x:v>
      </x:c>
      <x:c r="E35" s="40" t="n">
        <x:f>COUNTIFS('Continuite'!$C$7:$C$8,"Intégré")</x:f>
        <x:v>0</x:v>
      </x:c>
      <x:c r="F35" s="40" t="n">
        <x:f>COUNTIFS('Continuite'!$C$7:$C$8,"Validé")</x:f>
        <x:v>0</x:v>
      </x:c>
      <x:c r="G35" s="40" t="n">
        <x:f>COUNTIFS('Continuite'!$D$7:$D$8,"Établi")</x:f>
        <x:v>0</x:v>
      </x:c>
      <x:c r="H35" s="40" t="n">
        <x:f>COUNTIFS('Continuite'!$D$7:$D$8,"À vérifier")</x:f>
        <x:v>0</x:v>
      </x:c>
      <x:c r="I35" s="40" t="n">
        <x:f>COUNTIFS('Continuite'!$D$7:$D$8,"Extrapolation")</x:f>
        <x:v>2</x:v>
      </x:c>
      <x:c r="J35" s="40" t="n">
        <x:f>COUNTIFS('Continuite'!$D$7:$D$8,"Coupé attesté")</x:f>
        <x:v>0</x:v>
      </x:c>
      <x:c r="K35" s="40" t="n">
        <x:f>COUNTIFS('Continuite'!$D$7:$D$8,"Concept abandonné")</x:f>
        <x:v>0</x:v>
      </x:c>
      <x:c r="L35" s="40" t="n">
        <x:f>COUNTIFS('Continuite'!$D$7:$D$8,"Allégation écartée")</x:f>
        <x:v>0</x:v>
      </x:c>
      <x:c r="M35" s="40" t="n">
        <x:f>COUNTIFS('Continuite'!$E$7:$E$8,"P0")</x:f>
        <x:v>0</x:v>
      </x:c>
    </x:row>
    <x:row r="36" ht="22" customHeight="1">
      <x:c r="A36" s="2"/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</x:row>
    <x:row r="37" ht="28" customHeight="1">
      <x:c r="A37" s="23" t="str">
        <x:v>TOTAL</x:v>
      </x:c>
      <x:c r="B37" s="41" t="n">
        <x:f>SUM(B10:B35)</x:f>
        <x:v>117</x:v>
      </x:c>
      <x:c r="C37" s="41" t="n">
        <x:f>SUM(C10:C35)</x:f>
        <x:v>117</x:v>
      </x:c>
      <x:c r="D37" s="41" t="n">
        <x:f>SUM(D10:D35)</x:f>
        <x:v>0</x:v>
      </x:c>
      <x:c r="E37" s="41" t="n">
        <x:f>SUM(E10:E35)</x:f>
        <x:v>0</x:v>
      </x:c>
      <x:c r="F37" s="41" t="n">
        <x:f>SUM(F10:F35)</x:f>
        <x:v>0</x:v>
      </x:c>
      <x:c r="G37" s="41" t="n">
        <x:f>SUM(G10:G35)</x:f>
        <x:v>15</x:v>
      </x:c>
      <x:c r="H37" s="41" t="n">
        <x:f>SUM(H10:H35)</x:f>
        <x:v>8</x:v>
      </x:c>
      <x:c r="I37" s="41" t="n">
        <x:f>SUM(I10:I35)</x:f>
        <x:v>94</x:v>
      </x:c>
      <x:c r="J37" s="41" t="n">
        <x:f>SUM(J10:J35)</x:f>
        <x:v>0</x:v>
      </x:c>
      <x:c r="K37" s="41" t="n">
        <x:f>SUM(K10:K35)</x:f>
        <x:v>0</x:v>
      </x:c>
      <x:c r="L37" s="41" t="n">
        <x:f>SUM(L10:L35)</x:f>
        <x:v>0</x:v>
      </x:c>
      <x:c r="M37" s="41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RED-ACT-LIARA</x:v>
      </x:c>
      <x:c r="B7" s="9" t="str">
        <x:v>Liara T’Soni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Liara mène la recherche de Shepard.</x:v>
      </x:c>
      <x:c r="G7" s="9" t="str">
        <x:v>Héroïne du duo; maîtrise du terrain et questions d’enquête.</x:v>
      </x:c>
      <x:c r="H7" s="9" t="str">
        <x:v>Rôle narratif; aucune statistique officielle déduite.</x:v>
      </x:c>
      <x:c r="I7" s="9" t="str">
        <x:v>Direction proposée : Peau bleue, crête asari et manteau de terrain simplifié; accents cyan réservés aux actions. Vérifier le costume sur l'édition autorisée avant peinture finale.</x:v>
      </x:c>
      <x:c r="J7" s="9" t="str">
        <x:v>Garde ouverte, poussée des deux bras, lecture d’un terminal, protection du partenaire.</x:v>
      </x:c>
      <x:c r="K7" s="9" t="str">
        <x:v>Interprétation originale; sous-titres attribués au locuteur et aucune reprise des voix du jeu.</x:v>
      </x:c>
      <x:c r="L7" s="9" t="str">
        <x:v>Livrable proposé : spécification RED/characters/act-liara;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Liara T’Soni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RED-S-BOOK</x:v>
      </x:c>
      <x:c r="R7" s="20" t="str">
        <x:v>https://www.penguinrandomhouse.com/books/241684/mass-effect-volume-1-redemption-by-mac-walters-various-artists/</x:v>
      </x:c>
      <x:c r="S7" s="20" t="str">
        <x:v>Le rôle dans la source ne prouve ni recrutement jouable ni disponibilité permanente.</x:v>
      </x:c>
    </x:row>
    <x:row r="8" ht="68" customHeight="1">
      <x:c r="A8" s="19" t="str">
        <x:v>RED-ACT-FERON</x:v>
      </x:c>
      <x:c r="B8" s="7" t="str">
        <x:v>Feron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Feron est le partenaire drell de Liara.</x:v>
      </x:c>
      <x:c r="G8" s="7" t="str">
        <x:v>Soutien furtif; transforme une information en fenêtre de progression.</x:v>
      </x:c>
      <x:c r="H8" s="7" t="str">
        <x:v>Rôle narratif; aucune statistique officielle déduite.</x:v>
      </x:c>
      <x:c r="I8" s="7" t="str">
        <x:v>Direction proposée : Tête reptilienne et col haut, couches de vêtement lisibles; motifs précis à vérifier. Vérifier le costume sur l'édition autorisée avant peinture finale.</x:v>
      </x:c>
      <x:c r="J8" s="7" t="str">
        <x:v>Coup d’œil latéral, geste de passe, accroupissement et manipulation discrète.</x:v>
      </x:c>
      <x:c r="K8" s="7" t="str">
        <x:v>Interprétation originale; sous-titres attribués au locuteur et aucune reprise des voix du jeu.</x:v>
      </x:c>
      <x:c r="L8" s="7" t="str">
        <x:v>Livrable proposé : spécification RED/characters/act-feron;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Feron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RED-S-COMPLETE</x:v>
      </x:c>
      <x:c r="R8" s="21" t="str">
        <x:v>https://digital.darkhorse.com/books/7bcdbde713b746338287bb0d74350bac/mass-effect-the-complete-comics</x:v>
      </x:c>
      <x:c r="S8" s="21" t="str">
        <x:v>Le rôle dans la source ne prouve ni recrutement jouable ni disponibilité permanente.</x:v>
      </x:c>
    </x:row>
    <x:row r="9" ht="68" customHeight="1">
      <x:c r="A9" s="18" t="str">
        <x:v>RED-ACT-TAZZIK</x:v>
      </x:c>
      <x:c r="B9" s="9" t="str">
        <x:v>Tazzik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Tazzik est un exécutant salarian du Courtier.</x:v>
      </x:c>
      <x:c r="G9" s="9" t="str">
        <x:v>Antagoniste identifiable; pression à distance et obstacle à la récupération.</x:v>
      </x:c>
      <x:c r="H9" s="9" t="str">
        <x:v>Rôle narratif; aucune statistique officielle déduite.</x:v>
      </x:c>
      <x:c r="I9" s="9" t="str">
        <x:v>Direction proposée : Silhouette salariane exceptionnellement imposante à contrôler; épaules lisibles, teinte froide. Vérifier le costume sur l'édition autorisée avant peinture finale.</x:v>
      </x:c>
      <x:c r="J9" s="9" t="str">
        <x:v>Visée basse, recul bref, blocage de passage et retournement.</x:v>
      </x:c>
      <x:c r="K9" s="9" t="str">
        <x:v>Interprétation originale; sous-titres attribués au locuteur et aucune reprise des voix du jeu.</x:v>
      </x:c>
      <x:c r="L9" s="9" t="str">
        <x:v>Livrable proposé : spécification RED/characters/act-tazzik;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Tazzik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RED-S-TAZZIK</x:v>
      </x:c>
      <x:c r="R9" s="20" t="str">
        <x:v>https://masseffect.fandom.com/wiki/Tazzik</x:v>
      </x:c>
      <x:c r="S9" s="20" t="str">
        <x:v>Le rôle dans la source ne prouve ni recrutement jouable ni disponibilité permanente.</x:v>
      </x:c>
    </x:row>
  </x:sheetData>
  <x:conditionalFormatting sqref="D7:D9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9">
    <x:cfRule type="cellIs" dxfId="2" priority="3" operator="equal">
      <x:formula>"Validé"</x:formula>
    </x:cfRule>
  </x:conditionalFormatting>
  <x:conditionalFormatting sqref="E7:E9">
    <x:cfRule type="cellIs" dxfId="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df4888143c4b7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RED-ACT-MIRANDA</x:v>
      </x:c>
      <x:c r="B7" s="9" t="str">
        <x:v>Miranda Lawson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Miranda intervient dans la relation avec Cerberus.</x:v>
      </x:c>
      <x:c r="G7" s="9" t="str">
        <x:v>Interlocutrice de mission; présenter ses objectifs sans lui donner une omniscience de gameplay.</x:v>
      </x:c>
      <x:c r="H7" s="9" t="str">
        <x:v>Rôle narratif; aucune statistique officielle déduite.</x:v>
      </x:c>
      <x:c r="I7" s="9" t="str">
        <x:v>Direction proposée : Combinaison claire à panneaux sombres, silhouette tenue; costume du numéro à comparer. Vérifier le costume sur l'édition autorisée avant peinture finale.</x:v>
      </x:c>
      <x:c r="J7" s="9" t="str">
        <x:v>Posture droite, main sur interface, demi-tour contrôlé.</x:v>
      </x:c>
      <x:c r="K7" s="9" t="str">
        <x:v>Interprétation originale; sous-titres attribués au locuteur et aucune reprise des voix du jeu.</x:v>
      </x:c>
      <x:c r="L7" s="9" t="str">
        <x:v>Livrable proposé : spécification RED/npcs/act-miranda;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Miranda Lawson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RED-S-AUTHOR1</x:v>
      </x:c>
      <x:c r="R7" s="20" t="str">
        <x:v>https://farawaypress.com/comics/masseffectredemption/masseffectredemption1/</x:v>
      </x:c>
      <x:c r="S7" s="20" t="str">
        <x:v>Le rôle dans la source ne prouve ni recrutement jouable ni disponibilité permanente.</x:v>
      </x:c>
    </x:row>
    <x:row r="8" ht="68" customHeight="1">
      <x:c r="A8" s="19" t="str">
        <x:v>RED-ACT-ARIA</x:v>
      </x:c>
      <x:c r="B8" s="7" t="str">
        <x:v>Aria T’Loak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Aria fournit une piste sur Omega.</x:v>
      </x:c>
      <x:c r="G8" s="7" t="str">
        <x:v>Négociation brève, accès à une information, autorité locale.</x:v>
      </x:c>
      <x:c r="H8" s="7" t="str">
        <x:v>Rôle narratif; aucune statistique officielle déduite.</x:v>
      </x:c>
      <x:c r="I8" s="7" t="str">
        <x:v>Direction proposée : Silhouette asari angulaire, fauteuil en contre-jour et éclairage violet limité au fond. Vérifier le costume sur l'édition autorisée avant peinture finale.</x:v>
      </x:c>
      <x:c r="J8" s="7" t="str">
        <x:v>Immobilité dominante, inclinaison de tête, geste qui clôt l’entretien.</x:v>
      </x:c>
      <x:c r="K8" s="7" t="str">
        <x:v>Interprétation originale; sous-titres attribués au locuteur et aucune reprise des voix du jeu.</x:v>
      </x:c>
      <x:c r="L8" s="7" t="str">
        <x:v>Livrable proposé : spécification RED/npcs/act-aria;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Aria T’Loak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RED-S-FERON</x:v>
      </x:c>
      <x:c r="R8" s="21" t="str">
        <x:v>https://masseffect.fandom.com/wiki/Feron</x:v>
      </x:c>
      <x:c r="S8" s="21" t="str">
        <x:v>Le rôle dans la source ne prouve ni recrutement jouable ni disponibilité permanente.</x:v>
      </x:c>
    </x:row>
    <x:row r="9" ht="68" customHeight="1">
      <x:c r="A9" s="18" t="str">
        <x:v>RED-ACT-TIM</x:v>
      </x:c>
      <x:c r="B9" s="9" t="str">
        <x:v>L’Homme trouble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Une scène avec l’Homme trouble est commentée par le scénariste.</x:v>
      </x:c>
      <x:c r="G9" s="9" t="str">
        <x:v>Communication distante; exposer une proposition sans la valider moralement par l’interface.</x:v>
      </x:c>
      <x:c r="H9" s="9" t="str">
        <x:v>Rôle narratif; aucune statistique officielle déduite.</x:v>
      </x:c>
      <x:c r="I9" s="9" t="str">
        <x:v>Direction proposée : Visage partiellement éclairé dans un cadre holographique sobre. Vérifier le costume sur l'édition autorisée avant peinture finale.</x:v>
      </x:c>
      <x:c r="J9" s="9" t="str">
        <x:v>Regard fixe, déplacement léger de la main, interruption du canal.</x:v>
      </x:c>
      <x:c r="K9" s="9" t="str">
        <x:v>Interprétation originale; sous-titres attribués au locuteur et aucune reprise des voix du jeu.</x:v>
      </x:c>
      <x:c r="L9" s="9" t="str">
        <x:v>Livrable proposé : spécification RED/npcs/act-tim;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L’Homme trouble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RED-S-AUTHOR2</x:v>
      </x:c>
      <x:c r="R9" s="20" t="str">
        <x:v>https://farawaypress.com/comics/masseffectredemption/masseffectredemption2/</x:v>
      </x:c>
      <x:c r="S9" s="20" t="str">
        <x:v>Le rôle dans la source ne prouve ni recrutement jouable ni disponibilité permanente.</x:v>
      </x:c>
    </x:row>
    <x:row r="10" ht="68" customHeight="1">
      <x:c r="A10" s="19" t="str">
        <x:v>RED-ACT-BROKER</x:v>
      </x:c>
      <x:c r="B10" s="7" t="str">
        <x:v>Courtier de l’ombre — représentation distante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La recherche vise les opérations du Courtier de l’ombre.</x:v>
      </x:c>
      <x:c r="G10" s="7" t="str">
        <x:v>Présence par relais et informations; ne pas révéler sa forme comme un nouveau combat.</x:v>
      </x:c>
      <x:c r="H10" s="7" t="str">
        <x:v>Rôle narratif; aucune statistique officielle déduite.</x:v>
      </x:c>
      <x:c r="I10" s="7" t="str">
        <x:v>Direction proposée : Écran opaque, contour artificiel et fond sombre; aucune identité visible ajoutée. Vérifier le costume sur l'édition autorisée avant peinture finale.</x:v>
      </x:c>
      <x:c r="J10" s="7" t="str">
        <x:v>Interface active, brouillage puis extinction.</x:v>
      </x:c>
      <x:c r="K10" s="7" t="str">
        <x:v>Interprétation originale; sous-titres attribués au locuteur et aucune reprise des voix du jeu.</x:v>
      </x:c>
      <x:c r="L10" s="7" t="str">
        <x:v>Livrable proposé : spécification RED/npcs/act-broker; brancher au registre de contenu de l'œuvre seulement après production.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Courtier de l’ombre — représentation distante possède une fiche de référence séparant rôle attesté, silhouette à contrôler et commandes proposées.</x:v>
      </x:c>
      <x:c r="O10" s="7" t="str"/>
      <x:c r="P10" s="7" t="str">
        <x:v>Mass Effect: Redemption, série concernée</x:v>
      </x:c>
      <x:c r="Q10" s="7" t="str">
        <x:v>RED-S-COMPLETE</x:v>
      </x:c>
      <x:c r="R10" s="21" t="str">
        <x:v>https://digital.darkhorse.com/books/7bcdbde713b746338287bb0d74350bac/mass-effect-the-complete-comics</x:v>
      </x:c>
      <x:c r="S10" s="21" t="str">
        <x:v>Le rôle dans la source ne prouve ni recrutement jouable ni disponibilité permanente.</x:v>
      </x:c>
    </x:row>
  </x:sheetData>
  <x:conditionalFormatting sqref="D7:D10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0">
    <x:cfRule type="cellIs" dxfId="6" priority="3" operator="equal">
      <x:formula>"Validé"</x:formula>
    </x:cfRule>
  </x:conditionalFormatting>
  <x:conditionalFormatting sqref="E7:E10">
    <x:cfRule type="cellIs" dxfId="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06929b7e0441a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RED-REF-SCOPE</x:v>
      </x:c>
      <x:c r="B7" s="9" t="str">
        <x:v>Série en quatre numéros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Redemption réunit quatre numéros autour de la recherche menée par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RED/lore/ref-scope;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Redemption, série concernée</x:v>
      </x:c>
      <x:c r="Q7" s="9" t="str">
        <x:v>RED-S-BOOK</x:v>
      </x:c>
      <x:c r="R7" s="20" t="str">
        <x:v>https://www.penguinrandomhouse.com/books/241684/mass-effect-volume-1-redemption-by-mac-walters-various-artists/</x:v>
      </x:c>
      <x:c r="S7" s="20" t="str">
        <x:v>Fait résumé brièvement; aucun dialogue ni découpage intégral du comic reproduit.</x:v>
      </x:c>
    </x:row>
    <x:row r="8" ht="54" customHeight="1">
      <x:c r="A8" s="19" t="str">
        <x:v>RED-REF-SHEPARD</x:v>
      </x:c>
      <x:c r="B8" s="7" t="str">
        <x:v>Shepard adaptable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Le scénariste explique avoir préservé la compatibilité avec les décisions du joueur concernant Shepard.</x:v>
      </x:c>
      <x:c r="G8" s="7" t="str">
        <x:v>Importer les paramètres de Shepard uniquement pour mentions et portraits autorisés; ne pas imposer sexe, visage ou romance.</x:v>
      </x:c>
      <x:c r="H8" s="7" t="str"/>
      <x:c r="I8" s="7" t="str"/>
      <x:c r="J8" s="7" t="str"/>
      <x:c r="K8" s="7" t="str"/>
      <x:c r="L8" s="7" t="str">
        <x:v>Livrable proposé : spécification RED/lore/ref-shepard;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AUTHOR1 et distingue cette information de toute règle de gameplay.</x:v>
      </x:c>
      <x:c r="O8" s="7" t="str"/>
      <x:c r="P8" s="7" t="str">
        <x:v>Notes de conception de Redemption #1</x:v>
      </x:c>
      <x:c r="Q8" s="7" t="str">
        <x:v>RED-S-AUTHOR1</x:v>
      </x:c>
      <x:c r="R8" s="21" t="str">
        <x:v>https://farawaypress.com/comics/masseffectredemption/masseffectredemption1/</x:v>
      </x:c>
      <x:c r="S8" s="21" t="str">
        <x:v>Fait résumé brièvement; aucun dialogue ni découpage intégral du comic reproduit.</x:v>
      </x:c>
    </x:row>
    <x:row r="9" ht="54" customHeight="1">
      <x:c r="A9" s="18" t="str">
        <x:v>RED-REF-FERON</x:v>
      </x:c>
      <x:c r="B9" s="9" t="str">
        <x:v>Duo de recherche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Liara s’allie au drell Feron pour récupérer le corps de Shepard auprès du Courtier de l’ombre.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Livrable proposé : spécification RED/lore/ref-feron; brancher au registre de contenu de l'œuvre seulement après production.</x:v>
      </x:c>
      <x:c r="M9" s="9" t="str">
        <x:v>Vérifier toute précision non contenue dans cette notice avant de la déclarer canon.</x:v>
      </x:c>
      <x:c r="N9" s="9" t="str">
        <x:v>Le dossier cite la source COMPLETE et distingue cette information de toute règle de gameplay.</x:v>
      </x:c>
      <x:c r="O9" s="9" t="str"/>
      <x:c r="P9" s="9" t="str">
        <x:v>Mass Effect: Redemption, série concernée</x:v>
      </x:c>
      <x:c r="Q9" s="9" t="str">
        <x:v>RED-S-COMPLETE</x:v>
      </x:c>
      <x:c r="R9" s="20" t="str">
        <x:v>https://digital.darkhorse.com/books/7bcdbde713b746338287bb0d74350bac/mass-effect-the-complete-comics</x:v>
      </x:c>
      <x:c r="S9" s="20" t="str">
        <x:v>Fait résumé brièvement; aucun dialogue ni découpage intégral du comic reproduit.</x:v>
      </x:c>
    </x:row>
    <x:row r="10" ht="54" customHeight="1">
      <x:c r="A10" s="19" t="str">
        <x:v>RED-REF-BONUS</x:v>
      </x:c>
      <x:c r="B10" s="7" t="str">
        <x:v>Croquis du recueil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notice du recueil annonce des croquis et un complément de fabrication.</x:v>
      </x:c>
      <x:c r="G10" s="7" t="str">
        <x:v>Créer un inventaire de références à consulter, sans transformer les croquis en scènes coupées attestées.</x:v>
      </x:c>
      <x:c r="H10" s="7" t="str"/>
      <x:c r="I10" s="7" t="str"/>
      <x:c r="J10" s="7" t="str"/>
      <x:c r="K10" s="7" t="str"/>
      <x:c r="L10" s="7" t="str">
        <x:v>Livrable proposé : spécification RED/lore/ref-bonus;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BOOK et distingue cette information de toute règle de gameplay.</x:v>
      </x:c>
      <x:c r="O10" s="7" t="str"/>
      <x:c r="P10" s="7" t="str">
        <x:v>Mass Effect: Redemption, série concernée</x:v>
      </x:c>
      <x:c r="Q10" s="7" t="str">
        <x:v>RED-S-BOOK</x:v>
      </x:c>
      <x:c r="R10" s="21" t="str">
        <x:v>https://www.penguinrandomhouse.com/books/241684/mass-effect-volume-1-redemption-by-mac-walters-various-artists/</x:v>
      </x:c>
      <x:c r="S10" s="21" t="str">
        <x:v>Fait résumé brièvement; aucun dialogue ni découpage intégral du comic reproduit.</x:v>
      </x:c>
    </x:row>
    <x:row r="11" ht="68" customHeight="1">
      <x:c r="A11" s="18" t="str">
        <x:v>RED-SC-CONTACT-REF</x:v>
      </x:c>
      <x:c r="B11" s="9" t="str">
        <x:v>Contact sur Omega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et Feron se rencontrent pendant la recherche. </x:v>
      </x:c>
      <x:c r="G11" s="9" t="str">
        <x:v>Ancrage du module; les intitulés de quêtes et options ci-dessous sont des créations de production.</x:v>
      </x:c>
      <x:c r="H11" s="9" t="str"/>
      <x:c r="I11" s="9" t="str"/>
      <x:c r="J11" s="9" t="str"/>
      <x:c r="K11" s="9" t="str"/>
      <x:c r="L11" s="9" t="str">
        <x:v>Livrable proposé : spécification RED/lore/sc-contact-ref; brancher au registre de contenu de l'œuvre seulement après production.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L’ancrage reste bref et son numéro/segment est identifiable dans les sources; les détails non confirmés portent À vérifier.</x:v>
      </x:c>
      <x:c r="O11" s="9" t="str"/>
      <x:c r="P11" s="9" t="str">
        <x:v>Redemption #1–4, premier contact; pagination à contrôler</x:v>
      </x:c>
      <x:c r="Q11" s="9" t="str">
        <x:v>RED-S-FERON</x:v>
      </x:c>
      <x:c r="R11" s="20" t="str">
        <x:v>https://masseffect.fandom.com/wiki/Feron</x:v>
      </x:c>
      <x:c r="S11" s="20" t="str">
        <x:v>Ne remplace pas la lecture du numéro.</x:v>
      </x:c>
    </x:row>
    <x:row r="12" ht="68" customHeight="1">
      <x:c r="A12" s="19" t="str">
        <x:v>RED-SC-AFTERLIFE-REF</x:v>
      </x:c>
      <x:c r="B12" s="7" t="str">
        <x:v>Entretien à Afterlife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Aria intervient dans la recherche du duo.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RED/lore/sc-afterlife-ref; brancher au registre de contenu de l'œuvre seulement après production.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Redemption, recherche sur Omega</x:v>
      </x:c>
      <x:c r="Q12" s="7" t="str">
        <x:v>RED-S-FERON</x:v>
      </x:c>
      <x:c r="R12" s="21" t="str">
        <x:v>https://masseffect.fandom.com/wiki/Feron</x:v>
      </x:c>
      <x:c r="S12" s="21" t="str">
        <x:v>Ne remplace pas la lecture du numéro.</x:v>
      </x:c>
    </x:row>
    <x:row r="13" ht="68" customHeight="1">
      <x:c r="A13" s="18" t="str">
        <x:v>RED-SC-DOCKS-REF</x:v>
      </x:c>
      <x:c r="B13" s="9" t="str">
        <x:v>Docks et transfert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Tazzik supervise le transport du corps de Shepard depuis Omega.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RED/lore/sc-docks-ref; brancher au registre de contenu de l'œuvre seulement après production.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Redemption, transfert sur Omega; numéro à contrôler</x:v>
      </x:c>
      <x:c r="Q13" s="9" t="str">
        <x:v>RED-S-TAZZIK</x:v>
      </x:c>
      <x:c r="R13" s="20" t="str">
        <x:v>https://masseffect.fandom.com/wiki/Tazzik</x:v>
      </x:c>
      <x:c r="S13" s="20" t="str">
        <x:v>Ne remplace pas la lecture du numéro.</x:v>
      </x:c>
    </x:row>
    <x:row r="14" ht="68" customHeight="1">
      <x:c r="A14" s="19" t="str">
        <x:v>RED-SC-PURSUIT-REF</x:v>
      </x:c>
      <x:c r="B14" s="7" t="str">
        <x:v>Rejoindre la base</x:v>
      </x:c>
      <x:c r="C14" s="15" t="str">
        <x:v>Défini</x:v>
      </x:c>
      <x:c r="D14" s="17" t="str">
        <x:v>Établi</x:v>
      </x:c>
      <x:c r="E14" s="17" t="str">
        <x:v>P1</x:v>
      </x:c>
      <x:c r="F14" s="7" t="str">
        <x:v>La poursuite du troisième numéro conduit le duo vers la base du Courtier.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Livrable proposé : spécification RED/lore/sc-pursuit-ref; brancher au registre de contenu de l'œuvre seulement après production.</x:v>
      </x:c>
      <x:c r="M14" s="7" t="str">
        <x:v>Préserver l’absence active de Shepard, la relation Liara/Feron et le raccord vers ME2; les méthodes d’enquête ne changent pas le sort publié des protagonistes.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Redemption #3</x:v>
      </x:c>
      <x:c r="Q14" s="7" t="str">
        <x:v>RED-S-AUTHOR3</x:v>
      </x:c>
      <x:c r="R14" s="21" t="str">
        <x:v>https://farawaypress.com/comics/masseffectredemption/masseffectredemption3/</x:v>
      </x:c>
      <x:c r="S14" s="21" t="str">
        <x:v>Ne remplace pas la lecture du numéro.</x:v>
      </x:c>
    </x:row>
    <x:row r="15" ht="68" customHeight="1">
      <x:c r="A15" s="18" t="str">
        <x:v>RED-SC-ACCESS-REF</x:v>
      </x:c>
      <x:c r="B15" s="9" t="str">
        <x:v>Identité et accès compartimentés</x:v>
      </x:c>
      <x:c r="C15" s="15" t="str">
        <x:v>Défini</x:v>
      </x:c>
      <x:c r="D15" s="16" t="str">
        <x:v>Établi</x:v>
      </x:c>
      <x:c r="E15" s="16" t="str">
        <x:v>P1</x:v>
      </x:c>
      <x:c r="F15" s="9" t="str">
        <x:v>L’auteur relie le cloisonnement de la base aux possibilités d’action de Feron.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Livrable proposé : spécification RED/lore/sc-access-ref; brancher au registre de contenu de l'œuvre seulement après production.</x:v>
      </x:c>
      <x:c r="M15" s="9" t="str">
        <x:v>Préserver l’absence active de Shepard, la relation Liara/Feron et le raccord vers ME2; les méthodes d’enquête ne changent pas le sort publié des protagonistes.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Redemption #3</x:v>
      </x:c>
      <x:c r="Q15" s="9" t="str">
        <x:v>RED-S-AUTHOR3</x:v>
      </x:c>
      <x:c r="R15" s="20" t="str">
        <x:v>https://farawaypress.com/comics/masseffectredemption/masseffectredemption3/</x:v>
      </x:c>
      <x:c r="S15" s="20" t="str">
        <x:v>Ne remplace pas la lecture du numéro.</x:v>
      </x:c>
    </x:row>
    <x:row r="16" ht="68" customHeight="1">
      <x:c r="A16" s="19" t="str">
        <x:v>RED-SC-RECOVER-REF</x:v>
      </x:c>
      <x:c r="B16" s="7" t="str">
        <x:v>Récupération et séparation</x:v>
      </x:c>
      <x:c r="C16" s="15" t="str">
        <x:v>Défini</x:v>
      </x:c>
      <x:c r="D16" s="17" t="str">
        <x:v>Établi</x:v>
      </x:c>
      <x:c r="E16" s="17" t="str">
        <x:v>P1</x:v>
      </x:c>
      <x:c r="F16" s="7" t="str">
        <x:v>Le dernier numéro révèle le jeu multiple de Feron.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Livrable proposé : spécification RED/lore/sc-recover-ref; brancher au registre de contenu de l'œuvre seulement après production.</x:v>
      </x:c>
      <x:c r="M16" s="7" t="str">
        <x:v>Préserver l’absence active de Shepard, la relation Liara/Feron et le raccord vers ME2; les méthodes d’enquête ne changent pas le sort publié des protagonistes.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Redemption #4</x:v>
      </x:c>
      <x:c r="Q16" s="7" t="str">
        <x:v>RED-S-AUTHOR4</x:v>
      </x:c>
      <x:c r="R16" s="21" t="str">
        <x:v>https://farawaypress.com/comics/masseffectredemption/masseffectredemption4/</x:v>
      </x:c>
      <x:c r="S16" s="21" t="str">
        <x:v>Ne remplace pas la lecture du numéro.</x:v>
      </x:c>
    </x:row>
  </x:sheetData>
  <x:conditionalFormatting sqref="D7:D16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6">
    <x:cfRule type="cellIs" dxfId="10" priority="3" operator="equal">
      <x:formula>"Validé"</x:formula>
    </x:cfRule>
  </x:conditionalFormatting>
  <x:conditionalFormatting sqref="E7:E16">
    <x:cfRule type="cellIs" dxfId="1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62b30b0c7040e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RED-WRL-OMEGA</x:v>
      </x:c>
      <x:c r="B7" s="9" t="str">
        <x:v>Omega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La recherche de Liara traverse Omega.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</x:v>
      </x:c>
      <x:c r="J7" s="9" t="str"/>
      <x:c r="K7" s="9" t="str"/>
      <x:c r="L7" s="9" t="str">
        <x:v>Livrable proposé : spécification RED/worlds/wrl-omega;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nom Omega et sa fonction sont sourcés; les dimensions, chemins et interactions restent explicitement proposés.</x:v>
      </x:c>
      <x:c r="O7" s="9" t="str"/>
      <x:c r="P7" s="9" t="str">
        <x:v>Mass Effect: Redemption, série concernée</x:v>
      </x:c>
      <x:c r="Q7" s="9" t="str">
        <x:v>RED-S-AUTHOR2</x:v>
      </x:c>
      <x:c r="R7" s="20" t="str">
        <x:v>https://farawaypress.com/comics/masseffectredemption/masseffectredemption2/</x:v>
      </x:c>
      <x:c r="S7" s="20" t="str">
        <x:v>La géométrie jouable ci-dessous est originale et ne prétend pas reconstituer une carte officielle.</x:v>
      </x:c>
    </x:row>
    <x:row r="8" ht="68" customHeight="1">
      <x:c r="A8" s="19" t="str">
        <x:v>RED-WRL-ALINGON</x:v>
      </x:c>
      <x:c r="B8" s="7" t="str">
        <x:v>Alingon / Alignon — graphie à contrôler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troisième numéro rejoint une base du Courtier sur un monde perturbant les communications.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</x:v>
      </x:c>
      <x:c r="J8" s="7" t="str"/>
      <x:c r="K8" s="7" t="str"/>
      <x:c r="L8" s="7" t="str">
        <x:v>Livrable proposé : spécification RED/worlds/wrl-alingon;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nom Alingon / Alignon — graphie à contrôler et sa fonction sont sourcés; les dimensions, chemins et interactions restent explicitement proposés.</x:v>
      </x:c>
      <x:c r="O8" s="7" t="str"/>
      <x:c r="P8" s="7" t="str">
        <x:v>Mass Effect: Redemption, série concernée</x:v>
      </x:c>
      <x:c r="Q8" s="7" t="str">
        <x:v>RED-S-AUTHOR3</x:v>
      </x:c>
      <x:c r="R8" s="21" t="str">
        <x:v>https://farawaypress.com/comics/masseffectredemption/masseffectredemption3/</x:v>
      </x:c>
      <x:c r="S8" s="21" t="str">
        <x:v>Faraway Press écrit Alignon; Fandom écrit Alingon. Les deux graphies sont conservées ici uniquement pour contrôle.</x:v>
      </x:c>
    </x:row>
    <x:row r="9" ht="68" customHeight="1">
      <x:c r="A9" s="18" t="str">
        <x:v>RED-WRL-SPACE</x:v>
      </x:c>
      <x:c r="B9" s="9" t="str">
        <x:v>Poursuite dans l’espace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Le troisième numéro quitte Omega pour une poursuite spatiale.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</x:v>
      </x:c>
      <x:c r="J9" s="9" t="str"/>
      <x:c r="K9" s="9" t="str"/>
      <x:c r="L9" s="9" t="str">
        <x:v>Livrable proposé : spécification RED/worlds/wrl-space;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nom Poursuite dans l’espace et sa fonction sont sourcés; les dimensions, chemins et interactions restent explicitement proposés.</x:v>
      </x:c>
      <x:c r="O9" s="9" t="str"/>
      <x:c r="P9" s="9" t="str">
        <x:v>Mass Effect: Redemption, série concernée</x:v>
      </x:c>
      <x:c r="Q9" s="9" t="str">
        <x:v>RED-S-AUTHOR3</x:v>
      </x:c>
      <x:c r="R9" s="20" t="str">
        <x:v>https://farawaypress.com/comics/masseffectredemption/masseffectredemption3/</x:v>
      </x:c>
      <x:c r="S9" s="20" t="str">
        <x:v>La géométrie jouable ci-dessous est originale et ne prétend pas reconstituer une carte officielle.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5b8892e80f448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RED-ZONE-OMEGA</x:v>
      </x:c>
      <x:c r="B7" s="9" t="str">
        <x:v>Omega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Boucle courte entre alcôve de contact, passage marchand et accès industriel.</x:v>
      </x:c>
      <x:c r="G7" s="9" t="str">
        <x:v>Hub de pistes sous tension.</x:v>
      </x:c>
      <x:c r="H7" s="9" t="str">
        <x:v>Contrôles de passage évitables par préparation; aucune foule décorative agressive par défaut.</x:v>
      </x:c>
      <x:c r="I7" s="9" t="str">
        <x:v>Métal usé, lumière orange latérale et profondeur industrielle; sol clair sous les sprites.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red/zones/omega; volumes de navigation, ancrages d'actions et caméras fixes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blocage de Omega permet un parcours aller-retour sans caméra aveugle; chaque danger annoncé possède une sortie lisible.</x:v>
      </x:c>
      <x:c r="O7" s="9" t="str">
        <x:v>RED-WRL-OMEGA</x:v>
      </x:c>
      <x:c r="P7" s="9" t="str">
        <x:v>Plan original, dimensions à prototyper.</x:v>
      </x:c>
      <x:c r="Q7" s="9" t="str"/>
      <x:c r="R7" s="20" t="str"/>
      <x:c r="S7" s="20" t="str"/>
    </x:row>
    <x:row r="8" ht="68" customHeight="1">
      <x:c r="A8" s="19" t="str">
        <x:v>RED-ZONE-ALINGON</x:v>
      </x:c>
      <x:c r="B8" s="7" t="str">
        <x:v>Alingon / Alignon — graphie à contrôler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Approche extérieure, sas et espace de relais compartimenté; couloirs courts lisibles.</x:v>
      </x:c>
      <x:c r="G8" s="7" t="str">
        <x:v>Faire sentir l’isolement informationnel.</x:v>
      </x:c>
      <x:c r="H8" s="7" t="str">
        <x:v>Une interface ne reçoit un ordre qu’au relais local; le silence radio reste expliqué.</x:v>
      </x:c>
      <x:c r="I8" s="7" t="str">
        <x:v>Roche sombre, métal mat et arcs lumineux très discrets; brouillage en bord de cadre.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red/zones/alingon; volumes de navigation, ancrages d'actions et caméras fixes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blocage de Alingon / Alignon — graphie à contrôler permet un parcours aller-retour sans caméra aveugle; chaque danger annoncé possède une sortie lisible.</x:v>
      </x:c>
      <x:c r="O8" s="7" t="str">
        <x:v>RED-WRL-ALINGON</x:v>
      </x:c>
      <x:c r="P8" s="7" t="str">
        <x:v>Plan original, dimensions à prototyper.</x:v>
      </x:c>
      <x:c r="Q8" s="7" t="str"/>
      <x:c r="R8" s="21" t="str"/>
      <x:c r="S8" s="21" t="str"/>
    </x:row>
    <x:row r="9" ht="68" customHeight="1">
      <x:c r="A9" s="18" t="str">
        <x:v>RED-ZONE-SPACE</x:v>
      </x:c>
      <x:c r="B9" s="9" t="str">
        <x:v>Poursuite dans l’espace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Rail visuel à embranchements courts avec fenêtre de manœuvre et écran de cap.</x:v>
      </x:c>
      <x:c r="G9" s="9" t="str">
        <x:v>Intermède de navigation lisible, distinct d’un mode de vol complet.</x:v>
      </x:c>
      <x:c r="H9" s="9" t="str">
        <x:v>Choisir une trajectoire avant la fermeture de sa fenêtre; pause et vitesse lente proposées.</x:v>
      </x:c>
      <x:c r="I9" s="9" t="str">
        <x:v>Astéroïdes mats et contraste faible du ciel; vaisseau du duo traité en sprite orientable.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red/zones/space; volumes de navigation, ancrages d'actions et caméras fixes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blocage de Poursuite dans l’espace permet un parcours aller-retour sans caméra aveugle; chaque danger annoncé possède une sortie lisible.</x:v>
      </x:c>
      <x:c r="O9" s="9" t="str">
        <x:v>RED-WRL-SPACE</x:v>
      </x:c>
      <x:c r="P9" s="9" t="str">
        <x:v>Plan original, dimensions à prototyper.</x:v>
      </x:c>
      <x:c r="Q9" s="9" t="str"/>
      <x:c r="R9" s="20" t="str"/>
      <x:c r="S9" s="20" t="str"/>
    </x:row>
  </x:sheetData>
  <x:conditionalFormatting sqref="D7:D9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9">
    <x:cfRule type="cellIs" dxfId="18" priority="3" operator="equal">
      <x:formula>"Validé"</x:formula>
    </x:cfRule>
  </x:conditionalFormatting>
  <x:conditionalFormatting sqref="E7:E9">
    <x:cfRule type="cellIs" dxfId="1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c5faa4deda40a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RED-LINK-OMEGA</x:v>
      </x:c>
      <x:c r="B7" s="9" t="str">
        <x:v>Omega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Raccords internes originaux entre contact, entretien et docks; pas de carte officielle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RED/OMEGA; sauvegarder zone, point d'entrée et version de chapitre.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Entrer, ressortir et recharger au seuil restitue le même état du chapitre; aucun accès ne court-circuite sa conclusion fixée.</x:v>
      </x:c>
      <x:c r="O7" s="9" t="str">
        <x:v>RED-ZONE-OMEGA</x:v>
      </x:c>
      <x:c r="P7" s="9" t="str">
        <x:v>Raccord de gameplay original; ordre narratif selon les ancrages sourcés.</x:v>
      </x:c>
      <x:c r="Q7" s="9" t="str"/>
      <x:c r="R7" s="20" t="str"/>
      <x:c r="S7" s="20" t="str"/>
    </x:row>
    <x:row r="8" ht="68" customHeight="1">
      <x:c r="A8" s="19" t="str">
        <x:v>RED-LINK-ALINGON</x:v>
      </x:c>
      <x:c r="B8" s="7" t="str">
        <x:v>Alingon / Alignon — graphie à contrôler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Passage spatial vers la base puis sortie vers hangar; chaque raccord coupe la communication non autorisée.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RED/ALINGON; sauvegarder zone, point d'entrée et version de chapitre.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Entrer, ressortir et recharger au seuil restitue le même état du chapitre; aucun accès ne court-circuite sa conclusion fixée.</x:v>
      </x:c>
      <x:c r="O8" s="7" t="str">
        <x:v>RED-ZONE-ALINGON</x:v>
      </x:c>
      <x:c r="P8" s="7" t="str">
        <x:v>Raccord de gameplay original; ordre narratif selon les ancrages sourcés.</x:v>
      </x:c>
      <x:c r="Q8" s="7" t="str"/>
      <x:c r="R8" s="21" t="str"/>
      <x:c r="S8" s="21" t="str"/>
    </x:row>
    <x:row r="9" ht="68" customHeight="1">
      <x:c r="A9" s="18" t="str">
        <x:v>RED-LINK-SPACE</x:v>
      </x:c>
      <x:c r="B9" s="9" t="str">
        <x:v>Poursuite dans l’espace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Départ d’Omega, poursuite puis arrivée à la base; parcours tactique original.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RED/SPACE; sauvegarder zone, point d'entrée et version de chapitre.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Entrer, ressortir et recharger au seuil restitue le même état du chapitre; aucun accès ne court-circuite sa conclusion fixée.</x:v>
      </x:c>
      <x:c r="O9" s="9" t="str">
        <x:v>RED-ZONE-SPACE</x:v>
      </x:c>
      <x:c r="P9" s="9" t="str">
        <x:v>Raccord de gameplay original; ordre narratif selon les ancrages sourcés.</x:v>
      </x:c>
      <x:c r="Q9" s="9" t="str"/>
      <x:c r="R9" s="20" t="str"/>
      <x:c r="S9" s="20" t="str"/>
    </x:row>
  </x:sheetData>
  <x:conditionalFormatting sqref="D7:D9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9">
    <x:cfRule type="cellIs" dxfId="22" priority="3" operator="equal">
      <x:formula>"Validé"</x:formula>
    </x:cfRule>
  </x:conditionalFormatting>
  <x:conditionalFormatting sqref="E7:E9">
    <x:cfRule type="cellIs" dxfId="2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1612844348478a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RED-SET-OMEGA</x:v>
      </x:c>
      <x:c r="B7" s="9" t="str">
        <x:v>Omega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ouverture vers les niveaux inférieurs sert de repère vertical.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red/sets/omega; collisions simples et matériau de repère distinct.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repère décrit reste visible depuis l'entrée et depuis le retour; aucune décoration ne masque un signal d'interaction.</x:v>
      </x:c>
      <x:c r="O7" s="9" t="str">
        <x:v>RED-ZONE-OMEGA</x:v>
      </x:c>
      <x:c r="P7" s="9" t="str">
        <x:v>Direction artistique originale, matériaux à confronter aux planches.</x:v>
      </x:c>
      <x:c r="Q7" s="9" t="str"/>
      <x:c r="R7" s="20" t="str"/>
      <x:c r="S7" s="20" t="str"/>
    </x:row>
    <x:row r="8" ht="82" customHeight="1">
      <x:c r="A8" s="19" t="str">
        <x:v>RED-SET-ALINGON</x:v>
      </x:c>
      <x:c r="B8" s="7" t="str">
        <x:v>Alingon / Alignon — graphie à contrôler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Antenne isolée et écran de contrôle comme points d’orientation.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red/sets/alingon; collisions simples et matériau de repère distinct.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repère décrit reste visible depuis l'entrée et depuis le retour; aucune décoration ne masque un signal d'interaction.</x:v>
      </x:c>
      <x:c r="O8" s="7" t="str">
        <x:v>RED-ZONE-ALINGON</x:v>
      </x:c>
      <x:c r="P8" s="7" t="str">
        <x:v>Direction artistique originale, matériaux à confronter aux planches.</x:v>
      </x:c>
      <x:c r="Q8" s="7" t="str"/>
      <x:c r="R8" s="21" t="str"/>
      <x:c r="S8" s="21" t="str"/>
    </x:row>
    <x:row r="9" ht="82" customHeight="1">
      <x:c r="A9" s="18" t="str">
        <x:v>RED-SET-SPACE</x:v>
      </x:c>
      <x:c r="B9" s="9" t="str">
        <x:v>Poursuite dans l’espace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Balise de destination toujours visible, obstacles en silhouettes.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red/sets/space; collisions simples et matériau de repère distinct.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repère décrit reste visible depuis l'entrée et depuis le retour; aucune décoration ne masque un signal d'interaction.</x:v>
      </x:c>
      <x:c r="O9" s="9" t="str">
        <x:v>RED-ZONE-SPACE</x:v>
      </x:c>
      <x:c r="P9" s="9" t="str">
        <x:v>Direction artistique originale, matériaux à confronter aux planches.</x:v>
      </x:c>
      <x:c r="Q9" s="9" t="str"/>
      <x:c r="R9" s="20" t="str"/>
      <x:c r="S9" s="20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3061dd80154ea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RED-SC-CONTACT-PROP</x:v>
      </x:c>
      <x:c r="B7" s="9" t="str">
        <x:v>Repère de rendez-vous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Balise de rendez-vous originale.</x:v>
      </x:c>
      <x:c r="G7" s="9" t="str">
        <x:v>Éviter une recherche arbitraire dans toute la station.</x:v>
      </x:c>
      <x:c r="H7" s="9" t="str">
        <x:v>Inspecter la balise révèle un détail de contexte et un chemin, jamais une position omnisciente.</x:v>
      </x:c>
      <x:c r="I7" s="9" t="str">
        <x:v>Plaquette lumineuse usée, symbole simple visible en gros plan.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RED/CONTACT/prop; composant inspectable distinct du déclencheur narratif.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L’objet possède un état visible avant et après interaction; il ne peut pas être perdu ni dupliqué par rechargement.</x:v>
      </x:c>
      <x:c r="O7" s="9" t="str">
        <x:v>RED-SC-CONTACT-MAIN</x:v>
      </x:c>
      <x:c r="P7" s="9" t="str">
        <x:v>Accessoire ou interaction de production proposé; ne vaut pas relevé exhaustif de la planche.</x:v>
      </x:c>
      <x:c r="Q7" s="9" t="str"/>
      <x:c r="R7" s="20" t="str"/>
      <x:c r="S7" s="20" t="str"/>
    </x:row>
    <x:row r="8" ht="68" customHeight="1">
      <x:c r="A8" s="19" t="str">
        <x:v>RED-SC-AFTERLIFE-PROP</x:v>
      </x:c>
      <x:c r="B8" s="7" t="str">
        <x:v>Terminal de piste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Fiche de piste originale pour le journal.</x:v>
      </x:c>
      <x:c r="G8" s="7" t="str">
        <x:v>Nommer la destination jouable.</x:v>
      </x:c>
      <x:c r="H8" s="7" t="str">
        <x:v>Consulter à volonté après l’entretien; ne pas exposer les secrets de Feron.</x:v>
      </x:c>
      <x:c r="I8" s="7" t="str">
        <x:v>Écran étroit, zone et objectif en deux lignes.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RED/AFTERLIFE/prop; composant inspectable distinct du déclencheur narratif.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L’objet possède un état visible avant et après interaction; il ne peut pas être perdu ni dupliqué par rechargement.</x:v>
      </x:c>
      <x:c r="O8" s="7" t="str">
        <x:v>RED-SC-AFTERLIFE-MAIN</x:v>
      </x:c>
      <x:c r="P8" s="7" t="str">
        <x:v>Accessoire ou interaction de production proposé; ne vaut pas relevé exhaustif de la planche.</x:v>
      </x:c>
      <x:c r="Q8" s="7" t="str"/>
      <x:c r="R8" s="21" t="str"/>
      <x:c r="S8" s="21" t="str"/>
    </x:row>
    <x:row r="9" ht="68" customHeight="1">
      <x:c r="A9" s="18" t="str">
        <x:v>RED-SC-DOCKS-PROP</x:v>
      </x:c>
      <x:c r="B9" s="9" t="str">
        <x:v>Commande de quai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Console originale de verrouillage.</x:v>
      </x:c>
      <x:c r="G9" s="9" t="str">
        <x:v>Créer une interaction tactique sans ajouter de technologie canon.</x:v>
      </x:c>
      <x:c r="H9" s="9" t="str">
        <x:v>Une action ferme un passage secondaire; le levier principal reste accessible.</x:v>
      </x:c>
      <x:c r="I9" s="9" t="str">
        <x:v>Panneau jaune à trois états visibles.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RED/DOCKS/prop; composant inspectable distinct du déclencheur narratif.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L’objet possède un état visible avant et après interaction; il ne peut pas être perdu ni dupliqué par rechargement.</x:v>
      </x:c>
      <x:c r="O9" s="9" t="str">
        <x:v>RED-SC-DOCKS-MAIN</x:v>
      </x:c>
      <x:c r="P9" s="9" t="str">
        <x:v>Accessoire ou interaction de production proposé; ne vaut pas relevé exhaustif de la planche.</x:v>
      </x:c>
      <x:c r="Q9" s="9" t="str"/>
      <x:c r="R9" s="20" t="str"/>
      <x:c r="S9" s="20" t="str"/>
    </x:row>
    <x:row r="10" ht="68" customHeight="1">
      <x:c r="A10" s="19" t="str">
        <x:v>RED-SC-PURSUIT-PROP</x:v>
      </x:c>
      <x:c r="B10" s="7" t="str">
        <x:v>Afficheur de trajectoire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de navigation original.</x:v>
      </x:c>
      <x:c r="G10" s="7" t="str">
        <x:v>Donner une lecture des deux approches.</x:v>
      </x:c>
      <x:c r="H10" s="7" t="str">
        <x:v>Prévisualiser un trajet ne dépense aucune action; confirmer l’engage.</x:v>
      </x:c>
      <x:c r="I10" s="7" t="str">
        <x:v>Arc de route plein pour la sélection, pointillé pour la prévision.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RED/PURSUIT/prop; composant inspectable distinct du déclencheur narratif.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L’objet possède un état visible avant et après interaction; il ne peut pas être perdu ni dupliqué par rechargement.</x:v>
      </x:c>
      <x:c r="O10" s="7" t="str">
        <x:v>RED-SC-PURSUIT-MAIN</x:v>
      </x:c>
      <x:c r="P10" s="7" t="str">
        <x:v>Accessoire ou interaction de production proposé; ne vaut pas relevé exhaustif de la planche.</x:v>
      </x:c>
      <x:c r="Q10" s="7" t="str"/>
      <x:c r="R10" s="21" t="str"/>
      <x:c r="S10" s="21" t="str"/>
    </x:row>
    <x:row r="11" ht="68" customHeight="1">
      <x:c r="A11" s="18" t="str">
        <x:v>RED-SC-ACCESS-PROP</x:v>
      </x:c>
      <x:c r="B11" s="9" t="str">
        <x:v>Jeton d’accès compartimenté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Objet de gameplay original à portée limitée.</x:v>
      </x:c>
      <x:c r="G11" s="9" t="str">
        <x:v>Représenter un droit d’accès sans le confondre avec une clé universelle.</x:v>
      </x:c>
      <x:c r="H11" s="9" t="str">
        <x:v>Le jeton n’ouvre que le sas nommé; l’interface annonce cette portée.</x:v>
      </x:c>
      <x:c r="I11" s="9" t="str">
        <x:v>Plaquette avec pictogramme du secteur.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RED/ACCESS/prop; composant inspectable distinct du déclencheur narratif.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L’objet possède un état visible avant et après interaction; il ne peut pas être perdu ni dupliqué par rechargement.</x:v>
      </x:c>
      <x:c r="O11" s="9" t="str">
        <x:v>RED-SC-ACCESS-MAIN</x:v>
      </x:c>
      <x:c r="P11" s="9" t="str">
        <x:v>Accessoire ou interaction de production proposé; ne vaut pas relevé exhaustif de la planche.</x:v>
      </x:c>
      <x:c r="Q11" s="9" t="str"/>
      <x:c r="R11" s="20" t="str"/>
      <x:c r="S11" s="20" t="str"/>
    </x:row>
    <x:row r="12" ht="68" customHeight="1">
      <x:c r="A12" s="19" t="str">
        <x:v>RED-SC-RECOVER-PROP</x:v>
      </x:c>
      <x:c r="B12" s="7" t="str">
        <x:v>Support de transfert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Support de transport proposé, sans représentation imposée du visage de Shepard.</x:v>
      </x:c>
      <x:c r="G12" s="7" t="str">
        <x:v>Rendre la priorité de mission lisible.</x:v>
      </x:c>
      <x:c r="H12" s="7" t="str">
        <x:v>L’objet reste attaché au flux narratif, non vendable et non équipable.</x:v>
      </x:c>
      <x:c r="I12" s="7" t="str">
        <x:v>Volume fermé, marquage neutre et témoin d’intégrité abstrait.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RED/RECOVER/prop; composant inspectable distinct du déclencheur narratif.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L’objet possède un état visible avant et après interaction; il ne peut pas être perdu ni dupliqué par rechargement.</x:v>
      </x:c>
      <x:c r="O12" s="7" t="str">
        <x:v>RED-SC-RECOVER-MAIN</x:v>
      </x:c>
      <x:c r="P12" s="7" t="str">
        <x:v>Accessoire ou interaction de production proposé; ne vaut pas relevé exhaustif de la planche.</x:v>
      </x:c>
      <x:c r="Q12" s="7" t="str"/>
      <x:c r="R12" s="21" t="str"/>
      <x:c r="S12" s="21" t="str"/>
    </x:row>
  </x:sheetData>
  <x:conditionalFormatting sqref="D7:D12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2">
    <x:cfRule type="cellIs" dxfId="30" priority="3" operator="equal">
      <x:formula>"Validé"</x:formula>
    </x:cfRule>
  </x:conditionalFormatting>
  <x:conditionalFormatting sqref="E7:E12">
    <x:cfRule type="cellIs" dxfId="3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e512b3029d48b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RED-EN-SUNS</x:v>
      </x:c>
      <x:c r="B7" s="9" t="str">
        <x:v>Blue Suns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Les Blue Suns interviennent contre le duo.</x:v>
      </x:c>
      <x:c r="G7" s="9" t="str">
        <x:v>Pression armée et contrôle du quai.</x:v>
      </x:c>
      <x:c r="H7" s="9" t="str">
        <x:v>Profil proposé : Alternance fixation et déplacement; contourner un tireur rend sa couverture inutile.</x:v>
      </x:c>
      <x:c r="I7" s="9" t="str">
        <x:v>Silhouette proposée : Armures lourdes bleues à vérifier; casque distinct du personnel neutre.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Livrable proposé : spécification RED/enemies/en-suns;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Blue Suns a une silhouette distincte, un comportement télégraphié et une contre-mesure documentée; aucune valeur n'est annoncée comme statistique officielle.</x:v>
      </x:c>
      <x:c r="O7" s="9" t="str"/>
      <x:c r="P7" s="9" t="str">
        <x:v>Mass Effect: Redemption, série concernée</x:v>
      </x:c>
      <x:c r="Q7" s="9" t="str">
        <x:v>RED-S-FERON</x:v>
      </x:c>
      <x:c r="R7" s="20" t="str">
        <x:v>https://masseffect.fandom.com/wiki/Feron</x:v>
      </x:c>
      <x:c r="S7" s="20" t="str">
        <x:v>L’adversaire ou groupe est attesté selon la source; le combat ATB et ses réglages sont entièrement proposés.</x:v>
      </x:c>
    </x:row>
    <x:row r="8" ht="68" customHeight="1">
      <x:c r="A8" s="19" t="str">
        <x:v>RED-EN-SENTRY</x:v>
      </x:c>
      <x:c r="B8" s="7" t="str">
        <x:v>Sentries de poursuite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wiki décrit des sentries lors de l’approche de la base.</x:v>
      </x:c>
      <x:c r="G8" s="7" t="str">
        <x:v>Menace de navigation proposée, à vérifier dans l’édition.</x:v>
      </x:c>
      <x:c r="H8" s="7" t="str">
        <x:v>Profil proposé : Préparer une passe puis exposer leur trajectoire; éviter le contact vaut progression.</x:v>
      </x:c>
      <x:c r="I8" s="7" t="str">
        <x:v>Silhouette proposée : Petites silhouettes mécaniques différenciées du vaisseau allié.</x:v>
      </x:c>
      <x:c r="J8" s="7" t="str">
        <x:v>Virage anticipé et ligne droite de poursuite.</x:v>
      </x:c>
      <x:c r="K8" s="7" t="str">
        <x:v>Alerte brève visible dans l’afficheur.</x:v>
      </x:c>
      <x:c r="L8" s="7" t="str">
        <x:v>Livrable proposé : spécification RED/enemies/en-sentry;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Sentries de poursuite a une silhouette distincte, un comportement télégraphié et une contre-mesure documentée; aucune valeur n'est annoncée comme statistique officielle.</x:v>
      </x:c>
      <x:c r="O8" s="7" t="str"/>
      <x:c r="P8" s="7" t="str">
        <x:v>Mass Effect: Redemption, série concernée</x:v>
      </x:c>
      <x:c r="Q8" s="7" t="str">
        <x:v>RED-S-STORYII</x:v>
      </x:c>
      <x:c r="R8" s="21" t="str">
        <x:v>https://masseffect.fandom.com/wiki/Storyline_II</x:v>
      </x:c>
      <x:c r="S8" s="21" t="str">
        <x:v>L’adversaire ou groupe est attesté selon la source; le combat ATB et ses réglages sont entièrement proposés.</x:v>
      </x:c>
    </x:row>
    <x:row r="9" ht="68" customHeight="1">
      <x:c r="A9" s="18" t="str">
        <x:v>RED-EN-GUARDS</x:v>
      </x:c>
      <x:c r="B9" s="9" t="str">
        <x:v>Gardes de la base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Feron et Liara rencontrent les gardes du Courtier.</x:v>
      </x:c>
      <x:c r="G9" s="9" t="str">
        <x:v>Obstacle de furtivité avant combat.</x:v>
      </x:c>
      <x:c r="H9" s="9" t="str">
        <x:v>Profil proposé : Une alerte locale ne propage pas une information impossible sous brouillage.</x:v>
      </x:c>
      <x:c r="I9" s="9" t="str">
        <x:v>Silhouette proposée : Silhouettes armées compactes et contraste froid.</x:v>
      </x:c>
      <x:c r="J9" s="9" t="str">
        <x:v>Contrôle de badge puis pivot de surveillance.</x:v>
      </x:c>
      <x:c r="K9" s="9" t="str">
        <x:v>Interphone et signal d’alerte sectoriel.</x:v>
      </x:c>
      <x:c r="L9" s="9" t="str">
        <x:v>Livrable proposé : spécification RED/enemies/en-guards;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Gardes de la base a une silhouette distincte, un comportement télégraphié et une contre-mesure documentée; aucune valeur n'est annoncée comme statistique officielle.</x:v>
      </x:c>
      <x:c r="O9" s="9" t="str"/>
      <x:c r="P9" s="9" t="str">
        <x:v>Mass Effect: Redemption, série concernée</x:v>
      </x:c>
      <x:c r="Q9" s="9" t="str">
        <x:v>RED-S-FERON</x:v>
      </x:c>
      <x:c r="R9" s="20" t="str">
        <x:v>https://masseffect.fandom.com/wiki/Feron</x:v>
      </x:c>
      <x:c r="S9" s="20" t="str">
        <x:v>L’adversaire ou groupe est attesté selon la source; le combat ATB et ses réglages sont entièrement proposés.</x:v>
      </x:c>
    </x:row>
  </x:sheetData>
  <x:conditionalFormatting sqref="D7:D9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9">
    <x:cfRule type="cellIs" dxfId="34" priority="3" operator="equal">
      <x:formula>"Validé"</x:formula>
    </x:cfRule>
  </x:conditionalFormatting>
  <x:conditionalFormatting sqref="E7:E9">
    <x:cfRule type="cellIs" dxfId="3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6a041aa26c4c53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RED-SC-CONTACT-MAIN</x:v>
      </x:c>
      <x:c r="B7" s="9" t="str">
        <x:v>Contact sur Omega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Identifier le bon intermédiaire et atteindre une sortie de quartier.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Graphe proposé RED/quests/CONTACT: entrée → objectif actif → résolution → raccord; conditions terminales séparées des points facultatifs.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RED-SC-CONTACT-REF</x:v>
      </x:c>
      <x:c r="P7" s="9" t="str">
        <x:v>Conception originale rattachée à Redemption #1–4, premier contact; pagination à contrôler</x:v>
      </x:c>
      <x:c r="Q7" s="9" t="str"/>
      <x:c r="R7" s="20" t="str"/>
      <x:c r="S7" s="20" t="str"/>
    </x:row>
    <x:row r="8" ht="68" customHeight="1">
      <x:c r="A8" s="19" t="str">
        <x:v>RED-SC-AFTERLIFE-MAIN</x:v>
      </x:c>
      <x:c r="B8" s="7" t="str">
        <x:v>Entretien à Afterlife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Obtenir une piste sans transformer l’entretien en recrutement.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Graphe proposé RED/quests/AFTERLIFE: entrée → objectif actif → résolution → raccord; conditions terminales séparées des points facultatifs.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RED-SC-AFTERLIFE-REF</x:v>
      </x:c>
      <x:c r="P8" s="7" t="str">
        <x:v>Conception originale rattachée à Redemption, recherche sur Omega</x:v>
      </x:c>
      <x:c r="Q8" s="7" t="str"/>
      <x:c r="R8" s="21" t="str"/>
      <x:c r="S8" s="21" t="str"/>
    </x:row>
    <x:row r="9" ht="68" customHeight="1">
      <x:c r="A9" s="18" t="str">
        <x:v>RED-SC-DOCKS-MAIN</x:v>
      </x:c>
      <x:c r="B9" s="9" t="str">
        <x:v>Docks et transfert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Traverser une aire de chargement avant la fermeture des accès.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Graphe proposé RED/quests/DOCKS: entrée → objectif actif → résolution → raccord; conditions terminales séparées des points facultatifs.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RED-SC-DOCKS-REF</x:v>
      </x:c>
      <x:c r="P9" s="9" t="str">
        <x:v>Conception originale rattachée à Redemption, transfert sur Omega; numéro à contrôler</x:v>
      </x:c>
      <x:c r="Q9" s="9" t="str"/>
      <x:c r="R9" s="20" t="str"/>
      <x:c r="S9" s="20" t="str"/>
    </x:row>
    <x:row r="10" ht="68" customHeight="1">
      <x:c r="A10" s="19" t="str">
        <x:v>RED-SC-PURSUIT-MAIN</x:v>
      </x:c>
      <x:c r="B10" s="7" t="str">
        <x:v>Rejoindre la base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Choisir une approche compatible avec les contraintes de communication.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Graphe proposé RED/quests/PURSUIT: entrée → objectif actif → résolution → raccord; conditions terminales séparées des points facultatifs.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RED-SC-PURSUIT-REF</x:v>
      </x:c>
      <x:c r="P10" s="7" t="str">
        <x:v>Conception originale rattachée à Redemption #3</x:v>
      </x:c>
      <x:c r="Q10" s="7" t="str"/>
      <x:c r="R10" s="21" t="str"/>
      <x:c r="S10" s="21" t="str"/>
    </x:row>
    <x:row r="11" ht="68" customHeight="1">
      <x:c r="A11" s="18" t="str">
        <x:v>RED-SC-ACCESS-MAIN</x:v>
      </x:c>
      <x:c r="B11" s="9" t="str">
        <x:v>Identité et accès compartimentés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Franchir deux contrôles locaux sans fournir une carte complète du réseau.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Graphe proposé RED/quests/ACCESS: entrée → objectif actif → résolution → raccord; conditions terminales séparées des points facultatifs.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RED-SC-ACCESS-REF</x:v>
      </x:c>
      <x:c r="P11" s="9" t="str">
        <x:v>Conception originale rattachée à Redemption #3</x:v>
      </x:c>
      <x:c r="Q11" s="9" t="str"/>
      <x:c r="R11" s="20" t="str"/>
      <x:c r="S11" s="20" t="str"/>
    </x:row>
    <x:row r="12" ht="68" customHeight="1">
      <x:c r="A12" s="19" t="str">
        <x:v>RED-SC-RECOVER-MAIN</x:v>
      </x:c>
      <x:c r="B12" s="7" t="str">
        <x:v>Récupération et séparation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Assurer la récupération dans un espace de sortie sous pression.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Graphe proposé RED/quests/RECOVER: entrée → objectif actif → résolution → raccord; conditions terminales séparées des points facultatifs.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RED-SC-RECOVER-REF</x:v>
      </x:c>
      <x:c r="P12" s="7" t="str">
        <x:v>Conception originale rattachée à Redemption #4</x:v>
      </x:c>
      <x:c r="Q12" s="7" t="str"/>
      <x:c r="R12" s="21" t="str"/>
      <x:c r="S12" s="21" t="str"/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fbb69e4e1c4a84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RED-SC-CONTACT-SIDE</x:v>
      </x:c>
      <x:c r="B7" s="9" t="str">
        <x:v>Vérifier une seconde sortie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Cartographier un accès secondaire proposé.</x:v>
      </x:c>
      <x:c r="G7" s="9" t="str">
        <x:v>Introduire le rôle prudent de Feron.</x:v>
      </x:c>
      <x:c r="H7" s="9" t="str">
        <x:v>Réduit un contrôle local; aucune récompense de lore canon inventée.</x:v>
      </x:c>
      <x:c r="I7" s="9" t="str">
        <x:v>Alcôve latérale et contre-jour industriel; un ruban lumineux guide la sortie.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RED/CONTACT/optional; récompense locale de contexte, pas de modification de la fin.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Terminer, ignorer ou abandonner cette tâche laisse le récit principal accessible et conserve correctement l’état en sauvegarde.</x:v>
      </x:c>
      <x:c r="O7" s="9" t="str">
        <x:v>RED-SC-CONTACT-MAIN</x:v>
      </x:c>
      <x:c r="P7" s="9" t="str">
        <x:v>Ajout original; cette tâche n’est pas attestée dans le comic.</x:v>
      </x:c>
      <x:c r="Q7" s="9" t="str"/>
      <x:c r="R7" s="20" t="str"/>
      <x:c r="S7" s="20" t="str"/>
    </x:row>
    <x:row r="8" ht="68" customHeight="1">
      <x:c r="A8" s="19" t="str">
        <x:v>RED-SC-AFTERLIFE-SIDE</x:v>
      </x:c>
      <x:c r="B8" s="7" t="str">
        <x:v>Écouter le quartier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Recueillir deux observations ambiantes originales.</x:v>
      </x:c>
      <x:c r="G8" s="7" t="str">
        <x:v>Donner du contexte à la station.</x:v>
      </x:c>
      <x:c r="H8" s="7" t="str">
        <x:v>Contenu facultatif sans allégation nouvelle sur Aria.</x:v>
      </x:c>
      <x:c r="I8" s="7" t="str">
        <x:v>Fauteuil au fond, foule réduite en silhouettes et trajet libre entre les deux.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RED/AFTERLIFE/optional; récompense locale de contexte, pas de modification de la fin.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Terminer, ignorer ou abandonner cette tâche laisse le récit principal accessible et conserve correctement l’état en sauvegarde.</x:v>
      </x:c>
      <x:c r="O8" s="7" t="str">
        <x:v>RED-SC-AFTERLIFE-MAIN</x:v>
      </x:c>
      <x:c r="P8" s="7" t="str">
        <x:v>Ajout original; cette tâche n’est pas attestée dans le comic.</x:v>
      </x:c>
      <x:c r="Q8" s="7" t="str"/>
      <x:c r="R8" s="21" t="str"/>
      <x:c r="S8" s="21" t="str"/>
    </x:row>
    <x:row r="9" ht="68" customHeight="1">
      <x:c r="A9" s="18" t="str">
        <x:v>RED-SC-DOCKS-SIDE</x:v>
      </x:c>
      <x:c r="B9" s="9" t="str">
        <x:v>Relever la route du cargo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Inspecter un afficheur de départ proposé.</x:v>
      </x:c>
      <x:c r="G9" s="9" t="str">
        <x:v>Offrir une aide de navigation pour la scène suivante.</x:v>
      </x:c>
      <x:c r="H9" s="9" t="str">
        <x:v>Ajoute un repère visuel, jamais une révélation supplémentaire sur le Courtier.</x:v>
      </x:c>
      <x:c r="I9" s="9" t="str">
        <x:v>Poutres, caisses distinctes du couvert et rampe diagonale.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RED/DOCKS/optional; récompense locale de contexte, pas de modification de la fin.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Terminer, ignorer ou abandonner cette tâche laisse le récit principal accessible et conserve correctement l’état en sauvegarde.</x:v>
      </x:c>
      <x:c r="O9" s="9" t="str">
        <x:v>RED-SC-DOCKS-MAIN</x:v>
      </x:c>
      <x:c r="P9" s="9" t="str">
        <x:v>Ajout original; cette tâche n’est pas attestée dans le comic.</x:v>
      </x:c>
      <x:c r="Q9" s="9" t="str"/>
      <x:c r="R9" s="20" t="str"/>
      <x:c r="S9" s="20" t="str"/>
    </x:row>
    <x:row r="10" ht="68" customHeight="1">
      <x:c r="A10" s="19" t="str">
        <x:v>RED-SC-PURSUIT-SIDE</x:v>
      </x:c>
      <x:c r="B10" s="7" t="str">
        <x:v>Calibrer le filtre radio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Réglage facultatif de trois marqueurs proposés.</x:v>
      </x:c>
      <x:c r="G10" s="7" t="str">
        <x:v>Aider la lecture des signaux faibles.</x:v>
      </x:c>
      <x:c r="H10" s="7" t="str">
        <x:v>Réduit le bruit de l’interface; ne supprime pas la contrainte narrative d’isolement.</x:v>
      </x:c>
      <x:c r="I10" s="7" t="str">
        <x:v>Repères de navigation espacés et point de destination fixe.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RED/PURSUIT/optional; récompense locale de contexte, pas de modification de la fin.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Terminer, ignorer ou abandonner cette tâche laisse le récit principal accessible et conserve correctement l’état en sauvegarde.</x:v>
      </x:c>
      <x:c r="O10" s="7" t="str">
        <x:v>RED-SC-PURSUIT-MAIN</x:v>
      </x:c>
      <x:c r="P10" s="7" t="str">
        <x:v>Ajout original; cette tâche n’est pas attestée dans le comic.</x:v>
      </x:c>
      <x:c r="Q10" s="7" t="str"/>
      <x:c r="R10" s="21" t="str"/>
      <x:c r="S10" s="21" t="str"/>
    </x:row>
    <x:row r="11" ht="68" customHeight="1">
      <x:c r="A11" s="18" t="str">
        <x:v>RED-SC-ACCESS-SIDE</x:v>
      </x:c>
      <x:c r="B11" s="9" t="str">
        <x:v>Relever une anomalie de relais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Comparer deux journaux de connexion proposés.</x:v>
      </x:c>
      <x:c r="G11" s="9" t="str">
        <x:v>Montrer les limites du réseau.</x:v>
      </x:c>
      <x:c r="H11" s="9" t="str">
        <x:v>Révèle un raccourci local, sans exposer toute l’organisation.</x:v>
      </x:c>
      <x:c r="I11" s="9" t="str">
        <x:v>Cloisons opaques, câbles de relais et panneaux d’accès individualisés.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RED/ACCESS/optional; récompense locale de contexte, pas de modification de la fin.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Terminer, ignorer ou abandonner cette tâche laisse le récit principal accessible et conserve correctement l’état en sauvegarde.</x:v>
      </x:c>
      <x:c r="O11" s="9" t="str">
        <x:v>RED-SC-ACCESS-MAIN</x:v>
      </x:c>
      <x:c r="P11" s="9" t="str">
        <x:v>Ajout original; cette tâche n’est pas attestée dans le comic.</x:v>
      </x:c>
      <x:c r="Q11" s="9" t="str"/>
      <x:c r="R11" s="20" t="str"/>
      <x:c r="S11" s="20" t="str"/>
    </x:row>
    <x:row r="12" ht="68" customHeight="1">
      <x:c r="A12" s="19" t="str">
        <x:v>RED-SC-RECOVER-SIDE</x:v>
      </x:c>
      <x:c r="B12" s="7" t="str">
        <x:v>Préparer une issue de secours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Déverrouiller une sortie secondaire proposée avant le transfert.</x:v>
      </x:c>
      <x:c r="G12" s="7" t="str">
        <x:v>Récompenser l’anticipation sans changer la séparation.</x:v>
      </x:c>
      <x:c r="H12" s="7" t="str">
        <x:v>Diminue le risque du trajet final; pas de sauvetage canon supplémentaire.</x:v>
      </x:c>
      <x:c r="I12" s="7" t="str">
        <x:v>Rampe lumineuse, silhouette du partenaire à distance, conteneur sans visage imposé de Shepard.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RED/RECOVER/optional; récompense locale de contexte, pas de modification de la fin.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Terminer, ignorer ou abandonner cette tâche laisse le récit principal accessible et conserve correctement l’état en sauvegarde.</x:v>
      </x:c>
      <x:c r="O12" s="7" t="str">
        <x:v>RED-SC-RECOVER-MAIN</x:v>
      </x:c>
      <x:c r="P12" s="7" t="str">
        <x:v>Ajout original; cette tâche n’est pas attestée dans le comic.</x:v>
      </x:c>
      <x:c r="Q12" s="7" t="str"/>
      <x:c r="R12" s="21" t="str"/>
      <x:c r="S12" s="21" t="str"/>
    </x:row>
  </x:sheetData>
  <x:conditionalFormatting sqref="D7:D12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2">
    <x:cfRule type="cellIs" dxfId="42" priority="3" operator="equal">
      <x:formula>"Validé"</x:formula>
    </x:cfRule>
  </x:conditionalFormatting>
  <x:conditionalFormatting sqref="E7:E12">
    <x:cfRule type="cellIs" dxfId="43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1981caaf1f43df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RED-SC-CONTACT-CHOICE</x:v>
      </x:c>
      <x:c r="B7" s="9" t="str">
        <x:v>Contact sur Omega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Questionner publiquement ou vérifier discrètement un itinéraire.</x:v>
      </x:c>
      <x:c r="G7" s="9" t="str">
        <x:v>Choix de méthode dans une adaptation; aucun embranchement alternatif n’est déclaré officiel.</x:v>
      </x:c>
      <x:c r="H7" s="9" t="str">
        <x:v>La voie publique réduit la recherche mais augmente les contrôles; la discrétion consomme du temps sans perdre de fait essentiel.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RED/CONTACT; stocker la méthode choisie et les conséquences temporaires, puis rejoindre le point de raccord.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Les deux méthodes peuvent être comprises avant sélection; chacune rejoint le même ancrage canon sans supprimer un personnage nécessaire.</x:v>
      </x:c>
      <x:c r="O7" s="9" t="str">
        <x:v>RED-SC-CONTACT-MAIN</x:v>
      </x:c>
      <x:c r="P7" s="9" t="str">
        <x:v>Bifurcation de gameplay originale, pas un choix présent dans l’œuvre.</x:v>
      </x:c>
      <x:c r="Q7" s="9" t="str"/>
      <x:c r="R7" s="20" t="str"/>
      <x:c r="S7" s="20" t="str"/>
    </x:row>
    <x:row r="8" ht="68" customHeight="1">
      <x:c r="A8" s="19" t="str">
        <x:v>RED-SC-AFTERLIFE-CHOICE</x:v>
      </x:c>
      <x:c r="B8" s="7" t="str">
        <x:v>Entretien à Afterlife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Insister sur l’urgence ou demander d’abord les limites de l’aide.</x:v>
      </x:c>
      <x:c r="G8" s="7" t="str">
        <x:v>Choix de méthode dans une adaptation; aucun embranchement alternatif n’est déclaré officiel.</x:v>
      </x:c>
      <x:c r="H8" s="7" t="str">
        <x:v>Change le ton et un commentaire local; même piste finale.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RED/AFTERLIFE; stocker la méthode choisie et les conséquences temporaires, puis rejoindre le point de raccord.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Les deux méthodes peuvent être comprises avant sélection; chacune rejoint le même ancrage canon sans supprimer un personnage nécessaire.</x:v>
      </x:c>
      <x:c r="O8" s="7" t="str">
        <x:v>RED-SC-AFTERLIFE-MAIN</x:v>
      </x:c>
      <x:c r="P8" s="7" t="str">
        <x:v>Bifurcation de gameplay originale, pas un choix présent dans l’œuvre.</x:v>
      </x:c>
      <x:c r="Q8" s="7" t="str"/>
      <x:c r="R8" s="21" t="str"/>
      <x:c r="S8" s="21" t="str"/>
    </x:row>
    <x:row r="9" ht="68" customHeight="1">
      <x:c r="A9" s="18" t="str">
        <x:v>RED-SC-DOCKS-CHOICE</x:v>
      </x:c>
      <x:c r="B9" s="9" t="str">
        <x:v>Docks et transfert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Sécuriser le passage du duo ou concentrer les actions sur le contrôle du quai.</x:v>
      </x:c>
      <x:c r="G9" s="9" t="str">
        <x:v>Choix de méthode dans une adaptation; aucun embranchement alternatif n’est déclaré officiel.</x:v>
      </x:c>
      <x:c r="H9" s="9" t="str">
        <x:v>L’une protège le groupe, l’autre raccourcit le trajet; le départ narratif reste fixé.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RED/DOCKS; stocker la méthode choisie et les conséquences temporaires, puis rejoindre le point de raccord.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Les deux méthodes peuvent être comprises avant sélection; chacune rejoint le même ancrage canon sans supprimer un personnage nécessaire.</x:v>
      </x:c>
      <x:c r="O9" s="9" t="str">
        <x:v>RED-SC-DOCKS-MAIN</x:v>
      </x:c>
      <x:c r="P9" s="9" t="str">
        <x:v>Bifurcation de gameplay originale, pas un choix présent dans l’œuvre.</x:v>
      </x:c>
      <x:c r="Q9" s="9" t="str"/>
      <x:c r="R9" s="20" t="str"/>
      <x:c r="S9" s="20" t="str"/>
    </x:row>
    <x:row r="10" ht="68" customHeight="1">
      <x:c r="A10" s="19" t="str">
        <x:v>RED-SC-PURSUIT-CHOICE</x:v>
      </x:c>
      <x:c r="B10" s="7" t="str">
        <x:v>Rejoindre la base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Trajectoire courte exposée ou détour abrité.</x:v>
      </x:c>
      <x:c r="G10" s="7" t="str">
        <x:v>Choix de méthode dans une adaptation; aucun embranchement alternatif n’est déclaré officiel.</x:v>
      </x:c>
      <x:c r="H10" s="7" t="str">
        <x:v>Différence de ressources locales; aucune branche vers une autre planète.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RED/PURSUIT; stocker la méthode choisie et les conséquences temporaires, puis rejoindre le point de raccord.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Les deux méthodes peuvent être comprises avant sélection; chacune rejoint le même ancrage canon sans supprimer un personnage nécessaire.</x:v>
      </x:c>
      <x:c r="O10" s="7" t="str">
        <x:v>RED-SC-PURSUIT-MAIN</x:v>
      </x:c>
      <x:c r="P10" s="7" t="str">
        <x:v>Bifurcation de gameplay originale, pas un choix présent dans l’œuvre.</x:v>
      </x:c>
      <x:c r="Q10" s="7" t="str"/>
      <x:c r="R10" s="21" t="str"/>
      <x:c r="S10" s="21" t="str"/>
    </x:row>
    <x:row r="11" ht="68" customHeight="1">
      <x:c r="A11" s="18" t="str">
        <x:v>RED-SC-ACCESS-CHOICE</x:v>
      </x:c>
      <x:c r="B11" s="9" t="str">
        <x:v>Identité et accès compartimentés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Employer la couverture préparée ou détourner l’attention par une panne locale.</x:v>
      </x:c>
      <x:c r="G11" s="9" t="str">
        <x:v>Choix de méthode dans une adaptation; aucun embranchement alternatif n’est déclaré officiel.</x:v>
      </x:c>
      <x:c r="H11" s="9" t="str">
        <x:v>La couverture conserve l’alerte; la panne ouvre une fenêtre plus courte et attire une patrouille.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RED/ACCESS; stocker la méthode choisie et les conséquences temporaires, puis rejoindre le point de raccord.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Les deux méthodes peuvent être comprises avant sélection; chacune rejoint le même ancrage canon sans supprimer un personnage nécessaire.</x:v>
      </x:c>
      <x:c r="O11" s="9" t="str">
        <x:v>RED-SC-ACCESS-MAIN</x:v>
      </x:c>
      <x:c r="P11" s="9" t="str">
        <x:v>Bifurcation de gameplay originale, pas un choix présent dans l’œuvre.</x:v>
      </x:c>
      <x:c r="Q11" s="9" t="str"/>
      <x:c r="R11" s="20" t="str"/>
      <x:c r="S11" s="20" t="str"/>
    </x:row>
    <x:row r="12" ht="68" customHeight="1">
      <x:c r="A12" s="19" t="str">
        <x:v>RED-SC-RECOVER-CHOICE</x:v>
      </x:c>
      <x:c r="B12" s="7" t="str">
        <x:v>Récupération et séparation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une action de protection ou neutraliser d’abord un contrôle de quai.</x:v>
      </x:c>
      <x:c r="G12" s="7" t="str">
        <x:v>Choix de méthode dans une adaptation; aucun embranchement alternatif n’est déclaré officiel.</x:v>
      </x:c>
      <x:c r="H12" s="7" t="str">
        <x:v>Change la difficulté de la dernière traversée; la séparation publiée reste un raccord fixe.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RED/RECOVER; stocker la méthode choisie et les conséquences temporaires, puis rejoindre le point de raccord.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Les deux méthodes peuvent être comprises avant sélection; chacune rejoint le même ancrage canon sans supprimer un personnage nécessaire.</x:v>
      </x:c>
      <x:c r="O12" s="7" t="str">
        <x:v>RED-SC-RECOVER-MAIN</x:v>
      </x:c>
      <x:c r="P12" s="7" t="str">
        <x:v>Bifurcation de gameplay originale, pas un choix présent dans l’œuvre.</x:v>
      </x:c>
      <x:c r="Q12" s="7" t="str"/>
      <x:c r="R12" s="21" t="str"/>
      <x:c r="S12" s="21" t="str"/>
    </x:row>
  </x:sheetData>
  <x:conditionalFormatting sqref="D7:D12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2">
    <x:cfRule type="cellIs" dxfId="46" priority="3" operator="equal">
      <x:formula>"Validé"</x:formula>
    </x:cfRule>
  </x:conditionalFormatting>
  <x:conditionalFormatting sqref="E7:E12">
    <x:cfRule type="cellIs" dxfId="4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e7eed74f804d64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RED-SC-CONTACT-DIA</x:v>
      </x:c>
      <x:c r="B7" s="9" t="str">
        <x:v>Contact sur Omega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Liara exprime son urgence; Feron évalue ce qu’il peut révéler.</x:v>
      </x:c>
      <x:c r="G7" s="9" t="str">
        <x:v>Préserver le thème « confiance sous pression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Contact sur Omega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RED/CONTACT/dialogue; séparer ce qui est su, ce qui est affirmé et ce qui reste caché au joueur.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lecteur peut identifier le locuteur, son but et le niveau de certitude; aucune phrase du comic n’est reproduite comme dialogue final.</x:v>
      </x:c>
      <x:c r="O7" s="9" t="str">
        <x:v>RED-SC-CONTACT-MAIN</x:v>
      </x:c>
      <x:c r="P7" s="9" t="str">
        <x:v>Écriture originale à partir des thèmes, sans transcrire les bulles.</x:v>
      </x:c>
      <x:c r="Q7" s="9" t="str"/>
      <x:c r="R7" s="20" t="str"/>
      <x:c r="S7" s="20" t="str"/>
    </x:row>
    <x:row r="8" ht="68" customHeight="1">
      <x:c r="A8" s="19" t="str">
        <x:v>RED-SC-AFTERLIFE-DIA</x:v>
      </x:c>
      <x:c r="B8" s="7" t="str">
        <x:v>Entretien à Afterlife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Autorité d’Aria, prudence de Feron et volonté de Liara; conserver les intentions sans reprendre les répliques.</x:v>
      </x:c>
      <x:c r="G8" s="7" t="str">
        <x:v>Préserver le thème « information conditionnelle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Entretien à Afterlife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RED/AFTERLIFE/dialogue; séparer ce qui est su, ce qui est affirmé et ce qui reste caché au joueur.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lecteur peut identifier le locuteur, son but et le niveau de certitude; aucune phrase du comic n’est reproduite comme dialogue final.</x:v>
      </x:c>
      <x:c r="O8" s="7" t="str">
        <x:v>RED-SC-AFTERLIFE-MAIN</x:v>
      </x:c>
      <x:c r="P8" s="7" t="str">
        <x:v>Écriture originale à partir des thèmes, sans transcrire les bulles.</x:v>
      </x:c>
      <x:c r="Q8" s="7" t="str"/>
      <x:c r="R8" s="21" t="str"/>
      <x:c r="S8" s="21" t="str"/>
    </x:row>
    <x:row r="9" ht="68" customHeight="1">
      <x:c r="A9" s="18" t="str">
        <x:v>RED-SC-DOCKS-DIA</x:v>
      </x:c>
      <x:c r="B9" s="9" t="str">
        <x:v>Docks et transfert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Échanger des instructions courtes tout en gardant l’identité des différents employeurs incertaine.</x:v>
      </x:c>
      <x:c r="G9" s="9" t="str">
        <x:v>Préserver le thème « urgence et méfiance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Docks et transfert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RED/DOCKS/dialogue; séparer ce qui est su, ce qui est affirmé et ce qui reste caché au joueur.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lecteur peut identifier le locuteur, son but et le niveau de certitude; aucune phrase du comic n’est reproduite comme dialogue final.</x:v>
      </x:c>
      <x:c r="O9" s="9" t="str">
        <x:v>RED-SC-DOCKS-MAIN</x:v>
      </x:c>
      <x:c r="P9" s="9" t="str">
        <x:v>Écriture originale à partir des thèmes, sans transcrire les bulles.</x:v>
      </x:c>
      <x:c r="Q9" s="9" t="str"/>
      <x:c r="R9" s="20" t="str"/>
      <x:c r="S9" s="20" t="str"/>
    </x:row>
    <x:row r="10" ht="68" customHeight="1">
      <x:c r="A10" s="19" t="str">
        <x:v>RED-SC-PURSUIT-DIA</x:v>
      </x:c>
      <x:c r="B10" s="7" t="str">
        <x:v>Rejoindre la base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Discuter des risques et de ce que Feron sait du réseau adverse.</x:v>
      </x:c>
      <x:c r="G10" s="7" t="str">
        <x:v>Préserver le thème « dépendance mutuelle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Rejoindre la base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RED/PURSUIT/dialogue; séparer ce qui est su, ce qui est affirmé et ce qui reste caché au joueur.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lecteur peut identifier le locuteur, son but et le niveau de certitude; aucune phrase du comic n’est reproduite comme dialogue final.</x:v>
      </x:c>
      <x:c r="O10" s="7" t="str">
        <x:v>RED-SC-PURSUIT-MAIN</x:v>
      </x:c>
      <x:c r="P10" s="7" t="str">
        <x:v>Écriture originale à partir des thèmes, sans transcrire les bulles.</x:v>
      </x:c>
      <x:c r="Q10" s="7" t="str"/>
      <x:c r="R10" s="21" t="str"/>
      <x:c r="S10" s="21" t="str"/>
    </x:row>
    <x:row r="11" ht="68" customHeight="1">
      <x:c r="A11" s="18" t="str">
        <x:v>RED-SC-ACCESS-DIA</x:v>
      </x:c>
      <x:c r="B11" s="9" t="str">
        <x:v>Identité et accès compartimentés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Feron entretient une apparence crédible; Liara doit limiter ses questions au bon moment.</x:v>
      </x:c>
      <x:c r="G11" s="9" t="str">
        <x:v>Préserver le thème « apparences et informations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RED/ACCESS/dialogue; séparer ce qui est su, ce qui est affirmé et ce qui reste caché au joueur.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lecteur peut identifier le locuteur, son but et le niveau de certitude; aucune phrase du comic n’est reproduite comme dialogue final.</x:v>
      </x:c>
      <x:c r="O11" s="9" t="str">
        <x:v>RED-SC-ACCESS-MAIN</x:v>
      </x:c>
      <x:c r="P11" s="9" t="str">
        <x:v>Écriture originale à partir des thèmes, sans transcrire les bulles.</x:v>
      </x:c>
      <x:c r="Q11" s="9" t="str"/>
      <x:c r="R11" s="20" t="str"/>
      <x:c r="S11" s="20" t="str"/>
    </x:row>
    <x:row r="12" ht="68" customHeight="1">
      <x:c r="A12" s="19" t="str">
        <x:v>RED-SC-RECOVER-DIA</x:v>
      </x:c>
      <x:c r="B12" s="7" t="str">
        <x:v>Récupération et séparation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Faire comprendre par actions l’écart entre les paroles et les loyautés de Feron.</x:v>
      </x:c>
      <x:c r="G12" s="7" t="str">
        <x:v>Préserver le thème « actes et confiance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RED/RECOVER/dialogue; séparer ce qui est su, ce qui est affirmé et ce qui reste caché au joueur.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lecteur peut identifier le locuteur, son but et le niveau de certitude; aucune phrase du comic n’est reproduite comme dialogue final.</x:v>
      </x:c>
      <x:c r="O12" s="7" t="str">
        <x:v>RED-SC-RECOVER-MAIN</x:v>
      </x:c>
      <x:c r="P12" s="7" t="str">
        <x:v>Écriture originale à partir des thèmes, sans transcrire les bulles.</x:v>
      </x:c>
      <x:c r="Q12" s="7" t="str"/>
      <x:c r="R12" s="21" t="str"/>
      <x:c r="S12" s="21" t="str"/>
    </x:row>
  </x:sheetData>
  <x:conditionalFormatting sqref="D7:D12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2">
    <x:cfRule type="cellIs" dxfId="50" priority="3" operator="equal">
      <x:formula>"Validé"</x:formula>
    </x:cfRule>
  </x:conditionalFormatting>
  <x:conditionalFormatting sqref="E7:E12">
    <x:cfRule type="cellIs" dxfId="5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34ee07cf24d96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RED-SC-CONTACT-CINE</x:v>
      </x:c>
      <x:c r="B7" s="9" t="str">
        <x:v>Contact sur Omega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d’ensemble du carrefour puis champ rapproché sur les deux silhouettes, sans reproduire les cases.</x:v>
      </x:c>
      <x:c r="G7" s="9" t="str">
        <x:v>Observation → questions → découverte d’un passage → sortie du duo.</x:v>
      </x:c>
      <x:c r="H7" s="9" t="str"/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Séquence proposée RED/CONTACT/cinematic; mise à jour des états avant restitution du contrôle; bouton passer et relecture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version passée et la version regardée aboutissent au même placement, inventaire et objectif; les sous-titres ne sont pas coupés.</x:v>
      </x:c>
      <x:c r="O7" s="9" t="str">
        <x:v>RED-SC-CONTACT-MAIN</x:v>
      </x:c>
      <x:c r="P7" s="9" t="str">
        <x:v>Découpage original pour sprites 2D sur décor 3D.</x:v>
      </x:c>
      <x:c r="Q7" s="9" t="str"/>
      <x:c r="R7" s="20" t="str"/>
      <x:c r="S7" s="20" t="str"/>
    </x:row>
    <x:row r="8" ht="68" customHeight="1">
      <x:c r="A8" s="19" t="str">
        <x:v>RED-SC-AFTERLIFE-CINE</x:v>
      </x:c>
      <x:c r="B8" s="7" t="str">
        <x:v>Entretien à Afterlife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Aria domine le cadre en hauteur; le duo occupe le bas, puis la sortie reprend une caméra jouable.</x:v>
      </x:c>
      <x:c r="G8" s="7" t="str">
        <x:v>Antichambre → présentation → question ciblée → validation de la piste.</x:v>
      </x:c>
      <x:c r="H8" s="7" t="str"/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Séquence proposée RED/AFTERLIFE/cinematic; mise à jour des états avant restitution du contrôle; bouton passer et relecture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version passée et la version regardée aboutissent au même placement, inventaire et objectif; les sous-titres ne sont pas coupés.</x:v>
      </x:c>
      <x:c r="O8" s="7" t="str">
        <x:v>RED-SC-AFTERLIFE-MAIN</x:v>
      </x:c>
      <x:c r="P8" s="7" t="str">
        <x:v>Découpage original pour sprites 2D sur décor 3D.</x:v>
      </x:c>
      <x:c r="Q8" s="7" t="str"/>
      <x:c r="R8" s="21" t="str"/>
      <x:c r="S8" s="21" t="str"/>
    </x:row>
    <x:row r="9" ht="68" customHeight="1">
      <x:c r="A9" s="18" t="str">
        <x:v>RED-SC-DOCKS-CINE</x:v>
      </x:c>
      <x:c r="B9" s="9" t="str">
        <x:v>Docks et transfert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Glissement latéral révélant le vaisseau; la caméra ne suit pas un projectile hors écran.</x:v>
      </x:c>
      <x:c r="G9" s="9" t="str">
        <x:v>Repérage des lignes de vue → déplacement couvert → tentative d’interception → poursuite.</x:v>
      </x:c>
      <x:c r="H9" s="9" t="str"/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Séquence proposée RED/DOCKS/cinematic; mise à jour des états avant restitution du contrôle; bouton passer et relecture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version passée et la version regardée aboutissent au même placement, inventaire et objectif; les sous-titres ne sont pas coupés.</x:v>
      </x:c>
      <x:c r="O9" s="9" t="str">
        <x:v>RED-SC-DOCKS-MAIN</x:v>
      </x:c>
      <x:c r="P9" s="9" t="str">
        <x:v>Découpage original pour sprites 2D sur décor 3D.</x:v>
      </x:c>
      <x:c r="Q9" s="9" t="str"/>
      <x:c r="R9" s="20" t="str"/>
      <x:c r="S9" s="20" t="str"/>
    </x:row>
    <x:row r="10" ht="68" customHeight="1">
      <x:c r="A10" s="19" t="str">
        <x:v>RED-SC-PURSUIT-CINE</x:v>
      </x:c>
      <x:c r="B10" s="7" t="str">
        <x:v>Rejoindre la base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Vue de cockpit simplifiée alternant avec une vue extérieure d’orientation.</x:v>
      </x:c>
      <x:c r="G10" s="7" t="str">
        <x:v>Départ → manœuvres proposées → identification du relais → arrivée.</x:v>
      </x:c>
      <x:c r="H10" s="7" t="str"/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Séquence proposée RED/PURSUIT/cinematic; mise à jour des états avant restitution du contrôle; bouton passer et relecture séparés.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version passée et la version regardée aboutissent au même placement, inventaire et objectif; les sous-titres ne sont pas coupés.</x:v>
      </x:c>
      <x:c r="O10" s="7" t="str">
        <x:v>RED-SC-PURSUIT-MAIN</x:v>
      </x:c>
      <x:c r="P10" s="7" t="str">
        <x:v>Découpage original pour sprites 2D sur décor 3D.</x:v>
      </x:c>
      <x:c r="Q10" s="7" t="str"/>
      <x:c r="R10" s="21" t="str"/>
      <x:c r="S10" s="21" t="str"/>
    </x:row>
    <x:row r="11" ht="68" customHeight="1">
      <x:c r="A11" s="18" t="str">
        <x:v>RED-SC-ACCESS-CINE</x:v>
      </x:c>
      <x:c r="B11" s="9" t="str">
        <x:v>Identité et accès compartimentés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Cadres fixes derrière les contrôles, visibilité de la sortie maintenue.</x:v>
      </x:c>
      <x:c r="G11" s="9" t="str">
        <x:v>Sas → contrôle d’identité → relais local → accès au secteur suivant.</x:v>
      </x:c>
      <x:c r="H11" s="9" t="str"/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Séquence proposée RED/ACCESS/cinematic; mise à jour des états avant restitution du contrôle; bouton passer et relecture séparés.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version passée et la version regardée aboutissent au même placement, inventaire et objectif; les sous-titres ne sont pas coupés.</x:v>
      </x:c>
      <x:c r="O11" s="9" t="str">
        <x:v>RED-SC-ACCESS-MAIN</x:v>
      </x:c>
      <x:c r="P11" s="9" t="str">
        <x:v>Découpage original pour sprites 2D sur décor 3D.</x:v>
      </x:c>
      <x:c r="Q11" s="9" t="str"/>
      <x:c r="R11" s="20" t="str"/>
      <x:c r="S11" s="20" t="str"/>
    </x:row>
    <x:row r="12" ht="68" customHeight="1">
      <x:c r="A12" s="19" t="str">
        <x:v>RED-SC-RECOVER-CINE</x:v>
      </x:c>
      <x:c r="B12" s="7" t="str">
        <x:v>Récupération et séparation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large du hangar, séparation spatiale du duo puis fermeture lente du cadre.</x:v>
      </x:c>
      <x:c r="G12" s="7" t="str">
        <x:v>Préparation du duo → fenêtre de transfert → sortie de Liara → raccord narratif.</x:v>
      </x:c>
      <x:c r="H12" s="7" t="str"/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Séquence proposée RED/RECOVER/cinematic; mise à jour des états avant restitution du contrôle; bouton passer et relecture séparés.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version passée et la version regardée aboutissent au même placement, inventaire et objectif; les sous-titres ne sont pas coupés.</x:v>
      </x:c>
      <x:c r="O12" s="7" t="str">
        <x:v>RED-SC-RECOVER-MAIN</x:v>
      </x:c>
      <x:c r="P12" s="7" t="str">
        <x:v>Découpage original pour sprites 2D sur décor 3D.</x:v>
      </x:c>
      <x:c r="Q12" s="7" t="str"/>
      <x:c r="R12" s="21" t="str"/>
      <x:c r="S12" s="21" t="str"/>
    </x:row>
  </x:sheetData>
  <x:conditionalFormatting sqref="D7:D12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2">
    <x:cfRule type="cellIs" dxfId="54" priority="3" operator="equal">
      <x:formula>"Validé"</x:formula>
    </x:cfRule>
  </x:conditionalFormatting>
  <x:conditionalFormatting sqref="E7:E12">
    <x:cfRule type="cellIs" dxfId="5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536b9d48aa4228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RED-KIT-SIDEARM</x:v>
      </x:c>
      <x:c r="B7" s="9" t="str">
        <x:v>Arme de poing de production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Profil léger proposé pour les confrontations du duo.</x:v>
      </x:c>
      <x:c r="G7" s="9" t="str">
        <x:v>Ne pas attribuer un modèle précis sans inspection des cases.</x:v>
      </x:c>
      <x:c r="H7" s="9" t="str">
        <x:v>Tir court, précision stable, coût ATB annoncé; couverture réduit la ligne de tir.</x:v>
      </x:c>
      <x:c r="I7" s="9" t="str">
        <x:v>Silhouette compacte, canon lisible, palette neutre.</x:v>
      </x:c>
      <x:c r="J7" s="9" t="str">
        <x:v>Sortie du holster, visée, recul et rangement.</x:v>
      </x:c>
      <x:c r="K7" s="9" t="str">
        <x:v>Confirmation audiovisuelle originale, doublée d’un libellé.</x:v>
      </x:c>
      <x:c r="L7" s="9" t="str">
        <x:v>Spécification de ressource RED/kit/SIDEARM;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sprite d’arme suit la main et le tir ne traverse pas le couvert.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20" t="str"/>
      <x:c r="S7" s="20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dbe53824734ab8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RED-KIT-ACCESS</x:v>
      </x:c>
      <x:c r="B7" s="9" t="str">
        <x:v>Kit de couverture de Feron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locale originale pour préparer un contrôle.</x:v>
      </x:c>
      <x:c r="G7" s="9" t="str">
        <x:v>Matérialiser la préparation d’identité.</x:v>
      </x:c>
      <x:c r="H7" s="9" t="str">
        <x:v>Usage limité au secteur préparé; vérifier le coût avant validation.</x:v>
      </x:c>
      <x:c r="I7" s="9" t="str">
        <x:v>Petite carte, affichage du secteur en texte.</x:v>
      </x:c>
      <x:c r="J7" s="9" t="str">
        <x:v>Inspection à une main et remise en poche.</x:v>
      </x:c>
      <x:c r="K7" s="9" t="str">
        <x:v>Confirmation audiovisuelle originale, doublée d’un libellé.</x:v>
      </x:c>
      <x:c r="L7" s="9" t="str">
        <x:v>Spécification de ressource RED/kit/ACCESS;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Impossible d’ouvrir un accès qui n’a pas été préparé.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20" t="str"/>
      <x:c r="S7" s="20" t="str"/>
    </x:row>
  </x:sheetData>
  <x:conditionalFormatting sqref="D7:D7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7">
    <x:cfRule type="cellIs" dxfId="62" priority="3" operator="equal">
      <x:formula>"Validé"</x:formula>
    </x:cfRule>
  </x:conditionalFormatting>
  <x:conditionalFormatting sqref="E7:E7">
    <x:cfRule type="cellIs" dxfId="63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eba77ec7954294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RED-KIT-BIOTIC</x:v>
      </x:c>
      <x:c r="B7" s="9" t="str">
        <x:v>Déplacement biotique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Pouvoir tactique original inspiré du rôle de Liara, sans valeur canon.</x:v>
      </x:c>
      <x:c r="G7" s="9" t="str">
        <x:v>Créer des fenêtres de traversée.</x:v>
      </x:c>
      <x:c r="H7" s="9" t="str">
        <x:v>Sélectionner un objet léger ou une cible compatible; obstacles fixes exclus; coût visible.</x:v>
      </x:c>
      <x:c r="I7" s="9" t="str">
        <x:v>Contour cyan et destination marquée.</x:v>
      </x:c>
      <x:c r="J7" s="9" t="str">
        <x:v>Bras écartés puis relâchement.</x:v>
      </x:c>
      <x:c r="K7" s="9" t="str">
        <x:v>Confirmation audiovisuelle originale, doublée d’un libellé.</x:v>
      </x:c>
      <x:c r="L7" s="9" t="str">
        <x:v>Spécification de ressource RED/kit/BIOTIC;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prévisualisation correspond au résultat et ne déplace pas un objet narratif verrouillé.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20" t="str"/>
      <x:c r="S7" s="20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d896cbac5b4525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RED-ALLY-LIARA</x:v>
      </x:c>
      <x:c r="B7" s="9" t="str">
        <x:v>Écran de passage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Liara T’Soni.</x:v>
      </x:c>
      <x:c r="G7" s="9" t="str">
        <x:v>Héroïne du duo; maîtrise du terrain et questions d’enquête.</x:v>
      </x:c>
      <x:c r="H7" s="9" t="str">
        <x:v>Proposition : dépenser une action pour déplacer un obstacle léger et ouvrir un passage au partenaire; inutile contre une structure fixe.</x:v>
      </x:c>
      <x:c r="I7" s="9" t="str">
        <x:v>Contour cyan de l’obstacle et flèche vers la case d’arrivée.</x:v>
      </x:c>
      <x:c r="J7" s="9" t="str">
        <x:v>Garde ouverte, poussée des deux bras, lecture d’un terminal, protection du partenaire.</x:v>
      </x:c>
      <x:c r="K7" s="9" t="str">
        <x:v>Confirmation courte doublée d’un pictogramme; événement silencieux visible dans le journal de combat.</x:v>
      </x:c>
      <x:c r="L7" s="9" t="str">
        <x:v>Commande ATB proposée RED/LIARA/assist; résoudre cible, coût proposé, contre-mesure et annulation avant les dégâts.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RED-ACT-LIARA, RED-ANI-LIARA</x:v>
      </x:c>
      <x:c r="P7" s="9" t="str">
        <x:v>Adaptation originale du rôle; pas un pouvoir officiel du comic.</x:v>
      </x:c>
      <x:c r="Q7" s="9" t="str"/>
      <x:c r="R7" s="20" t="str"/>
      <x:c r="S7" s="20" t="str"/>
    </x:row>
    <x:row r="8" ht="68" customHeight="1">
      <x:c r="A8" s="19" t="str">
        <x:v>RED-ALLY-FERON</x:v>
      </x:c>
      <x:c r="B8" s="7" t="str">
        <x:v>Couverture d’identité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Feron.</x:v>
      </x:c>
      <x:c r="G8" s="7" t="str">
        <x:v>Soutien furtif; transforme une information en fenêtre de progression.</x:v>
      </x:c>
      <x:c r="H8" s="7" t="str">
        <x:v>Préparer une justification avant un contrôle; consommer cette préparation sur un seul accès, sans rendre tous les gardes passifs.</x:v>
      </x:c>
      <x:c r="I8" s="7" t="str">
        <x:v>Icône de laissez-passer barrée dès utilisation.</x:v>
      </x:c>
      <x:c r="J8" s="7" t="str">
        <x:v>Coup d’œil latéral, geste de passe, accroupissement et manipulation discrète.</x:v>
      </x:c>
      <x:c r="K8" s="7" t="str">
        <x:v>Confirmation courte doublée d’un pictogramme; événement silencieux visible dans le journal de combat.</x:v>
      </x:c>
      <x:c r="L8" s="7" t="str">
        <x:v>Commande ATB proposée RED/FERON/assist; résoudre cible, coût proposé, contre-mesure et annulation avant les dégâts.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RED-ACT-FERON, RED-ANI-FERON</x:v>
      </x:c>
      <x:c r="P8" s="7" t="str">
        <x:v>Adaptation originale du rôle; pas un pouvoir officiel du comic.</x:v>
      </x:c>
      <x:c r="Q8" s="7" t="str"/>
      <x:c r="R8" s="21" t="str"/>
      <x:c r="S8" s="21" t="str"/>
    </x:row>
  </x:sheetData>
  <x:conditionalFormatting sqref="D7:D8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8">
    <x:cfRule type="cellIs" dxfId="70" priority="3" operator="equal">
      <x:formula>"Validé"</x:formula>
    </x:cfRule>
  </x:conditionalFormatting>
  <x:conditionalFormatting sqref="E7:E8">
    <x:cfRule type="cellIs" dxfId="7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33d7c6f4194548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RED-EN-SUNS-M1</x:v>
      </x:c>
      <x:c r="B7" s="9" t="str">
        <x:v>Fixation de quai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tir soutenu.</x:v>
      </x:c>
      <x:c r="G7" s="9" t="str">
        <x:v>Pression armée et contrôle du quai.</x:v>
      </x:c>
      <x:c r="H7" s="9" t="str">
        <x:v>Annoncer la ligne de tir; le couvert l’interrompt, déplacement latéral la quitte.</x:v>
      </x:c>
      <x:c r="I7" s="9" t="str">
        <x:v>Ligne hachurée au sol.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Action proposée RED/SUNS/1; étapes annonce → attente ATB → validation cible → résolution; annulation explicite si neutralisé.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RED-EN-SUNS</x:v>
      </x:c>
      <x:c r="P7" s="9" t="str">
        <x:v>Pattern original; pas de valeur numérique canon.</x:v>
      </x:c>
      <x:c r="Q7" s="9" t="str"/>
      <x:c r="R7" s="20" t="str"/>
      <x:c r="S7" s="20" t="str"/>
    </x:row>
    <x:row r="8" ht="68" customHeight="1">
      <x:c r="A8" s="19" t="str">
        <x:v>RED-EN-SUNS-M2</x:v>
      </x:c>
      <x:c r="B8" s="7" t="str">
        <x:v>Verrou de passage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contrôle de terrain.</x:v>
      </x:c>
      <x:c r="G8" s="7" t="str">
        <x:v>Pression armée et contrôle du quai.</x:v>
      </x:c>
      <x:c r="H8" s="7" t="str">
        <x:v>Le mercenaire ferme un accès après préparation; interrompre sa commande ou emprunter l’accès secondaire.</x:v>
      </x:c>
      <x:c r="I8" s="7" t="str">
        <x:v>Icône de verrou sur la porte et geste vers le panneau.</x:v>
      </x:c>
      <x:c r="J8" s="7" t="str">
        <x:v>Mise en joue, maintien et recul lisible.</x:v>
      </x:c>
      <x:c r="K8" s="7" t="str">
        <x:v>Salves sèches et annonce radio inventée.</x:v>
      </x:c>
      <x:c r="L8" s="7" t="str">
        <x:v>Action proposée RED/SUNS/2; étapes annonce → attente ATB → validation cible → résolution; annulation explicite si neutralisé.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RED-EN-SUNS</x:v>
      </x:c>
      <x:c r="P8" s="7" t="str">
        <x:v>Pattern original; pas de valeur numérique canon.</x:v>
      </x:c>
      <x:c r="Q8" s="7" t="str"/>
      <x:c r="R8" s="21" t="str"/>
      <x:c r="S8" s="21" t="str"/>
    </x:row>
    <x:row r="9" ht="68" customHeight="1">
      <x:c r="A9" s="18" t="str">
        <x:v>RED-EN-SENTRY-M1</x:v>
      </x:c>
      <x:c r="B9" s="9" t="str">
        <x:v>Passe de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Manœuvre de poursuite originale.</x:v>
      </x:c>
      <x:c r="G9" s="9" t="str">
        <x:v>Menace de navigation proposée, à vérifier dans l’édition.</x:v>
      </x:c>
      <x:c r="H9" s="9" t="str">
        <x:v>Choisir un couloir abrité avant la résolution; aucun tir automatique hors écran.</x:v>
      </x:c>
      <x:c r="I9" s="9" t="str">
        <x:v>Arc de balayage.</x:v>
      </x:c>
      <x:c r="J9" s="9" t="str">
        <x:v>Virage anticipé et ligne droite de poursuite.</x:v>
      </x:c>
      <x:c r="K9" s="9" t="str">
        <x:v>Alerte brève visible dans l’afficheur.</x:v>
      </x:c>
      <x:c r="L9" s="9" t="str">
        <x:v>Action proposée RED/SENTRY/1; étapes annonce → attente ATB → validation cible → résolution; annulation explicite si neutralisé.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RED-EN-SENTRY</x:v>
      </x:c>
      <x:c r="P9" s="9" t="str">
        <x:v>Pattern original; pas de valeur numérique canon.</x:v>
      </x:c>
      <x:c r="Q9" s="9" t="str"/>
      <x:c r="R9" s="20" t="str"/>
      <x:c r="S9" s="20" t="str"/>
    </x:row>
    <x:row r="10" ht="68" customHeight="1">
      <x:c r="A10" s="19" t="str">
        <x:v>RED-EN-SENTRY-M2</x:v>
      </x:c>
      <x:c r="B10" s="7" t="str">
        <x:v>Interception de route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Verrouillage original d’une voie.</x:v>
      </x:c>
      <x:c r="G10" s="7" t="str">
        <x:v>Menace de navigation proposée, à vérifier dans l’édition.</x:v>
      </x:c>
      <x:c r="H10" s="7" t="str">
        <x:v>Changer de trajectoire pendant la préparation; conserver toujours une issue.</x:v>
      </x:c>
      <x:c r="I10" s="7" t="str">
        <x:v>Segment barré avec durée proposée visible.</x:v>
      </x:c>
      <x:c r="J10" s="7" t="str">
        <x:v>Virage anticipé et ligne droite de poursuite.</x:v>
      </x:c>
      <x:c r="K10" s="7" t="str">
        <x:v>Alerte brève visible dans l’afficheur.</x:v>
      </x:c>
      <x:c r="L10" s="7" t="str">
        <x:v>Action proposée RED/SENTRY/2; étapes annonce → attente ATB → validation cible → résolution; annulation explicite si neutralisé.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RED-EN-SENTRY</x:v>
      </x:c>
      <x:c r="P10" s="7" t="str">
        <x:v>Pattern original; pas de valeur numérique canon.</x:v>
      </x:c>
      <x:c r="Q10" s="7" t="str"/>
      <x:c r="R10" s="21" t="str"/>
      <x:c r="S10" s="21" t="str"/>
    </x:row>
    <x:row r="11" ht="68" customHeight="1">
      <x:c r="A11" s="18" t="str">
        <x:v>RED-EN-GUARDS-M1</x:v>
      </x:c>
      <x:c r="B11" s="9" t="str">
        <x:v>Contrôle rapproché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Inspection originale de couverture.</x:v>
      </x:c>
      <x:c r="G11" s="9" t="str">
        <x:v>Obstacle de furtivité avant combat.</x:v>
      </x:c>
      <x:c r="H11" s="9" t="str">
        <x:v>Présenter un droit adapté ou quitter la zone de contrôle avant son verrouillage.</x:v>
      </x:c>
      <x:c r="I11" s="9" t="str">
        <x:v>Cône de question plutôt que viseur mortel.</x:v>
      </x:c>
      <x:c r="J11" s="9" t="str">
        <x:v>Contrôle de badge puis pivot de surveillance.</x:v>
      </x:c>
      <x:c r="K11" s="9" t="str">
        <x:v>Interphone et signal d’alerte sectoriel.</x:v>
      </x:c>
      <x:c r="L11" s="9" t="str">
        <x:v>Action proposée RED/GUARDS/1; étapes annonce → attente ATB → validation cible → résolution; annulation explicite si neutralisé.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RED-EN-GUARDS</x:v>
      </x:c>
      <x:c r="P11" s="9" t="str">
        <x:v>Pattern original; pas de valeur numérique canon.</x:v>
      </x:c>
      <x:c r="Q11" s="9" t="str"/>
      <x:c r="R11" s="20" t="str"/>
      <x:c r="S11" s="20" t="str"/>
    </x:row>
    <x:row r="12" ht="68" customHeight="1">
      <x:c r="A12" s="19" t="str">
        <x:v>RED-EN-GUARDS-M2</x:v>
      </x:c>
      <x:c r="B12" s="7" t="str">
        <x:v>Alerte compartimentée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Renfort original limité au secteur.</x:v>
      </x:c>
      <x:c r="G12" s="7" t="str">
        <x:v>Obstacle de furtivité avant combat.</x:v>
      </x:c>
      <x:c r="H12" s="7" t="str">
        <x:v>Interrompre le relais local; aucun renfort n’apparaît sans entrée visible.</x:v>
      </x:c>
      <x:c r="I12" s="7" t="str">
        <x:v>Relais clignotant avec symbole d’appel.</x:v>
      </x:c>
      <x:c r="J12" s="7" t="str">
        <x:v>Contrôle de badge puis pivot de surveillance.</x:v>
      </x:c>
      <x:c r="K12" s="7" t="str">
        <x:v>Interphone et signal d’alerte sectoriel.</x:v>
      </x:c>
      <x:c r="L12" s="7" t="str">
        <x:v>Action proposée RED/GUARDS/2; étapes annonce → attente ATB → validation cible → résolution; annulation explicite si neutralisé.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RED-EN-GUARDS</x:v>
      </x:c>
      <x:c r="P12" s="7" t="str">
        <x:v>Pattern original; pas de valeur numérique canon.</x:v>
      </x:c>
      <x:c r="Q12" s="7" t="str"/>
      <x:c r="R12" s="21" t="str"/>
      <x:c r="S12" s="21" t="str"/>
    </x:row>
  </x:sheetData>
  <x:conditionalFormatting sqref="D7:D12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2">
    <x:cfRule type="cellIs" dxfId="74" priority="3" operator="equal">
      <x:formula>"Validé"</x:formula>
    </x:cfRule>
  </x:conditionalFormatting>
  <x:conditionalFormatting sqref="E7:E12">
    <x:cfRule type="cellIs" dxfId="7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0cb1093f364717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RED-ANI-LIARA</x:v>
      </x:c>
      <x:c r="B7" s="9" t="str">
        <x:v>Liara T’Soni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Liara T’Soni.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</x:v>
      </x:c>
      <x:c r="J7" s="9" t="str">
        <x:v>Garde ouverte, poussée des deux bras, lecture d’un terminal, protection du partenaire.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RED/LIARA; paramètres direction, locomotion, accessoire et interruption.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enchaînement déplacement → interaction → interruption → reprise conserve le pivot et les accessoires de Liara T’Soni.</x:v>
      </x:c>
      <x:c r="O7" s="9" t="str">
        <x:v>RED-ACT-LIARA, RED-SPR-LIARA</x:v>
      </x:c>
      <x:c r="P7" s="9" t="str">
        <x:v>Conception originale, aucune cadence extraite du comic.</x:v>
      </x:c>
      <x:c r="Q7" s="9" t="str"/>
      <x:c r="R7" s="20" t="str"/>
      <x:c r="S7" s="20" t="str"/>
    </x:row>
    <x:row r="8" ht="82" customHeight="1">
      <x:c r="A8" s="19" t="str">
        <x:v>RED-ANI-FERON</x:v>
      </x:c>
      <x:c r="B8" s="7" t="str">
        <x:v>Feron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Feron.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</x:v>
      </x:c>
      <x:c r="J8" s="7" t="str">
        <x:v>Coup d’œil latéral, geste de passe, accroupissement et manipulation discrète.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RED/FERON; paramètres direction, locomotion, accessoire et interruption.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enchaînement déplacement → interaction → interruption → reprise conserve le pivot et les accessoires de Feron.</x:v>
      </x:c>
      <x:c r="O8" s="7" t="str">
        <x:v>RED-ACT-FERON, RED-SPR-FERON</x:v>
      </x:c>
      <x:c r="P8" s="7" t="str">
        <x:v>Conception originale, aucune cadence extraite du comic.</x:v>
      </x:c>
      <x:c r="Q8" s="7" t="str"/>
      <x:c r="R8" s="21" t="str"/>
      <x:c r="S8" s="21" t="str"/>
    </x:row>
    <x:row r="9" ht="68" customHeight="1">
      <x:c r="A9" s="18" t="str">
        <x:v>RED-ANI-MIRANDA</x:v>
      </x:c>
      <x:c r="B9" s="9" t="str">
        <x:v>Miranda Lawson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Miranda Lawson.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</x:v>
      </x:c>
      <x:c r="J9" s="9" t="str">
        <x:v>Posture droite, main sur interface, demi-tour contrôlé.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RED/MIRANDA; paramètres direction, locomotion, accessoire et interruption.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enchaînement déplacement → interaction → interruption → reprise conserve le pivot et les accessoires de Miranda Lawson.</x:v>
      </x:c>
      <x:c r="O9" s="9" t="str">
        <x:v>RED-ACT-MIRANDA, RED-SPR-MIRANDA</x:v>
      </x:c>
      <x:c r="P9" s="9" t="str">
        <x:v>Conception originale, aucune cadence extraite du comic.</x:v>
      </x:c>
      <x:c r="Q9" s="9" t="str"/>
      <x:c r="R9" s="20" t="str"/>
      <x:c r="S9" s="20" t="str"/>
    </x:row>
    <x:row r="10" ht="68" customHeight="1">
      <x:c r="A10" s="19" t="str">
        <x:v>RED-ANI-ARIA</x:v>
      </x:c>
      <x:c r="B10" s="7" t="str">
        <x:v>Aria T’Loak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Aria T’Loak.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</x:v>
      </x:c>
      <x:c r="J10" s="7" t="str">
        <x:v>Immobilité dominante, inclinaison de tête, geste qui clôt l’entretien.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RED/ARIA; paramètres direction, locomotion, accessoire et interruption.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Un enchaînement déplacement → interaction → interruption → reprise conserve le pivot et les accessoires de Aria T’Loak.</x:v>
      </x:c>
      <x:c r="O10" s="7" t="str">
        <x:v>RED-ACT-ARIA, RED-SPR-ARIA</x:v>
      </x:c>
      <x:c r="P10" s="7" t="str">
        <x:v>Conception originale, aucune cadence extraite du comic.</x:v>
      </x:c>
      <x:c r="Q10" s="7" t="str"/>
      <x:c r="R10" s="21" t="str"/>
      <x:c r="S10" s="21" t="str"/>
    </x:row>
    <x:row r="11" ht="68" customHeight="1">
      <x:c r="A11" s="18" t="str">
        <x:v>RED-ANI-TIM</x:v>
      </x:c>
      <x:c r="B11" s="9" t="str">
        <x:v>L’Homme trouble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L’Homme trouble.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</x:v>
      </x:c>
      <x:c r="J11" s="9" t="str">
        <x:v>Regard fixe, déplacement léger de la main, interruption du canal.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RED/TIM; paramètres direction, locomotion, accessoire et interruption.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Un enchaînement déplacement → interaction → interruption → reprise conserve le pivot et les accessoires de L’Homme trouble.</x:v>
      </x:c>
      <x:c r="O11" s="9" t="str">
        <x:v>RED-ACT-TIM, RED-SPR-TIM</x:v>
      </x:c>
      <x:c r="P11" s="9" t="str">
        <x:v>Conception originale, aucune cadence extraite du comic.</x:v>
      </x:c>
      <x:c r="Q11" s="9" t="str"/>
      <x:c r="R11" s="20" t="str"/>
      <x:c r="S11" s="20" t="str"/>
    </x:row>
    <x:row r="12" ht="68" customHeight="1">
      <x:c r="A12" s="19" t="str">
        <x:v>RED-ANI-TAZZIK</x:v>
      </x:c>
      <x:c r="B12" s="7" t="str">
        <x:v>Tazzik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Tazzik.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</x:v>
      </x:c>
      <x:c r="J12" s="7" t="str">
        <x:v>Visée basse, recul bref, blocage de passage et retournement.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RED/TAZZIK; paramètres direction, locomotion, accessoire et interruption.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Un enchaînement déplacement → interaction → interruption → reprise conserve le pivot et les accessoires de Tazzik.</x:v>
      </x:c>
      <x:c r="O12" s="7" t="str">
        <x:v>RED-ACT-TAZZIK, RED-SPR-TAZZIK</x:v>
      </x:c>
      <x:c r="P12" s="7" t="str">
        <x:v>Conception originale, aucune cadence extraite du comic.</x:v>
      </x:c>
      <x:c r="Q12" s="7" t="str"/>
      <x:c r="R12" s="21" t="str"/>
      <x:c r="S12" s="21" t="str"/>
    </x:row>
    <x:row r="13" ht="68" customHeight="1">
      <x:c r="A13" s="18" t="str">
        <x:v>RED-ANI-BROKER</x:v>
      </x:c>
      <x:c r="B13" s="9" t="str">
        <x:v>Courtier de l’ombre — représentation distante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Courtier de l’ombre — représentation distante.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</x:v>
      </x:c>
      <x:c r="J13" s="9" t="str">
        <x:v>Interface active, brouillage puis extinction.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RED/BROKER; paramètres direction, locomotion, accessoire et interruption.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Un enchaînement déplacement → interaction → interruption → reprise conserve le pivot et les accessoires de Courtier de l’ombre — représentation distante.</x:v>
      </x:c>
      <x:c r="O13" s="9" t="str">
        <x:v>RED-ACT-BROKER, RED-SPR-BROKER</x:v>
      </x:c>
      <x:c r="P13" s="9" t="str">
        <x:v>Conception originale, aucune cadence extraite du comic.</x:v>
      </x:c>
      <x:c r="Q13" s="9" t="str"/>
      <x:c r="R13" s="20" t="str"/>
      <x:c r="S13" s="20" t="str"/>
    </x:row>
  </x:sheetData>
  <x:conditionalFormatting sqref="D7:D13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3">
    <x:cfRule type="cellIs" dxfId="78" priority="3" operator="equal">
      <x:formula>"Validé"</x:formula>
    </x:cfRule>
  </x:conditionalFormatting>
  <x:conditionalFormatting sqref="E7:E13">
    <x:cfRule type="cellIs" dxfId="79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6996ec0c78491a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RED-SPR-LIARA</x:v>
      </x:c>
      <x:c r="B7" s="9" t="str">
        <x:v>Liara T’Soni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Liara T’Soni dans le module Redemption.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 Prévoir face, dos et profils trois-quarts; conserver le même pivot de pieds dans chaque pose.</x:v>
      </x:c>
      <x:c r="J7" s="9" t="str">
        <x:v>Garde ouverte, poussée des deux bras, lecture d’un terminal, protection du partenaire. Séparer arme/objet tenu du corps lorsque le changement de main est nécessaire.</x:v>
      </x:c>
      <x:c r="K7" s="9" t="str"/>
      <x:c r="L7" s="9" t="str">
        <x:v>Atlas prévu red/actors/liara; métadonnées pivot, masque d'occlusion, orientation et état. Aucun fichier de sprite n'est livré par ce catalogue.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planche permet d'identifier Liara T’Soni sans portrait UI à l'échelle de jeu; pieds stables devant les occultations du décor 3D.</x:v>
      </x:c>
      <x:c r="O7" s="9" t="str">
        <x:v>RED-ACT-LIARA</x:v>
      </x:c>
      <x:c r="P7" s="9" t="str">
        <x:v>Conception originale; référence visuelle du personnage à contrôler.</x:v>
      </x:c>
      <x:c r="Q7" s="9" t="str"/>
      <x:c r="R7" s="20" t="str"/>
      <x:c r="S7" s="20" t="str"/>
    </x:row>
    <x:row r="8" ht="68" customHeight="1">
      <x:c r="A8" s="19" t="str">
        <x:v>RED-SPR-FERON</x:v>
      </x:c>
      <x:c r="B8" s="7" t="str">
        <x:v>Feron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Feron dans le module Redemption.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 Prévoir face, dos et profils trois-quarts; conserver le même pivot de pieds dans chaque pose.</x:v>
      </x:c>
      <x:c r="J8" s="7" t="str">
        <x:v>Coup d’œil latéral, geste de passe, accroupissement et manipulation discrète. Séparer arme/objet tenu du corps lorsque le changement de main est nécessaire.</x:v>
      </x:c>
      <x:c r="K8" s="7" t="str"/>
      <x:c r="L8" s="7" t="str">
        <x:v>Atlas prévu red/actors/feron; métadonnées pivot, masque d'occlusion, orientation et état. Aucun fichier de sprite n'est livré par ce catalogue.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planche permet d'identifier Feron sans portrait UI à l'échelle de jeu; pieds stables devant les occultations du décor 3D.</x:v>
      </x:c>
      <x:c r="O8" s="7" t="str">
        <x:v>RED-ACT-FERON</x:v>
      </x:c>
      <x:c r="P8" s="7" t="str">
        <x:v>Conception originale; référence visuelle du personnage à contrôler.</x:v>
      </x:c>
      <x:c r="Q8" s="7" t="str"/>
      <x:c r="R8" s="21" t="str"/>
      <x:c r="S8" s="21" t="str"/>
    </x:row>
    <x:row r="9" ht="68" customHeight="1">
      <x:c r="A9" s="18" t="str">
        <x:v>RED-SPR-MIRANDA</x:v>
      </x:c>
      <x:c r="B9" s="9" t="str">
        <x:v>Miranda Lawson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Miranda Lawson dans le module Redemption.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 Prévoir face, dos et profils trois-quarts; conserver le même pivot de pieds dans chaque pose.</x:v>
      </x:c>
      <x:c r="J9" s="9" t="str">
        <x:v>Posture droite, main sur interface, demi-tour contrôlé. Séparer arme/objet tenu du corps lorsque le changement de main est nécessaire.</x:v>
      </x:c>
      <x:c r="K9" s="9" t="str"/>
      <x:c r="L9" s="9" t="str">
        <x:v>Atlas prévu red/actors/miranda; métadonnées pivot, masque d'occlusion, orientation et état. Aucun fichier de sprite n'est livré par ce catalogue.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planche permet d'identifier Miranda Lawson sans portrait UI à l'échelle de jeu; pieds stables devant les occultations du décor 3D.</x:v>
      </x:c>
      <x:c r="O9" s="9" t="str">
        <x:v>RED-ACT-MIRANDA</x:v>
      </x:c>
      <x:c r="P9" s="9" t="str">
        <x:v>Conception originale; référence visuelle du personnage à contrôler.</x:v>
      </x:c>
      <x:c r="Q9" s="9" t="str"/>
      <x:c r="R9" s="20" t="str"/>
      <x:c r="S9" s="20" t="str"/>
    </x:row>
    <x:row r="10" ht="68" customHeight="1">
      <x:c r="A10" s="19" t="str">
        <x:v>RED-SPR-ARIA</x:v>
      </x:c>
      <x:c r="B10" s="7" t="str">
        <x:v>Aria T’Loak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Aria T’Loak dans le module Redemption.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 Prévoir face, dos et profils trois-quarts; conserver le même pivot de pieds dans chaque pose.</x:v>
      </x:c>
      <x:c r="J10" s="7" t="str">
        <x:v>Immobilité dominante, inclinaison de tête, geste qui clôt l’entretien. Séparer arme/objet tenu du corps lorsque le changement de main est nécessaire.</x:v>
      </x:c>
      <x:c r="K10" s="7" t="str"/>
      <x:c r="L10" s="7" t="str">
        <x:v>Atlas prévu red/actors/aria; métadonnées pivot, masque d'occlusion, orientation et état. Aucun fichier de sprite n'est livré par ce catalogue.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planche permet d'identifier Aria T’Loak sans portrait UI à l'échelle de jeu; pieds stables devant les occultations du décor 3D.</x:v>
      </x:c>
      <x:c r="O10" s="7" t="str">
        <x:v>RED-ACT-ARIA</x:v>
      </x:c>
      <x:c r="P10" s="7" t="str">
        <x:v>Conception originale; référence visuelle du personnage à contrôler.</x:v>
      </x:c>
      <x:c r="Q10" s="7" t="str"/>
      <x:c r="R10" s="21" t="str"/>
      <x:c r="S10" s="21" t="str"/>
    </x:row>
    <x:row r="11" ht="68" customHeight="1">
      <x:c r="A11" s="18" t="str">
        <x:v>RED-SPR-TIM</x:v>
      </x:c>
      <x:c r="B11" s="9" t="str">
        <x:v>L’Homme trouble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L’Homme trouble dans le module Redemption.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 Prévoir face, dos et profils trois-quarts; conserver le même pivot de pieds dans chaque pose.</x:v>
      </x:c>
      <x:c r="J11" s="9" t="str">
        <x:v>Regard fixe, déplacement léger de la main, interruption du canal. Séparer arme/objet tenu du corps lorsque le changement de main est nécessaire.</x:v>
      </x:c>
      <x:c r="K11" s="9" t="str"/>
      <x:c r="L11" s="9" t="str">
        <x:v>Atlas prévu red/actors/tim; métadonnées pivot, masque d'occlusion, orientation et état. Aucun fichier de sprite n'est livré par ce catalogue.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planche permet d'identifier L’Homme trouble sans portrait UI à l'échelle de jeu; pieds stables devant les occultations du décor 3D.</x:v>
      </x:c>
      <x:c r="O11" s="9" t="str">
        <x:v>RED-ACT-TIM</x:v>
      </x:c>
      <x:c r="P11" s="9" t="str">
        <x:v>Conception originale; référence visuelle du personnage à contrôler.</x:v>
      </x:c>
      <x:c r="Q11" s="9" t="str"/>
      <x:c r="R11" s="20" t="str"/>
      <x:c r="S11" s="20" t="str"/>
    </x:row>
    <x:row r="12" ht="68" customHeight="1">
      <x:c r="A12" s="19" t="str">
        <x:v>RED-SPR-TAZZIK</x:v>
      </x:c>
      <x:c r="B12" s="7" t="str">
        <x:v>Tazzik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Tazzik dans le module Redemption.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 Prévoir face, dos et profils trois-quarts; conserver le même pivot de pieds dans chaque pose.</x:v>
      </x:c>
      <x:c r="J12" s="7" t="str">
        <x:v>Visée basse, recul bref, blocage de passage et retournement. Séparer arme/objet tenu du corps lorsque le changement de main est nécessaire.</x:v>
      </x:c>
      <x:c r="K12" s="7" t="str"/>
      <x:c r="L12" s="7" t="str">
        <x:v>Atlas prévu red/actors/tazzik; métadonnées pivot, masque d'occlusion, orientation et état. Aucun fichier de sprite n'est livré par ce catalogue.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planche permet d'identifier Tazzik sans portrait UI à l'échelle de jeu; pieds stables devant les occultations du décor 3D.</x:v>
      </x:c>
      <x:c r="O12" s="7" t="str">
        <x:v>RED-ACT-TAZZIK</x:v>
      </x:c>
      <x:c r="P12" s="7" t="str">
        <x:v>Conception originale; référence visuelle du personnage à contrôler.</x:v>
      </x:c>
      <x:c r="Q12" s="7" t="str"/>
      <x:c r="R12" s="21" t="str"/>
      <x:c r="S12" s="21" t="str"/>
    </x:row>
    <x:row r="13" ht="68" customHeight="1">
      <x:c r="A13" s="18" t="str">
        <x:v>RED-SPR-BROKER</x:v>
      </x:c>
      <x:c r="B13" s="9" t="str">
        <x:v>Courtier de l’ombre — représentation distante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Courtier de l’ombre — représentation distante dans le module Redemption.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 Prévoir face, dos et profils trois-quarts; conserver le même pivot de pieds dans chaque pose.</x:v>
      </x:c>
      <x:c r="J13" s="9" t="str">
        <x:v>Interface active, brouillage puis extinction. Séparer arme/objet tenu du corps lorsque le changement de main est nécessaire.</x:v>
      </x:c>
      <x:c r="K13" s="9" t="str"/>
      <x:c r="L13" s="9" t="str">
        <x:v>Atlas prévu red/actors/broker; métadonnées pivot, masque d'occlusion, orientation et état. Aucun fichier de sprite n'est livré par ce catalogue.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La planche permet d'identifier Courtier de l’ombre — représentation distante sans portrait UI à l'échelle de jeu; pieds stables devant les occultations du décor 3D.</x:v>
      </x:c>
      <x:c r="O13" s="9" t="str">
        <x:v>RED-ACT-BROKER</x:v>
      </x:c>
      <x:c r="P13" s="9" t="str">
        <x:v>Conception originale; référence visuelle du personnage à contrôler.</x:v>
      </x:c>
      <x:c r="Q13" s="9" t="str"/>
      <x:c r="R13" s="20" t="str"/>
      <x:c r="S13" s="20" t="str"/>
    </x:row>
  </x:sheetData>
  <x:conditionalFormatting sqref="D7:D13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3">
    <x:cfRule type="cellIs" dxfId="82" priority="3" operator="equal">
      <x:formula>"Validé"</x:formula>
    </x:cfRule>
  </x:conditionalFormatting>
  <x:conditionalFormatting sqref="E7:E13">
    <x:cfRule type="cellIs" dxfId="8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7f8c8492614305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RED-SC-CONTACT-VFX</x:v>
      </x:c>
      <x:c r="B7" s="9" t="str">
        <x:v>Contact sur Omega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Pulsation douce du repère avec symbole d’enquête, différente d’un objet de combat.</x:v>
      </x:c>
      <x:c r="G7" s="9" t="str">
        <x:v>Rendre lisibles les interactions propres à cette séquence à la taille réelle du jeu.</x:v>
      </x:c>
      <x:c r="H7" s="9" t="str"/>
      <x:c r="I7" s="9" t="str">
        <x:v>Pulsation douce du repère avec symbole d’enquête, différente d’un objet de combat.</x:v>
      </x:c>
      <x:c r="J7" s="9" t="str">
        <x:v>Anticipation séparée de l’impact; variante sans flash, sans secousse et à contraste renforcé.</x:v>
      </x:c>
      <x:c r="K7" s="9" t="str">
        <x:v>Brouhaha bas et motif de deux notes dissonantes.</x:v>
      </x:c>
      <x:c r="L7" s="9" t="str">
        <x:v>Émetteur proposé RED/CONTACT/vfx; ancrage sur monde 3D et tri compatible avec les sprites; options de confort indépendantes.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signal reste identifiable en pause et sans son; aucun flash plein écran indispensable pour comprendre la résolution.</x:v>
      </x:c>
      <x:c r="O7" s="9" t="str">
        <x:v>RED-SC-CONTACT-MAIN</x:v>
      </x:c>
      <x:c r="P7" s="9" t="str">
        <x:v>VFX original; intensité et timing à régler au prototype.</x:v>
      </x:c>
      <x:c r="Q7" s="9" t="str"/>
      <x:c r="R7" s="20" t="str"/>
      <x:c r="S7" s="20" t="str"/>
    </x:row>
    <x:row r="8" ht="68" customHeight="1">
      <x:c r="A8" s="19" t="str">
        <x:v>RED-SC-AFTERLIFE-VFX</x:v>
      </x:c>
      <x:c r="B8" s="7" t="str">
        <x:v>Entretien à Afterlife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Lueur de confirmation sur le terminal, sans effet de gain de puissance.</x:v>
      </x:c>
      <x:c r="G8" s="7" t="str">
        <x:v>Rendre lisibles les interactions propres à cette séquence à la taille réelle du jeu.</x:v>
      </x:c>
      <x:c r="H8" s="7" t="str"/>
      <x:c r="I8" s="7" t="str">
        <x:v>Lueur de confirmation sur le terminal, sans effet de gain de puissance.</x:v>
      </x:c>
      <x:c r="J8" s="7" t="str">
        <x:v>Anticipation séparée de l’impact; variante sans flash, sans secousse et à contraste renforcé.</x:v>
      </x:c>
      <x:c r="K8" s="7" t="str">
        <x:v>Musique de club originale filtrée durant la conversation.</x:v>
      </x:c>
      <x:c r="L8" s="7" t="str">
        <x:v>Émetteur proposé RED/AFTERLIFE/vfx; ancrage sur monde 3D et tri compatible avec les sprites; options de confort indépendantes.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signal reste identifiable en pause et sans son; aucun flash plein écran indispensable pour comprendre la résolution.</x:v>
      </x:c>
      <x:c r="O8" s="7" t="str">
        <x:v>RED-SC-AFTERLIFE-MAIN</x:v>
      </x:c>
      <x:c r="P8" s="7" t="str">
        <x:v>VFX original; intensité et timing à régler au prototype.</x:v>
      </x:c>
      <x:c r="Q8" s="7" t="str"/>
      <x:c r="R8" s="21" t="str"/>
      <x:c r="S8" s="21" t="str"/>
    </x:row>
    <x:row r="9" ht="68" customHeight="1">
      <x:c r="A9" s="18" t="str">
        <x:v>RED-SC-DOCKS-VFX</x:v>
      </x:c>
      <x:c r="B9" s="9" t="str">
        <x:v>Docks et transfert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Traits de visée arrêtés par les caisses; fermeture de porte annoncée au sol.</x:v>
      </x:c>
      <x:c r="G9" s="9" t="str">
        <x:v>Rendre lisibles les interactions propres à cette séquence à la taille réelle du jeu.</x:v>
      </x:c>
      <x:c r="H9" s="9" t="str"/>
      <x:c r="I9" s="9" t="str">
        <x:v>Traits de visée arrêtés par les caisses; fermeture de porte annoncée au sol.</x:v>
      </x:c>
      <x:c r="J9" s="9" t="str">
        <x:v>Anticipation séparée de l’impact; variante sans flash, sans secousse et à contraste renforcé.</x:v>
      </x:c>
      <x:c r="K9" s="9" t="str">
        <x:v>Grue, verrou de sas et poussée de moteur.</x:v>
      </x:c>
      <x:c r="L9" s="9" t="str">
        <x:v>Émetteur proposé RED/DOCKS/vfx; ancrage sur monde 3D et tri compatible avec les sprites; options de confort indépendantes.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signal reste identifiable en pause et sans son; aucun flash plein écran indispensable pour comprendre la résolution.</x:v>
      </x:c>
      <x:c r="O9" s="9" t="str">
        <x:v>RED-SC-DOCKS-MAIN</x:v>
      </x:c>
      <x:c r="P9" s="9" t="str">
        <x:v>VFX original; intensité et timing à régler au prototype.</x:v>
      </x:c>
      <x:c r="Q9" s="9" t="str"/>
      <x:c r="R9" s="20" t="str"/>
      <x:c r="S9" s="20" t="str"/>
    </x:row>
    <x:row r="10" ht="68" customHeight="1">
      <x:c r="A10" s="19" t="str">
        <x:v>RED-SC-PURSUIT-VFX</x:v>
      </x:c>
      <x:c r="B10" s="7" t="str">
        <x:v>Rejoindre la base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Traînée de route temporaire et masque de brouillage périphérique; pas de flash global.</x:v>
      </x:c>
      <x:c r="G10" s="7" t="str">
        <x:v>Rendre lisibles les interactions propres à cette séquence à la taille réelle du jeu.</x:v>
      </x:c>
      <x:c r="H10" s="7" t="str"/>
      <x:c r="I10" s="7" t="str">
        <x:v>Traînée de route temporaire et masque de brouillage périphérique; pas de flash global.</x:v>
      </x:c>
      <x:c r="J10" s="7" t="str">
        <x:v>Anticipation séparée de l’impact; variante sans flash, sans secousse et à contraste renforcé.</x:v>
      </x:c>
      <x:c r="K10" s="7" t="str">
        <x:v>Bourdonnement de coque puis silence radio annoncé.</x:v>
      </x:c>
      <x:c r="L10" s="7" t="str">
        <x:v>Émetteur proposé RED/PURSUIT/vfx; ancrage sur monde 3D et tri compatible avec les sprites; options de confort indépendantes.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signal reste identifiable en pause et sans son; aucun flash plein écran indispensable pour comprendre la résolution.</x:v>
      </x:c>
      <x:c r="O10" s="7" t="str">
        <x:v>RED-SC-PURSUIT-MAIN</x:v>
      </x:c>
      <x:c r="P10" s="7" t="str">
        <x:v>VFX original; intensité et timing à régler au prototype.</x:v>
      </x:c>
      <x:c r="Q10" s="7" t="str"/>
      <x:c r="R10" s="21" t="str"/>
      <x:c r="S10" s="21" t="str"/>
    </x:row>
    <x:row r="11" ht="68" customHeight="1">
      <x:c r="A11" s="18" t="str">
        <x:v>RED-SC-ACCESS-VFX</x:v>
      </x:c>
      <x:c r="B11" s="9" t="str">
        <x:v>Identité et accès compartimentés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Deux cadres distincts indiquent identité acceptée et porte accessible.</x:v>
      </x:c>
      <x:c r="G11" s="9" t="str">
        <x:v>Rendre lisibles les interactions propres à cette séquence à la taille réelle du jeu.</x:v>
      </x:c>
      <x:c r="H11" s="9" t="str"/>
      <x:c r="I11" s="9" t="str">
        <x:v>Deux cadres distincts indiquent identité acceptée et porte accessible.</x:v>
      </x:c>
      <x:c r="J11" s="9" t="str">
        <x:v>Anticipation séparée de l’impact; variante sans flash, sans secousse et à contraste renforcé.</x:v>
      </x:c>
      <x:c r="K11" s="9" t="str">
        <x:v>Interphone étouffé et clics d’autorisation.</x:v>
      </x:c>
      <x:c r="L11" s="9" t="str">
        <x:v>Émetteur proposé RED/ACCESS/vfx; ancrage sur monde 3D et tri compatible avec les sprites; options de confort indépendantes.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signal reste identifiable en pause et sans son; aucun flash plein écran indispensable pour comprendre la résolution.</x:v>
      </x:c>
      <x:c r="O11" s="9" t="str">
        <x:v>RED-SC-ACCESS-MAIN</x:v>
      </x:c>
      <x:c r="P11" s="9" t="str">
        <x:v>VFX original; intensité et timing à régler au prototype.</x:v>
      </x:c>
      <x:c r="Q11" s="9" t="str"/>
      <x:c r="R11" s="20" t="str"/>
      <x:c r="S11" s="20" t="str"/>
    </x:row>
    <x:row r="12" ht="68" customHeight="1">
      <x:c r="A12" s="19" t="str">
        <x:v>RED-SC-RECOVER-VFX</x:v>
      </x:c>
      <x:c r="B12" s="7" t="str">
        <x:v>Récupération et séparation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Ligne de liaison du duo qui s’interrompt au raccord; indication de sortie maintenue.</x:v>
      </x:c>
      <x:c r="G12" s="7" t="str">
        <x:v>Rendre lisibles les interactions propres à cette séquence à la taille réelle du jeu.</x:v>
      </x:c>
      <x:c r="H12" s="7" t="str"/>
      <x:c r="I12" s="7" t="str">
        <x:v>Ligne de liaison du duo qui s’interrompt au raccord; indication de sortie maintenue.</x:v>
      </x:c>
      <x:c r="J12" s="7" t="str">
        <x:v>Anticipation séparée de l’impact; variante sans flash, sans secousse et à contraste renforcé.</x:v>
      </x:c>
      <x:c r="K12" s="7" t="str">
        <x:v>Moteur croissant, communication coupée puis thème inachevé original.</x:v>
      </x:c>
      <x:c r="L12" s="7" t="str">
        <x:v>Émetteur proposé RED/RECOVER/vfx; ancrage sur monde 3D et tri compatible avec les sprites; options de confort indépendantes.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signal reste identifiable en pause et sans son; aucun flash plein écran indispensable pour comprendre la résolution.</x:v>
      </x:c>
      <x:c r="O12" s="7" t="str">
        <x:v>RED-SC-RECOVER-MAIN</x:v>
      </x:c>
      <x:c r="P12" s="7" t="str">
        <x:v>VFX original; intensité et timing à régler au prototype.</x:v>
      </x:c>
      <x:c r="Q12" s="7" t="str"/>
      <x:c r="R12" s="21" t="str"/>
      <x:c r="S12" s="21" t="str"/>
    </x:row>
  </x:sheetData>
  <x:conditionalFormatting sqref="D7:D12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2">
    <x:cfRule type="cellIs" dxfId="86" priority="3" operator="equal">
      <x:formula>"Validé"</x:formula>
    </x:cfRule>
  </x:conditionalFormatting>
  <x:conditionalFormatting sqref="E7:E12">
    <x:cfRule type="cellIs" dxfId="8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81f3afe5ec4199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RED-AUD-OMEGA</x:v>
      </x:c>
      <x:c r="B7" s="9" t="str">
        <x:v>Omega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Ventilation grave, annonces lointaines inventées et percussion métallique espacée.</x:v>
      </x:c>
      <x:c r="G7" s="9" t="str">
        <x:v>Hub de pistes sous tension.</x:v>
      </x:c>
      <x:c r="H7" s="9" t="str">
        <x:v>Doubler les alarmes utiles par texte, symbole ou changement de pose; les bruits d’ambiance ne portent pas seuls une information obligatoire.</x:v>
      </x:c>
      <x:c r="I7" s="9" t="str">
        <x:v>Métal usé, lumière orange latérale et profondeur industrielle; sol clair sous les sprites.</x:v>
      </x:c>
      <x:c r="J7" s="9" t="str">
        <x:v>Déclencher les contacts mécaniques au mouvement visible; éviter les boucles désynchronisées des portes.</x:v>
      </x:c>
      <x:c r="K7" s="9" t="str">
        <x:v>Ventilation grave, annonces lointaines inventées et percussion métallique espacée. Composer une ambiance originale en couches fond / activité / danger, avec réglage indépendant des voix.</x:v>
      </x:c>
      <x:c r="L7" s="9" t="str">
        <x:v>Bus proposé RED/OMEGA; snapshots exploration, tension et dialogue; fondus après chargement.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parcours muet reste compréhensible; l’entrée en dialogue baisse les ambiances sans couper brutalement leur réverbération.</x:v>
      </x:c>
      <x:c r="O7" s="9" t="str">
        <x:v>RED-ZONE-OMEGA</x:v>
      </x:c>
      <x:c r="P7" s="9" t="str">
        <x:v>Création sonore originale; aucune piste commerciale requise.</x:v>
      </x:c>
      <x:c r="Q7" s="9" t="str"/>
      <x:c r="R7" s="20" t="str"/>
      <x:c r="S7" s="20" t="str"/>
    </x:row>
    <x:row r="8" ht="82" customHeight="1">
      <x:c r="A8" s="19" t="str">
        <x:v>RED-AUD-ALINGON</x:v>
      </x:c>
      <x:c r="B8" s="7" t="str">
        <x:v>Alingon / Alignon — graphie à contrôler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Souffle électrique irrégulier et portes étanches, avec absence calculée de radio.</x:v>
      </x:c>
      <x:c r="G8" s="7" t="str">
        <x:v>Faire sentir l’isolement informationnel.</x:v>
      </x:c>
      <x:c r="H8" s="7" t="str">
        <x:v>Doubler les alarmes utiles par texte, symbole ou changement de pose; les bruits d’ambiance ne portent pas seuls une information obligatoire.</x:v>
      </x:c>
      <x:c r="I8" s="7" t="str">
        <x:v>Roche sombre, métal mat et arcs lumineux très discrets; brouillage en bord de cadre.</x:v>
      </x:c>
      <x:c r="J8" s="7" t="str">
        <x:v>Déclencher les contacts mécaniques au mouvement visible; éviter les boucles désynchronisées des portes.</x:v>
      </x:c>
      <x:c r="K8" s="7" t="str">
        <x:v>Souffle électrique irrégulier et portes étanches, avec absence calculée de radio. Composer une ambiance originale en couches fond / activité / danger, avec réglage indépendant des voix.</x:v>
      </x:c>
      <x:c r="L8" s="7" t="str">
        <x:v>Bus proposé RED/ALINGON; snapshots exploration, tension et dialogue; fondus après chargement.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parcours muet reste compréhensible; l’entrée en dialogue baisse les ambiances sans couper brutalement leur réverbération.</x:v>
      </x:c>
      <x:c r="O8" s="7" t="str">
        <x:v>RED-ZONE-ALINGON</x:v>
      </x:c>
      <x:c r="P8" s="7" t="str">
        <x:v>Création sonore originale; aucune piste commerciale requise.</x:v>
      </x:c>
      <x:c r="Q8" s="7" t="str"/>
      <x:c r="R8" s="21" t="str"/>
      <x:c r="S8" s="21" t="str"/>
    </x:row>
    <x:row r="9" ht="68" customHeight="1">
      <x:c r="A9" s="18" t="str">
        <x:v>RED-AUD-SPACE</x:v>
      </x:c>
      <x:c r="B9" s="9" t="str">
        <x:v>Poursuite dans l’espace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Moteur filtré par coque, alarmes brèves et respirations calmes du cockpit.</x:v>
      </x:c>
      <x:c r="G9" s="9" t="str">
        <x:v>Intermède de navigation lisible, distinct d’un mode de vol complet.</x:v>
      </x:c>
      <x:c r="H9" s="9" t="str">
        <x:v>Doubler les alarmes utiles par texte, symbole ou changement de pose; les bruits d’ambiance ne portent pas seuls une information obligatoire.</x:v>
      </x:c>
      <x:c r="I9" s="9" t="str">
        <x:v>Astéroïdes mats et contraste faible du ciel; vaisseau du duo traité en sprite orientable.</x:v>
      </x:c>
      <x:c r="J9" s="9" t="str">
        <x:v>Déclencher les contacts mécaniques au mouvement visible; éviter les boucles désynchronisées des portes.</x:v>
      </x:c>
      <x:c r="K9" s="9" t="str">
        <x:v>Moteur filtré par coque, alarmes brèves et respirations calmes du cockpit. Composer une ambiance originale en couches fond / activité / danger, avec réglage indépendant des voix.</x:v>
      </x:c>
      <x:c r="L9" s="9" t="str">
        <x:v>Bus proposé RED/SPACE; snapshots exploration, tension et dialogue; fondus après chargement.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parcours muet reste compréhensible; l’entrée en dialogue baisse les ambiances sans couper brutalement leur réverbération.</x:v>
      </x:c>
      <x:c r="O9" s="9" t="str">
        <x:v>RED-ZONE-SPACE</x:v>
      </x:c>
      <x:c r="P9" s="9" t="str">
        <x:v>Création sonore originale; aucune piste commerciale requise.</x:v>
      </x:c>
      <x:c r="Q9" s="9" t="str"/>
      <x:c r="R9" s="20" t="str"/>
      <x:c r="S9" s="20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b95bb56851482f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Redemption,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RED/SYS-CANON;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Chaque entrée de journal porte sa provenance; un résultat de combat ne change jamais le niveau de certitude du fait source.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20" t="str"/>
      <x:c r="S7" s="20" t="str"/>
    </x:row>
    <x:row r="8" ht="68" customHeight="1">
      <x:c r="A8" s="19" t="str">
        <x:v>RED-SYS-GROUP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Liara contrôlable; Feron partenaire d’infiltration selon le segment. Miranda et Aria restent des interlocutrices dans ce périmètre.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RED/SYS-GROUP;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Recharger un chapitre restitue uniquement son groupe autorisé, ses positions et ses commandes proposées.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21" t="str"/>
      <x:c r="S8" s="21" t="str"/>
    </x:row>
    <x:row r="9" ht="68" customHeight="1">
      <x:c r="A9" s="18" t="str">
        <x:v>RED-SYS-ATB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Duo asymétrique proposé : contrôle de terrain pour Liara et préparation d’accès pour Feron; une réserve d’action peut servir à protéger le partenaire au lieu d’infliger des dégâts.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RED/SYS-ATB; à appliquer au futur contenu de l'œuvre.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lecteur peut suivre chaque préparation sans son; la vitesse réglable ne modifie pas les conditions du raccord narratif.</x:v>
      </x:c>
      <x:c r="O9" s="9" t="str">
        <x:v>RED-REF-SCOPE</x:v>
      </x:c>
      <x:c r="P9" s="9" t="str">
        <x:v>Règle originale de production; les ancrages de continuité sont documentés dans les fiches REF.</x:v>
      </x:c>
      <x:c r="Q9" s="9" t="str"/>
      <x:c r="R9" s="20" t="str"/>
      <x:c r="S9" s="20" t="str"/>
    </x:row>
    <x:row r="10" ht="68" customHeight="1">
      <x:c r="A10" s="19" t="str">
        <x:v>RED-SYS-SAVE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Redemption sans exporter une issue hypothétique vers la continuité des jeux.</x:v>
      </x:c>
      <x:c r="G10" s="7" t="str">
        <x:v>Stocker le numéro/segment, la méthode locale, les indices acquis et le raccord déjà vu; ne pas écrire dans une sauvegarde canon du jeu.</x:v>
      </x:c>
      <x:c r="H10" s="7" t="str">
        <x:v>Stocker le numéro/segment, la méthode locale, les indices acquis et le raccord déjà vu; ne pas écrire dans une sauvegarde canon du jeu.</x:v>
      </x:c>
      <x:c r="I10" s="7" t="str"/>
      <x:c r="J10" s="7" t="str"/>
      <x:c r="K10" s="7" t="str"/>
      <x:c r="L10" s="7" t="str">
        <x:v>Contrat de production RED/SYS-SAVE; à appliquer au futur contenu de l'œuvre.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Sauvegarder, quitter et reprendre avant/après un raccord ne double aucun objet, objectif ou récompense.</x:v>
      </x:c>
      <x:c r="O10" s="7" t="str">
        <x:v>RED-REF-SCOPE</x:v>
      </x:c>
      <x:c r="P10" s="7" t="str">
        <x:v>Règle originale de production; les ancrages de continuité sont documentés dans les fiches REF.</x:v>
      </x:c>
      <x:c r="Q10" s="7" t="str"/>
      <x:c r="R10" s="21" t="str"/>
      <x:c r="S10" s="21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92ec4b6558465f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RED-SC-CONTACT-QA</x:v>
      </x:c>
      <x:c r="B7" s="9" t="str">
        <x:v>Contact sur Omega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Contact sur Omega » par les deux méthodes proposées, avec tâche facultative ignorée puis terminée, et en sautant le raccord.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/>
      <x:c r="J7" s="9" t="str"/>
      <x:c r="K7" s="9" t="str"/>
      <x:c r="L7" s="9" t="str">
        <x:v>Scénarios de recette à exécuter pour RED/CONTACT;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RED-SC-CONTACT-MAIN, RED-SC-CONTACT-CHOICE, RED-SC-CONTACT-CINE, RED-SC-CONTACT-PROP</x:v>
      </x:c>
      <x:c r="P7" s="9" t="str">
        <x:v>Critère de production original, pas une validation déjà obtenue.</x:v>
      </x:c>
      <x:c r="Q7" s="9" t="str"/>
      <x:c r="R7" s="20" t="str"/>
      <x:c r="S7" s="20" t="str"/>
    </x:row>
    <x:row r="8" ht="68" customHeight="1">
      <x:c r="A8" s="19" t="str">
        <x:v>RED-SC-AFTERLIFE-QA</x:v>
      </x:c>
      <x:c r="B8" s="7" t="str">
        <x:v>Entretien à Afterlife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Entretien à Afterlife » par les deux méthodes proposées, avec tâche facultative ignorée puis terminée, et en sautant le raccord.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/>
      <x:c r="J8" s="7" t="str"/>
      <x:c r="K8" s="7" t="str"/>
      <x:c r="L8" s="7" t="str">
        <x:v>Scénarios de recette à exécuter pour RED/AFTERLIFE;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RED-SC-AFTERLIFE-MAIN, RED-SC-AFTERLIFE-CHOICE, RED-SC-AFTERLIFE-CINE, RED-SC-AFTERLIFE-PROP</x:v>
      </x:c>
      <x:c r="P8" s="7" t="str">
        <x:v>Critère de production original, pas une validation déjà obtenue.</x:v>
      </x:c>
      <x:c r="Q8" s="7" t="str"/>
      <x:c r="R8" s="21" t="str"/>
      <x:c r="S8" s="21" t="str"/>
    </x:row>
    <x:row r="9" ht="68" customHeight="1">
      <x:c r="A9" s="18" t="str">
        <x:v>RED-SC-DOCKS-QA</x:v>
      </x:c>
      <x:c r="B9" s="9" t="str">
        <x:v>Docks et transfert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Docks et transfert » par les deux méthodes proposées, avec tâche facultative ignorée puis terminée, et en sautant le raccord.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/>
      <x:c r="J9" s="9" t="str"/>
      <x:c r="K9" s="9" t="str"/>
      <x:c r="L9" s="9" t="str">
        <x:v>Scénarios de recette à exécuter pour RED/DOCKS;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RED-SC-DOCKS-MAIN, RED-SC-DOCKS-CHOICE, RED-SC-DOCKS-CINE, RED-SC-DOCKS-PROP</x:v>
      </x:c>
      <x:c r="P9" s="9" t="str">
        <x:v>Critère de production original, pas une validation déjà obtenue.</x:v>
      </x:c>
      <x:c r="Q9" s="9" t="str"/>
      <x:c r="R9" s="20" t="str"/>
      <x:c r="S9" s="20" t="str"/>
    </x:row>
    <x:row r="10" ht="68" customHeight="1">
      <x:c r="A10" s="19" t="str">
        <x:v>RED-SC-PURSUIT-QA</x:v>
      </x:c>
      <x:c r="B10" s="7" t="str">
        <x:v>Rejoindre la base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Rejoindre la base » par les deux méthodes proposées, avec tâche facultative ignorée puis terminée, et en sautant le raccord.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/>
      <x:c r="J10" s="7" t="str"/>
      <x:c r="K10" s="7" t="str"/>
      <x:c r="L10" s="7" t="str">
        <x:v>Scénarios de recette à exécuter pour RED/PURSUIT;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RED-SC-PURSUIT-MAIN, RED-SC-PURSUIT-CHOICE, RED-SC-PURSUIT-CINE, RED-SC-PURSUIT-PROP</x:v>
      </x:c>
      <x:c r="P10" s="7" t="str">
        <x:v>Critère de production original, pas une validation déjà obtenue.</x:v>
      </x:c>
      <x:c r="Q10" s="7" t="str"/>
      <x:c r="R10" s="21" t="str"/>
      <x:c r="S10" s="21" t="str"/>
    </x:row>
    <x:row r="11" ht="68" customHeight="1">
      <x:c r="A11" s="18" t="str">
        <x:v>RED-SC-ACCESS-QA</x:v>
      </x:c>
      <x:c r="B11" s="9" t="str">
        <x:v>Identité et accès compartimentés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Identité et accès compartimentés » par les deux méthodes proposées, avec tâche facultative ignorée puis terminée, et en sautant le raccord.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/>
      <x:c r="J11" s="9" t="str"/>
      <x:c r="K11" s="9" t="str"/>
      <x:c r="L11" s="9" t="str">
        <x:v>Scénarios de recette à exécuter pour RED/ACCESS;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RED-SC-ACCESS-MAIN, RED-SC-ACCESS-CHOICE, RED-SC-ACCESS-CINE, RED-SC-ACCESS-PROP</x:v>
      </x:c>
      <x:c r="P11" s="9" t="str">
        <x:v>Critère de production original, pas une validation déjà obtenue.</x:v>
      </x:c>
      <x:c r="Q11" s="9" t="str"/>
      <x:c r="R11" s="20" t="str"/>
      <x:c r="S11" s="20" t="str"/>
    </x:row>
    <x:row r="12" ht="68" customHeight="1">
      <x:c r="A12" s="19" t="str">
        <x:v>RED-SC-RECOVER-QA</x:v>
      </x:c>
      <x:c r="B12" s="7" t="str">
        <x:v>Récupération et séparation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Récupération et séparation » par les deux méthodes proposées, avec tâche facultative ignorée puis terminée, et en sautant le raccord.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/>
      <x:c r="J12" s="7" t="str"/>
      <x:c r="K12" s="7" t="str"/>
      <x:c r="L12" s="7" t="str">
        <x:v>Scénarios de recette à exécuter pour RED/RECOVER;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RED-SC-RECOVER-MAIN, RED-SC-RECOVER-CHOICE, RED-SC-RECOVER-CINE, RED-SC-RECOVER-PROP</x:v>
      </x:c>
      <x:c r="P12" s="7" t="str">
        <x:v>Critère de production original, pas une validation déjà obtenue.</x:v>
      </x:c>
      <x:c r="Q12" s="7" t="str"/>
      <x:c r="R12" s="21" t="str"/>
      <x:c r="S12" s="21" t="str"/>
    </x:row>
    <x:row r="13" ht="54" customHeight="1">
      <x:c r="A13" s="18" t="str">
        <x:v>RED-QA-SOURCE</x:v>
      </x:c>
      <x:c r="B13" s="9" t="str">
        <x:v>Vérification des références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Contrôler Redemption dans une édition autorisée avant de transformer les éléments À vérifier en faits établis.</x:v>
      </x:c>
      <x:c r="G13" s="9" t="str">
        <x:v>Vérifier le bon numéro, les graphies, les costumes et le placement exact des séquences; aucune pagination non consultée fournie.</x:v>
      </x:c>
      <x:c r="H13" s="9" t="str"/>
      <x:c r="I13" s="9" t="str"/>
      <x:c r="J13" s="9" t="str"/>
      <x:c r="K13" s="9" t="str"/>
      <x:c r="L13" s="9" t="str">
        <x:v>Contrat de production RED/QA-SOURCE; à appliquer au futur contenu de l'œuvre.</x:v>
      </x:c>
      <x:c r="M13" s="9" t="str">
        <x:v>Recette planifiée; aucune réalisation testée ici.</x:v>
      </x:c>
      <x:c r="N13" s="9" t="str">
        <x:v>Chaque ajout de nom, page, costume ou date est lié à la bonne édition; les descriptions restent brèves et paraphrasées.</x:v>
      </x:c>
      <x:c r="O13" s="9" t="str">
        <x:v>RED-REF-SCOPE</x:v>
      </x:c>
      <x:c r="P13" s="9" t="str">
        <x:v>Règle originale de production; les ancrages de continuité sont documentés dans les fiches REF.</x:v>
      </x:c>
      <x:c r="Q13" s="9" t="str"/>
      <x:c r="R13" s="20" t="str"/>
      <x:c r="S13" s="20" t="str"/>
    </x:row>
    <x:row r="14" ht="54" customHeight="1">
      <x:c r="A14" s="19" t="str">
        <x:v>RED-QA-VISIBILITY</x:v>
      </x:c>
      <x:c r="B14" s="7" t="str">
        <x:v>Lecture des sprites et du terrain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Contrôler la taille des sprites, la séparation des silhouettes et les sorties sous la caméra fixe de chaque scène.</x:v>
      </x:c>
      <x:c r="G14" s="7" t="str">
        <x:v>Faire parcourir les zones avec premier plan actif, sous-titres larges et mode de contraste renforcé.</x:v>
      </x:c>
      <x:c r="H14" s="7" t="str"/>
      <x:c r="I14" s="7" t="str"/>
      <x:c r="J14" s="7" t="str"/>
      <x:c r="K14" s="7" t="str"/>
      <x:c r="L14" s="7" t="str">
        <x:v>Contrat de production RED/QA-VISIBILITY; à appliquer au futur contenu de l'œuvre.</x:v>
      </x:c>
      <x:c r="M14" s="7" t="str">
        <x:v>Recette planifiée; aucune réalisation testée ici.</x:v>
      </x:c>
      <x:c r="N14" s="7" t="str">
        <x:v>Le personnage contrôlé, les sorties et le signal de danger restent localisables sans désactiver le décor.</x:v>
      </x:c>
      <x:c r="O14" s="7" t="str">
        <x:v>RED-REF-SCOPE</x:v>
      </x:c>
      <x:c r="P14" s="7" t="str">
        <x:v>Règle originale de production; les ancrages de continuité sont documentés dans les fiches REF.</x:v>
      </x:c>
      <x:c r="Q14" s="7" t="str"/>
      <x:c r="R14" s="21" t="str"/>
      <x:c r="S14" s="21" t="str"/>
    </x:row>
    <x:row r="15" ht="68" customHeight="1">
      <x:c r="A15" s="18" t="str">
        <x:v>RED-QA-NARRATIVE</x:v>
      </x:c>
      <x:c r="B15" s="9" t="str">
        <x:v>Convergence narrative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Préserver l’absence active de Shepard, la relation Liara/Feron et le raccord vers ME2; les méthodes d’enquête ne changent pas le sort publié des protagonistes.</x:v>
      </x:c>
      <x:c r="G15" s="9" t="str">
        <x:v>La continuité éditoriale est distincte des essais de gameplay; un choix stratégique ne réécrit pas la fin publiée.</x:v>
      </x:c>
      <x:c r="H15" s="9" t="str"/>
      <x:c r="I15" s="9" t="str"/>
      <x:c r="J15" s="9" t="str"/>
      <x:c r="K15" s="9" t="str"/>
      <x:c r="L15" s="9" t="str">
        <x:v>Contrat de production RED/QA-NARRATIVE; à appliquer au futur contenu de l'œuvre.</x:v>
      </x:c>
      <x:c r="M15" s="9" t="str">
        <x:v>Recette planifiée; aucune réalisation testée ici.</x:v>
      </x:c>
      <x:c r="N15" s="9" t="str">
        <x:v>Jouer chaque choix local et passer chaque cinématique produit les mêmes ancrages de conclusion; les divergences restent marquées adaptation.</x:v>
      </x:c>
      <x:c r="O15" s="9" t="str">
        <x:v>RED-REF-SCOPE</x:v>
      </x:c>
      <x:c r="P15" s="9" t="str">
        <x:v>Règle originale de production; les ancrages de continuité sont documentés dans les fiches REF.</x:v>
      </x:c>
      <x:c r="Q15" s="9" t="str"/>
      <x:c r="R15" s="20" t="str"/>
      <x:c r="S15" s="20" t="str"/>
    </x:row>
  </x:sheetData>
  <x:conditionalFormatting sqref="D7:D15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5">
    <x:cfRule type="cellIs" dxfId="98" priority="3" operator="equal">
      <x:formula>"Validé"</x:formula>
    </x:cfRule>
  </x:conditionalFormatting>
  <x:conditionalFormatting sqref="E7:E15">
    <x:cfRule type="cellIs" dxfId="9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6964386f04468c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RED-CNT-PLACE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Pont entre la disparition de Shepard au début de ME2 et sa reconstruction; ne pas rejouer le DLC du Courtier de l’ombre comme s’il appartenait aux quatre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RED/CNT-PLACE;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frise indique les incertitudes et les liens avec les autres œuvres sans attribuer une date non sourcée.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20" t="str"/>
      <x:c r="S7" s="20" t="str"/>
    </x:row>
    <x:row r="8" ht="68" customHeight="1">
      <x:c r="A8" s="19" t="str">
        <x:v>RED-CNT-NO-CUT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Redemption.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RED/CNT-NO-CUT;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Une future fiche Coupé attesté ou Concept abandonné devra citer une preuve primaire spécifique.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21" t="str"/>
      <x:c r="S8" s="21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977d3bda924e4d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Redemption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30" t="str">
        <x:v>Champ</x:v>
      </x:c>
      <x:c r="B6" s="32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Redemption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Les quatre numéros de Redemption; pont narratif vers Mass Effect 2, personnages, Omega, poursuite et récupération. Bonus éditoriaux traités comme références, pas comme scènes supplémentaires.</x:v>
      </x:c>
      <x:c r="C9" s="2"/>
      <x:c r="D9" s="2"/>
      <x:c r="E9" s="2"/>
      <x:c r="F9" s="2"/>
    </x:row>
    <x:row r="10" ht="68" customHeight="1">
      <x:c r="A10" s="7" t="str">
        <x:v>Projet</x:v>
      </x:c>
      <x:c r="B10" s="7" t="str">
        <x:v>Catalogue de production pour une adaptation centrée sur Liara et Feron. Les faits courts sourcés servent d’ancrages aux propositions originales de recherche, infiltration, entraide ATB et mise en scène.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 Shepard personnalisé doit rester compatible avec les choix du joueur. Les notes de l’auteur emploient « Alignon », alors que le wiki emploie « Alingon » : graphie à comparer au comic et au codex avant livraison.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40" customHeight="1">
      <x:c r="A12" s="7" t="str">
        <x:v>Date de référence</x:v>
      </x:c>
      <x:c r="B12" s="44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30" t="str">
        <x:v>Source</x:v>
      </x:c>
      <x:c r="B26" s="31" t="str">
        <x:v>Titre</x:v>
      </x:c>
      <x:c r="C26" s="31" t="str">
        <x:v>Type</x:v>
      </x:c>
      <x:c r="D26" s="31" t="str">
        <x:v>URL</x:v>
      </x:c>
      <x:c r="E26" s="31" t="str">
        <x:v>Périmètre</x:v>
      </x:c>
      <x:c r="F26" s="32" t="str">
        <x:v>Accès et limites</x:v>
      </x:c>
    </x:row>
    <x:row r="27" ht="42" customHeight="1">
      <x:c r="A27" s="6" t="str">
        <x:v>RED-S-BOOK</x:v>
      </x:c>
      <x:c r="B27" s="6" t="str">
        <x:v>Dark Horse — Redemption</x:v>
      </x:c>
      <x:c r="C27" s="6" t="str">
        <x:v>source officielle — notice Dark Horse via Penguin Random House</x:v>
      </x:c>
      <x:c r="D27" s="6" t="str">
        <x:v>https://www.penguinrandomhouse.com/books/241684/mass-effect-volume-1-redemption-by-mac-walters-various-artists/</x:v>
      </x:c>
      <x:c r="E27" s="6" t="str">
        <x:v>Liara, Terminus, quatre numéros et bonus graphiques.</x:v>
      </x:c>
      <x:c r="F27" s="6" t="str">
        <x:v>Consulté le 22 octobre 2026; les faits sont paraphrasés brièvement.</x:v>
      </x:c>
    </x:row>
    <x:row r="28" ht="54" customHeight="1">
      <x:c r="A28" s="6" t="str">
        <x:v>RED-S-COMPLETE</x:v>
      </x:c>
      <x:c r="B28" s="6" t="str">
        <x:v>Dark Horse Digital — The Complete Comics</x:v>
      </x:c>
      <x:c r="C28" s="6" t="str">
        <x:v>source officielle — éditeur</x:v>
      </x:c>
      <x:c r="D28" s="6" t="str">
        <x:v>https://digital.darkhorse.com/books/7bcdbde713b746338287bb0d74350bac/mass-effect-the-complete-comics</x:v>
      </x:c>
      <x:c r="E28" s="6" t="str">
        <x:v>Prémisses, personnages centraux et compilation; ne remplace pas les numéros individuels.</x:v>
      </x:c>
      <x:c r="F28" s="6" t="str">
        <x:v>Consulté le 22 octobre 2026; les faits sont paraphrasés brièvement.</x:v>
      </x:c>
    </x:row>
    <x:row r="29" ht="42" customHeight="1">
      <x:c r="A29" s="6" t="str">
        <x:v>RED-S-AUTHOR1</x:v>
      </x:c>
      <x:c r="B29" s="6" t="str">
        <x:v>John Jackson Miller — Redemption #1</x:v>
      </x:c>
      <x:c r="C29" s="6" t="str">
        <x:v>source officielle — notes du scénariste</x:v>
      </x:c>
      <x:c r="D29" s="6" t="str">
        <x:v>https://farawaypress.com/comics/masseffectredemption/masseffectredemption1/</x:v>
      </x:c>
      <x:c r="E29" s="6" t="str">
        <x:v>Conception et éléments explicitement commentés de Redemption #1</x:v>
      </x:c>
      <x:c r="F29" s="6" t="str">
        <x:v>Consulté le 22 octobre 2026; les faits sont paraphrasés brièvement.</x:v>
      </x:c>
    </x:row>
    <x:row r="30" ht="42" customHeight="1">
      <x:c r="A30" s="6" t="str">
        <x:v>RED-S-AUTHOR2</x:v>
      </x:c>
      <x:c r="B30" s="6" t="str">
        <x:v>John Jackson Miller — Redemption #2</x:v>
      </x:c>
      <x:c r="C30" s="6" t="str">
        <x:v>source officielle — notes du scénariste</x:v>
      </x:c>
      <x:c r="D30" s="6" t="str">
        <x:v>https://farawaypress.com/comics/masseffectredemption/masseffectredemption2/</x:v>
      </x:c>
      <x:c r="E30" s="6" t="str">
        <x:v>Conception et éléments explicitement commentés de Redemption #2</x:v>
      </x:c>
      <x:c r="F30" s="6" t="str">
        <x:v>Consulté le 22 octobre 2026; les faits sont paraphrasés brièvement.</x:v>
      </x:c>
    </x:row>
    <x:row r="31" ht="42" customHeight="1">
      <x:c r="A31" s="6" t="str">
        <x:v>RED-S-AUTHOR3</x:v>
      </x:c>
      <x:c r="B31" s="6" t="str">
        <x:v>John Jackson Miller — Redemption #3</x:v>
      </x:c>
      <x:c r="C31" s="6" t="str">
        <x:v>source officielle — notes du scénariste</x:v>
      </x:c>
      <x:c r="D31" s="6" t="str">
        <x:v>https://farawaypress.com/comics/masseffectredemption/masseffectredemption3/</x:v>
      </x:c>
      <x:c r="E31" s="6" t="str">
        <x:v>Conception et éléments explicitement commentés de Redemption #3</x:v>
      </x:c>
      <x:c r="F31" s="6" t="str">
        <x:v>Consulté le 22 octobre 2026; les faits sont paraphrasés brièvement.</x:v>
      </x:c>
    </x:row>
    <x:row r="32" ht="42" customHeight="1">
      <x:c r="A32" s="6" t="str">
        <x:v>RED-S-AUTHOR4</x:v>
      </x:c>
      <x:c r="B32" s="6" t="str">
        <x:v>John Jackson Miller — Redemption #4</x:v>
      </x:c>
      <x:c r="C32" s="6" t="str">
        <x:v>source officielle — notes du scénariste</x:v>
      </x:c>
      <x:c r="D32" s="6" t="str">
        <x:v>https://farawaypress.com/comics/masseffectredemption/masseffectredemption4/</x:v>
      </x:c>
      <x:c r="E32" s="6" t="str">
        <x:v>Conception et éléments explicitement commentés de Redemption #4</x:v>
      </x:c>
      <x:c r="F32" s="6" t="str">
        <x:v>Consulté le 22 octobre 2026; les faits sont paraphrasés brièvement.</x:v>
      </x:c>
    </x:row>
    <x:row r="33" ht="54" customHeight="1">
      <x:c r="A33" s="6" t="str">
        <x:v>RED-S-FERON</x:v>
      </x:c>
      <x:c r="B33" s="6" t="str">
        <x:v>Feron — Redemption</x:v>
      </x:c>
      <x:c r="C33" s="6" t="str">
        <x:v>wiki — extrait indexé, à contrôler</x:v>
      </x:c>
      <x:c r="D33" s="6" t="str">
        <x:v>https://masseffect.fandom.com/wiki/Feron</x:v>
      </x:c>
      <x:c r="E33" s="6" t="str">
        <x:v>Rôle de Feron et séquences à vérifier.</x:v>
      </x:c>
      <x:c r="F33" s="6" t="str">
        <x:v>Contenu lu dans le résultat de recherche indexé; ouverture directe Fandom restreinte ou en erreur. Comparaison avec le comic autorisé requise.</x:v>
      </x:c>
    </x:row>
    <x:row r="34" ht="54" customHeight="1">
      <x:c r="A34" s="6" t="str">
        <x:v>RED-S-TAZZIK</x:v>
      </x:c>
      <x:c r="B34" s="6" t="str">
        <x:v>Tazzik</x:v>
      </x:c>
      <x:c r="C34" s="6" t="str">
        <x:v>wiki — extrait indexé, à contrôler</x:v>
      </x:c>
      <x:c r="D34" s="6" t="str">
        <x:v>https://masseffect.fandom.com/wiki/Tazzik</x:v>
      </x:c>
      <x:c r="E34" s="6" t="str">
        <x:v>Rôle du salarian et Alingon.</x:v>
      </x:c>
      <x:c r="F34" s="6" t="str">
        <x:v>Contenu lu dans le résultat de recherche indexé; ouverture directe Fandom restreinte ou en erreur. Comparaison avec le comic autorisé requise.</x:v>
      </x:c>
    </x:row>
    <x:row r="35" ht="54" customHeight="1">
      <x:c r="A35" s="6" t="str">
        <x:v>RED-S-STORYII</x:v>
      </x:c>
      <x:c r="B35" s="6" t="str">
        <x:v>Storyline II — Redemption</x:v>
      </x:c>
      <x:c r="C35" s="6" t="str">
        <x:v>wiki — extrait indexé, à contrôler</x:v>
      </x:c>
      <x:c r="D35" s="6" t="str">
        <x:v>https://masseffect.fandom.com/wiki/Storyline_II</x:v>
      </x:c>
      <x:c r="E35" s="6" t="str">
        <x:v>Poursuite et sentries autour d’Alingon; extrait indexé consulté, à contrôler.</x:v>
      </x:c>
      <x:c r="F35" s="6" t="str">
        <x:v>Contenu lu dans le résultat de recherche indexé; ouverture directe Fandom restreinte ou en erreur. Comparaison avec le comic autorisé requise.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30" t="str">
        <x:v>Domaine</x:v>
      </x:c>
      <x:c r="B39" s="31" t="str">
        <x:v>Couverture actuelle</x:v>
      </x:c>
      <x:c r="C39" s="32" t="str">
        <x:v>Travail restant</x:v>
      </x:c>
      <x:c r="D39" s="2"/>
      <x:c r="E39" s="2"/>
      <x:c r="F39" s="2"/>
    </x:row>
    <x:row r="40" ht="68" customHeight="1">
      <x:c r="A40" s="6" t="str">
        <x:v>characters</x:v>
      </x:c>
      <x:c r="B40" s="6" t="str">
        <x:v>3 fiche(s) : Liara T’Soni; Feron; Tazzik</x:v>
      </x:c>
      <x:c r="C40" s="6" t="str">
        <x:v>Comparer les détails marqués À vérifier à une édition autorisée; les sources éditoriales n’attestent pas chaque détail graphique.</x:v>
      </x:c>
      <x:c r="D40" s="2"/>
      <x:c r="E40" s="2"/>
      <x:c r="F40" s="2"/>
    </x:row>
    <x:row r="41" ht="68" customHeight="1">
      <x:c r="A41" s="6" t="str">
        <x:v>npcs</x:v>
      </x:c>
      <x:c r="B41" s="6" t="str">
        <x:v>4 fiche(s) : Miranda Lawson; Aria T’Loak; L’Homme trouble; Courtier de l’ombre — représentation distante</x:v>
      </x:c>
      <x:c r="C41" s="6" t="str">
        <x:v>Comparer les détails marqués À vérifier à une édition autorisée; les sources éditoriales n’attestent pas chaque détail graphique.</x:v>
      </x:c>
      <x:c r="D41" s="2"/>
      <x:c r="E41" s="2"/>
      <x:c r="F41" s="2"/>
    </x:row>
    <x:row r="42" ht="68" customHeight="1">
      <x:c r="A42" s="6" t="str">
        <x:v>lore</x:v>
      </x:c>
      <x:c r="B42" s="6" t="str">
        <x:v>10 fiche(s) : Série en quatre numéros; Shepard adaptable; Duo de recherche; Croquis du recueil</x:v>
      </x:c>
      <x:c r="C42" s="6" t="str">
        <x:v>Comparer les détails marqués À vérifier à une édition autorisée; les sources éditoriales n’attestent pas chaque détail graphique.</x:v>
      </x:c>
      <x:c r="D42" s="2"/>
      <x:c r="E42" s="2"/>
      <x:c r="F42" s="2"/>
    </x:row>
    <x:row r="43" ht="68" customHeight="1">
      <x:c r="A43" s="6" t="str">
        <x:v>worlds</x:v>
      </x:c>
      <x:c r="B43" s="6" t="str">
        <x:v>3 fiche(s) : Omega; Alingon / Alignon — graphie à contrôler; Poursuite dans l’espace</x:v>
      </x:c>
      <x:c r="C43" s="6" t="str">
        <x:v>Comparer les détails marqués À vérifier à une édition autorisée; les sources éditoriales n’attestent pas chaque détail graphique.</x:v>
      </x:c>
      <x:c r="D43" s="2"/>
      <x:c r="E43" s="2"/>
      <x:c r="F43" s="2"/>
    </x:row>
    <x:row r="44" ht="54" customHeight="1">
      <x:c r="A44" s="6" t="str">
        <x:v>zones</x:v>
      </x:c>
      <x:c r="B44" s="6" t="str">
        <x:v>3 fiche(s) : Omega — espace jouable proposé; Alingon / Alignon — graphie à contrôler — espace jouable proposé; Poursuite dans l’espace — espace jouable proposé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links</x:v>
      </x:c>
      <x:c r="B45" s="6" t="str">
        <x:v>3 fiche(s) : Omega — accès et sortie; Alingon / Alignon — graphie à contrôler — accès et sortie; Poursuite dans l’espace — accès et sortie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54" customHeight="1">
      <x:c r="A46" s="6" t="str">
        <x:v>scenery</x:v>
      </x:c>
      <x:c r="B46" s="6" t="str">
        <x:v>3 fiche(s) : Omega — décor et repère; Alingon / Alignon — graphie à contrôler — décor et repère; Poursuite dans l’espace — décor et repère</x:v>
      </x:c>
      <x:c r="C46" s="6" t="str">
        <x:v>Produire les assets originaux puis vérifier en situation; ce catalogue ne livre ni image, ni son, ni animation.</x:v>
      </x:c>
      <x:c r="D46" s="2"/>
      <x:c r="E46" s="2"/>
      <x:c r="F46" s="2"/>
    </x:row>
    <x:row r="47" ht="54" customHeight="1">
      <x:c r="A47" s="6" t="str">
        <x:v>props</x:v>
      </x:c>
      <x:c r="B47" s="6" t="str">
        <x:v>6 fiche(s) : Repère de rendez-vous; Terminal de piste; Commande de quai; Afficheur de trajectoire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54" customHeight="1">
      <x:c r="A48" s="6" t="str">
        <x:v>enemies</x:v>
      </x:c>
      <x:c r="B48" s="6" t="str">
        <x:v>3 fiche(s) : Blue Suns; Sentries de poursuite; Gardes de la base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54" customHeight="1">
      <x:c r="A49" s="6" t="str">
        <x:v>main_quests</x:v>
      </x:c>
      <x:c r="B49" s="6" t="str">
        <x:v>6 fiche(s) : Contact sur Omega — objectif jouable; Entretien à Afterlife — objectif jouable; Docks et transfert — objectif jouable; Rejoindre la base — objectif jouable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54" customHeight="1">
      <x:c r="A50" s="6" t="str">
        <x:v>side_quests</x:v>
      </x:c>
      <x:c r="B50" s="6" t="str">
        <x:v>6 fiche(s) : Vérifier une seconde sortie; Écouter le quartier; Relever la route du cargo; Calibrer le filtre radio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choices</x:v>
      </x:c>
      <x:c r="B51" s="6" t="str">
        <x:v>6 fiche(s) : Contact sur Omega — stratégie locale; Entretien à Afterlife — stratégie locale; Docks et transfert — stratégie locale; Rejoindre la base — stratégie locale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68" customHeight="1">
      <x:c r="A52" s="6" t="str">
        <x:v>dialogues</x:v>
      </x:c>
      <x:c r="B52" s="6" t="str">
        <x:v>6 fiche(s) : Contact sur Omega — intentions de conversation; Entretien à Afterlife — intentions de conversation; Docks et transfert — intentions de conversation; Rejoindre la base — intentions de conversation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68" customHeight="1">
      <x:c r="A53" s="6" t="str">
        <x:v>cinematics</x:v>
      </x:c>
      <x:c r="B53" s="6" t="str">
        <x:v>6 fiche(s) : Contact sur Omega — raccord mis en scène; Entretien à Afterlife — raccord mis en scène; Docks et transfert — raccord mis en scène; Rejoindre la base — raccord mis en scène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weapons</x:v>
      </x:c>
      <x:c r="B54" s="6" t="str">
        <x:v>1 fiche(s) : Arme de poing de production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equipment</x:v>
      </x:c>
      <x:c r="B55" s="6" t="str">
        <x:v>1 fiche(s) : Kit de couverture de Feron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powers</x:v>
      </x:c>
      <x:c r="B56" s="6" t="str">
        <x:v>1 fiche(s) : Déplacement biotique proposé</x:v>
      </x:c>
      <x:c r="C56" s="6" t="str">
        <x:v>Prototyper les règles proposées et exécuter les critères de recette; aucune fiche n’est déclarée intégrée ou validée.</x:v>
      </x:c>
      <x:c r="D56" s="2"/>
      <x:c r="E56" s="2"/>
      <x:c r="F56" s="2"/>
    </x:row>
    <x:row r="57" ht="54" customHeight="1">
      <x:c r="A57" s="6" t="str">
        <x:v>ally_moves</x:v>
      </x:c>
      <x:c r="B57" s="6" t="str">
        <x:v>2 fiche(s) : Écran de passage; Couverture d’identité</x:v>
      </x:c>
      <x:c r="C57" s="6" t="str">
        <x:v>Prototyper les règles proposées et exécuter les critères de recette; aucune fiche n’est déclarée intégrée ou validée.</x:v>
      </x:c>
      <x:c r="D57" s="2"/>
      <x:c r="E57" s="2"/>
      <x:c r="F57" s="2"/>
    </x:row>
    <x:row r="58" ht="54" customHeight="1">
      <x:c r="A58" s="6" t="str">
        <x:v>enemy_moves</x:v>
      </x:c>
      <x:c r="B58" s="6" t="str">
        <x:v>6 fiche(s) : Fixation de quai; Verrou de passage; Passe de contrôle; Interception de route</x:v>
      </x:c>
      <x:c r="C58" s="6" t="str">
        <x:v>Prototyper les règles proposées et exécuter les critères de recette; aucune fiche n’est déclarée intégrée ou validée.</x:v>
      </x:c>
      <x:c r="D58" s="2"/>
      <x:c r="E58" s="2"/>
      <x:c r="F58" s="2"/>
    </x:row>
    <x:row r="59" ht="54" customHeight="1">
      <x:c r="A59" s="6" t="str">
        <x:v>animations</x:v>
      </x:c>
      <x:c r="B59" s="6" t="str">
        <x:v>7 fiche(s) : Liara T’Soni — jeu de poses; Feron — jeu de poses; Miranda Lawson — jeu de poses; Aria T’Loak — jeu de poses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sprites</x:v>
      </x:c>
      <x:c r="B60" s="6" t="str">
        <x:v>7 fiche(s) : Liara T’Soni — planche de sprites; Feron — planche de sprites; Miranda Lawson — planche de sprites; Aria T’Loak — planche de sprites</x:v>
      </x:c>
      <x:c r="C60" s="6" t="str">
        <x:v>Produire les assets originaux puis vérifier en situation; ce catalogue ne livre ni image, ni son, ni animation.</x:v>
      </x:c>
      <x:c r="D60" s="2"/>
      <x:c r="E60" s="2"/>
      <x:c r="F60" s="2"/>
    </x:row>
    <x:row r="61" ht="54" customHeight="1">
      <x:c r="A61" s="6" t="str">
        <x:v>vfx</x:v>
      </x:c>
      <x:c r="B61" s="6" t="str">
        <x:v>6 fiche(s) : Contact sur Omega — signal visuel; Entretien à Afterlife — signal visuel; Docks et transfert — signal visuel; Rejoindre la base — signal visuel</x:v>
      </x:c>
      <x:c r="C61" s="6" t="str">
        <x:v>Produire les assets originaux puis vérifier en situation; ce catalogue ne livre ni image, ni son, ni animation.</x:v>
      </x:c>
      <x:c r="D61" s="2"/>
      <x:c r="E61" s="2"/>
      <x:c r="F61" s="2"/>
    </x:row>
    <x:row r="62" ht="54" customHeight="1">
      <x:c r="A62" s="6" t="str">
        <x:v>audio</x:v>
      </x:c>
      <x:c r="B62" s="6" t="str">
        <x:v>3 fiche(s) : Omega — paysage sonore; Alingon / Alignon — graphie à contrôler — paysage sonore; Poursuite dans l’espace — paysage sonore</x:v>
      </x:c>
      <x:c r="C62" s="6" t="str">
        <x:v>Produire les assets originaux puis vérifier en situation; ce catalogue ne livre ni image, ni son, ni animation.</x:v>
      </x:c>
      <x:c r="D62" s="2"/>
      <x:c r="E62" s="2"/>
      <x:c r="F62" s="2"/>
    </x:row>
    <x:row r="63" ht="54" customHeight="1">
      <x:c r="A63" s="6" t="str">
        <x:v>systems</x:v>
      </x:c>
      <x:c r="B63" s="6" t="str">
        <x:v>4 fiche(s) : Journal à deux niveaux; Groupe propre au chapitre; Rythme ATB proposé; Sauvegarde des modules</x:v>
      </x:c>
      <x:c r="C63" s="6" t="str">
        <x:v>Prototyper les règles proposées et exécuter les critères de recette; aucune fiche n’est déclarée intégrée ou validée.</x:v>
      </x:c>
      <x:c r="D63" s="2"/>
      <x:c r="E63" s="2"/>
      <x:c r="F63" s="2"/>
    </x:row>
    <x:row r="64" ht="68" customHeight="1">
      <x:c r="A64" s="6" t="str">
        <x:v>qa</x:v>
      </x:c>
      <x:c r="B64" s="6" t="str">
        <x:v>9 fiche(s) : Contact sur Omega — contrôle du parcours; Entretien à Afterlife — contrôle du parcours; Docks et transfert — contrôle du parcours; Rejoindre la base — contrôle du parcours</x:v>
      </x:c>
      <x:c r="C64" s="6" t="str">
        <x:v>Prototyper les règles proposées et exécuter les critères de recette; aucune fiche n’est déclarée intégrée ou validée.</x:v>
      </x:c>
      <x:c r="D64" s="2"/>
      <x:c r="E64" s="2"/>
      <x:c r="F64" s="2"/>
    </x:row>
    <x:row r="65" ht="68" customHeight="1">
      <x:c r="A65" s="6" t="str">
        <x:v>continuity</x:v>
      </x:c>
      <x:c r="B65" s="6" t="str">
        <x:v>2 fiche(s) : Position dans l’univers; Contenus non attestés</x:v>
      </x:c>
      <x:c r="C65" s="6" t="str">
        <x:v>Comparer les détails marqués À vérifier à une édition autorisée; les sources éditoriales n’attestent pas chaque détail graphique.</x:v>
      </x:c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  <x:row r="134" ht="22" customHeight="1">
      <x:c r="A134" s="2"/>
      <x:c r="B134" s="2"/>
      <x:c r="C134" s="2"/>
      <x:c r="D134" s="2"/>
      <x:c r="E134" s="2"/>
      <x:c r="F134" s="2"/>
    </x:row>
    <x:row r="135" ht="22" customHeight="1">
      <x:c r="A135" s="2"/>
      <x:c r="B135" s="2"/>
      <x:c r="C135" s="2"/>
      <x:c r="D135" s="2"/>
      <x:c r="E135" s="2"/>
      <x:c r="F135" s="2"/>
    </x:row>
  </x:sheetData>
  <x:pageMargins left="0.7" right="0.7" top="0.75" bottom="0.75" header="0.3" footer="0.3"/>
</x:worksheet>
</file>