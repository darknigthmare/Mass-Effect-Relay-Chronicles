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tables/table22.xml" ContentType="application/vnd.openxmlformats-officedocument.spreadsheetml.table+xml"/>
  <Override PartName="/xl/worksheets/sheet24.xml" ContentType="application/vnd.openxmlformats-officedocument.spreadsheetml.worksheet+xml"/>
  <Override PartName="/xl/tables/table23.xml" ContentType="application/vnd.openxmlformats-officedocument.spreadsheetml.table+xml"/>
  <Override PartName="/xl/worksheets/sheet25.xml" ContentType="application/vnd.openxmlformats-officedocument.spreadsheetml.worksheet+xml"/>
  <Override PartName="/xl/tables/table24.xml" ContentType="application/vnd.openxmlformats-officedocument.spreadsheetml.table+xml"/>
  <Override PartName="/xl/worksheets/sheet26.xml" ContentType="application/vnd.openxmlformats-officedocument.spreadsheetml.worksheet+xml"/>
  <Override PartName="/xl/tables/table25.xml" ContentType="application/vnd.openxmlformats-officedocument.spreadsheetml.table+xml"/>
  <Override PartName="/xl/worksheets/sheet27.xml" ContentType="application/vnd.openxmlformats-officedocument.spreadsheetml.worksheet+xml"/>
  <Override PartName="/xl/tables/table26.xml" ContentType="application/vnd.openxmlformats-officedocument.spreadsheetml.table+xml"/>
  <Override PartName="/xl/worksheets/sheet2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a6d012bcea24ab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ea2280a110f54673"/>
    <x:sheet xmlns:r="http://schemas.openxmlformats.org/officeDocument/2006/relationships" name="Personnages" sheetId="2" r:id="R2991cf02609443cc"/>
    <x:sheet xmlns:r="http://schemas.openxmlformats.org/officeDocument/2006/relationships" name="PNJ" sheetId="3" r:id="Rdd5766f5bc174a86"/>
    <x:sheet xmlns:r="http://schemas.openxmlformats.org/officeDocument/2006/relationships" name="Especes_factions" sheetId="4" r:id="R040b85fc14c94185"/>
    <x:sheet xmlns:r="http://schemas.openxmlformats.org/officeDocument/2006/relationships" name="Mondes" sheetId="5" r:id="Rd194fb2e4ff04d26"/>
    <x:sheet xmlns:r="http://schemas.openxmlformats.org/officeDocument/2006/relationships" name="Zones" sheetId="6" r:id="R3dcd7f4fe1db4146"/>
    <x:sheet xmlns:r="http://schemas.openxmlformats.org/officeDocument/2006/relationships" name="Liaisons" sheetId="7" r:id="R4ec53dde2ff34324"/>
    <x:sheet xmlns:r="http://schemas.openxmlformats.org/officeDocument/2006/relationships" name="Decors" sheetId="8" r:id="Rce69c3ccd26446f4"/>
    <x:sheet xmlns:r="http://schemas.openxmlformats.org/officeDocument/2006/relationships" name="Props" sheetId="9" r:id="R9441528b68be4009"/>
    <x:sheet xmlns:r="http://schemas.openxmlformats.org/officeDocument/2006/relationships" name="Ennemis_boss" sheetId="10" r:id="R462f7e16ee69468c"/>
    <x:sheet xmlns:r="http://schemas.openxmlformats.org/officeDocument/2006/relationships" name="Missions" sheetId="11" r:id="Rc423ca925174427d"/>
    <x:sheet xmlns:r="http://schemas.openxmlformats.org/officeDocument/2006/relationships" name="Secondaires_DLC" sheetId="12" r:id="R5edd53daf4ff4e0e"/>
    <x:sheet xmlns:r="http://schemas.openxmlformats.org/officeDocument/2006/relationships" name="Choix_relations" sheetId="13" r:id="R4dc866d829b9440a"/>
    <x:sheet xmlns:r="http://schemas.openxmlformats.org/officeDocument/2006/relationships" name="Dialogues" sheetId="14" r:id="R87ad10c6d3864b85"/>
    <x:sheet xmlns:r="http://schemas.openxmlformats.org/officeDocument/2006/relationships" name="Cinematiques" sheetId="15" r:id="R3da98ccd06254707"/>
    <x:sheet xmlns:r="http://schemas.openxmlformats.org/officeDocument/2006/relationships" name="Armes" sheetId="16" r:id="Rbfc04e3ccc9f4e1a"/>
    <x:sheet xmlns:r="http://schemas.openxmlformats.org/officeDocument/2006/relationships" name="Armures_equipement" sheetId="17" r:id="R3986685092364b90"/>
    <x:sheet xmlns:r="http://schemas.openxmlformats.org/officeDocument/2006/relationships" name="Pouvoirs" sheetId="18" r:id="Rb8d93ca4c54d4540"/>
    <x:sheet xmlns:r="http://schemas.openxmlformats.org/officeDocument/2006/relationships" name="Movesets_allies" sheetId="19" r:id="R6ea7edd70fa3464e"/>
    <x:sheet xmlns:r="http://schemas.openxmlformats.org/officeDocument/2006/relationships" name="Movesets_ennemis" sheetId="20" r:id="R992a0de48ea947a1"/>
    <x:sheet xmlns:r="http://schemas.openxmlformats.org/officeDocument/2006/relationships" name="Animations" sheetId="21" r:id="Rae00b3886e2840b4"/>
    <x:sheet xmlns:r="http://schemas.openxmlformats.org/officeDocument/2006/relationships" name="Sprites" sheetId="22" r:id="Rf5f8e886ebb84190"/>
    <x:sheet xmlns:r="http://schemas.openxmlformats.org/officeDocument/2006/relationships" name="VFX" sheetId="23" r:id="Re307099c32d9400e"/>
    <x:sheet xmlns:r="http://schemas.openxmlformats.org/officeDocument/2006/relationships" name="Audio" sheetId="24" r:id="R01f58572884f4938"/>
    <x:sheet xmlns:r="http://schemas.openxmlformats.org/officeDocument/2006/relationships" name="UI_systemes" sheetId="25" r:id="Rd3f444ac3dc34718"/>
    <x:sheet xmlns:r="http://schemas.openxmlformats.org/officeDocument/2006/relationships" name="QA" sheetId="26" r:id="R4d9f10585445499f"/>
    <x:sheet xmlns:r="http://schemas.openxmlformats.org/officeDocument/2006/relationships" name="Continuite" sheetId="27" r:id="R16a5a13d6f724755"/>
    <x:sheet xmlns:r="http://schemas.openxmlformats.org/officeDocument/2006/relationships" name="Guide" sheetId="28" r:id="R2a4aafadd58b4f3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dd/mm/yyyy"/>
  </x:numFmts>
  <x:fonts count="8">
    <x:font>
      <x:sz val="11"/>
      <x:name val="Carlito"/>
    </x:font>
    <x:font>
      <x:sz val="10"/>
      <x:color rgb="FF183044"/>
      <x:name val="Arial"/>
    </x:font>
    <x:font>
      <x:b/>
      <x:sz val="14"/>
      <x:color rgb="FF102438"/>
      <x:name val="Arial"/>
    </x:font>
    <x:font>
      <x:i/>
      <x:sz val="10"/>
      <x:color rgb="FF4A6374"/>
      <x:name val="Arial"/>
    </x:font>
    <x:font>
      <x:sz val="10"/>
      <x:color rgb="FF557283"/>
      <x:name val="Arial"/>
    </x:font>
    <x:font>
      <x:b/>
      <x:sz val="10"/>
      <x:color rgb="FFFFFFFF"/>
      <x:name val="Arial"/>
    </x:font>
    <x:font>
      <x:b/>
      <x:sz val="14"/>
      <x:color rgb="FF087F8C"/>
      <x:name val="Arial"/>
    </x:font>
    <x:font>
      <x:i/>
      <x:sz val="10"/>
      <x:color rgb="FF183044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8FBFC"/>
      </x:patternFill>
    </x:fill>
    <x:fill>
      <x:patternFill patternType="solid">
        <x:fgColor rgb="FFFFF0C7"/>
      </x:patternFill>
    </x:fill>
    <x:fill>
      <x:patternFill patternType="solid">
        <x:fgColor rgb="FF102438"/>
      </x:patternFill>
    </x:fill>
    <x:fill>
      <x:patternFill patternType="solid">
        <x:fgColor rgb="FFEDF5F7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087F8C"/>
      </x:bottom>
      <x:diagonal/>
    </x:border>
    <x:border>
      <x:left/>
      <x:right style="thin">
        <x:color rgb="FFFFFFFF"/>
      </x:right>
      <x:top/>
      <x:bottom style="thin">
        <x:color rgb="FF087F8C"/>
      </x:bottom>
      <x:diagonal/>
    </x:border>
    <x:border>
      <x:left style="thin">
        <x:color rgb="FFFFFFFF"/>
      </x:left>
      <x:right style="thin">
        <x:color rgb="FFFFFFFF"/>
      </x:right>
      <x:top/>
      <x:bottom style="thin">
        <x:color rgb="FF087F8C"/>
      </x:bottom>
      <x:diagonal/>
    </x:border>
    <x:border>
      <x:left style="thin">
        <x:color rgb="FFFFFFFF"/>
      </x:left>
      <x:right/>
      <x:top/>
      <x:bottom style="thin">
        <x:color rgb="FF087F8C"/>
      </x:bottom>
      <x:diagonal/>
    </x:border>
  </x:borders>
  <x:cellStyleXfs count="1">
    <x:xf numFmtId="0" fontId="0" fillId="0" borderId="0"/>
  </x:cellStyleXfs>
  <x:cellXfs count="4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vertical="top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/>
    </x:xf>
    <x:xf numFmtId="0" fontId="1" fillId="3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horizontal="center" vertical="top" wrapText="1"/>
    </x:xf>
    <x:xf numFmtId="0" fontId="1" fillId="2" borderId="0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horizontal="center" vertical="center" wrapText="1"/>
    </x:xf>
    <x:xf numFmtId="0" fontId="4" fillId="2" borderId="0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/>
    </x:xf>
    <x:xf numFmtId="0" fontId="5" fillId="4" borderId="2" xfId="0" applyNumberFormat="1" applyFont="1" applyFill="1" applyBorder="1" applyAlignment="1">
      <x:alignment vertical="center"/>
    </x:xf>
    <x:xf numFmtId="0" fontId="5" fillId="4" borderId="3" xfId="0" applyNumberFormat="1" applyFont="1" applyFill="1" applyBorder="1" applyAlignment="1">
      <x:alignment vertical="center"/>
    </x:xf>
    <x:xf numFmtId="0" fontId="5" fillId="4" borderId="4" xfId="0" applyNumberFormat="1" applyFont="1" applyFill="1" applyBorder="1" applyAlignment="1">
      <x:alignment vertical="center"/>
    </x:xf>
    <x:xf numFmtId="0" fontId="5" fillId="4" borderId="2" xfId="0" applyNumberFormat="1" applyFont="1" applyFill="1" applyBorder="1" applyAlignment="1">
      <x:alignment vertical="center" wrapText="1"/>
    </x:xf>
    <x:xf numFmtId="0" fontId="5" fillId="4" borderId="3" xfId="0" applyNumberFormat="1" applyFont="1" applyFill="1" applyBorder="1" applyAlignment="1">
      <x:alignment vertical="center" wrapText="1"/>
    </x:xf>
    <x:xf numFmtId="0" fontId="5" fillId="4" borderId="4" xfId="0" applyNumberFormat="1" applyFont="1" applyFill="1" applyBorder="1" applyAlignment="1">
      <x:alignment vertical="center" wrapText="1"/>
    </x:xf>
    <x:xf numFmtId="0" fontId="5" fillId="4" borderId="2" xfId="0" applyNumberFormat="1" applyFont="1" applyFill="1" applyBorder="1" applyAlignment="1">
      <x:alignment horizontal="center" vertical="center" wrapText="1"/>
    </x:xf>
    <x:xf numFmtId="0" fontId="5" fillId="4" borderId="3" xfId="0" applyNumberFormat="1" applyFont="1" applyFill="1" applyBorder="1" applyAlignment="1">
      <x:alignment horizontal="center" vertical="center" wrapText="1"/>
    </x:xf>
    <x:xf numFmtId="0" fontId="5" fillId="4" borderId="4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200" fontId="1" fillId="5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5" fillId="4" borderId="0" xfId="0" applyNumberFormat="1" applyFont="1" applyFill="1" applyBorder="1" applyAlignment="1">
      <x:alignment vertical="center"/>
    </x:xf>
    <x:xf numFmtId="200" fontId="1" fillId="5" borderId="0" xfId="0" applyNumberFormat="1" applyFont="1" applyFill="1" applyBorder="1" applyAlignment="1">
      <x:alignment horizontal="right" vertical="center"/>
    </x:xf>
    <x:xf numFmtId="200" fontId="1" fillId="0" borderId="0" xfId="0" applyNumberFormat="1" applyFont="1" applyFill="1" applyBorder="1" applyAlignment="1">
      <x:alignment horizontal="right" vertical="center"/>
    </x:xf>
    <x:xf numFmtId="200" fontId="5" fillId="4" borderId="0" xfId="0" applyNumberFormat="1" applyFont="1" applyFill="1" applyBorder="1" applyAlignment="1">
      <x:alignment horizontal="right" vertical="center"/>
    </x:xf>
    <x:xf numFmtId="201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04"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2bfd5f44cdc4a49" /><Relationship Type="http://schemas.openxmlformats.org/officeDocument/2006/relationships/theme" Target="/xl/theme/theme1.xml" Id="R8bcdd21b1bea40f8" /><Relationship Type="http://schemas.openxmlformats.org/officeDocument/2006/relationships/sharedStrings" Target="/xl/sharedStrings.xml" Id="R6b77d195b18d4663" /><Relationship Type="http://schemas.openxmlformats.org/officeDocument/2006/relationships/worksheet" Target="/xl/worksheets/sheet1.xml" Id="Rea2280a110f54673" /><Relationship Type="http://schemas.openxmlformats.org/officeDocument/2006/relationships/worksheet" Target="/xl/worksheets/sheet2.xml" Id="R2991cf02609443cc" /><Relationship Type="http://schemas.openxmlformats.org/officeDocument/2006/relationships/worksheet" Target="/xl/worksheets/sheet3.xml" Id="Rdd5766f5bc174a86" /><Relationship Type="http://schemas.openxmlformats.org/officeDocument/2006/relationships/worksheet" Target="/xl/worksheets/sheet4.xml" Id="R040b85fc14c94185" /><Relationship Type="http://schemas.openxmlformats.org/officeDocument/2006/relationships/worksheet" Target="/xl/worksheets/sheet5.xml" Id="Rd194fb2e4ff04d26" /><Relationship Type="http://schemas.openxmlformats.org/officeDocument/2006/relationships/worksheet" Target="/xl/worksheets/sheet6.xml" Id="R3dcd7f4fe1db4146" /><Relationship Type="http://schemas.openxmlformats.org/officeDocument/2006/relationships/worksheet" Target="/xl/worksheets/sheet7.xml" Id="R4ec53dde2ff34324" /><Relationship Type="http://schemas.openxmlformats.org/officeDocument/2006/relationships/worksheet" Target="/xl/worksheets/sheet8.xml" Id="Rce69c3ccd26446f4" /><Relationship Type="http://schemas.openxmlformats.org/officeDocument/2006/relationships/worksheet" Target="/xl/worksheets/sheet9.xml" Id="R9441528b68be4009" /><Relationship Type="http://schemas.openxmlformats.org/officeDocument/2006/relationships/worksheet" Target="/xl/worksheets/sheet10.xml" Id="R462f7e16ee69468c" /><Relationship Type="http://schemas.openxmlformats.org/officeDocument/2006/relationships/worksheet" Target="/xl/worksheets/sheet11.xml" Id="Rc423ca925174427d" /><Relationship Type="http://schemas.openxmlformats.org/officeDocument/2006/relationships/worksheet" Target="/xl/worksheets/sheet12.xml" Id="R5edd53daf4ff4e0e" /><Relationship Type="http://schemas.openxmlformats.org/officeDocument/2006/relationships/worksheet" Target="/xl/worksheets/sheet13.xml" Id="R4dc866d829b9440a" /><Relationship Type="http://schemas.openxmlformats.org/officeDocument/2006/relationships/worksheet" Target="/xl/worksheets/sheet14.xml" Id="R87ad10c6d3864b85" /><Relationship Type="http://schemas.openxmlformats.org/officeDocument/2006/relationships/worksheet" Target="/xl/worksheets/sheet15.xml" Id="R3da98ccd06254707" /><Relationship Type="http://schemas.openxmlformats.org/officeDocument/2006/relationships/worksheet" Target="/xl/worksheets/sheet16.xml" Id="Rbfc04e3ccc9f4e1a" /><Relationship Type="http://schemas.openxmlformats.org/officeDocument/2006/relationships/worksheet" Target="/xl/worksheets/sheet17.xml" Id="R3986685092364b90" /><Relationship Type="http://schemas.openxmlformats.org/officeDocument/2006/relationships/worksheet" Target="/xl/worksheets/sheet18.xml" Id="Rb8d93ca4c54d4540" /><Relationship Type="http://schemas.openxmlformats.org/officeDocument/2006/relationships/worksheet" Target="/xl/worksheets/sheet19.xml" Id="R6ea7edd70fa3464e" /><Relationship Type="http://schemas.openxmlformats.org/officeDocument/2006/relationships/worksheet" Target="/xl/worksheets/sheet20.xml" Id="R992a0de48ea947a1" /><Relationship Type="http://schemas.openxmlformats.org/officeDocument/2006/relationships/worksheet" Target="/xl/worksheets/sheet21.xml" Id="Rae00b3886e2840b4" /><Relationship Type="http://schemas.openxmlformats.org/officeDocument/2006/relationships/worksheet" Target="/xl/worksheets/sheet22.xml" Id="Rf5f8e886ebb84190" /><Relationship Type="http://schemas.openxmlformats.org/officeDocument/2006/relationships/worksheet" Target="/xl/worksheets/sheet23.xml" Id="Re307099c32d9400e" /><Relationship Type="http://schemas.openxmlformats.org/officeDocument/2006/relationships/worksheet" Target="/xl/worksheets/sheet24.xml" Id="R01f58572884f4938" /><Relationship Type="http://schemas.openxmlformats.org/officeDocument/2006/relationships/worksheet" Target="/xl/worksheets/sheet25.xml" Id="Rd3f444ac3dc34718" /><Relationship Type="http://schemas.openxmlformats.org/officeDocument/2006/relationships/worksheet" Target="/xl/worksheets/sheet26.xml" Id="R4d9f10585445499f" /><Relationship Type="http://schemas.openxmlformats.org/officeDocument/2006/relationships/worksheet" Target="/xl/worksheets/sheet27.xml" Id="R16a5a13d6f724755" /><Relationship Type="http://schemas.openxmlformats.org/officeDocument/2006/relationships/worksheet" Target="/xl/worksheets/sheet28.xml" Id="R2a4aafadd58b4f33" /></Relationships>
</file>

<file path=xl/tables/table1.xml><?xml version="1.0" encoding="utf-8"?>
<x:table xmlns:x="http://schemas.openxmlformats.org/spreadsheetml/2006/main" id="1" name="RED_characters" displayName="RED_characters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D_npcs" displayName="RED_npcs" ref="A6:S10" headerRowCount="1" totalsRowCount="0" totalsRowShown="0">
  <x:autoFilter ref="A6:S10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ED_lore" displayName="RED_lore" ref="A6:S16" headerRowCount="1" totalsRowCount="0" totalsRowShown="0">
  <x:autoFilter ref="A6:S16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RED_worlds" displayName="RED_worlds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RED_zones" displayName="RED_zones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RED_links" displayName="RED_links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D_scenery" displayName="RED_scenery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RED_props" displayName="RED_props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RED_enemies" displayName="RED_enemies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RED_main_quests" displayName="RED_main_quests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RED_side_quests" displayName="RED_side_quests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RED_choices" displayName="RED_choices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RED_dialogues" displayName="RED_dialogues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RED_cinematics" displayName="RED_cinematics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5" name="RED_weapons" displayName="RED_weapons" ref="A6:S7" headerRowCount="1" totalsRowCount="0" totalsRowShown="0">
  <x:autoFilter ref="A6:S7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16" name="RED_equipment" displayName="RED_equipment" ref="A6:S7" headerRowCount="1" totalsRowCount="0" totalsRowShown="0">
  <x:autoFilter ref="A6:S7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7.xml><?xml version="1.0" encoding="utf-8"?>
<x:table xmlns:x="http://schemas.openxmlformats.org/spreadsheetml/2006/main" id="17" name="RED_powers" displayName="RED_powers" ref="A6:S7" headerRowCount="1" totalsRowCount="0" totalsRowShown="0">
  <x:autoFilter ref="A6:S7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8.xml><?xml version="1.0" encoding="utf-8"?>
<x:table xmlns:x="http://schemas.openxmlformats.org/spreadsheetml/2006/main" id="18" name="RED_ally_moves" displayName="RED_ally_moves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9.xml><?xml version="1.0" encoding="utf-8"?>
<x:table xmlns:x="http://schemas.openxmlformats.org/spreadsheetml/2006/main" id="19" name="RED_enemy_moves" displayName="RED_enemy_moves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0.xml><?xml version="1.0" encoding="utf-8"?>
<x:table xmlns:x="http://schemas.openxmlformats.org/spreadsheetml/2006/main" id="20" name="RED_animations" displayName="RED_animations" ref="A6:S13" headerRowCount="1" totalsRowCount="0" totalsRowShown="0">
  <x:autoFilter ref="A6:S13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1.xml><?xml version="1.0" encoding="utf-8"?>
<x:table xmlns:x="http://schemas.openxmlformats.org/spreadsheetml/2006/main" id="21" name="RED_sprites" displayName="RED_sprites" ref="A6:S13" headerRowCount="1" totalsRowCount="0" totalsRowShown="0">
  <x:autoFilter ref="A6:S13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2.xml><?xml version="1.0" encoding="utf-8"?>
<x:table xmlns:x="http://schemas.openxmlformats.org/spreadsheetml/2006/main" id="22" name="RED_vfx" displayName="RED_vfx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3.xml><?xml version="1.0" encoding="utf-8"?>
<x:table xmlns:x="http://schemas.openxmlformats.org/spreadsheetml/2006/main" id="23" name="RED_audio" displayName="RED_audio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4.xml><?xml version="1.0" encoding="utf-8"?>
<x:table xmlns:x="http://schemas.openxmlformats.org/spreadsheetml/2006/main" id="24" name="RED_systems" displayName="RED_systems" ref="A6:S10" headerRowCount="1" totalsRowCount="0" totalsRowShown="0">
  <x:autoFilter ref="A6:S10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5.xml><?xml version="1.0" encoding="utf-8"?>
<x:table xmlns:x="http://schemas.openxmlformats.org/spreadsheetml/2006/main" id="25" name="RED_qa" displayName="RED_qa" ref="A6:S15" headerRowCount="1" totalsRowCount="0" totalsRowShown="0">
  <x:autoFilter ref="A6:S15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6.xml><?xml version="1.0" encoding="utf-8"?>
<x:table xmlns:x="http://schemas.openxmlformats.org/spreadsheetml/2006/main" id="26" name="RED_continuity" displayName="RED_continuity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ac825f2471c4e5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8de4223565247d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592637b168f4ba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9029c53c7324dc0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c1a5fa2eb07439a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e5f9e60a8aa4870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0754a3ddbfe64b09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5d513bd8b43d45b7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e9219d27cdce4591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949773530f324c80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b7c7df93096943dc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952dc52bfcd74ad7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e61116518e6840c6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4.xml" Id="R25d5772822084e7f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5.xml" Id="R507929e276e74c7e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6.xml" Id="R455e03395b054723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7.xml" Id="Rb864ce671d3d4279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8.xml" Id="Rd8582e15b3e34a19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19.xml" Id="R747fdcdec22941c9" /></Relationships>
</file>

<file path=xl/worksheets/_rels/sheet21.xml.rels>&#65279;<?xml version="1.0" encoding="utf-8"?><Relationships xmlns="http://schemas.openxmlformats.org/package/2006/relationships"><Relationship Type="http://schemas.openxmlformats.org/officeDocument/2006/relationships/table" Target="/xl/tables/table20.xml" Id="R7460185362cf4919" /></Relationships>
</file>

<file path=xl/worksheets/_rels/sheet22.xml.rels>&#65279;<?xml version="1.0" encoding="utf-8"?><Relationships xmlns="http://schemas.openxmlformats.org/package/2006/relationships"><Relationship Type="http://schemas.openxmlformats.org/officeDocument/2006/relationships/table" Target="/xl/tables/table21.xml" Id="R807aed0cb89e434c" /></Relationships>
</file>

<file path=xl/worksheets/_rels/sheet23.xml.rels>&#65279;<?xml version="1.0" encoding="utf-8"?><Relationships xmlns="http://schemas.openxmlformats.org/package/2006/relationships"><Relationship Type="http://schemas.openxmlformats.org/officeDocument/2006/relationships/table" Target="/xl/tables/table22.xml" Id="R1e8f6c24787640f3" /></Relationships>
</file>

<file path=xl/worksheets/_rels/sheet24.xml.rels>&#65279;<?xml version="1.0" encoding="utf-8"?><Relationships xmlns="http://schemas.openxmlformats.org/package/2006/relationships"><Relationship Type="http://schemas.openxmlformats.org/officeDocument/2006/relationships/table" Target="/xl/tables/table23.xml" Id="R5dc310d9f5234565" /></Relationships>
</file>

<file path=xl/worksheets/_rels/sheet25.xml.rels>&#65279;<?xml version="1.0" encoding="utf-8"?><Relationships xmlns="http://schemas.openxmlformats.org/package/2006/relationships"><Relationship Type="http://schemas.openxmlformats.org/officeDocument/2006/relationships/table" Target="/xl/tables/table24.xml" Id="R4575e5113fdc41c2" /></Relationships>
</file>

<file path=xl/worksheets/_rels/sheet26.xml.rels>&#65279;<?xml version="1.0" encoding="utf-8"?><Relationships xmlns="http://schemas.openxmlformats.org/package/2006/relationships"><Relationship Type="http://schemas.openxmlformats.org/officeDocument/2006/relationships/table" Target="/xl/tables/table25.xml" Id="Rd894e06514a1481f" /></Relationships>
</file>

<file path=xl/worksheets/_rels/sheet27.xml.rels>&#65279;<?xml version="1.0" encoding="utf-8"?><Relationships xmlns="http://schemas.openxmlformats.org/package/2006/relationships"><Relationship Type="http://schemas.openxmlformats.org/officeDocument/2006/relationships/table" Target="/xl/tables/table26.xml" Id="R3b37823d3f4d410f" /></Relationships>
</file>

<file path=xl/worksheets/sheet1.xml><?xml version="1.0" encoding="utf-8"?>
<x:worksheet xmlns:x="http://schemas.openxmlformats.org/spreadsheetml/2006/main">
  <x:sheetPr>
    <x:tabColor rgb="FF102438"/>
  </x:sheetPr>
  <x:sheetViews>
    <x:sheetView showGridLines="0" workbookViewId="0"/>
  </x:sheetViews>
  <x:sheetFormatPr defaultRowHeight="15"/>
  <x:cols>
    <x:col min="1" max="1" width="28" hidden="0" customWidth="1"/>
    <x:col min="2" max="2" width="12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4" hidden="0" customWidth="1"/>
    <x:col min="8" max="8" width="15" hidden="0" customWidth="1"/>
    <x:col min="9" max="9" width="16" hidden="0" customWidth="1"/>
    <x:col min="10" max="10" width="17" hidden="0" customWidth="1"/>
    <x:col min="11" max="11" width="17" hidden="0" customWidth="1"/>
    <x:col min="12" max="12" width="17" hidden="0" customWidth="1"/>
    <x:col min="13" max="13" width="14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 ht="22" customHeight="1">
      <x:c r="A2" s="3" t="str">
        <x:v>Mass Effect: Redemption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</x:row>
    <x:row r="3" ht="22" customHeight="1">
      <x:c r="A3" s="4" t="str">
        <x:v>Catalogue de production. Statuts et références calculés depuis les fiches.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</x:row>
    <x:row r="5" ht="22" customHeight="1">
      <x:c r="A5" s="2" t="str">
        <x:v>Fiches suivies</x:v>
      </x:c>
      <x:c r="B5" s="31" t="n">
        <x:f>SUM(B10:B35)</x:f>
        <x:v>117</x:v>
      </x:c>
      <x:c r="C5" s="2"/>
      <x:c r="D5" s="2" t="str">
        <x:v>Intégrés</x:v>
      </x:c>
      <x:c r="E5" s="31" t="n">
        <x:f>SUM(E10:F35)</x:f>
        <x:v>0</x:v>
      </x:c>
      <x:c r="F5" s="2"/>
      <x:c r="G5" s="2" t="str">
        <x:v>À vérifier</x:v>
      </x:c>
      <x:c r="H5" s="31" t="n">
        <x:f>SUM(H10:H35)</x:f>
        <x:v>8</x:v>
      </x:c>
      <x:c r="I5" s="2"/>
      <x:c r="J5" s="2" t="str">
        <x:v>Extrapolations</x:v>
      </x:c>
      <x:c r="K5" s="31" t="n">
        <x:f>SUM(I10:I35)</x:f>
        <x:v>94</x:v>
      </x:c>
      <x:c r="L5" s="2"/>
      <x:c r="M5" s="2"/>
    </x:row>
    <x:row r="6" ht="22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</x:row>
    <x:row r="7" ht="22" customHeight="1">
      <x:c r="A7" s="32" t="str">
        <x:v>Défini = spécification. Établi = référence documentée. Les colonnes d’adaptation restent des propositions.</x:v>
      </x:c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</x:row>
    <x:row r="8" ht="22" customHeight="1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</x:row>
    <x:row r="9" ht="34" customHeight="1">
      <x:c r="A9" s="28" t="str">
        <x:v>Domaine</x:v>
      </x:c>
      <x:c r="B9" s="29" t="str">
        <x:v>Total</x:v>
      </x:c>
      <x:c r="C9" s="29" t="str">
        <x:v>Défini</x:v>
      </x:c>
      <x:c r="D9" s="29" t="str">
        <x:v>Prototype</x:v>
      </x:c>
      <x:c r="E9" s="29" t="str">
        <x:v>Intégré</x:v>
      </x:c>
      <x:c r="F9" s="29" t="str">
        <x:v>Validé</x:v>
      </x:c>
      <x:c r="G9" s="29" t="str">
        <x:v>Établi</x:v>
      </x:c>
      <x:c r="H9" s="29" t="str">
        <x:v>À vérifier</x:v>
      </x:c>
      <x:c r="I9" s="29" t="str">
        <x:v>Extrapolation</x:v>
      </x:c>
      <x:c r="J9" s="29" t="str">
        <x:v>Coupé attesté</x:v>
      </x:c>
      <x:c r="K9" s="29" t="str">
        <x:v>Concept abandonné</x:v>
      </x:c>
      <x:c r="L9" s="29" t="str">
        <x:v>Allégation écartée</x:v>
      </x:c>
      <x:c r="M9" s="30" t="str">
        <x:v>Priorité P0</x:v>
      </x:c>
    </x:row>
    <x:row r="10" ht="22" customHeight="1">
      <x:c r="A10" s="33" t="str">
        <x:v>Personnages</x:v>
      </x:c>
      <x:c r="B10" s="37" t="n">
        <x:f>COUNTA('Personnages'!$A$7:$A$9)</x:f>
        <x:v>3</x:v>
      </x:c>
      <x:c r="C10" s="37" t="n">
        <x:f>COUNTIFS('Personnages'!$C$7:$C$9,"Défini")</x:f>
        <x:v>1</x:v>
      </x:c>
      <x:c r="D10" s="37" t="n">
        <x:f>COUNTIFS('Personnages'!$C$7:$C$9,"Prototype")</x:f>
        <x:v>2</x:v>
      </x:c>
      <x:c r="E10" s="37" t="n">
        <x:f>COUNTIFS('Personnages'!$C$7:$C$9,"Intégré")</x:f>
        <x:v>0</x:v>
      </x:c>
      <x:c r="F10" s="37" t="n">
        <x:f>COUNTIFS('Personnages'!$C$7:$C$9,"Validé")</x:f>
        <x:v>0</x:v>
      </x:c>
      <x:c r="G10" s="37" t="n">
        <x:f>COUNTIFS('Personnages'!$D$7:$D$9,"Établi")</x:f>
        <x:v>2</x:v>
      </x:c>
      <x:c r="H10" s="37" t="n">
        <x:f>COUNTIFS('Personnages'!$D$7:$D$9,"À vérifier")</x:f>
        <x:v>1</x:v>
      </x:c>
      <x:c r="I10" s="37" t="n">
        <x:f>COUNTIFS('Personnages'!$D$7:$D$9,"Extrapolation")</x:f>
        <x:v>0</x:v>
      </x:c>
      <x:c r="J10" s="37" t="n">
        <x:f>COUNTIFS('Personnages'!$D$7:$D$9,"Coupé attesté")</x:f>
        <x:v>0</x:v>
      </x:c>
      <x:c r="K10" s="37" t="n">
        <x:f>COUNTIFS('Personnages'!$D$7:$D$9,"Concept abandonné")</x:f>
        <x:v>0</x:v>
      </x:c>
      <x:c r="L10" s="37" t="n">
        <x:f>COUNTIFS('Personnages'!$D$7:$D$9,"Allégation écartée")</x:f>
        <x:v>0</x:v>
      </x:c>
      <x:c r="M10" s="37" t="n">
        <x:f>COUNTIFS('Personnages'!$E$7:$E$9,"P0")</x:f>
        <x:v>0</x:v>
      </x:c>
    </x:row>
    <x:row r="11" ht="22" customHeight="1">
      <x:c r="A11" s="2" t="str">
        <x:v>PNJ</x:v>
      </x:c>
      <x:c r="B11" s="38" t="n">
        <x:f>COUNTA('PNJ'!$A$7:$A$10)</x:f>
        <x:v>4</x:v>
      </x:c>
      <x:c r="C11" s="38" t="n">
        <x:f>COUNTIFS('PNJ'!$C$7:$C$10,"Défini")</x:f>
        <x:v>4</x:v>
      </x:c>
      <x:c r="D11" s="38" t="n">
        <x:f>COUNTIFS('PNJ'!$C$7:$C$10,"Prototype")</x:f>
        <x:v>0</x:v>
      </x:c>
      <x:c r="E11" s="38" t="n">
        <x:f>COUNTIFS('PNJ'!$C$7:$C$10,"Intégré")</x:f>
        <x:v>0</x:v>
      </x:c>
      <x:c r="F11" s="38" t="n">
        <x:f>COUNTIFS('PNJ'!$C$7:$C$10,"Validé")</x:f>
        <x:v>0</x:v>
      </x:c>
      <x:c r="G11" s="38" t="n">
        <x:f>COUNTIFS('PNJ'!$D$7:$D$10,"Établi")</x:f>
        <x:v>3</x:v>
      </x:c>
      <x:c r="H11" s="38" t="n">
        <x:f>COUNTIFS('PNJ'!$D$7:$D$10,"À vérifier")</x:f>
        <x:v>1</x:v>
      </x:c>
      <x:c r="I11" s="38" t="n">
        <x:f>COUNTIFS('PNJ'!$D$7:$D$10,"Extrapolation")</x:f>
        <x:v>0</x:v>
      </x:c>
      <x:c r="J11" s="38" t="n">
        <x:f>COUNTIFS('PNJ'!$D$7:$D$10,"Coupé attesté")</x:f>
        <x:v>0</x:v>
      </x:c>
      <x:c r="K11" s="38" t="n">
        <x:f>COUNTIFS('PNJ'!$D$7:$D$10,"Concept abandonné")</x:f>
        <x:v>0</x:v>
      </x:c>
      <x:c r="L11" s="38" t="n">
        <x:f>COUNTIFS('PNJ'!$D$7:$D$10,"Allégation écartée")</x:f>
        <x:v>0</x:v>
      </x:c>
      <x:c r="M11" s="38" t="n">
        <x:f>COUNTIFS('PNJ'!$E$7:$E$10,"P0")</x:f>
        <x:v>0</x:v>
      </x:c>
    </x:row>
    <x:row r="12" ht="22" customHeight="1">
      <x:c r="A12" s="33" t="str">
        <x:v>Espèces et factions</x:v>
      </x:c>
      <x:c r="B12" s="37" t="n">
        <x:f>COUNTA('Especes_factions'!$A$7:$A$16)</x:f>
        <x:v>10</x:v>
      </x:c>
      <x:c r="C12" s="37" t="n">
        <x:f>COUNTIFS('Especes_factions'!$C$7:$C$16,"Défini")</x:f>
        <x:v>6</x:v>
      </x:c>
      <x:c r="D12" s="37" t="n">
        <x:f>COUNTIFS('Especes_factions'!$C$7:$C$16,"Prototype")</x:f>
        <x:v>4</x:v>
      </x:c>
      <x:c r="E12" s="37" t="n">
        <x:f>COUNTIFS('Especes_factions'!$C$7:$C$16,"Intégré")</x:f>
        <x:v>0</x:v>
      </x:c>
      <x:c r="F12" s="37" t="n">
        <x:f>COUNTIFS('Especes_factions'!$C$7:$C$16,"Validé")</x:f>
        <x:v>0</x:v>
      </x:c>
      <x:c r="G12" s="37" t="n">
        <x:f>COUNTIFS('Especes_factions'!$D$7:$D$16,"Établi")</x:f>
        <x:v>7</x:v>
      </x:c>
      <x:c r="H12" s="37" t="n">
        <x:f>COUNTIFS('Especes_factions'!$D$7:$D$16,"À vérifier")</x:f>
        <x:v>3</x:v>
      </x:c>
      <x:c r="I12" s="37" t="n">
        <x:f>COUNTIFS('Especes_factions'!$D$7:$D$16,"Extrapolation")</x:f>
        <x:v>0</x:v>
      </x:c>
      <x:c r="J12" s="37" t="n">
        <x:f>COUNTIFS('Especes_factions'!$D$7:$D$16,"Coupé attesté")</x:f>
        <x:v>0</x:v>
      </x:c>
      <x:c r="K12" s="37" t="n">
        <x:f>COUNTIFS('Especes_factions'!$D$7:$D$16,"Concept abandonné")</x:f>
        <x:v>0</x:v>
      </x:c>
      <x:c r="L12" s="37" t="n">
        <x:f>COUNTIFS('Especes_factions'!$D$7:$D$16,"Allégation écartée")</x:f>
        <x:v>0</x:v>
      </x:c>
      <x:c r="M12" s="37" t="n">
        <x:f>COUNTIFS('Especes_factions'!$E$7:$E$16,"P0")</x:f>
        <x:v>4</x:v>
      </x:c>
    </x:row>
    <x:row r="13" ht="22" customHeight="1">
      <x:c r="A13" s="2" t="str">
        <x:v>Mondes</x:v>
      </x:c>
      <x:c r="B13" s="38" t="n">
        <x:f>COUNTA('Mondes'!$A$7:$A$9)</x:f>
        <x:v>3</x:v>
      </x:c>
      <x:c r="C13" s="38" t="n">
        <x:f>COUNTIFS('Mondes'!$C$7:$C$9,"Défini")</x:f>
        <x:v>1</x:v>
      </x:c>
      <x:c r="D13" s="38" t="n">
        <x:f>COUNTIFS('Mondes'!$C$7:$C$9,"Prototype")</x:f>
        <x:v>2</x:v>
      </x:c>
      <x:c r="E13" s="38" t="n">
        <x:f>COUNTIFS('Mondes'!$C$7:$C$9,"Intégré")</x:f>
        <x:v>0</x:v>
      </x:c>
      <x:c r="F13" s="38" t="n">
        <x:f>COUNTIFS('Mondes'!$C$7:$C$9,"Validé")</x:f>
        <x:v>0</x:v>
      </x:c>
      <x:c r="G13" s="38" t="n">
        <x:f>COUNTIFS('Mondes'!$D$7:$D$9,"Établi")</x:f>
        <x:v>3</x:v>
      </x:c>
      <x:c r="H13" s="38" t="n">
        <x:f>COUNTIFS('Mondes'!$D$7:$D$9,"À vérifier")</x:f>
        <x:v>0</x:v>
      </x:c>
      <x:c r="I13" s="38" t="n">
        <x:f>COUNTIFS('Mondes'!$D$7:$D$9,"Extrapolation")</x:f>
        <x:v>0</x:v>
      </x:c>
      <x:c r="J13" s="38" t="n">
        <x:f>COUNTIFS('Mondes'!$D$7:$D$9,"Coupé attesté")</x:f>
        <x:v>0</x:v>
      </x:c>
      <x:c r="K13" s="38" t="n">
        <x:f>COUNTIFS('Mondes'!$D$7:$D$9,"Concept abandonné")</x:f>
        <x:v>0</x:v>
      </x:c>
      <x:c r="L13" s="38" t="n">
        <x:f>COUNTIFS('Mondes'!$D$7:$D$9,"Allégation écartée")</x:f>
        <x:v>0</x:v>
      </x:c>
      <x:c r="M13" s="38" t="n">
        <x:f>COUNTIFS('Mondes'!$E$7:$E$9,"P0")</x:f>
        <x:v>0</x:v>
      </x:c>
    </x:row>
    <x:row r="14" ht="22" customHeight="1">
      <x:c r="A14" s="33" t="str">
        <x:v>Zones</x:v>
      </x:c>
      <x:c r="B14" s="37" t="n">
        <x:f>COUNTA('Zones'!$A$7:$A$9)</x:f>
        <x:v>3</x:v>
      </x:c>
      <x:c r="C14" s="37" t="n">
        <x:f>COUNTIFS('Zones'!$C$7:$C$9,"Défini")</x:f>
        <x:v>3</x:v>
      </x:c>
      <x:c r="D14" s="37" t="n">
        <x:f>COUNTIFS('Zones'!$C$7:$C$9,"Prototype")</x:f>
        <x:v>0</x:v>
      </x:c>
      <x:c r="E14" s="37" t="n">
        <x:f>COUNTIFS('Zones'!$C$7:$C$9,"Intégré")</x:f>
        <x:v>0</x:v>
      </x:c>
      <x:c r="F14" s="37" t="n">
        <x:f>COUNTIFS('Zones'!$C$7:$C$9,"Validé")</x:f>
        <x:v>0</x:v>
      </x:c>
      <x:c r="G14" s="37" t="n">
        <x:f>COUNTIFS('Zones'!$D$7:$D$9,"Établi")</x:f>
        <x:v>0</x:v>
      </x:c>
      <x:c r="H14" s="37" t="n">
        <x:f>COUNTIFS('Zones'!$D$7:$D$9,"À vérifier")</x:f>
        <x:v>0</x:v>
      </x:c>
      <x:c r="I14" s="37" t="n">
        <x:f>COUNTIFS('Zones'!$D$7:$D$9,"Extrapolation")</x:f>
        <x:v>3</x:v>
      </x:c>
      <x:c r="J14" s="37" t="n">
        <x:f>COUNTIFS('Zones'!$D$7:$D$9,"Coupé attesté")</x:f>
        <x:v>0</x:v>
      </x:c>
      <x:c r="K14" s="37" t="n">
        <x:f>COUNTIFS('Zones'!$D$7:$D$9,"Concept abandonné")</x:f>
        <x:v>0</x:v>
      </x:c>
      <x:c r="L14" s="37" t="n">
        <x:f>COUNTIFS('Zones'!$D$7:$D$9,"Allégation écartée")</x:f>
        <x:v>0</x:v>
      </x:c>
      <x:c r="M14" s="37" t="n">
        <x:f>COUNTIFS('Zones'!$E$7:$E$9,"P0")</x:f>
        <x:v>0</x:v>
      </x:c>
    </x:row>
    <x:row r="15" ht="22" customHeight="1">
      <x:c r="A15" s="2" t="str">
        <x:v>Liaisons</x:v>
      </x:c>
      <x:c r="B15" s="38" t="n">
        <x:f>COUNTA('Liaisons'!$A$7:$A$9)</x:f>
        <x:v>3</x:v>
      </x:c>
      <x:c r="C15" s="38" t="n">
        <x:f>COUNTIFS('Liaisons'!$C$7:$C$9,"Défini")</x:f>
        <x:v>3</x:v>
      </x:c>
      <x:c r="D15" s="38" t="n">
        <x:f>COUNTIFS('Liaisons'!$C$7:$C$9,"Prototype")</x:f>
        <x:v>0</x:v>
      </x:c>
      <x:c r="E15" s="38" t="n">
        <x:f>COUNTIFS('Liaisons'!$C$7:$C$9,"Intégré")</x:f>
        <x:v>0</x:v>
      </x:c>
      <x:c r="F15" s="38" t="n">
        <x:f>COUNTIFS('Liaisons'!$C$7:$C$9,"Validé")</x:f>
        <x:v>0</x:v>
      </x:c>
      <x:c r="G15" s="38" t="n">
        <x:f>COUNTIFS('Liaisons'!$D$7:$D$9,"Établi")</x:f>
        <x:v>0</x:v>
      </x:c>
      <x:c r="H15" s="38" t="n">
        <x:f>COUNTIFS('Liaisons'!$D$7:$D$9,"À vérifier")</x:f>
        <x:v>0</x:v>
      </x:c>
      <x:c r="I15" s="38" t="n">
        <x:f>COUNTIFS('Liaisons'!$D$7:$D$9,"Extrapolation")</x:f>
        <x:v>3</x:v>
      </x:c>
      <x:c r="J15" s="38" t="n">
        <x:f>COUNTIFS('Liaisons'!$D$7:$D$9,"Coupé attesté")</x:f>
        <x:v>0</x:v>
      </x:c>
      <x:c r="K15" s="38" t="n">
        <x:f>COUNTIFS('Liaisons'!$D$7:$D$9,"Concept abandonné")</x:f>
        <x:v>0</x:v>
      </x:c>
      <x:c r="L15" s="38" t="n">
        <x:f>COUNTIFS('Liaisons'!$D$7:$D$9,"Allégation écartée")</x:f>
        <x:v>0</x:v>
      </x:c>
      <x:c r="M15" s="38" t="n">
        <x:f>COUNTIFS('Liaisons'!$E$7:$E$9,"P0")</x:f>
        <x:v>0</x:v>
      </x:c>
    </x:row>
    <x:row r="16" ht="22" customHeight="1">
      <x:c r="A16" s="33" t="str">
        <x:v>Décors</x:v>
      </x:c>
      <x:c r="B16" s="37" t="n">
        <x:f>COUNTA('Decors'!$A$7:$A$9)</x:f>
        <x:v>3</x:v>
      </x:c>
      <x:c r="C16" s="37" t="n">
        <x:f>COUNTIFS('Decors'!$C$7:$C$9,"Défini")</x:f>
        <x:v>3</x:v>
      </x:c>
      <x:c r="D16" s="37" t="n">
        <x:f>COUNTIFS('Decors'!$C$7:$C$9,"Prototype")</x:f>
        <x:v>0</x:v>
      </x:c>
      <x:c r="E16" s="37" t="n">
        <x:f>COUNTIFS('Decors'!$C$7:$C$9,"Intégré")</x:f>
        <x:v>0</x:v>
      </x:c>
      <x:c r="F16" s="37" t="n">
        <x:f>COUNTIFS('Decors'!$C$7:$C$9,"Validé")</x:f>
        <x:v>0</x:v>
      </x:c>
      <x:c r="G16" s="37" t="n">
        <x:f>COUNTIFS('Decors'!$D$7:$D$9,"Établi")</x:f>
        <x:v>0</x:v>
      </x:c>
      <x:c r="H16" s="37" t="n">
        <x:f>COUNTIFS('Decors'!$D$7:$D$9,"À vérifier")</x:f>
        <x:v>0</x:v>
      </x:c>
      <x:c r="I16" s="37" t="n">
        <x:f>COUNTIFS('Decors'!$D$7:$D$9,"Extrapolation")</x:f>
        <x:v>3</x:v>
      </x:c>
      <x:c r="J16" s="37" t="n">
        <x:f>COUNTIFS('Decors'!$D$7:$D$9,"Coupé attesté")</x:f>
        <x:v>0</x:v>
      </x:c>
      <x:c r="K16" s="37" t="n">
        <x:f>COUNTIFS('Decors'!$D$7:$D$9,"Concept abandonné")</x:f>
        <x:v>0</x:v>
      </x:c>
      <x:c r="L16" s="37" t="n">
        <x:f>COUNTIFS('Decors'!$D$7:$D$9,"Allégation écartée")</x:f>
        <x:v>0</x:v>
      </x:c>
      <x:c r="M16" s="37" t="n">
        <x:f>COUNTIFS('Decors'!$E$7:$E$9,"P0")</x:f>
        <x:v>0</x:v>
      </x:c>
    </x:row>
    <x:row r="17" ht="22" customHeight="1">
      <x:c r="A17" s="2" t="str">
        <x:v>Props</x:v>
      </x:c>
      <x:c r="B17" s="38" t="n">
        <x:f>COUNTA('Props'!$A$7:$A$12)</x:f>
        <x:v>6</x:v>
      </x:c>
      <x:c r="C17" s="38" t="n">
        <x:f>COUNTIFS('Props'!$C$7:$C$12,"Défini")</x:f>
        <x:v>6</x:v>
      </x:c>
      <x:c r="D17" s="38" t="n">
        <x:f>COUNTIFS('Props'!$C$7:$C$12,"Prototype")</x:f>
        <x:v>0</x:v>
      </x:c>
      <x:c r="E17" s="38" t="n">
        <x:f>COUNTIFS('Props'!$C$7:$C$12,"Intégré")</x:f>
        <x:v>0</x:v>
      </x:c>
      <x:c r="F17" s="38" t="n">
        <x:f>COUNTIFS('Props'!$C$7:$C$12,"Validé")</x:f>
        <x:v>0</x:v>
      </x:c>
      <x:c r="G17" s="38" t="n">
        <x:f>COUNTIFS('Props'!$D$7:$D$12,"Établi")</x:f>
        <x:v>0</x:v>
      </x:c>
      <x:c r="H17" s="38" t="n">
        <x:f>COUNTIFS('Props'!$D$7:$D$12,"À vérifier")</x:f>
        <x:v>0</x:v>
      </x:c>
      <x:c r="I17" s="38" t="n">
        <x:f>COUNTIFS('Props'!$D$7:$D$12,"Extrapolation")</x:f>
        <x:v>6</x:v>
      </x:c>
      <x:c r="J17" s="38" t="n">
        <x:f>COUNTIFS('Props'!$D$7:$D$12,"Coupé attesté")</x:f>
        <x:v>0</x:v>
      </x:c>
      <x:c r="K17" s="38" t="n">
        <x:f>COUNTIFS('Props'!$D$7:$D$12,"Concept abandonné")</x:f>
        <x:v>0</x:v>
      </x:c>
      <x:c r="L17" s="38" t="n">
        <x:f>COUNTIFS('Props'!$D$7:$D$12,"Allégation écartée")</x:f>
        <x:v>0</x:v>
      </x:c>
      <x:c r="M17" s="38" t="n">
        <x:f>COUNTIFS('Props'!$E$7:$E$12,"P0")</x:f>
        <x:v>0</x:v>
      </x:c>
    </x:row>
    <x:row r="18" ht="22" customHeight="1">
      <x:c r="A18" s="33" t="str">
        <x:v>Ennemis et boss</x:v>
      </x:c>
      <x:c r="B18" s="37" t="n">
        <x:f>COUNTA('Ennemis_boss'!$A$7:$A$9)</x:f>
        <x:v>3</x:v>
      </x:c>
      <x:c r="C18" s="37" t="n">
        <x:f>COUNTIFS('Ennemis_boss'!$C$7:$C$9,"Défini")</x:f>
        <x:v>3</x:v>
      </x:c>
      <x:c r="D18" s="37" t="n">
        <x:f>COUNTIFS('Ennemis_boss'!$C$7:$C$9,"Prototype")</x:f>
        <x:v>0</x:v>
      </x:c>
      <x:c r="E18" s="37" t="n">
        <x:f>COUNTIFS('Ennemis_boss'!$C$7:$C$9,"Intégré")</x:f>
        <x:v>0</x:v>
      </x:c>
      <x:c r="F18" s="37" t="n">
        <x:f>COUNTIFS('Ennemis_boss'!$C$7:$C$9,"Validé")</x:f>
        <x:v>0</x:v>
      </x:c>
      <x:c r="G18" s="37" t="n">
        <x:f>COUNTIFS('Ennemis_boss'!$D$7:$D$9,"Établi")</x:f>
        <x:v>0</x:v>
      </x:c>
      <x:c r="H18" s="37" t="n">
        <x:f>COUNTIFS('Ennemis_boss'!$D$7:$D$9,"À vérifier")</x:f>
        <x:v>3</x:v>
      </x:c>
      <x:c r="I18" s="37" t="n">
        <x:f>COUNTIFS('Ennemis_boss'!$D$7:$D$9,"Extrapolation")</x:f>
        <x:v>0</x:v>
      </x:c>
      <x:c r="J18" s="37" t="n">
        <x:f>COUNTIFS('Ennemis_boss'!$D$7:$D$9,"Coupé attesté")</x:f>
        <x:v>0</x:v>
      </x:c>
      <x:c r="K18" s="37" t="n">
        <x:f>COUNTIFS('Ennemis_boss'!$D$7:$D$9,"Concept abandonné")</x:f>
        <x:v>0</x:v>
      </x:c>
      <x:c r="L18" s="37" t="n">
        <x:f>COUNTIFS('Ennemis_boss'!$D$7:$D$9,"Allégation écartée")</x:f>
        <x:v>0</x:v>
      </x:c>
      <x:c r="M18" s="37" t="n">
        <x:f>COUNTIFS('Ennemis_boss'!$E$7:$E$9,"P0")</x:f>
        <x:v>0</x:v>
      </x:c>
    </x:row>
    <x:row r="19" ht="22" customHeight="1">
      <x:c r="A19" s="2" t="str">
        <x:v>Missions</x:v>
      </x:c>
      <x:c r="B19" s="38" t="n">
        <x:f>COUNTA('Missions'!$A$7:$A$12)</x:f>
        <x:v>6</x:v>
      </x:c>
      <x:c r="C19" s="38" t="n">
        <x:f>COUNTIFS('Missions'!$C$7:$C$12,"Défini")</x:f>
        <x:v>6</x:v>
      </x:c>
      <x:c r="D19" s="38" t="n">
        <x:f>COUNTIFS('Missions'!$C$7:$C$12,"Prototype")</x:f>
        <x:v>0</x:v>
      </x:c>
      <x:c r="E19" s="38" t="n">
        <x:f>COUNTIFS('Missions'!$C$7:$C$12,"Intégré")</x:f>
        <x:v>0</x:v>
      </x:c>
      <x:c r="F19" s="38" t="n">
        <x:f>COUNTIFS('Missions'!$C$7:$C$12,"Validé")</x:f>
        <x:v>0</x:v>
      </x:c>
      <x:c r="G19" s="38" t="n">
        <x:f>COUNTIFS('Missions'!$D$7:$D$12,"Établi")</x:f>
        <x:v>0</x:v>
      </x:c>
      <x:c r="H19" s="38" t="n">
        <x:f>COUNTIFS('Missions'!$D$7:$D$12,"À vérifier")</x:f>
        <x:v>0</x:v>
      </x:c>
      <x:c r="I19" s="38" t="n">
        <x:f>COUNTIFS('Missions'!$D$7:$D$12,"Extrapolation")</x:f>
        <x:v>6</x:v>
      </x:c>
      <x:c r="J19" s="38" t="n">
        <x:f>COUNTIFS('Missions'!$D$7:$D$12,"Coupé attesté")</x:f>
        <x:v>0</x:v>
      </x:c>
      <x:c r="K19" s="38" t="n">
        <x:f>COUNTIFS('Missions'!$D$7:$D$12,"Concept abandonné")</x:f>
        <x:v>0</x:v>
      </x:c>
      <x:c r="L19" s="38" t="n">
        <x:f>COUNTIFS('Missions'!$D$7:$D$12,"Allégation écartée")</x:f>
        <x:v>0</x:v>
      </x:c>
      <x:c r="M19" s="38" t="n">
        <x:f>COUNTIFS('Missions'!$E$7:$E$12,"P0")</x:f>
        <x:v>6</x:v>
      </x:c>
    </x:row>
    <x:row r="20" ht="22" customHeight="1">
      <x:c r="A20" s="33" t="str">
        <x:v>Secondaires et DLC</x:v>
      </x:c>
      <x:c r="B20" s="37" t="n">
        <x:f>COUNTA('Secondaires_DLC'!$A$7:$A$12)</x:f>
        <x:v>6</x:v>
      </x:c>
      <x:c r="C20" s="37" t="n">
        <x:f>COUNTIFS('Secondaires_DLC'!$C$7:$C$12,"Défini")</x:f>
        <x:v>6</x:v>
      </x:c>
      <x:c r="D20" s="37" t="n">
        <x:f>COUNTIFS('Secondaires_DLC'!$C$7:$C$12,"Prototype")</x:f>
        <x:v>0</x:v>
      </x:c>
      <x:c r="E20" s="37" t="n">
        <x:f>COUNTIFS('Secondaires_DLC'!$C$7:$C$12,"Intégré")</x:f>
        <x:v>0</x:v>
      </x:c>
      <x:c r="F20" s="37" t="n">
        <x:f>COUNTIFS('Secondaires_DLC'!$C$7:$C$12,"Validé")</x:f>
        <x:v>0</x:v>
      </x:c>
      <x:c r="G20" s="37" t="n">
        <x:f>COUNTIFS('Secondaires_DLC'!$D$7:$D$12,"Établi")</x:f>
        <x:v>0</x:v>
      </x:c>
      <x:c r="H20" s="37" t="n">
        <x:f>COUNTIFS('Secondaires_DLC'!$D$7:$D$12,"À vérifier")</x:f>
        <x:v>0</x:v>
      </x:c>
      <x:c r="I20" s="37" t="n">
        <x:f>COUNTIFS('Secondaires_DLC'!$D$7:$D$12,"Extrapolation")</x:f>
        <x:v>6</x:v>
      </x:c>
      <x:c r="J20" s="37" t="n">
        <x:f>COUNTIFS('Secondaires_DLC'!$D$7:$D$12,"Coupé attesté")</x:f>
        <x:v>0</x:v>
      </x:c>
      <x:c r="K20" s="37" t="n">
        <x:f>COUNTIFS('Secondaires_DLC'!$D$7:$D$12,"Concept abandonné")</x:f>
        <x:v>0</x:v>
      </x:c>
      <x:c r="L20" s="37" t="n">
        <x:f>COUNTIFS('Secondaires_DLC'!$D$7:$D$12,"Allégation écartée")</x:f>
        <x:v>0</x:v>
      </x:c>
      <x:c r="M20" s="37" t="n">
        <x:f>COUNTIFS('Secondaires_DLC'!$E$7:$E$12,"P0")</x:f>
        <x:v>0</x:v>
      </x:c>
    </x:row>
    <x:row r="21" ht="22" customHeight="1">
      <x:c r="A21" s="2" t="str">
        <x:v>Choix et relations</x:v>
      </x:c>
      <x:c r="B21" s="38" t="n">
        <x:f>COUNTA('Choix_relations'!$A$7:$A$12)</x:f>
        <x:v>6</x:v>
      </x:c>
      <x:c r="C21" s="38" t="n">
        <x:f>COUNTIFS('Choix_relations'!$C$7:$C$12,"Défini")</x:f>
        <x:v>6</x:v>
      </x:c>
      <x:c r="D21" s="38" t="n">
        <x:f>COUNTIFS('Choix_relations'!$C$7:$C$12,"Prototype")</x:f>
        <x:v>0</x:v>
      </x:c>
      <x:c r="E21" s="38" t="n">
        <x:f>COUNTIFS('Choix_relations'!$C$7:$C$12,"Intégré")</x:f>
        <x:v>0</x:v>
      </x:c>
      <x:c r="F21" s="38" t="n">
        <x:f>COUNTIFS('Choix_relations'!$C$7:$C$12,"Validé")</x:f>
        <x:v>0</x:v>
      </x:c>
      <x:c r="G21" s="38" t="n">
        <x:f>COUNTIFS('Choix_relations'!$D$7:$D$12,"Établi")</x:f>
        <x:v>0</x:v>
      </x:c>
      <x:c r="H21" s="38" t="n">
        <x:f>COUNTIFS('Choix_relations'!$D$7:$D$12,"À vérifier")</x:f>
        <x:v>0</x:v>
      </x:c>
      <x:c r="I21" s="38" t="n">
        <x:f>COUNTIFS('Choix_relations'!$D$7:$D$12,"Extrapolation")</x:f>
        <x:v>6</x:v>
      </x:c>
      <x:c r="J21" s="38" t="n">
        <x:f>COUNTIFS('Choix_relations'!$D$7:$D$12,"Coupé attesté")</x:f>
        <x:v>0</x:v>
      </x:c>
      <x:c r="K21" s="38" t="n">
        <x:f>COUNTIFS('Choix_relations'!$D$7:$D$12,"Concept abandonné")</x:f>
        <x:v>0</x:v>
      </x:c>
      <x:c r="L21" s="38" t="n">
        <x:f>COUNTIFS('Choix_relations'!$D$7:$D$12,"Allégation écartée")</x:f>
        <x:v>0</x:v>
      </x:c>
      <x:c r="M21" s="38" t="n">
        <x:f>COUNTIFS('Choix_relations'!$E$7:$E$12,"P0")</x:f>
        <x:v>0</x:v>
      </x:c>
    </x:row>
    <x:row r="22" ht="22" customHeight="1">
      <x:c r="A22" s="33" t="str">
        <x:v>Dialogues</x:v>
      </x:c>
      <x:c r="B22" s="37" t="n">
        <x:f>COUNTA('Dialogues'!$A$7:$A$12)</x:f>
        <x:v>6</x:v>
      </x:c>
      <x:c r="C22" s="37" t="n">
        <x:f>COUNTIFS('Dialogues'!$C$7:$C$12,"Défini")</x:f>
        <x:v>6</x:v>
      </x:c>
      <x:c r="D22" s="37" t="n">
        <x:f>COUNTIFS('Dialogues'!$C$7:$C$12,"Prototype")</x:f>
        <x:v>0</x:v>
      </x:c>
      <x:c r="E22" s="37" t="n">
        <x:f>COUNTIFS('Dialogues'!$C$7:$C$12,"Intégré")</x:f>
        <x:v>0</x:v>
      </x:c>
      <x:c r="F22" s="37" t="n">
        <x:f>COUNTIFS('Dialogues'!$C$7:$C$12,"Validé")</x:f>
        <x:v>0</x:v>
      </x:c>
      <x:c r="G22" s="37" t="n">
        <x:f>COUNTIFS('Dialogues'!$D$7:$D$12,"Établi")</x:f>
        <x:v>0</x:v>
      </x:c>
      <x:c r="H22" s="37" t="n">
        <x:f>COUNTIFS('Dialogues'!$D$7:$D$12,"À vérifier")</x:f>
        <x:v>0</x:v>
      </x:c>
      <x:c r="I22" s="37" t="n">
        <x:f>COUNTIFS('Dialogues'!$D$7:$D$12,"Extrapolation")</x:f>
        <x:v>6</x:v>
      </x:c>
      <x:c r="J22" s="37" t="n">
        <x:f>COUNTIFS('Dialogues'!$D$7:$D$12,"Coupé attesté")</x:f>
        <x:v>0</x:v>
      </x:c>
      <x:c r="K22" s="37" t="n">
        <x:f>COUNTIFS('Dialogues'!$D$7:$D$12,"Concept abandonné")</x:f>
        <x:v>0</x:v>
      </x:c>
      <x:c r="L22" s="37" t="n">
        <x:f>COUNTIFS('Dialogues'!$D$7:$D$12,"Allégation écartée")</x:f>
        <x:v>0</x:v>
      </x:c>
      <x:c r="M22" s="37" t="n">
        <x:f>COUNTIFS('Dialogues'!$E$7:$E$12,"P0")</x:f>
        <x:v>0</x:v>
      </x:c>
    </x:row>
    <x:row r="23" ht="22" customHeight="1">
      <x:c r="A23" s="2" t="str">
        <x:v>Cinématiques</x:v>
      </x:c>
      <x:c r="B23" s="38" t="n">
        <x:f>COUNTA('Cinematiques'!$A$7:$A$12)</x:f>
        <x:v>6</x:v>
      </x:c>
      <x:c r="C23" s="38" t="n">
        <x:f>COUNTIFS('Cinematiques'!$C$7:$C$12,"Défini")</x:f>
        <x:v>6</x:v>
      </x:c>
      <x:c r="D23" s="38" t="n">
        <x:f>COUNTIFS('Cinematiques'!$C$7:$C$12,"Prototype")</x:f>
        <x:v>0</x:v>
      </x:c>
      <x:c r="E23" s="38" t="n">
        <x:f>COUNTIFS('Cinematiques'!$C$7:$C$12,"Intégré")</x:f>
        <x:v>0</x:v>
      </x:c>
      <x:c r="F23" s="38" t="n">
        <x:f>COUNTIFS('Cinematiques'!$C$7:$C$12,"Validé")</x:f>
        <x:v>0</x:v>
      </x:c>
      <x:c r="G23" s="38" t="n">
        <x:f>COUNTIFS('Cinematiques'!$D$7:$D$12,"Établi")</x:f>
        <x:v>0</x:v>
      </x:c>
      <x:c r="H23" s="38" t="n">
        <x:f>COUNTIFS('Cinematiques'!$D$7:$D$12,"À vérifier")</x:f>
        <x:v>0</x:v>
      </x:c>
      <x:c r="I23" s="38" t="n">
        <x:f>COUNTIFS('Cinematiques'!$D$7:$D$12,"Extrapolation")</x:f>
        <x:v>6</x:v>
      </x:c>
      <x:c r="J23" s="38" t="n">
        <x:f>COUNTIFS('Cinematiques'!$D$7:$D$12,"Coupé attesté")</x:f>
        <x:v>0</x:v>
      </x:c>
      <x:c r="K23" s="38" t="n">
        <x:f>COUNTIFS('Cinematiques'!$D$7:$D$12,"Concept abandonné")</x:f>
        <x:v>0</x:v>
      </x:c>
      <x:c r="L23" s="38" t="n">
        <x:f>COUNTIFS('Cinematiques'!$D$7:$D$12,"Allégation écartée")</x:f>
        <x:v>0</x:v>
      </x:c>
      <x:c r="M23" s="38" t="n">
        <x:f>COUNTIFS('Cinematiques'!$E$7:$E$12,"P0")</x:f>
        <x:v>0</x:v>
      </x:c>
    </x:row>
    <x:row r="24" ht="22" customHeight="1">
      <x:c r="A24" s="33" t="str">
        <x:v>Armes</x:v>
      </x:c>
      <x:c r="B24" s="37" t="n">
        <x:f>COUNTA('Armes'!$A$7:$A$7)</x:f>
        <x:v>1</x:v>
      </x:c>
      <x:c r="C24" s="37" t="n">
        <x:f>COUNTIFS('Armes'!$C$7:$C$7,"Défini")</x:f>
        <x:v>1</x:v>
      </x:c>
      <x:c r="D24" s="37" t="n">
        <x:f>COUNTIFS('Armes'!$C$7:$C$7,"Prototype")</x:f>
        <x:v>0</x:v>
      </x:c>
      <x:c r="E24" s="37" t="n">
        <x:f>COUNTIFS('Armes'!$C$7:$C$7,"Intégré")</x:f>
        <x:v>0</x:v>
      </x:c>
      <x:c r="F24" s="37" t="n">
        <x:f>COUNTIFS('Armes'!$C$7:$C$7,"Validé")</x:f>
        <x:v>0</x:v>
      </x:c>
      <x:c r="G24" s="37" t="n">
        <x:f>COUNTIFS('Armes'!$D$7:$D$7,"Établi")</x:f>
        <x:v>0</x:v>
      </x:c>
      <x:c r="H24" s="37" t="n">
        <x:f>COUNTIFS('Armes'!$D$7:$D$7,"À vérifier")</x:f>
        <x:v>0</x:v>
      </x:c>
      <x:c r="I24" s="37" t="n">
        <x:f>COUNTIFS('Armes'!$D$7:$D$7,"Extrapolation")</x:f>
        <x:v>1</x:v>
      </x:c>
      <x:c r="J24" s="37" t="n">
        <x:f>COUNTIFS('Armes'!$D$7:$D$7,"Coupé attesté")</x:f>
        <x:v>0</x:v>
      </x:c>
      <x:c r="K24" s="37" t="n">
        <x:f>COUNTIFS('Armes'!$D$7:$D$7,"Concept abandonné")</x:f>
        <x:v>0</x:v>
      </x:c>
      <x:c r="L24" s="37" t="n">
        <x:f>COUNTIFS('Armes'!$D$7:$D$7,"Allégation écartée")</x:f>
        <x:v>0</x:v>
      </x:c>
      <x:c r="M24" s="37" t="n">
        <x:f>COUNTIFS('Armes'!$E$7:$E$7,"P0")</x:f>
        <x:v>0</x:v>
      </x:c>
    </x:row>
    <x:row r="25" ht="22" customHeight="1">
      <x:c r="A25" s="2" t="str">
        <x:v>Armures et équipement</x:v>
      </x:c>
      <x:c r="B25" s="38" t="n">
        <x:f>COUNTA('Armures_equipement'!$A$7:$A$7)</x:f>
        <x:v>1</x:v>
      </x:c>
      <x:c r="C25" s="38" t="n">
        <x:f>COUNTIFS('Armures_equipement'!$C$7:$C$7,"Défini")</x:f>
        <x:v>1</x:v>
      </x:c>
      <x:c r="D25" s="38" t="n">
        <x:f>COUNTIFS('Armures_equipement'!$C$7:$C$7,"Prototype")</x:f>
        <x:v>0</x:v>
      </x:c>
      <x:c r="E25" s="38" t="n">
        <x:f>COUNTIFS('Armures_equipement'!$C$7:$C$7,"Intégré")</x:f>
        <x:v>0</x:v>
      </x:c>
      <x:c r="F25" s="38" t="n">
        <x:f>COUNTIFS('Armures_equipement'!$C$7:$C$7,"Validé")</x:f>
        <x:v>0</x:v>
      </x:c>
      <x:c r="G25" s="38" t="n">
        <x:f>COUNTIFS('Armures_equipement'!$D$7:$D$7,"Établi")</x:f>
        <x:v>0</x:v>
      </x:c>
      <x:c r="H25" s="38" t="n">
        <x:f>COUNTIFS('Armures_equipement'!$D$7:$D$7,"À vérifier")</x:f>
        <x:v>0</x:v>
      </x:c>
      <x:c r="I25" s="38" t="n">
        <x:f>COUNTIFS('Armures_equipement'!$D$7:$D$7,"Extrapolation")</x:f>
        <x:v>1</x:v>
      </x:c>
      <x:c r="J25" s="38" t="n">
        <x:f>COUNTIFS('Armures_equipement'!$D$7:$D$7,"Coupé attesté")</x:f>
        <x:v>0</x:v>
      </x:c>
      <x:c r="K25" s="38" t="n">
        <x:f>COUNTIFS('Armures_equipement'!$D$7:$D$7,"Concept abandonné")</x:f>
        <x:v>0</x:v>
      </x:c>
      <x:c r="L25" s="38" t="n">
        <x:f>COUNTIFS('Armures_equipement'!$D$7:$D$7,"Allégation écartée")</x:f>
        <x:v>0</x:v>
      </x:c>
      <x:c r="M25" s="38" t="n">
        <x:f>COUNTIFS('Armures_equipement'!$E$7:$E$7,"P0")</x:f>
        <x:v>0</x:v>
      </x:c>
    </x:row>
    <x:row r="26" ht="22" customHeight="1">
      <x:c r="A26" s="33" t="str">
        <x:v>Pouvoirs</x:v>
      </x:c>
      <x:c r="B26" s="37" t="n">
        <x:f>COUNTA('Pouvoirs'!$A$7:$A$7)</x:f>
        <x:v>1</x:v>
      </x:c>
      <x:c r="C26" s="37" t="n">
        <x:f>COUNTIFS('Pouvoirs'!$C$7:$C$7,"Défini")</x:f>
        <x:v>1</x:v>
      </x:c>
      <x:c r="D26" s="37" t="n">
        <x:f>COUNTIFS('Pouvoirs'!$C$7:$C$7,"Prototype")</x:f>
        <x:v>0</x:v>
      </x:c>
      <x:c r="E26" s="37" t="n">
        <x:f>COUNTIFS('Pouvoirs'!$C$7:$C$7,"Intégré")</x:f>
        <x:v>0</x:v>
      </x:c>
      <x:c r="F26" s="37" t="n">
        <x:f>COUNTIFS('Pouvoirs'!$C$7:$C$7,"Validé")</x:f>
        <x:v>0</x:v>
      </x:c>
      <x:c r="G26" s="37" t="n">
        <x:f>COUNTIFS('Pouvoirs'!$D$7:$D$7,"Établi")</x:f>
        <x:v>0</x:v>
      </x:c>
      <x:c r="H26" s="37" t="n">
        <x:f>COUNTIFS('Pouvoirs'!$D$7:$D$7,"À vérifier")</x:f>
        <x:v>0</x:v>
      </x:c>
      <x:c r="I26" s="37" t="n">
        <x:f>COUNTIFS('Pouvoirs'!$D$7:$D$7,"Extrapolation")</x:f>
        <x:v>1</x:v>
      </x:c>
      <x:c r="J26" s="37" t="n">
        <x:f>COUNTIFS('Pouvoirs'!$D$7:$D$7,"Coupé attesté")</x:f>
        <x:v>0</x:v>
      </x:c>
      <x:c r="K26" s="37" t="n">
        <x:f>COUNTIFS('Pouvoirs'!$D$7:$D$7,"Concept abandonné")</x:f>
        <x:v>0</x:v>
      </x:c>
      <x:c r="L26" s="37" t="n">
        <x:f>COUNTIFS('Pouvoirs'!$D$7:$D$7,"Allégation écartée")</x:f>
        <x:v>0</x:v>
      </x:c>
      <x:c r="M26" s="37" t="n">
        <x:f>COUNTIFS('Pouvoirs'!$E$7:$E$7,"P0")</x:f>
        <x:v>0</x:v>
      </x:c>
    </x:row>
    <x:row r="27" ht="22" customHeight="1">
      <x:c r="A27" s="2" t="str">
        <x:v>Movesets alliés</x:v>
      </x:c>
      <x:c r="B27" s="38" t="n">
        <x:f>COUNTA('Movesets_allies'!$A$7:$A$8)</x:f>
        <x:v>2</x:v>
      </x:c>
      <x:c r="C27" s="38" t="n">
        <x:f>COUNTIFS('Movesets_allies'!$C$7:$C$8,"Défini")</x:f>
        <x:v>2</x:v>
      </x:c>
      <x:c r="D27" s="38" t="n">
        <x:f>COUNTIFS('Movesets_allies'!$C$7:$C$8,"Prototype")</x:f>
        <x:v>0</x:v>
      </x:c>
      <x:c r="E27" s="38" t="n">
        <x:f>COUNTIFS('Movesets_allies'!$C$7:$C$8,"Intégré")</x:f>
        <x:v>0</x:v>
      </x:c>
      <x:c r="F27" s="38" t="n">
        <x:f>COUNTIFS('Movesets_allies'!$C$7:$C$8,"Validé")</x:f>
        <x:v>0</x:v>
      </x:c>
      <x:c r="G27" s="38" t="n">
        <x:f>COUNTIFS('Movesets_allies'!$D$7:$D$8,"Établi")</x:f>
        <x:v>0</x:v>
      </x:c>
      <x:c r="H27" s="38" t="n">
        <x:f>COUNTIFS('Movesets_allies'!$D$7:$D$8,"À vérifier")</x:f>
        <x:v>0</x:v>
      </x:c>
      <x:c r="I27" s="38" t="n">
        <x:f>COUNTIFS('Movesets_allies'!$D$7:$D$8,"Extrapolation")</x:f>
        <x:v>2</x:v>
      </x:c>
      <x:c r="J27" s="38" t="n">
        <x:f>COUNTIFS('Movesets_allies'!$D$7:$D$8,"Coupé attesté")</x:f>
        <x:v>0</x:v>
      </x:c>
      <x:c r="K27" s="38" t="n">
        <x:f>COUNTIFS('Movesets_allies'!$D$7:$D$8,"Concept abandonné")</x:f>
        <x:v>0</x:v>
      </x:c>
      <x:c r="L27" s="38" t="n">
        <x:f>COUNTIFS('Movesets_allies'!$D$7:$D$8,"Allégation écartée")</x:f>
        <x:v>0</x:v>
      </x:c>
      <x:c r="M27" s="38" t="n">
        <x:f>COUNTIFS('Movesets_allies'!$E$7:$E$8,"P0")</x:f>
        <x:v>0</x:v>
      </x:c>
    </x:row>
    <x:row r="28" ht="22" customHeight="1">
      <x:c r="A28" s="33" t="str">
        <x:v>Movesets ennemis</x:v>
      </x:c>
      <x:c r="B28" s="37" t="n">
        <x:f>COUNTA('Movesets_ennemis'!$A$7:$A$12)</x:f>
        <x:v>6</x:v>
      </x:c>
      <x:c r="C28" s="37" t="n">
        <x:f>COUNTIFS('Movesets_ennemis'!$C$7:$C$12,"Défini")</x:f>
        <x:v>6</x:v>
      </x:c>
      <x:c r="D28" s="37" t="n">
        <x:f>COUNTIFS('Movesets_ennemis'!$C$7:$C$12,"Prototype")</x:f>
        <x:v>0</x:v>
      </x:c>
      <x:c r="E28" s="37" t="n">
        <x:f>COUNTIFS('Movesets_ennemis'!$C$7:$C$12,"Intégré")</x:f>
        <x:v>0</x:v>
      </x:c>
      <x:c r="F28" s="37" t="n">
        <x:f>COUNTIFS('Movesets_ennemis'!$C$7:$C$12,"Validé")</x:f>
        <x:v>0</x:v>
      </x:c>
      <x:c r="G28" s="37" t="n">
        <x:f>COUNTIFS('Movesets_ennemis'!$D$7:$D$12,"Établi")</x:f>
        <x:v>0</x:v>
      </x:c>
      <x:c r="H28" s="37" t="n">
        <x:f>COUNTIFS('Movesets_ennemis'!$D$7:$D$12,"À vérifier")</x:f>
        <x:v>0</x:v>
      </x:c>
      <x:c r="I28" s="37" t="n">
        <x:f>COUNTIFS('Movesets_ennemis'!$D$7:$D$12,"Extrapolation")</x:f>
        <x:v>6</x:v>
      </x:c>
      <x:c r="J28" s="37" t="n">
        <x:f>COUNTIFS('Movesets_ennemis'!$D$7:$D$12,"Coupé attesté")</x:f>
        <x:v>0</x:v>
      </x:c>
      <x:c r="K28" s="37" t="n">
        <x:f>COUNTIFS('Movesets_ennemis'!$D$7:$D$12,"Concept abandonné")</x:f>
        <x:v>0</x:v>
      </x:c>
      <x:c r="L28" s="37" t="n">
        <x:f>COUNTIFS('Movesets_ennemis'!$D$7:$D$12,"Allégation écartée")</x:f>
        <x:v>0</x:v>
      </x:c>
      <x:c r="M28" s="37" t="n">
        <x:f>COUNTIFS('Movesets_ennemis'!$E$7:$E$12,"P0")</x:f>
        <x:v>0</x:v>
      </x:c>
    </x:row>
    <x:row r="29" ht="22" customHeight="1">
      <x:c r="A29" s="2" t="str">
        <x:v>Animations</x:v>
      </x:c>
      <x:c r="B29" s="38" t="n">
        <x:f>COUNTA('Animations'!$A$7:$A$13)</x:f>
        <x:v>7</x:v>
      </x:c>
      <x:c r="C29" s="38" t="n">
        <x:f>COUNTIFS('Animations'!$C$7:$C$13,"Défini")</x:f>
        <x:v>7</x:v>
      </x:c>
      <x:c r="D29" s="38" t="n">
        <x:f>COUNTIFS('Animations'!$C$7:$C$13,"Prototype")</x:f>
        <x:v>0</x:v>
      </x:c>
      <x:c r="E29" s="38" t="n">
        <x:f>COUNTIFS('Animations'!$C$7:$C$13,"Intégré")</x:f>
        <x:v>0</x:v>
      </x:c>
      <x:c r="F29" s="38" t="n">
        <x:f>COUNTIFS('Animations'!$C$7:$C$13,"Validé")</x:f>
        <x:v>0</x:v>
      </x:c>
      <x:c r="G29" s="38" t="n">
        <x:f>COUNTIFS('Animations'!$D$7:$D$13,"Établi")</x:f>
        <x:v>0</x:v>
      </x:c>
      <x:c r="H29" s="38" t="n">
        <x:f>COUNTIFS('Animations'!$D$7:$D$13,"À vérifier")</x:f>
        <x:v>0</x:v>
      </x:c>
      <x:c r="I29" s="38" t="n">
        <x:f>COUNTIFS('Animations'!$D$7:$D$13,"Extrapolation")</x:f>
        <x:v>7</x:v>
      </x:c>
      <x:c r="J29" s="38" t="n">
        <x:f>COUNTIFS('Animations'!$D$7:$D$13,"Coupé attesté")</x:f>
        <x:v>0</x:v>
      </x:c>
      <x:c r="K29" s="38" t="n">
        <x:f>COUNTIFS('Animations'!$D$7:$D$13,"Concept abandonné")</x:f>
        <x:v>0</x:v>
      </x:c>
      <x:c r="L29" s="38" t="n">
        <x:f>COUNTIFS('Animations'!$D$7:$D$13,"Allégation écartée")</x:f>
        <x:v>0</x:v>
      </x:c>
      <x:c r="M29" s="38" t="n">
        <x:f>COUNTIFS('Animations'!$E$7:$E$13,"P0")</x:f>
        <x:v>0</x:v>
      </x:c>
    </x:row>
    <x:row r="30" ht="22" customHeight="1">
      <x:c r="A30" s="33" t="str">
        <x:v>Sprites</x:v>
      </x:c>
      <x:c r="B30" s="37" t="n">
        <x:f>COUNTA('Sprites'!$A$7:$A$13)</x:f>
        <x:v>7</x:v>
      </x:c>
      <x:c r="C30" s="37" t="n">
        <x:f>COUNTIFS('Sprites'!$C$7:$C$13,"Défini")</x:f>
        <x:v>7</x:v>
      </x:c>
      <x:c r="D30" s="37" t="n">
        <x:f>COUNTIFS('Sprites'!$C$7:$C$13,"Prototype")</x:f>
        <x:v>0</x:v>
      </x:c>
      <x:c r="E30" s="37" t="n">
        <x:f>COUNTIFS('Sprites'!$C$7:$C$13,"Intégré")</x:f>
        <x:v>0</x:v>
      </x:c>
      <x:c r="F30" s="37" t="n">
        <x:f>COUNTIFS('Sprites'!$C$7:$C$13,"Validé")</x:f>
        <x:v>0</x:v>
      </x:c>
      <x:c r="G30" s="37" t="n">
        <x:f>COUNTIFS('Sprites'!$D$7:$D$13,"Établi")</x:f>
        <x:v>0</x:v>
      </x:c>
      <x:c r="H30" s="37" t="n">
        <x:f>COUNTIFS('Sprites'!$D$7:$D$13,"À vérifier")</x:f>
        <x:v>0</x:v>
      </x:c>
      <x:c r="I30" s="37" t="n">
        <x:f>COUNTIFS('Sprites'!$D$7:$D$13,"Extrapolation")</x:f>
        <x:v>7</x:v>
      </x:c>
      <x:c r="J30" s="37" t="n">
        <x:f>COUNTIFS('Sprites'!$D$7:$D$13,"Coupé attesté")</x:f>
        <x:v>0</x:v>
      </x:c>
      <x:c r="K30" s="37" t="n">
        <x:f>COUNTIFS('Sprites'!$D$7:$D$13,"Concept abandonné")</x:f>
        <x:v>0</x:v>
      </x:c>
      <x:c r="L30" s="37" t="n">
        <x:f>COUNTIFS('Sprites'!$D$7:$D$13,"Allégation écartée")</x:f>
        <x:v>0</x:v>
      </x:c>
      <x:c r="M30" s="37" t="n">
        <x:f>COUNTIFS('Sprites'!$E$7:$E$13,"P0")</x:f>
        <x:v>0</x:v>
      </x:c>
    </x:row>
    <x:row r="31" ht="22" customHeight="1">
      <x:c r="A31" s="2" t="str">
        <x:v>VFX</x:v>
      </x:c>
      <x:c r="B31" s="38" t="n">
        <x:f>COUNTA('VFX'!$A$7:$A$12)</x:f>
        <x:v>6</x:v>
      </x:c>
      <x:c r="C31" s="38" t="n">
        <x:f>COUNTIFS('VFX'!$C$7:$C$12,"Défini")</x:f>
        <x:v>6</x:v>
      </x:c>
      <x:c r="D31" s="38" t="n">
        <x:f>COUNTIFS('VFX'!$C$7:$C$12,"Prototype")</x:f>
        <x:v>0</x:v>
      </x:c>
      <x:c r="E31" s="38" t="n">
        <x:f>COUNTIFS('VFX'!$C$7:$C$12,"Intégré")</x:f>
        <x:v>0</x:v>
      </x:c>
      <x:c r="F31" s="38" t="n">
        <x:f>COUNTIFS('VFX'!$C$7:$C$12,"Validé")</x:f>
        <x:v>0</x:v>
      </x:c>
      <x:c r="G31" s="38" t="n">
        <x:f>COUNTIFS('VFX'!$D$7:$D$12,"Établi")</x:f>
        <x:v>0</x:v>
      </x:c>
      <x:c r="H31" s="38" t="n">
        <x:f>COUNTIFS('VFX'!$D$7:$D$12,"À vérifier")</x:f>
        <x:v>0</x:v>
      </x:c>
      <x:c r="I31" s="38" t="n">
        <x:f>COUNTIFS('VFX'!$D$7:$D$12,"Extrapolation")</x:f>
        <x:v>6</x:v>
      </x:c>
      <x:c r="J31" s="38" t="n">
        <x:f>COUNTIFS('VFX'!$D$7:$D$12,"Coupé attesté")</x:f>
        <x:v>0</x:v>
      </x:c>
      <x:c r="K31" s="38" t="n">
        <x:f>COUNTIFS('VFX'!$D$7:$D$12,"Concept abandonné")</x:f>
        <x:v>0</x:v>
      </x:c>
      <x:c r="L31" s="38" t="n">
        <x:f>COUNTIFS('VFX'!$D$7:$D$12,"Allégation écartée")</x:f>
        <x:v>0</x:v>
      </x:c>
      <x:c r="M31" s="38" t="n">
        <x:f>COUNTIFS('VFX'!$E$7:$E$12,"P0")</x:f>
        <x:v>0</x:v>
      </x:c>
    </x:row>
    <x:row r="32" ht="22" customHeight="1">
      <x:c r="A32" s="33" t="str">
        <x:v>Audio</x:v>
      </x:c>
      <x:c r="B32" s="37" t="n">
        <x:f>COUNTA('Audio'!$A$7:$A$9)</x:f>
        <x:v>3</x:v>
      </x:c>
      <x:c r="C32" s="37" t="n">
        <x:f>COUNTIFS('Audio'!$C$7:$C$9,"Défini")</x:f>
        <x:v>3</x:v>
      </x:c>
      <x:c r="D32" s="37" t="n">
        <x:f>COUNTIFS('Audio'!$C$7:$C$9,"Prototype")</x:f>
        <x:v>0</x:v>
      </x:c>
      <x:c r="E32" s="37" t="n">
        <x:f>COUNTIFS('Audio'!$C$7:$C$9,"Intégré")</x:f>
        <x:v>0</x:v>
      </x:c>
      <x:c r="F32" s="37" t="n">
        <x:f>COUNTIFS('Audio'!$C$7:$C$9,"Validé")</x:f>
        <x:v>0</x:v>
      </x:c>
      <x:c r="G32" s="37" t="n">
        <x:f>COUNTIFS('Audio'!$D$7:$D$9,"Établi")</x:f>
        <x:v>0</x:v>
      </x:c>
      <x:c r="H32" s="37" t="n">
        <x:f>COUNTIFS('Audio'!$D$7:$D$9,"À vérifier")</x:f>
        <x:v>0</x:v>
      </x:c>
      <x:c r="I32" s="37" t="n">
        <x:f>COUNTIFS('Audio'!$D$7:$D$9,"Extrapolation")</x:f>
        <x:v>3</x:v>
      </x:c>
      <x:c r="J32" s="37" t="n">
        <x:f>COUNTIFS('Audio'!$D$7:$D$9,"Coupé attesté")</x:f>
        <x:v>0</x:v>
      </x:c>
      <x:c r="K32" s="37" t="n">
        <x:f>COUNTIFS('Audio'!$D$7:$D$9,"Concept abandonné")</x:f>
        <x:v>0</x:v>
      </x:c>
      <x:c r="L32" s="37" t="n">
        <x:f>COUNTIFS('Audio'!$D$7:$D$9,"Allégation écartée")</x:f>
        <x:v>0</x:v>
      </x:c>
      <x:c r="M32" s="37" t="n">
        <x:f>COUNTIFS('Audio'!$E$7:$E$9,"P0")</x:f>
        <x:v>0</x:v>
      </x:c>
    </x:row>
    <x:row r="33" ht="22" customHeight="1">
      <x:c r="A33" s="2" t="str">
        <x:v>Systèmes et UI</x:v>
      </x:c>
      <x:c r="B33" s="38" t="n">
        <x:f>COUNTA('UI_systemes'!$A$7:$A$10)</x:f>
        <x:v>4</x:v>
      </x:c>
      <x:c r="C33" s="38" t="n">
        <x:f>COUNTIFS('UI_systemes'!$C$7:$C$10,"Défini")</x:f>
        <x:v>4</x:v>
      </x:c>
      <x:c r="D33" s="38" t="n">
        <x:f>COUNTIFS('UI_systemes'!$C$7:$C$10,"Prototype")</x:f>
        <x:v>0</x:v>
      </x:c>
      <x:c r="E33" s="38" t="n">
        <x:f>COUNTIFS('UI_systemes'!$C$7:$C$10,"Intégré")</x:f>
        <x:v>0</x:v>
      </x:c>
      <x:c r="F33" s="38" t="n">
        <x:f>COUNTIFS('UI_systemes'!$C$7:$C$10,"Validé")</x:f>
        <x:v>0</x:v>
      </x:c>
      <x:c r="G33" s="38" t="n">
        <x:f>COUNTIFS('UI_systemes'!$D$7:$D$10,"Établi")</x:f>
        <x:v>0</x:v>
      </x:c>
      <x:c r="H33" s="38" t="n">
        <x:f>COUNTIFS('UI_systemes'!$D$7:$D$10,"À vérifier")</x:f>
        <x:v>0</x:v>
      </x:c>
      <x:c r="I33" s="38" t="n">
        <x:f>COUNTIFS('UI_systemes'!$D$7:$D$10,"Extrapolation")</x:f>
        <x:v>4</x:v>
      </x:c>
      <x:c r="J33" s="38" t="n">
        <x:f>COUNTIFS('UI_systemes'!$D$7:$D$10,"Coupé attesté")</x:f>
        <x:v>0</x:v>
      </x:c>
      <x:c r="K33" s="38" t="n">
        <x:f>COUNTIFS('UI_systemes'!$D$7:$D$10,"Concept abandonné")</x:f>
        <x:v>0</x:v>
      </x:c>
      <x:c r="L33" s="38" t="n">
        <x:f>COUNTIFS('UI_systemes'!$D$7:$D$10,"Allégation écartée")</x:f>
        <x:v>0</x:v>
      </x:c>
      <x:c r="M33" s="38" t="n">
        <x:f>COUNTIFS('UI_systemes'!$E$7:$E$10,"P0")</x:f>
        <x:v>0</x:v>
      </x:c>
    </x:row>
    <x:row r="34" ht="22" customHeight="1">
      <x:c r="A34" s="33" t="str">
        <x:v>QA</x:v>
      </x:c>
      <x:c r="B34" s="37" t="n">
        <x:f>COUNTA('QA'!$A$7:$A$15)</x:f>
        <x:v>9</x:v>
      </x:c>
      <x:c r="C34" s="37" t="n">
        <x:f>COUNTIFS('QA'!$C$7:$C$15,"Défini")</x:f>
        <x:v>9</x:v>
      </x:c>
      <x:c r="D34" s="37" t="n">
        <x:f>COUNTIFS('QA'!$C$7:$C$15,"Prototype")</x:f>
        <x:v>0</x:v>
      </x:c>
      <x:c r="E34" s="37" t="n">
        <x:f>COUNTIFS('QA'!$C$7:$C$15,"Intégré")</x:f>
        <x:v>0</x:v>
      </x:c>
      <x:c r="F34" s="37" t="n">
        <x:f>COUNTIFS('QA'!$C$7:$C$15,"Validé")</x:f>
        <x:v>0</x:v>
      </x:c>
      <x:c r="G34" s="37" t="n">
        <x:f>COUNTIFS('QA'!$D$7:$D$15,"Établi")</x:f>
        <x:v>0</x:v>
      </x:c>
      <x:c r="H34" s="37" t="n">
        <x:f>COUNTIFS('QA'!$D$7:$D$15,"À vérifier")</x:f>
        <x:v>0</x:v>
      </x:c>
      <x:c r="I34" s="37" t="n">
        <x:f>COUNTIFS('QA'!$D$7:$D$15,"Extrapolation")</x:f>
        <x:v>9</x:v>
      </x:c>
      <x:c r="J34" s="37" t="n">
        <x:f>COUNTIFS('QA'!$D$7:$D$15,"Coupé attesté")</x:f>
        <x:v>0</x:v>
      </x:c>
      <x:c r="K34" s="37" t="n">
        <x:f>COUNTIFS('QA'!$D$7:$D$15,"Concept abandonné")</x:f>
        <x:v>0</x:v>
      </x:c>
      <x:c r="L34" s="37" t="n">
        <x:f>COUNTIFS('QA'!$D$7:$D$15,"Allégation écartée")</x:f>
        <x:v>0</x:v>
      </x:c>
      <x:c r="M34" s="37" t="n">
        <x:f>COUNTIFS('QA'!$E$7:$E$15,"P0")</x:f>
        <x:v>9</x:v>
      </x:c>
    </x:row>
    <x:row r="35" ht="22" customHeight="1">
      <x:c r="A35" s="2" t="str">
        <x:v>Continuité</x:v>
      </x:c>
      <x:c r="B35" s="38" t="n">
        <x:f>COUNTA('Continuite'!$A$7:$A$8)</x:f>
        <x:v>2</x:v>
      </x:c>
      <x:c r="C35" s="38" t="n">
        <x:f>COUNTIFS('Continuite'!$C$7:$C$8,"Défini")</x:f>
        <x:v>2</x:v>
      </x:c>
      <x:c r="D35" s="38" t="n">
        <x:f>COUNTIFS('Continuite'!$C$7:$C$8,"Prototype")</x:f>
        <x:v>0</x:v>
      </x:c>
      <x:c r="E35" s="38" t="n">
        <x:f>COUNTIFS('Continuite'!$C$7:$C$8,"Intégré")</x:f>
        <x:v>0</x:v>
      </x:c>
      <x:c r="F35" s="38" t="n">
        <x:f>COUNTIFS('Continuite'!$C$7:$C$8,"Validé")</x:f>
        <x:v>0</x:v>
      </x:c>
      <x:c r="G35" s="38" t="n">
        <x:f>COUNTIFS('Continuite'!$D$7:$D$8,"Établi")</x:f>
        <x:v>0</x:v>
      </x:c>
      <x:c r="H35" s="38" t="n">
        <x:f>COUNTIFS('Continuite'!$D$7:$D$8,"À vérifier")</x:f>
        <x:v>0</x:v>
      </x:c>
      <x:c r="I35" s="38" t="n">
        <x:f>COUNTIFS('Continuite'!$D$7:$D$8,"Extrapolation")</x:f>
        <x:v>2</x:v>
      </x:c>
      <x:c r="J35" s="38" t="n">
        <x:f>COUNTIFS('Continuite'!$D$7:$D$8,"Coupé attesté")</x:f>
        <x:v>0</x:v>
      </x:c>
      <x:c r="K35" s="38" t="n">
        <x:f>COUNTIFS('Continuite'!$D$7:$D$8,"Concept abandonné")</x:f>
        <x:v>0</x:v>
      </x:c>
      <x:c r="L35" s="38" t="n">
        <x:f>COUNTIFS('Continuite'!$D$7:$D$8,"Allégation écartée")</x:f>
        <x:v>0</x:v>
      </x:c>
      <x:c r="M35" s="38" t="n">
        <x:f>COUNTIFS('Continuite'!$E$7:$E$8,"P0")</x:f>
        <x:v>0</x:v>
      </x:c>
    </x:row>
    <x:row r="36" ht="22" customHeight="1">
      <x:c r="A36" s="2"/>
      <x:c r="B36" s="38"/>
      <x:c r="C36" s="38"/>
      <x:c r="D36" s="38"/>
      <x:c r="E36" s="38"/>
      <x:c r="F36" s="38"/>
      <x:c r="G36" s="38"/>
      <x:c r="H36" s="38"/>
      <x:c r="I36" s="38"/>
      <x:c r="J36" s="38"/>
      <x:c r="K36" s="38"/>
      <x:c r="L36" s="38"/>
      <x:c r="M36" s="38"/>
    </x:row>
    <x:row r="37" ht="28" customHeight="1">
      <x:c r="A37" s="21" t="str">
        <x:v>TOTAL</x:v>
      </x:c>
      <x:c r="B37" s="39" t="n">
        <x:f>SUM(B10:B35)</x:f>
        <x:v>117</x:v>
      </x:c>
      <x:c r="C37" s="39" t="n">
        <x:f>SUM(C10:C35)</x:f>
        <x:v>109</x:v>
      </x:c>
      <x:c r="D37" s="39" t="n">
        <x:f>SUM(D10:D35)</x:f>
        <x:v>8</x:v>
      </x:c>
      <x:c r="E37" s="39" t="n">
        <x:f>SUM(E10:E35)</x:f>
        <x:v>0</x:v>
      </x:c>
      <x:c r="F37" s="39" t="n">
        <x:f>SUM(F10:F35)</x:f>
        <x:v>0</x:v>
      </x:c>
      <x:c r="G37" s="39" t="n">
        <x:f>SUM(G10:G35)</x:f>
        <x:v>15</x:v>
      </x:c>
      <x:c r="H37" s="39" t="n">
        <x:f>SUM(H10:H35)</x:f>
        <x:v>8</x:v>
      </x:c>
      <x:c r="I37" s="39" t="n">
        <x:f>SUM(I10:I35)</x:f>
        <x:v>94</x:v>
      </x:c>
      <x:c r="J37" s="39" t="n">
        <x:f>SUM(J10:J35)</x:f>
        <x:v>0</x:v>
      </x:c>
      <x:c r="K37" s="39" t="n">
        <x:f>SUM(K10:K35)</x:f>
        <x:v>0</x:v>
      </x:c>
      <x:c r="L37" s="39" t="n">
        <x:f>SUM(L10:L35)</x:f>
        <x:v>0</x:v>
      </x:c>
      <x:c r="M37" s="39" t="n">
        <x:f>SUM(M10:M35)</x:f>
        <x:v>19</x:v>
      </x:c>
    </x:row>
    <x:row r="38" ht="22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</x:row>
    <x:row r="39" ht="22" customHeight="1">
      <x:c r="A39" s="2" t="str">
        <x:v>Les compteurs mesurent les fiches présentes, pas un pourcentage d’exhaustivité ou de réalisation.</x:v>
      </x:c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</x:row>
    <x:row r="40" ht="22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</x:row>
    <x:row r="41" ht="22" customHeight="1">
      <x:c r="A41" s="2" t="str">
        <x:v>Périmètre, sources, incertitudes et méthode de suivi : voir Guide.</x:v>
      </x:c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</x:row>
    <x:row r="42" ht="22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102" hidden="0" customWidth="1"/>
    <x:col min="19" max="19" width="255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Personnages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Identités et fonctions dans l’œuvre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RED-ACT-LIARA</x:v>
      </x:c>
      <x:c r="B7" s="9" t="str">
        <x:v>Liara T’Soni</x:v>
      </x:c>
      <x:c r="C7" s="15" t="str">
        <x:v>Prototype</x:v>
      </x:c>
      <x:c r="D7" s="16" t="str">
        <x:v>Établi</x:v>
      </x:c>
      <x:c r="E7" s="16" t="str">
        <x:v>P1</x:v>
      </x:c>
      <x:c r="F7" s="9" t="str">
        <x:v>Liara mène la recherche de Shepard.</x:v>
      </x:c>
      <x:c r="G7" s="9" t="str">
        <x:v>Héroïne du duo; maîtrise du terrain et questions d’enquête.</x:v>
      </x:c>
      <x:c r="H7" s="9" t="str">
        <x:v>Rôle narratif; aucune statistique officielle déduite.</x:v>
      </x:c>
      <x:c r="I7" s="9" t="str">
        <x:v>Direction proposée : Peau bleue, crête asari et manteau de terrain simplifié; accents cyan réservés aux actions. Vérifier le costume sur l'édition autorisée avant peinture finale.</x:v>
      </x:c>
      <x:c r="J7" s="9" t="str">
        <x:v>Garde ouverte, poussée des deux bras, lecture d’un terminal, protection du partenaire.</x:v>
      </x:c>
      <x:c r="K7" s="9" t="str">
        <x:v>Interprétation originale; sous-titres attribués au locuteur et aucune reprise des voix du jeu.</x:v>
      </x:c>
      <x:c r="L7" s="9" t="str">
        <x:v>Prototype Chroniques : src/universe-actors.js, src/chronicles.js. Identifiant runtime RED-ACT-LIARA ; contexte d’œuvre/segment et sélection de scène obligatoires.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Liara T’Soni possède une fiche de référence séparant rôle attesté, silhouette à contrôler et commandes proposées.</x:v>
      </x:c>
      <x:c r="O7" s="9" t="str"/>
      <x:c r="P7" s="9" t="str">
        <x:v>Mass Effect: Redemption, série concernée</x:v>
      </x:c>
      <x:c r="Q7" s="9" t="str">
        <x:v>RED-S-BOOK</x:v>
      </x:c>
      <x:c r="R7" s="9" t="str">
        <x:v>https://www.penguinrandomhouse.com/books/241684/mass-effect-volume-1-redemption-by-mac-walters-various-artists/</x:v>
      </x:c>
      <x:c r="S7" s="9" t="str">
        <x:v>Le rôle dans la source ne prouve ni recrutement jouable ni disponibilité permanente. Prototype partiel disponible dans les Chroniques indépendantes : profil ATB sans portrait, sprite ou moveset complet ; pouvoirs non implémentés signalés. Aucun transfert vers ME1 ni validation 1:1.</x:v>
      </x:c>
    </x:row>
    <x:row r="8" ht="68" customHeight="1">
      <x:c r="A8" s="19" t="str">
        <x:v>RED-ACT-FERON</x:v>
      </x:c>
      <x:c r="B8" s="7" t="str">
        <x:v>Feron</x:v>
      </x:c>
      <x:c r="C8" s="15" t="str">
        <x:v>Prototype</x:v>
      </x:c>
      <x:c r="D8" s="17" t="str">
        <x:v>Établi</x:v>
      </x:c>
      <x:c r="E8" s="17" t="str">
        <x:v>P1</x:v>
      </x:c>
      <x:c r="F8" s="7" t="str">
        <x:v>Feron est le partenaire drell de Liara.</x:v>
      </x:c>
      <x:c r="G8" s="7" t="str">
        <x:v>Soutien furtif; transforme une information en fenêtre de progression.</x:v>
      </x:c>
      <x:c r="H8" s="7" t="str">
        <x:v>Rôle narratif; aucune statistique officielle déduite.</x:v>
      </x:c>
      <x:c r="I8" s="7" t="str">
        <x:v>Direction proposée : Tête reptilienne et col haut, couches de vêtement lisibles; motifs précis à vérifier. Vérifier le costume sur l'édition autorisée avant peinture finale.</x:v>
      </x:c>
      <x:c r="J8" s="7" t="str">
        <x:v>Coup d’œil latéral, geste de passe, accroupissement et manipulation discrète.</x:v>
      </x:c>
      <x:c r="K8" s="7" t="str">
        <x:v>Interprétation originale; sous-titres attribués au locuteur et aucune reprise des voix du jeu.</x:v>
      </x:c>
      <x:c r="L8" s="7" t="str">
        <x:v>Prototype Chroniques : src/universe-actors.js, src/chronicles.js. Identifiant runtime RED-ACT-FERON ; contexte d’œuvre/segment et sélection de scène obligatoires.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Feron possède une fiche de référence séparant rôle attesté, silhouette à contrôler et commandes proposées.</x:v>
      </x:c>
      <x:c r="O8" s="7" t="str"/>
      <x:c r="P8" s="7" t="str">
        <x:v>Mass Effect: Redemption, série concernée</x:v>
      </x:c>
      <x:c r="Q8" s="7" t="str">
        <x:v>RED-S-COMPLETE</x:v>
      </x:c>
      <x:c r="R8" s="7" t="str">
        <x:v>https://digital.darkhorse.com/books/7bcdbde713b746338287bb0d74350bac/mass-effect-the-complete-comics</x:v>
      </x:c>
      <x:c r="S8" s="7" t="str">
        <x:v>Le rôle dans la source ne prouve ni recrutement jouable ni disponibilité permanente. Prototype partiel disponible dans les Chroniques indépendantes : profil ATB sans portrait, sprite ou moveset complet ; pouvoirs non implémentés signalés. Aucun transfert vers ME1 ni validation 1:1.</x:v>
      </x:c>
    </x:row>
    <x:row r="9" ht="68" customHeight="1">
      <x:c r="A9" s="18" t="str">
        <x:v>RED-ACT-TAZZIK</x:v>
      </x:c>
      <x:c r="B9" s="9" t="str">
        <x:v>Tazzik</x:v>
      </x:c>
      <x:c r="C9" s="15" t="str">
        <x:v>Défini</x:v>
      </x:c>
      <x:c r="D9" s="16" t="str">
        <x:v>À vérifier</x:v>
      </x:c>
      <x:c r="E9" s="16" t="str">
        <x:v>P1</x:v>
      </x:c>
      <x:c r="F9" s="9" t="str">
        <x:v>Tazzik est un exécutant salarian du Courtier.</x:v>
      </x:c>
      <x:c r="G9" s="9" t="str">
        <x:v>Antagoniste identifiable; pression à distance et obstacle à la récupération.</x:v>
      </x:c>
      <x:c r="H9" s="9" t="str">
        <x:v>Rôle narratif; aucune statistique officielle déduite.</x:v>
      </x:c>
      <x:c r="I9" s="9" t="str">
        <x:v>Direction proposée : Silhouette salariane exceptionnellement imposante à contrôler; épaules lisibles, teinte froide. Vérifier le costume sur l'édition autorisée avant peinture finale.</x:v>
      </x:c>
      <x:c r="J9" s="9" t="str">
        <x:v>Visée basse, recul bref, blocage de passage et retournement.</x:v>
      </x:c>
      <x:c r="K9" s="9" t="str">
        <x:v>Interprétation originale; sous-titres attribués au locuteur et aucune reprise des voix du jeu.</x:v>
      </x:c>
      <x:c r="L9" s="9" t="str">
        <x:v>Livrable proposé : spécification RED/characters/act-tazzik; brancher au registre de contenu de l'œuvre seulement après production.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Tazzik possède une fiche de référence séparant rôle attesté, silhouette à contrôler et commandes proposées.</x:v>
      </x:c>
      <x:c r="O9" s="9" t="str"/>
      <x:c r="P9" s="9" t="str">
        <x:v>Mass Effect: Redemption, série concernée</x:v>
      </x:c>
      <x:c r="Q9" s="9" t="str">
        <x:v>RED-S-TAZZIK</x:v>
      </x:c>
      <x:c r="R9" s="9" t="str">
        <x:v>https://masseffect.fandom.com/wiki/Tazzik</x:v>
      </x:c>
      <x:c r="S9" s="9" t="str">
        <x:v>Le rôle dans la source ne prouve ni recrutement jouable ni disponibilité permanente.</x:v>
      </x:c>
    </x:row>
  </x:sheetData>
  <x:conditionalFormatting sqref="D7:D9">
    <x:cfRule type="cellIs" dxfId="0" priority="1" operator="equal">
      <x:formula>"À vérifier"</x:formula>
    </x:cfRule>
    <x:cfRule type="cellIs" dxfId="1" priority="2" operator="equal">
      <x:formula>"Extrapolation"</x:formula>
    </x:cfRule>
  </x:conditionalFormatting>
  <x:conditionalFormatting sqref="C7:C9">
    <x:cfRule type="cellIs" dxfId="2" priority="3" operator="equal">
      <x:formula>"Validé"</x:formula>
    </x:cfRule>
  </x:conditionalFormatting>
  <x:conditionalFormatting sqref="E7:E9">
    <x:cfRule type="cellIs" dxfId="3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ac825f2471c4e57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91" hidden="0" customWidth="1"/>
    <x:col min="19" max="19" width="77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PNJ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Personnages de rencontre et services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RED-ACT-MIRANDA</x:v>
      </x:c>
      <x:c r="B7" s="9" t="str">
        <x:v>Miranda Lawson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Miranda intervient dans la relation avec Cerberus.</x:v>
      </x:c>
      <x:c r="G7" s="9" t="str">
        <x:v>Interlocutrice de mission; présenter ses objectifs sans lui donner une omniscience de gameplay.</x:v>
      </x:c>
      <x:c r="H7" s="9" t="str">
        <x:v>Rôle narratif; aucune statistique officielle déduite.</x:v>
      </x:c>
      <x:c r="I7" s="9" t="str">
        <x:v>Direction proposée : Combinaison claire à panneaux sombres, silhouette tenue; costume du numéro à comparer. Vérifier le costume sur l'édition autorisée avant peinture finale.</x:v>
      </x:c>
      <x:c r="J7" s="9" t="str">
        <x:v>Posture droite, main sur interface, demi-tour contrôlé.</x:v>
      </x:c>
      <x:c r="K7" s="9" t="str">
        <x:v>Interprétation originale; sous-titres attribués au locuteur et aucune reprise des voix du jeu.</x:v>
      </x:c>
      <x:c r="L7" s="9" t="str">
        <x:v>Livrable proposé : spécification RED/npcs/act-miranda; brancher au registre de contenu de l'œuvre seulement après production.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Miranda Lawson possède une fiche de référence séparant rôle attesté, silhouette à contrôler et commandes proposées.</x:v>
      </x:c>
      <x:c r="O7" s="9" t="str"/>
      <x:c r="P7" s="9" t="str">
        <x:v>Mass Effect: Redemption, série concernée</x:v>
      </x:c>
      <x:c r="Q7" s="9" t="str">
        <x:v>RED-S-AUTHOR1</x:v>
      </x:c>
      <x:c r="R7" s="9" t="str">
        <x:v>https://farawaypress.com/comics/masseffectredemption/masseffectredemption1/</x:v>
      </x:c>
      <x:c r="S7" s="9" t="str">
        <x:v>Le rôle dans la source ne prouve ni recrutement jouable ni disponibilité permanente.</x:v>
      </x:c>
    </x:row>
    <x:row r="8" ht="68" customHeight="1">
      <x:c r="A8" s="19" t="str">
        <x:v>RED-ACT-ARIA</x:v>
      </x:c>
      <x:c r="B8" s="7" t="str">
        <x:v>Aria T’Loak</x:v>
      </x:c>
      <x:c r="C8" s="15" t="str">
        <x:v>Défini</x:v>
      </x:c>
      <x:c r="D8" s="17" t="str">
        <x:v>À vérifier</x:v>
      </x:c>
      <x:c r="E8" s="17" t="str">
        <x:v>P1</x:v>
      </x:c>
      <x:c r="F8" s="7" t="str">
        <x:v>Aria fournit une piste sur Omega.</x:v>
      </x:c>
      <x:c r="G8" s="7" t="str">
        <x:v>Négociation brève, accès à une information, autorité locale.</x:v>
      </x:c>
      <x:c r="H8" s="7" t="str">
        <x:v>Rôle narratif; aucune statistique officielle déduite.</x:v>
      </x:c>
      <x:c r="I8" s="7" t="str">
        <x:v>Direction proposée : Silhouette asari angulaire, fauteuil en contre-jour et éclairage violet limité au fond. Vérifier le costume sur l'édition autorisée avant peinture finale.</x:v>
      </x:c>
      <x:c r="J8" s="7" t="str">
        <x:v>Immobilité dominante, inclinaison de tête, geste qui clôt l’entretien.</x:v>
      </x:c>
      <x:c r="K8" s="7" t="str">
        <x:v>Interprétation originale; sous-titres attribués au locuteur et aucune reprise des voix du jeu.</x:v>
      </x:c>
      <x:c r="L8" s="7" t="str">
        <x:v>Livrable proposé : spécification RED/npcs/act-aria; brancher au registre de contenu de l'œuvre seulement après production.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Aria T’Loak possède une fiche de référence séparant rôle attesté, silhouette à contrôler et commandes proposées.</x:v>
      </x:c>
      <x:c r="O8" s="7" t="str"/>
      <x:c r="P8" s="7" t="str">
        <x:v>Mass Effect: Redemption, série concernée</x:v>
      </x:c>
      <x:c r="Q8" s="7" t="str">
        <x:v>RED-S-FERON</x:v>
      </x:c>
      <x:c r="R8" s="7" t="str">
        <x:v>https://masseffect.fandom.com/wiki/Feron</x:v>
      </x:c>
      <x:c r="S8" s="7" t="str">
        <x:v>Le rôle dans la source ne prouve ni recrutement jouable ni disponibilité permanente.</x:v>
      </x:c>
    </x:row>
    <x:row r="9" ht="68" customHeight="1">
      <x:c r="A9" s="18" t="str">
        <x:v>RED-ACT-TIM</x:v>
      </x:c>
      <x:c r="B9" s="9" t="str">
        <x:v>L’Homme trouble</x:v>
      </x:c>
      <x:c r="C9" s="15" t="str">
        <x:v>Défini</x:v>
      </x:c>
      <x:c r="D9" s="16" t="str">
        <x:v>Établi</x:v>
      </x:c>
      <x:c r="E9" s="16" t="str">
        <x:v>P1</x:v>
      </x:c>
      <x:c r="F9" s="9" t="str">
        <x:v>Une scène avec l’Homme trouble est commentée par le scénariste.</x:v>
      </x:c>
      <x:c r="G9" s="9" t="str">
        <x:v>Communication distante; exposer une proposition sans la valider moralement par l’interface.</x:v>
      </x:c>
      <x:c r="H9" s="9" t="str">
        <x:v>Rôle narratif; aucune statistique officielle déduite.</x:v>
      </x:c>
      <x:c r="I9" s="9" t="str">
        <x:v>Direction proposée : Visage partiellement éclairé dans un cadre holographique sobre. Vérifier le costume sur l'édition autorisée avant peinture finale.</x:v>
      </x:c>
      <x:c r="J9" s="9" t="str">
        <x:v>Regard fixe, déplacement léger de la main, interruption du canal.</x:v>
      </x:c>
      <x:c r="K9" s="9" t="str">
        <x:v>Interprétation originale; sous-titres attribués au locuteur et aucune reprise des voix du jeu.</x:v>
      </x:c>
      <x:c r="L9" s="9" t="str">
        <x:v>Livrable proposé : spécification RED/npcs/act-tim; brancher au registre de contenu de l'œuvre seulement après production.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L’Homme trouble possède une fiche de référence séparant rôle attesté, silhouette à contrôler et commandes proposées.</x:v>
      </x:c>
      <x:c r="O9" s="9" t="str"/>
      <x:c r="P9" s="9" t="str">
        <x:v>Mass Effect: Redemption, série concernée</x:v>
      </x:c>
      <x:c r="Q9" s="9" t="str">
        <x:v>RED-S-AUTHOR2</x:v>
      </x:c>
      <x:c r="R9" s="9" t="str">
        <x:v>https://farawaypress.com/comics/masseffectredemption/masseffectredemption2/</x:v>
      </x:c>
      <x:c r="S9" s="9" t="str">
        <x:v>Le rôle dans la source ne prouve ni recrutement jouable ni disponibilité permanente.</x:v>
      </x:c>
    </x:row>
    <x:row r="10" ht="68" customHeight="1">
      <x:c r="A10" s="19" t="str">
        <x:v>RED-ACT-BROKER</x:v>
      </x:c>
      <x:c r="B10" s="7" t="str">
        <x:v>Courtier de l’ombre — représentation distante</x:v>
      </x:c>
      <x:c r="C10" s="15" t="str">
        <x:v>Défini</x:v>
      </x:c>
      <x:c r="D10" s="17" t="str">
        <x:v>Établi</x:v>
      </x:c>
      <x:c r="E10" s="17" t="str">
        <x:v>P1</x:v>
      </x:c>
      <x:c r="F10" s="7" t="str">
        <x:v>La recherche vise les opérations du Courtier de l’ombre.</x:v>
      </x:c>
      <x:c r="G10" s="7" t="str">
        <x:v>Présence par relais et informations; ne pas révéler sa forme comme un nouveau combat.</x:v>
      </x:c>
      <x:c r="H10" s="7" t="str">
        <x:v>Rôle narratif; aucune statistique officielle déduite.</x:v>
      </x:c>
      <x:c r="I10" s="7" t="str">
        <x:v>Direction proposée : Écran opaque, contour artificiel et fond sombre; aucune identité visible ajoutée. Vérifier le costume sur l'édition autorisée avant peinture finale.</x:v>
      </x:c>
      <x:c r="J10" s="7" t="str">
        <x:v>Interface active, brouillage puis extinction.</x:v>
      </x:c>
      <x:c r="K10" s="7" t="str">
        <x:v>Interprétation originale; sous-titres attribués au locuteur et aucune reprise des voix du jeu.</x:v>
      </x:c>
      <x:c r="L10" s="7" t="str">
        <x:v>Livrable proposé : spécification RED/npcs/act-broker; brancher au registre de contenu de l'œuvre seulement après production.</x:v>
      </x:c>
      <x:c r="M10" s="7" t="str">
        <x:v>Préserver l’absence active de Shepard, la relation Liara/Feron et le raccord vers ME2; les méthodes d’enquête ne changent pas le sort publié des protagonistes.</x:v>
      </x:c>
      <x:c r="N10" s="7" t="str">
        <x:v>Courtier de l’ombre — représentation distante possède une fiche de référence séparant rôle attesté, silhouette à contrôler et commandes proposées.</x:v>
      </x:c>
      <x:c r="O10" s="7" t="str"/>
      <x:c r="P10" s="7" t="str">
        <x:v>Mass Effect: Redemption, série concernée</x:v>
      </x:c>
      <x:c r="Q10" s="7" t="str">
        <x:v>RED-S-COMPLETE</x:v>
      </x:c>
      <x:c r="R10" s="7" t="str">
        <x:v>https://digital.darkhorse.com/books/7bcdbde713b746338287bb0d74350bac/mass-effect-the-complete-comics</x:v>
      </x:c>
      <x:c r="S10" s="7" t="str">
        <x:v>Le rôle dans la source ne prouve ni recrutement jouable ni disponibilité permanente.</x:v>
      </x:c>
    </x:row>
  </x:sheetData>
  <x:conditionalFormatting sqref="D7:D10">
    <x:cfRule type="cellIs" dxfId="4" priority="1" operator="equal">
      <x:formula>"À vérifier"</x:formula>
    </x:cfRule>
    <x:cfRule type="cellIs" dxfId="5" priority="2" operator="equal">
      <x:formula>"Extrapolation"</x:formula>
    </x:cfRule>
  </x:conditionalFormatting>
  <x:conditionalFormatting sqref="C7:C10">
    <x:cfRule type="cellIs" dxfId="6" priority="3" operator="equal">
      <x:formula>"Validé"</x:formula>
    </x:cfRule>
  </x:conditionalFormatting>
  <x:conditionalFormatting sqref="E7:E10">
    <x:cfRule type="cellIs" dxfId="7" priority="4" operator="equal">
      <x:formula>"P0"</x:formula>
    </x:cfRule>
  </x:conditionalFormatting>
  <x:dataValidations count="3">
    <x:dataValidation type="list" sqref="C7:C10">
      <x:formula1>"Défini,Prototype,Intégré,Validé"</x:formula1>
    </x:dataValidation>
    <x:dataValidation type="list" sqref="D7:D10">
      <x:formula1>"Établi,À vérifier,Extrapolation,Coupé attesté,Concept abandonné,Allégation écartée"</x:formula1>
    </x:dataValidation>
    <x:dataValidation type="list" sqref="E7:E1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8de4223565247dd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102" hidden="0" customWidth="1"/>
    <x:col min="19" max="19" width="255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Espèces et factions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Espèces, organisations et règles culturelles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RED-REF-SCOPE</x:v>
      </x:c>
      <x:c r="B7" s="9" t="str">
        <x:v>Série en quatre numéros</x:v>
      </x:c>
      <x:c r="C7" s="15" t="str">
        <x:v>Défini</x:v>
      </x:c>
      <x:c r="D7" s="16" t="str">
        <x:v>Établi</x:v>
      </x:c>
      <x:c r="E7" s="16" t="str">
        <x:v>P0</x:v>
      </x:c>
      <x:c r="F7" s="9" t="str">
        <x:v>Redemption réunit quatre numéros autour de la recherche menée par Liara.</x:v>
      </x:c>
      <x:c r="G7" s="9" t="str">
        <x:v>Conserver cet ancrage dans les données éditoriales; les variantes de jeu restent dans un espace séparé.</x:v>
      </x:c>
      <x:c r="H7" s="9" t="str"/>
      <x:c r="I7" s="9" t="str"/>
      <x:c r="J7" s="9" t="str"/>
      <x:c r="K7" s="9" t="str"/>
      <x:c r="L7" s="9" t="str">
        <x:v>Livrable proposé : spécification RED/lore/ref-scope; brancher au registre de contenu de l'œuvre seulement après production.</x:v>
      </x:c>
      <x:c r="M7" s="9" t="str">
        <x:v>Vérifier toute précision non contenue dans cette notice avant de la déclarer canon.</x:v>
      </x:c>
      <x:c r="N7" s="9" t="str">
        <x:v>Le dossier cite la source BOOK et distingue cette information de toute règle de gameplay.</x:v>
      </x:c>
      <x:c r="O7" s="9" t="str"/>
      <x:c r="P7" s="9" t="str">
        <x:v>Mass Effect: Redemption, série concernée</x:v>
      </x:c>
      <x:c r="Q7" s="9" t="str">
        <x:v>RED-S-BOOK</x:v>
      </x:c>
      <x:c r="R7" s="9" t="str">
        <x:v>https://www.penguinrandomhouse.com/books/241684/mass-effect-volume-1-redemption-by-mac-walters-various-artists/</x:v>
      </x:c>
      <x:c r="S7" s="9" t="str">
        <x:v>Fait résumé brièvement; aucun dialogue ni découpage intégral du comic reproduit.</x:v>
      </x:c>
    </x:row>
    <x:row r="8" ht="54" customHeight="1">
      <x:c r="A8" s="19" t="str">
        <x:v>RED-REF-SHEPARD</x:v>
      </x:c>
      <x:c r="B8" s="7" t="str">
        <x:v>Shepard adaptable</x:v>
      </x:c>
      <x:c r="C8" s="15" t="str">
        <x:v>Défini</x:v>
      </x:c>
      <x:c r="D8" s="17" t="str">
        <x:v>Établi</x:v>
      </x:c>
      <x:c r="E8" s="17" t="str">
        <x:v>P0</x:v>
      </x:c>
      <x:c r="F8" s="7" t="str">
        <x:v>Le scénariste explique avoir préservé la compatibilité avec les décisions du joueur concernant Shepard.</x:v>
      </x:c>
      <x:c r="G8" s="7" t="str">
        <x:v>Importer les paramètres de Shepard uniquement pour mentions et portraits autorisés; ne pas imposer sexe, visage ou romance.</x:v>
      </x:c>
      <x:c r="H8" s="7" t="str"/>
      <x:c r="I8" s="7" t="str"/>
      <x:c r="J8" s="7" t="str"/>
      <x:c r="K8" s="7" t="str"/>
      <x:c r="L8" s="7" t="str">
        <x:v>Livrable proposé : spécification RED/lore/ref-shepard; brancher au registre de contenu de l'œuvre seulement après production.</x:v>
      </x:c>
      <x:c r="M8" s="7" t="str">
        <x:v>Vérifier toute précision non contenue dans cette notice avant de la déclarer canon.</x:v>
      </x:c>
      <x:c r="N8" s="7" t="str">
        <x:v>Le dossier cite la source AUTHOR1 et distingue cette information de toute règle de gameplay.</x:v>
      </x:c>
      <x:c r="O8" s="7" t="str"/>
      <x:c r="P8" s="7" t="str">
        <x:v>Notes de conception de Redemption #1</x:v>
      </x:c>
      <x:c r="Q8" s="7" t="str">
        <x:v>RED-S-AUTHOR1</x:v>
      </x:c>
      <x:c r="R8" s="7" t="str">
        <x:v>https://farawaypress.com/comics/masseffectredemption/masseffectredemption1/</x:v>
      </x:c>
      <x:c r="S8" s="7" t="str">
        <x:v>Fait résumé brièvement; aucun dialogue ni découpage intégral du comic reproduit.</x:v>
      </x:c>
    </x:row>
    <x:row r="9" ht="82" customHeight="1">
      <x:c r="A9" s="18" t="str">
        <x:v>RED-REF-FERON</x:v>
      </x:c>
      <x:c r="B9" s="9" t="str">
        <x:v>Duo de recherche</x:v>
      </x:c>
      <x:c r="C9" s="15" t="str">
        <x:v>Prototype</x:v>
      </x:c>
      <x:c r="D9" s="16" t="str">
        <x:v>Établi</x:v>
      </x:c>
      <x:c r="E9" s="16" t="str">
        <x:v>P0</x:v>
      </x:c>
      <x:c r="F9" s="9" t="str">
        <x:v>Liara s’allie au drell Feron pour récupérer le corps de Shepard auprès du Courtier de l’ombre.</x:v>
      </x:c>
      <x:c r="G9" s="9" t="str">
        <x:v>Conserver cet ancrage dans les données éditoriales; les variantes de jeu restent dans un espace séparé.</x:v>
      </x:c>
      <x:c r="H9" s="9" t="str"/>
      <x:c r="I9" s="9" t="str"/>
      <x:c r="J9" s="9" t="str"/>
      <x:c r="K9" s="9" t="str"/>
      <x:c r="L9" s="9" t="str">
        <x:v>Référence documentaire RED-REF-FERON consultable dans les lectures de src/chronicle-story.js, avec sources et progression séparée. Aucune scène, carte, animation ou incarnation de personnage n’est produite par cette fiche.</x:v>
      </x:c>
      <x:c r="M9" s="9" t="str">
        <x:v>Vérifier toute précision non contenue dans cette notice avant de la déclarer canon.</x:v>
      </x:c>
      <x:c r="N9" s="9" t="str">
        <x:v>Le dossier cite la source COMPLETE et distingue cette information de toute règle de gameplay.</x:v>
      </x:c>
      <x:c r="O9" s="9" t="str"/>
      <x:c r="P9" s="9" t="str">
        <x:v>Mass Effect: Redemption, série concernée</x:v>
      </x:c>
      <x:c r="Q9" s="9" t="str">
        <x:v>RED-S-COMPLETE</x:v>
      </x:c>
      <x:c r="R9" s="9" t="str">
        <x:v>https://digital.darkhorse.com/books/7bcdbde713b746338287bb0d74350bac/mass-effect-the-complete-comics</x:v>
      </x:c>
      <x:c r="S9" s="9" t="str">
        <x:v>Fait résumé brièvement; aucun dialogue ni découpage intégral du comic reproduit. Prototype limité à une paraphrase documentaire sourcée et aux références visitées. Les autres livrables de l’œuvre restent à produire ; les personnages mentionnés ne sont pas recrutables et les lieux cités ne deviennent pas des niveaux.</x:v>
      </x:c>
    </x:row>
    <x:row r="10" ht="54" customHeight="1">
      <x:c r="A10" s="19" t="str">
        <x:v>RED-REF-BONUS</x:v>
      </x:c>
      <x:c r="B10" s="7" t="str">
        <x:v>Croquis du recueil</x:v>
      </x:c>
      <x:c r="C10" s="15" t="str">
        <x:v>Défini</x:v>
      </x:c>
      <x:c r="D10" s="17" t="str">
        <x:v>Établi</x:v>
      </x:c>
      <x:c r="E10" s="17" t="str">
        <x:v>P0</x:v>
      </x:c>
      <x:c r="F10" s="7" t="str">
        <x:v>La notice du recueil annonce des croquis et un complément de fabrication.</x:v>
      </x:c>
      <x:c r="G10" s="7" t="str">
        <x:v>Créer un inventaire de références à consulter, sans transformer les croquis en scènes coupées attestées.</x:v>
      </x:c>
      <x:c r="H10" s="7" t="str"/>
      <x:c r="I10" s="7" t="str"/>
      <x:c r="J10" s="7" t="str"/>
      <x:c r="K10" s="7" t="str"/>
      <x:c r="L10" s="7" t="str">
        <x:v>Livrable proposé : spécification RED/lore/ref-bonus; brancher au registre de contenu de l'œuvre seulement après production.</x:v>
      </x:c>
      <x:c r="M10" s="7" t="str">
        <x:v>Vérifier toute précision non contenue dans cette notice avant de la déclarer canon.</x:v>
      </x:c>
      <x:c r="N10" s="7" t="str">
        <x:v>Le dossier cite la source BOOK et distingue cette information de toute règle de gameplay.</x:v>
      </x:c>
      <x:c r="O10" s="7" t="str"/>
      <x:c r="P10" s="7" t="str">
        <x:v>Mass Effect: Redemption, série concernée</x:v>
      </x:c>
      <x:c r="Q10" s="7" t="str">
        <x:v>RED-S-BOOK</x:v>
      </x:c>
      <x:c r="R10" s="7" t="str">
        <x:v>https://www.penguinrandomhouse.com/books/241684/mass-effect-volume-1-redemption-by-mac-walters-various-artists/</x:v>
      </x:c>
      <x:c r="S10" s="7" t="str">
        <x:v>Fait résumé brièvement; aucun dialogue ni découpage intégral du comic reproduit.</x:v>
      </x:c>
    </x:row>
    <x:row r="11" ht="68" customHeight="1">
      <x:c r="A11" s="18" t="str">
        <x:v>RED-SC-CONTACT-REF</x:v>
      </x:c>
      <x:c r="B11" s="9" t="str">
        <x:v>Contact sur Omega</x:v>
      </x:c>
      <x:c r="C11" s="15" t="str">
        <x:v>Défini</x:v>
      </x:c>
      <x:c r="D11" s="16" t="str">
        <x:v>À vérifier</x:v>
      </x:c>
      <x:c r="E11" s="16" t="str">
        <x:v>P1</x:v>
      </x:c>
      <x:c r="F11" s="9" t="str">
        <x:v>Liara et Feron se rencontrent pendant la recherche. </x:v>
      </x:c>
      <x:c r="G11" s="9" t="str">
        <x:v>Ancrage du module; les intitulés de quêtes et options ci-dessous sont des créations de production.</x:v>
      </x:c>
      <x:c r="H11" s="9" t="str"/>
      <x:c r="I11" s="9" t="str"/>
      <x:c r="J11" s="9" t="str"/>
      <x:c r="K11" s="9" t="str"/>
      <x:c r="L11" s="9" t="str">
        <x:v>Livrable proposé : spécification RED/lore/sc-contact-ref; brancher au registre de contenu de l'œuvre seulement après production.</x:v>
      </x:c>
      <x:c r="M11" s="9" t="str">
        <x:v>Préserver l’absence active de Shepard, la relation Liara/Feron et le raccord vers ME2; les méthodes d’enquête ne changent pas le sort publié des protagonistes.</x:v>
      </x:c>
      <x:c r="N11" s="9" t="str">
        <x:v>L’ancrage reste bref et son numéro/segment est identifiable dans les sources; les détails non confirmés portent À vérifier.</x:v>
      </x:c>
      <x:c r="O11" s="9" t="str"/>
      <x:c r="P11" s="9" t="str">
        <x:v>Redemption #1–4, premier contact; pagination à contrôler</x:v>
      </x:c>
      <x:c r="Q11" s="9" t="str">
        <x:v>RED-S-FERON</x:v>
      </x:c>
      <x:c r="R11" s="9" t="str">
        <x:v>https://masseffect.fandom.com/wiki/Feron</x:v>
      </x:c>
      <x:c r="S11" s="9" t="str">
        <x:v>Ne remplace pas la lecture du numéro.</x:v>
      </x:c>
    </x:row>
    <x:row r="12" ht="68" customHeight="1">
      <x:c r="A12" s="19" t="str">
        <x:v>RED-SC-AFTERLIFE-REF</x:v>
      </x:c>
      <x:c r="B12" s="7" t="str">
        <x:v>Entretien à Afterlife</x:v>
      </x:c>
      <x:c r="C12" s="15" t="str">
        <x:v>Défini</x:v>
      </x:c>
      <x:c r="D12" s="17" t="str">
        <x:v>À vérifier</x:v>
      </x:c>
      <x:c r="E12" s="17" t="str">
        <x:v>P1</x:v>
      </x:c>
      <x:c r="F12" s="7" t="str">
        <x:v>Aria intervient dans la recherche du duo. </x:v>
      </x:c>
      <x:c r="G12" s="7" t="str">
        <x:v>Ancrage du module; les intitulés de quêtes et options ci-dessous sont des créations de production.</x:v>
      </x:c>
      <x:c r="H12" s="7" t="str"/>
      <x:c r="I12" s="7" t="str"/>
      <x:c r="J12" s="7" t="str"/>
      <x:c r="K12" s="7" t="str"/>
      <x:c r="L12" s="7" t="str">
        <x:v>Livrable proposé : spécification RED/lore/sc-afterlife-ref; brancher au registre de contenu de l'œuvre seulement après production.</x:v>
      </x:c>
      <x:c r="M12" s="7" t="str">
        <x:v>Préserver l’absence active de Shepard, la relation Liara/Feron et le raccord vers ME2; les méthodes d’enquête ne changent pas le sort publié des protagonistes.</x:v>
      </x:c>
      <x:c r="N12" s="7" t="str">
        <x:v>L’ancrage reste bref et son numéro/segment est identifiable dans les sources; les détails non confirmés portent À vérifier.</x:v>
      </x:c>
      <x:c r="O12" s="7" t="str"/>
      <x:c r="P12" s="7" t="str">
        <x:v>Redemption, recherche sur Omega</x:v>
      </x:c>
      <x:c r="Q12" s="7" t="str">
        <x:v>RED-S-FERON</x:v>
      </x:c>
      <x:c r="R12" s="7" t="str">
        <x:v>https://masseffect.fandom.com/wiki/Feron</x:v>
      </x:c>
      <x:c r="S12" s="7" t="str">
        <x:v>Ne remplace pas la lecture du numéro.</x:v>
      </x:c>
    </x:row>
    <x:row r="13" ht="68" customHeight="1">
      <x:c r="A13" s="18" t="str">
        <x:v>RED-SC-DOCKS-REF</x:v>
      </x:c>
      <x:c r="B13" s="9" t="str">
        <x:v>Docks et transfert</x:v>
      </x:c>
      <x:c r="C13" s="15" t="str">
        <x:v>Défini</x:v>
      </x:c>
      <x:c r="D13" s="16" t="str">
        <x:v>À vérifier</x:v>
      </x:c>
      <x:c r="E13" s="16" t="str">
        <x:v>P1</x:v>
      </x:c>
      <x:c r="F13" s="9" t="str">
        <x:v>Tazzik supervise le transport du corps de Shepard depuis Omega. </x:v>
      </x:c>
      <x:c r="G13" s="9" t="str">
        <x:v>Ancrage du module; les intitulés de quêtes et options ci-dessous sont des créations de production.</x:v>
      </x:c>
      <x:c r="H13" s="9" t="str"/>
      <x:c r="I13" s="9" t="str"/>
      <x:c r="J13" s="9" t="str"/>
      <x:c r="K13" s="9" t="str"/>
      <x:c r="L13" s="9" t="str">
        <x:v>Livrable proposé : spécification RED/lore/sc-docks-ref; brancher au registre de contenu de l'œuvre seulement après production.</x:v>
      </x:c>
      <x:c r="M13" s="9" t="str">
        <x:v>Préserver l’absence active de Shepard, la relation Liara/Feron et le raccord vers ME2; les méthodes d’enquête ne changent pas le sort publié des protagonistes.</x:v>
      </x:c>
      <x:c r="N13" s="9" t="str">
        <x:v>L’ancrage reste bref et son numéro/segment est identifiable dans les sources; les détails non confirmés portent À vérifier.</x:v>
      </x:c>
      <x:c r="O13" s="9" t="str"/>
      <x:c r="P13" s="9" t="str">
        <x:v>Redemption, transfert sur Omega; numéro à contrôler</x:v>
      </x:c>
      <x:c r="Q13" s="9" t="str">
        <x:v>RED-S-TAZZIK</x:v>
      </x:c>
      <x:c r="R13" s="9" t="str">
        <x:v>https://masseffect.fandom.com/wiki/Tazzik</x:v>
      </x:c>
      <x:c r="S13" s="9" t="str">
        <x:v>Ne remplace pas la lecture du numéro.</x:v>
      </x:c>
    </x:row>
    <x:row r="14" ht="82" customHeight="1">
      <x:c r="A14" s="19" t="str">
        <x:v>RED-SC-PURSUIT-REF</x:v>
      </x:c>
      <x:c r="B14" s="7" t="str">
        <x:v>Rejoindre la base</x:v>
      </x:c>
      <x:c r="C14" s="15" t="str">
        <x:v>Prototype</x:v>
      </x:c>
      <x:c r="D14" s="17" t="str">
        <x:v>Établi</x:v>
      </x:c>
      <x:c r="E14" s="17" t="str">
        <x:v>P1</x:v>
      </x:c>
      <x:c r="F14" s="7" t="str">
        <x:v>La poursuite du troisième numéro conduit le duo vers la base du Courtier. </x:v>
      </x:c>
      <x:c r="G14" s="7" t="str">
        <x:v>Ancrage du module; les intitulés de quêtes et options ci-dessous sont des créations de production.</x:v>
      </x:c>
      <x:c r="H14" s="7" t="str"/>
      <x:c r="I14" s="7" t="str"/>
      <x:c r="J14" s="7" t="str"/>
      <x:c r="K14" s="7" t="str"/>
      <x:c r="L14" s="7" t="str">
        <x:v>Référence documentaire RED-SC-PURSUIT-REF consultable dans les lectures de src/chronicle-story.js, avec sources et progression séparée. Aucune scène, carte, animation ou incarnation de personnage n’est produite par cette fiche.</x:v>
      </x:c>
      <x:c r="M14" s="7" t="str">
        <x:v>Préserver l’absence active de Shepard, la relation Liara/Feron et le raccord vers ME2; les méthodes d’enquête ne changent pas le sort publié des protagonistes.</x:v>
      </x:c>
      <x:c r="N14" s="7" t="str">
        <x:v>L’ancrage reste bref et son numéro/segment est identifiable dans les sources; les détails non confirmés portent À vérifier.</x:v>
      </x:c>
      <x:c r="O14" s="7" t="str"/>
      <x:c r="P14" s="7" t="str">
        <x:v>Redemption #3</x:v>
      </x:c>
      <x:c r="Q14" s="7" t="str">
        <x:v>RED-S-AUTHOR3</x:v>
      </x:c>
      <x:c r="R14" s="7" t="str">
        <x:v>https://farawaypress.com/comics/masseffectredemption/masseffectredemption3/</x:v>
      </x:c>
      <x:c r="S14" s="7" t="str">
        <x:v>Ne remplace pas la lecture du numéro. Prototype limité à une paraphrase documentaire sourcée et aux références visitées. Les autres livrables de l’œuvre restent à produire ; les personnages mentionnés ne sont pas recrutables et les lieux cités ne deviennent pas des niveaux.</x:v>
      </x:c>
    </x:row>
    <x:row r="15" ht="82" customHeight="1">
      <x:c r="A15" s="18" t="str">
        <x:v>RED-SC-ACCESS-REF</x:v>
      </x:c>
      <x:c r="B15" s="9" t="str">
        <x:v>Identité et accès compartimentés</x:v>
      </x:c>
      <x:c r="C15" s="15" t="str">
        <x:v>Prototype</x:v>
      </x:c>
      <x:c r="D15" s="16" t="str">
        <x:v>Établi</x:v>
      </x:c>
      <x:c r="E15" s="16" t="str">
        <x:v>P1</x:v>
      </x:c>
      <x:c r="F15" s="9" t="str">
        <x:v>L’auteur relie le cloisonnement de la base aux possibilités d’action de Feron. </x:v>
      </x:c>
      <x:c r="G15" s="9" t="str">
        <x:v>Ancrage du module; les intitulés de quêtes et options ci-dessous sont des créations de production.</x:v>
      </x:c>
      <x:c r="H15" s="9" t="str"/>
      <x:c r="I15" s="9" t="str"/>
      <x:c r="J15" s="9" t="str"/>
      <x:c r="K15" s="9" t="str"/>
      <x:c r="L15" s="9" t="str">
        <x:v>Référence documentaire RED-SC-ACCESS-REF consultable dans les lectures de src/chronicle-story.js, avec sources et progression séparée. Aucune scène, carte, animation ou incarnation de personnage n’est produite par cette fiche.</x:v>
      </x:c>
      <x:c r="M15" s="9" t="str">
        <x:v>Préserver l’absence active de Shepard, la relation Liara/Feron et le raccord vers ME2; les méthodes d’enquête ne changent pas le sort publié des protagonistes.</x:v>
      </x:c>
      <x:c r="N15" s="9" t="str">
        <x:v>L’ancrage reste bref et son numéro/segment est identifiable dans les sources; les détails non confirmés portent À vérifier.</x:v>
      </x:c>
      <x:c r="O15" s="9" t="str"/>
      <x:c r="P15" s="9" t="str">
        <x:v>Redemption #3</x:v>
      </x:c>
      <x:c r="Q15" s="9" t="str">
        <x:v>RED-S-AUTHOR3</x:v>
      </x:c>
      <x:c r="R15" s="9" t="str">
        <x:v>https://farawaypress.com/comics/masseffectredemption/masseffectredemption3/</x:v>
      </x:c>
      <x:c r="S15" s="9" t="str">
        <x:v>Ne remplace pas la lecture du numéro. Prototype limité à une paraphrase documentaire sourcée et aux références visitées. Les autres livrables de l’œuvre restent à produire ; les personnages mentionnés ne sont pas recrutables et les lieux cités ne deviennent pas des niveaux.</x:v>
      </x:c>
    </x:row>
    <x:row r="16" ht="82" customHeight="1">
      <x:c r="A16" s="19" t="str">
        <x:v>RED-SC-RECOVER-REF</x:v>
      </x:c>
      <x:c r="B16" s="7" t="str">
        <x:v>Récupération et séparation</x:v>
      </x:c>
      <x:c r="C16" s="15" t="str">
        <x:v>Prototype</x:v>
      </x:c>
      <x:c r="D16" s="17" t="str">
        <x:v>Établi</x:v>
      </x:c>
      <x:c r="E16" s="17" t="str">
        <x:v>P1</x:v>
      </x:c>
      <x:c r="F16" s="7" t="str">
        <x:v>Le dernier numéro révèle le jeu multiple de Feron. </x:v>
      </x:c>
      <x:c r="G16" s="7" t="str">
        <x:v>Ancrage du module; les intitulés de quêtes et options ci-dessous sont des créations de production.</x:v>
      </x:c>
      <x:c r="H16" s="7" t="str"/>
      <x:c r="I16" s="7" t="str"/>
      <x:c r="J16" s="7" t="str"/>
      <x:c r="K16" s="7" t="str"/>
      <x:c r="L16" s="7" t="str">
        <x:v>Référence documentaire RED-SC-RECOVER-REF consultable dans les lectures de src/chronicle-story.js, avec sources et progression séparée. Aucune scène, carte, animation ou incarnation de personnage n’est produite par cette fiche.</x:v>
      </x:c>
      <x:c r="M16" s="7" t="str">
        <x:v>Préserver l’absence active de Shepard, la relation Liara/Feron et le raccord vers ME2; les méthodes d’enquête ne changent pas le sort publié des protagonistes.</x:v>
      </x:c>
      <x:c r="N16" s="7" t="str">
        <x:v>L’ancrage reste bref et son numéro/segment est identifiable dans les sources; les détails non confirmés portent À vérifier.</x:v>
      </x:c>
      <x:c r="O16" s="7" t="str"/>
      <x:c r="P16" s="7" t="str">
        <x:v>Redemption #4</x:v>
      </x:c>
      <x:c r="Q16" s="7" t="str">
        <x:v>RED-S-AUTHOR4</x:v>
      </x:c>
      <x:c r="R16" s="7" t="str">
        <x:v>https://farawaypress.com/comics/masseffectredemption/masseffectredemption4/</x:v>
      </x:c>
      <x:c r="S16" s="7" t="str">
        <x:v>Ne remplace pas la lecture du numéro. Prototype limité à une paraphrase documentaire sourcée et aux références visitées. Les autres livrables de l’œuvre restent à produire ; les personnages mentionnés ne sont pas recrutables et les lieux cités ne deviennent pas des niveaux.</x:v>
      </x:c>
    </x:row>
  </x:sheetData>
  <x:conditionalFormatting sqref="D7:D16">
    <x:cfRule type="cellIs" dxfId="8" priority="1" operator="equal">
      <x:formula>"À vérifier"</x:formula>
    </x:cfRule>
    <x:cfRule type="cellIs" dxfId="9" priority="2" operator="equal">
      <x:formula>"Extrapolation"</x:formula>
    </x:cfRule>
  </x:conditionalFormatting>
  <x:conditionalFormatting sqref="C7:C16">
    <x:cfRule type="cellIs" dxfId="10" priority="3" operator="equal">
      <x:formula>"Validé"</x:formula>
    </x:cfRule>
  </x:conditionalFormatting>
  <x:conditionalFormatting sqref="E7:E16">
    <x:cfRule type="cellIs" dxfId="11" priority="4" operator="equal">
      <x:formula>"P0"</x:formula>
    </x:cfRule>
  </x:conditionalFormatting>
  <x:dataValidations count="3">
    <x:dataValidation type="list" sqref="C7:C16">
      <x:formula1>"Défini,Prototype,Intégré,Validé"</x:formula1>
    </x:dataValidation>
    <x:dataValidation type="list" sqref="D7:D16">
      <x:formula1>"Établi,À vérifier,Extrapolation,Coupé attesté,Concept abandonné,Allégation écartée"</x:formula1>
    </x:dataValidation>
    <x:dataValidation type="list" sqref="E7:E16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592637b168f4bac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255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Mondes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Destinations et identité environnementale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82" customHeight="1">
      <x:c r="A7" s="18" t="str">
        <x:v>RED-WRL-OMEGA</x:v>
      </x:c>
      <x:c r="B7" s="9" t="str">
        <x:v>Omega</x:v>
      </x:c>
      <x:c r="C7" s="15" t="str">
        <x:v>Prototype</x:v>
      </x:c>
      <x:c r="D7" s="16" t="str">
        <x:v>Établi</x:v>
      </x:c>
      <x:c r="E7" s="16" t="str">
        <x:v>P1</x:v>
      </x:c>
      <x:c r="F7" s="9" t="str">
        <x:v>La recherche de Liara traverse Omega.</x:v>
      </x:c>
      <x:c r="G7" s="9" t="str">
        <x:v>Hub de pistes sous tension.</x:v>
      </x:c>
      <x:c r="H7" s="9" t="str"/>
      <x:c r="I7" s="9" t="str">
        <x:v>Métal usé, lumière orange latérale et profondeur industrielle; sol clair sous les sprites.</x:v>
      </x:c>
      <x:c r="J7" s="9" t="str"/>
      <x:c r="K7" s="9" t="str"/>
      <x:c r="L7" s="9" t="str">
        <x:v>Référence documentaire RED-WRL-OMEGA consultable dans les lectures de src/chronicle-story.js, avec sources et progression séparée. Aucune scène, carte, animation ou incarnation de personnage n’est produite par cette fiche.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Le nom Omega et sa fonction sont sourcés; les dimensions, chemins et interactions restent explicitement proposés.</x:v>
      </x:c>
      <x:c r="O7" s="9" t="str"/>
      <x:c r="P7" s="9" t="str">
        <x:v>Mass Effect: Redemption, série concernée</x:v>
      </x:c>
      <x:c r="Q7" s="9" t="str">
        <x:v>RED-S-AUTHOR2</x:v>
      </x:c>
      <x:c r="R7" s="9" t="str">
        <x:v>https://farawaypress.com/comics/masseffectredemption/masseffectredemption2/</x:v>
      </x:c>
      <x:c r="S7" s="9" t="str">
        <x:v>La géométrie jouable ci-dessous est originale et ne prétend pas reconstituer une carte officielle. Prototype limité à une paraphrase documentaire sourcée et aux références visitées. Les autres livrables de l’œuvre restent à produire ; les personnages mentionnés ne sont pas recrutables et les lieux cités ne deviennent pas des niveaux.</x:v>
      </x:c>
    </x:row>
    <x:row r="8" ht="68" customHeight="1">
      <x:c r="A8" s="19" t="str">
        <x:v>RED-WRL-ALINGON</x:v>
      </x:c>
      <x:c r="B8" s="7" t="str">
        <x:v>Alingon / Alignon — graphie à contrôler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Le troisième numéro rejoint une base du Courtier sur un monde perturbant les communications.</x:v>
      </x:c>
      <x:c r="G8" s="7" t="str">
        <x:v>Faire sentir l’isolement informationnel.</x:v>
      </x:c>
      <x:c r="H8" s="7" t="str"/>
      <x:c r="I8" s="7" t="str">
        <x:v>Roche sombre, métal mat et arcs lumineux très discrets; brouillage en bord de cadre.</x:v>
      </x:c>
      <x:c r="J8" s="7" t="str"/>
      <x:c r="K8" s="7" t="str"/>
      <x:c r="L8" s="7" t="str">
        <x:v>Livrable proposé : spécification RED/worlds/wrl-alingon; brancher au registre de contenu de l'œuvre seulement après production.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Le nom Alingon / Alignon — graphie à contrôler et sa fonction sont sourcés; les dimensions, chemins et interactions restent explicitement proposés.</x:v>
      </x:c>
      <x:c r="O8" s="7" t="str"/>
      <x:c r="P8" s="7" t="str">
        <x:v>Mass Effect: Redemption, série concernée</x:v>
      </x:c>
      <x:c r="Q8" s="7" t="str">
        <x:v>RED-S-AUTHOR3</x:v>
      </x:c>
      <x:c r="R8" s="7" t="str">
        <x:v>https://farawaypress.com/comics/masseffectredemption/masseffectredemption3/</x:v>
      </x:c>
      <x:c r="S8" s="7" t="str">
        <x:v>Faraway Press écrit Alignon; Fandom écrit Alingon. Les deux graphies sont conservées ici uniquement pour contrôle.</x:v>
      </x:c>
    </x:row>
    <x:row r="9" ht="82" customHeight="1">
      <x:c r="A9" s="18" t="str">
        <x:v>RED-WRL-SPACE</x:v>
      </x:c>
      <x:c r="B9" s="9" t="str">
        <x:v>Poursuite dans l’espace</x:v>
      </x:c>
      <x:c r="C9" s="15" t="str">
        <x:v>Prototype</x:v>
      </x:c>
      <x:c r="D9" s="16" t="str">
        <x:v>Établi</x:v>
      </x:c>
      <x:c r="E9" s="16" t="str">
        <x:v>P1</x:v>
      </x:c>
      <x:c r="F9" s="9" t="str">
        <x:v>Le troisième numéro quitte Omega pour une poursuite spatiale.</x:v>
      </x:c>
      <x:c r="G9" s="9" t="str">
        <x:v>Intermède de navigation lisible, distinct d’un mode de vol complet.</x:v>
      </x:c>
      <x:c r="H9" s="9" t="str"/>
      <x:c r="I9" s="9" t="str">
        <x:v>Astéroïdes mats et contraste faible du ciel; vaisseau du duo traité en sprite orientable.</x:v>
      </x:c>
      <x:c r="J9" s="9" t="str"/>
      <x:c r="K9" s="9" t="str"/>
      <x:c r="L9" s="9" t="str">
        <x:v>Référence documentaire RED-WRL-SPACE consultable dans les lectures de src/chronicle-story.js, avec sources et progression séparée. Aucune scène, carte, animation ou incarnation de personnage n’est produite par cette fiche.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Le nom Poursuite dans l’espace et sa fonction sont sourcés; les dimensions, chemins et interactions restent explicitement proposés.</x:v>
      </x:c>
      <x:c r="O9" s="9" t="str"/>
      <x:c r="P9" s="9" t="str">
        <x:v>Mass Effect: Redemption, série concernée</x:v>
      </x:c>
      <x:c r="Q9" s="9" t="str">
        <x:v>RED-S-AUTHOR3</x:v>
      </x:c>
      <x:c r="R9" s="9" t="str">
        <x:v>https://farawaypress.com/comics/masseffectredemption/masseffectredemption3/</x:v>
      </x:c>
      <x:c r="S9" s="9" t="str">
        <x:v>La géométrie jouable ci-dessous est originale et ne prétend pas reconstituer une carte officielle. Prototype limité à une paraphrase documentaire sourcée et aux références visitées. Les autres livrables de l’œuvre restent à produire ; les personnages mentionnés ne sont pas recrutables et les lieux cités ne deviennent pas des niveaux.</x:v>
      </x:c>
    </x:row>
  </x:sheetData>
  <x:conditionalFormatting sqref="D7:D9">
    <x:cfRule type="cellIs" dxfId="12" priority="1" operator="equal">
      <x:formula>"À vérifier"</x:formula>
    </x:cfRule>
    <x:cfRule type="cellIs" dxfId="13" priority="2" operator="equal">
      <x:formula>"Extrapolation"</x:formula>
    </x:cfRule>
  </x:conditionalFormatting>
  <x:conditionalFormatting sqref="C7:C9">
    <x:cfRule type="cellIs" dxfId="14" priority="3" operator="equal">
      <x:formula>"Validé"</x:formula>
    </x:cfRule>
  </x:conditionalFormatting>
  <x:conditionalFormatting sqref="E7:E9">
    <x:cfRule type="cellIs" dxfId="15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9029c53c7324dc0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Zones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Pièces, espaces extérieurs et points de passage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RED-ZONE-OMEGA</x:v>
      </x:c>
      <x:c r="B7" s="9" t="str">
        <x:v>Omega — espace jouable proposé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Boucle courte entre alcôve de contact, passage marchand et accès industriel.</x:v>
      </x:c>
      <x:c r="G7" s="9" t="str">
        <x:v>Hub de pistes sous tension.</x:v>
      </x:c>
      <x:c r="H7" s="9" t="str">
        <x:v>Contrôles de passage évitables par préparation; aucune foule décorative agressive par défaut.</x:v>
      </x:c>
      <x:c r="I7" s="9" t="str">
        <x:v>Métal usé, lumière orange latérale et profondeur industrielle; sol clair sous les sprites.</x:v>
      </x:c>
      <x:c r="J7" s="9" t="str">
        <x:v>Garder les trajectoires de sprites sur le sol navigable; traversées de premier plan traitées par masques.</x:v>
      </x:c>
      <x:c r="K7" s="9" t="str"/>
      <x:c r="L7" s="9" t="str">
        <x:v>Scène 3D prévue red/zones/omega; volumes de navigation, ancrages d'actions et caméras fixes séparés.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Le blocage de Omega permet un parcours aller-retour sans caméra aveugle; chaque danger annoncé possède une sortie lisible.</x:v>
      </x:c>
      <x:c r="O7" s="9" t="str">
        <x:v>RED-WRL-OMEGA</x:v>
      </x:c>
      <x:c r="P7" s="9" t="str">
        <x:v>Plan original, dimensions à prototyper.</x:v>
      </x:c>
      <x:c r="Q7" s="9" t="str"/>
      <x:c r="R7" s="9" t="str"/>
      <x:c r="S7" s="9" t="str"/>
    </x:row>
    <x:row r="8" ht="68" customHeight="1">
      <x:c r="A8" s="19" t="str">
        <x:v>RED-ZONE-ALINGON</x:v>
      </x:c>
      <x:c r="B8" s="7" t="str">
        <x:v>Alingon / Alignon — graphie à contrôler — espace jouable proposé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Approche extérieure, sas et espace de relais compartimenté; couloirs courts lisibles.</x:v>
      </x:c>
      <x:c r="G8" s="7" t="str">
        <x:v>Faire sentir l’isolement informationnel.</x:v>
      </x:c>
      <x:c r="H8" s="7" t="str">
        <x:v>Une interface ne reçoit un ordre qu’au relais local; le silence radio reste expliqué.</x:v>
      </x:c>
      <x:c r="I8" s="7" t="str">
        <x:v>Roche sombre, métal mat et arcs lumineux très discrets; brouillage en bord de cadre.</x:v>
      </x:c>
      <x:c r="J8" s="7" t="str">
        <x:v>Garder les trajectoires de sprites sur le sol navigable; traversées de premier plan traitées par masques.</x:v>
      </x:c>
      <x:c r="K8" s="7" t="str"/>
      <x:c r="L8" s="7" t="str">
        <x:v>Scène 3D prévue red/zones/alingon; volumes de navigation, ancrages d'actions et caméras fixes séparés.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Le blocage de Alingon / Alignon — graphie à contrôler permet un parcours aller-retour sans caméra aveugle; chaque danger annoncé possède une sortie lisible.</x:v>
      </x:c>
      <x:c r="O8" s="7" t="str">
        <x:v>RED-WRL-ALINGON</x:v>
      </x:c>
      <x:c r="P8" s="7" t="str">
        <x:v>Plan original, dimensions à prototyper.</x:v>
      </x:c>
      <x:c r="Q8" s="7" t="str"/>
      <x:c r="R8" s="7" t="str"/>
      <x:c r="S8" s="7" t="str"/>
    </x:row>
    <x:row r="9" ht="68" customHeight="1">
      <x:c r="A9" s="18" t="str">
        <x:v>RED-ZONE-SPACE</x:v>
      </x:c>
      <x:c r="B9" s="9" t="str">
        <x:v>Poursuite dans l’espace — espace jouable proposé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Rail visuel à embranchements courts avec fenêtre de manœuvre et écran de cap.</x:v>
      </x:c>
      <x:c r="G9" s="9" t="str">
        <x:v>Intermède de navigation lisible, distinct d’un mode de vol complet.</x:v>
      </x:c>
      <x:c r="H9" s="9" t="str">
        <x:v>Choisir une trajectoire avant la fermeture de sa fenêtre; pause et vitesse lente proposées.</x:v>
      </x:c>
      <x:c r="I9" s="9" t="str">
        <x:v>Astéroïdes mats et contraste faible du ciel; vaisseau du duo traité en sprite orientable.</x:v>
      </x:c>
      <x:c r="J9" s="9" t="str">
        <x:v>Garder les trajectoires de sprites sur le sol navigable; traversées de premier plan traitées par masques.</x:v>
      </x:c>
      <x:c r="K9" s="9" t="str"/>
      <x:c r="L9" s="9" t="str">
        <x:v>Scène 3D prévue red/zones/space; volumes de navigation, ancrages d'actions et caméras fixes séparés.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Le blocage de Poursuite dans l’espace permet un parcours aller-retour sans caméra aveugle; chaque danger annoncé possède une sortie lisible.</x:v>
      </x:c>
      <x:c r="O9" s="9" t="str">
        <x:v>RED-WRL-SPACE</x:v>
      </x:c>
      <x:c r="P9" s="9" t="str">
        <x:v>Plan original, dimensions à prototyper.</x:v>
      </x:c>
      <x:c r="Q9" s="9" t="str"/>
      <x:c r="R9" s="9" t="str"/>
      <x:c r="S9" s="9" t="str"/>
    </x:row>
  </x:sheetData>
  <x:conditionalFormatting sqref="D7:D9">
    <x:cfRule type="cellIs" dxfId="16" priority="1" operator="equal">
      <x:formula>"À vérifier"</x:formula>
    </x:cfRule>
    <x:cfRule type="cellIs" dxfId="17" priority="2" operator="equal">
      <x:formula>"Extrapolation"</x:formula>
    </x:cfRule>
  </x:conditionalFormatting>
  <x:conditionalFormatting sqref="C7:C9">
    <x:cfRule type="cellIs" dxfId="18" priority="3" operator="equal">
      <x:formula>"Validé"</x:formula>
    </x:cfRule>
  </x:conditionalFormatting>
  <x:conditionalFormatting sqref="E7:E9">
    <x:cfRule type="cellIs" dxfId="19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c1a5fa2eb07439a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Liaisons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Continuité spatiale et conditions de passage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RED-LINK-OMEGA</x:v>
      </x:c>
      <x:c r="B7" s="9" t="str">
        <x:v>Omega — accès et sortie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Raccords internes originaux entre contact, entretien et docks; pas de carte officielle revendiquée.</x:v>
      </x:c>
      <x:c r="G7" s="9" t="str">
        <x:v>Conserver les raccords nécessaires au parcours sans inventer une route galactique officielle.</x:v>
      </x:c>
      <x:c r="H7" s="9" t="str">
        <x:v>Prévisualiser la destination; déclenchement sur confirmation hors combat; conserver objectifs et objets de mission au retour.</x:v>
      </x:c>
      <x:c r="I7" s="9" t="str">
        <x:v>Marquage de direction doublé d’un nom de destination; pas de code fondé sur une seule couleur.</x:v>
      </x:c>
      <x:c r="J7" s="9" t="str"/>
      <x:c r="K7" s="9" t="str"/>
      <x:c r="L7" s="9" t="str">
        <x:v>Liaison proposée RED/OMEGA; sauvegarder zone, point d'entrée et version de chapitre.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Entrer, ressortir et recharger au seuil restitue le même état du chapitre; aucun accès ne court-circuite sa conclusion fixée.</x:v>
      </x:c>
      <x:c r="O7" s="9" t="str">
        <x:v>RED-ZONE-OMEGA</x:v>
      </x:c>
      <x:c r="P7" s="9" t="str">
        <x:v>Raccord de gameplay original; ordre narratif selon les ancrages sourcés.</x:v>
      </x:c>
      <x:c r="Q7" s="9" t="str"/>
      <x:c r="R7" s="9" t="str"/>
      <x:c r="S7" s="9" t="str"/>
    </x:row>
    <x:row r="8" ht="68" customHeight="1">
      <x:c r="A8" s="19" t="str">
        <x:v>RED-LINK-ALINGON</x:v>
      </x:c>
      <x:c r="B8" s="7" t="str">
        <x:v>Alingon / Alignon — graphie à contrôler — accès et sortie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Passage spatial vers la base puis sortie vers hangar; chaque raccord coupe la communication non autorisée.</x:v>
      </x:c>
      <x:c r="G8" s="7" t="str">
        <x:v>Conserver les raccords nécessaires au parcours sans inventer une route galactique officielle.</x:v>
      </x:c>
      <x:c r="H8" s="7" t="str">
        <x:v>Prévisualiser la destination; déclenchement sur confirmation hors combat; conserver objectifs et objets de mission au retour.</x:v>
      </x:c>
      <x:c r="I8" s="7" t="str">
        <x:v>Marquage de direction doublé d’un nom de destination; pas de code fondé sur une seule couleur.</x:v>
      </x:c>
      <x:c r="J8" s="7" t="str"/>
      <x:c r="K8" s="7" t="str"/>
      <x:c r="L8" s="7" t="str">
        <x:v>Liaison proposée RED/ALINGON; sauvegarder zone, point d'entrée et version de chapitre.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Entrer, ressortir et recharger au seuil restitue le même état du chapitre; aucun accès ne court-circuite sa conclusion fixée.</x:v>
      </x:c>
      <x:c r="O8" s="7" t="str">
        <x:v>RED-ZONE-ALINGON</x:v>
      </x:c>
      <x:c r="P8" s="7" t="str">
        <x:v>Raccord de gameplay original; ordre narratif selon les ancrages sourcés.</x:v>
      </x:c>
      <x:c r="Q8" s="7" t="str"/>
      <x:c r="R8" s="7" t="str"/>
      <x:c r="S8" s="7" t="str"/>
    </x:row>
    <x:row r="9" ht="68" customHeight="1">
      <x:c r="A9" s="18" t="str">
        <x:v>RED-LINK-SPACE</x:v>
      </x:c>
      <x:c r="B9" s="9" t="str">
        <x:v>Poursuite dans l’espace — accès et sortie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Départ d’Omega, poursuite puis arrivée à la base; parcours tactique original.</x:v>
      </x:c>
      <x:c r="G9" s="9" t="str">
        <x:v>Conserver les raccords nécessaires au parcours sans inventer une route galactique officielle.</x:v>
      </x:c>
      <x:c r="H9" s="9" t="str">
        <x:v>Prévisualiser la destination; déclenchement sur confirmation hors combat; conserver objectifs et objets de mission au retour.</x:v>
      </x:c>
      <x:c r="I9" s="9" t="str">
        <x:v>Marquage de direction doublé d’un nom de destination; pas de code fondé sur une seule couleur.</x:v>
      </x:c>
      <x:c r="J9" s="9" t="str"/>
      <x:c r="K9" s="9" t="str"/>
      <x:c r="L9" s="9" t="str">
        <x:v>Liaison proposée RED/SPACE; sauvegarder zone, point d'entrée et version de chapitre.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Entrer, ressortir et recharger au seuil restitue le même état du chapitre; aucun accès ne court-circuite sa conclusion fixée.</x:v>
      </x:c>
      <x:c r="O9" s="9" t="str">
        <x:v>RED-ZONE-SPACE</x:v>
      </x:c>
      <x:c r="P9" s="9" t="str">
        <x:v>Raccord de gameplay original; ordre narratif selon les ancrages sourcés.</x:v>
      </x:c>
      <x:c r="Q9" s="9" t="str"/>
      <x:c r="R9" s="9" t="str"/>
      <x:c r="S9" s="9" t="str"/>
    </x:row>
  </x:sheetData>
  <x:conditionalFormatting sqref="D7:D9">
    <x:cfRule type="cellIs" dxfId="20" priority="1" operator="equal">
      <x:formula>"À vérifier"</x:formula>
    </x:cfRule>
    <x:cfRule type="cellIs" dxfId="21" priority="2" operator="equal">
      <x:formula>"Extrapolation"</x:formula>
    </x:cfRule>
  </x:conditionalFormatting>
  <x:conditionalFormatting sqref="C7:C9">
    <x:cfRule type="cellIs" dxfId="22" priority="3" operator="equal">
      <x:formula>"Validé"</x:formula>
    </x:cfRule>
  </x:conditionalFormatting>
  <x:conditionalFormatting sqref="E7:E9">
    <x:cfRule type="cellIs" dxfId="23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e5f9e60a8aa4870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Décors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Architecture, matières et cadrages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82" customHeight="1">
      <x:c r="A7" s="18" t="str">
        <x:v>RED-SET-OMEGA</x:v>
      </x:c>
      <x:c r="B7" s="9" t="str">
        <x:v>Omega — décor et repère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Une ouverture vers les niveaux inférieurs sert de repère vertical.</x:v>
      </x:c>
      <x:c r="G7" s="9" t="str">
        <x:v>Hub de pistes sous tension.</x:v>
      </x:c>
      <x:c r="H7" s="9" t="str"/>
      <x:c r="I7" s="9" t="str">
        <x:v>Métal usé, lumière orange latérale et profondeur industrielle; sol clair sous les sprites. Séparer gros volumes, surfaces de parcours et petits accessoires; réserver le contraste maximal aux éléments utilisables.</x:v>
      </x:c>
      <x:c r="J7" s="9" t="str">
        <x:v>Seuls les éléments mobiles nécessaires à la lecture du lieu ont une boucle; les lumières restent stables en mode confort.</x:v>
      </x:c>
      <x:c r="K7" s="9" t="str"/>
      <x:c r="L7" s="9" t="str">
        <x:v>Kit modulaire prévu red/sets/omega; collisions simples et matériau de repère distinct.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Le repère décrit reste visible depuis l'entrée et depuis le retour; aucune décoration ne masque un signal d'interaction.</x:v>
      </x:c>
      <x:c r="O7" s="9" t="str">
        <x:v>RED-ZONE-OMEGA</x:v>
      </x:c>
      <x:c r="P7" s="9" t="str">
        <x:v>Direction artistique originale, matériaux à confronter aux planches.</x:v>
      </x:c>
      <x:c r="Q7" s="9" t="str"/>
      <x:c r="R7" s="9" t="str"/>
      <x:c r="S7" s="9" t="str"/>
    </x:row>
    <x:row r="8" ht="82" customHeight="1">
      <x:c r="A8" s="19" t="str">
        <x:v>RED-SET-ALINGON</x:v>
      </x:c>
      <x:c r="B8" s="7" t="str">
        <x:v>Alingon / Alignon — graphie à contrôler — décor et repère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Antenne isolée et écran de contrôle comme points d’orientation.</x:v>
      </x:c>
      <x:c r="G8" s="7" t="str">
        <x:v>Faire sentir l’isolement informationnel.</x:v>
      </x:c>
      <x:c r="H8" s="7" t="str"/>
      <x:c r="I8" s="7" t="str">
        <x:v>Roche sombre, métal mat et arcs lumineux très discrets; brouillage en bord de cadre. Séparer gros volumes, surfaces de parcours et petits accessoires; réserver le contraste maximal aux éléments utilisables.</x:v>
      </x:c>
      <x:c r="J8" s="7" t="str">
        <x:v>Seuls les éléments mobiles nécessaires à la lecture du lieu ont une boucle; les lumières restent stables en mode confort.</x:v>
      </x:c>
      <x:c r="K8" s="7" t="str"/>
      <x:c r="L8" s="7" t="str">
        <x:v>Kit modulaire prévu red/sets/alingon; collisions simples et matériau de repère distinct.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Le repère décrit reste visible depuis l'entrée et depuis le retour; aucune décoration ne masque un signal d'interaction.</x:v>
      </x:c>
      <x:c r="O8" s="7" t="str">
        <x:v>RED-ZONE-ALINGON</x:v>
      </x:c>
      <x:c r="P8" s="7" t="str">
        <x:v>Direction artistique originale, matériaux à confronter aux planches.</x:v>
      </x:c>
      <x:c r="Q8" s="7" t="str"/>
      <x:c r="R8" s="7" t="str"/>
      <x:c r="S8" s="7" t="str"/>
    </x:row>
    <x:row r="9" ht="82" customHeight="1">
      <x:c r="A9" s="18" t="str">
        <x:v>RED-SET-SPACE</x:v>
      </x:c>
      <x:c r="B9" s="9" t="str">
        <x:v>Poursuite dans l’espace — décor et repère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Balise de destination toujours visible, obstacles en silhouettes.</x:v>
      </x:c>
      <x:c r="G9" s="9" t="str">
        <x:v>Intermède de navigation lisible, distinct d’un mode de vol complet.</x:v>
      </x:c>
      <x:c r="H9" s="9" t="str"/>
      <x:c r="I9" s="9" t="str">
        <x:v>Astéroïdes mats et contraste faible du ciel; vaisseau du duo traité en sprite orientable. Séparer gros volumes, surfaces de parcours et petits accessoires; réserver le contraste maximal aux éléments utilisables.</x:v>
      </x:c>
      <x:c r="J9" s="9" t="str">
        <x:v>Seuls les éléments mobiles nécessaires à la lecture du lieu ont une boucle; les lumières restent stables en mode confort.</x:v>
      </x:c>
      <x:c r="K9" s="9" t="str"/>
      <x:c r="L9" s="9" t="str">
        <x:v>Kit modulaire prévu red/sets/space; collisions simples et matériau de repère distinct.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Le repère décrit reste visible depuis l'entrée et depuis le retour; aucune décoration ne masque un signal d'interaction.</x:v>
      </x:c>
      <x:c r="O9" s="9" t="str">
        <x:v>RED-ZONE-SPACE</x:v>
      </x:c>
      <x:c r="P9" s="9" t="str">
        <x:v>Direction artistique originale, matériaux à confronter aux planches.</x:v>
      </x:c>
      <x:c r="Q9" s="9" t="str"/>
      <x:c r="R9" s="9" t="str"/>
      <x:c r="S9" s="9" t="str"/>
    </x:row>
  </x:sheetData>
  <x:conditionalFormatting sqref="D7:D9">
    <x:cfRule type="cellIs" dxfId="24" priority="1" operator="equal">
      <x:formula>"À vérifier"</x:formula>
    </x:cfRule>
    <x:cfRule type="cellIs" dxfId="25" priority="2" operator="equal">
      <x:formula>"Extrapolation"</x:formula>
    </x:cfRule>
  </x:conditionalFormatting>
  <x:conditionalFormatting sqref="C7:C9">
    <x:cfRule type="cellIs" dxfId="26" priority="3" operator="equal">
      <x:formula>"Validé"</x:formula>
    </x:cfRule>
  </x:conditionalFormatting>
  <x:conditionalFormatting sqref="E7:E9">
    <x:cfRule type="cellIs" dxfId="27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754a3ddbfe64b09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Props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Objets de décor et interactions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RED-SC-CONTACT-PROP</x:v>
      </x:c>
      <x:c r="B7" s="9" t="str">
        <x:v>Repère de rendez-vous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Balise de rendez-vous originale.</x:v>
      </x:c>
      <x:c r="G7" s="9" t="str">
        <x:v>Éviter une recherche arbitraire dans toute la station.</x:v>
      </x:c>
      <x:c r="H7" s="9" t="str">
        <x:v>Inspecter la balise révèle un détail de contexte et un chemin, jamais une position omnisciente.</x:v>
      </x:c>
      <x:c r="I7" s="9" t="str">
        <x:v>Plaquette lumineuse usée, symbole simple visible en gros plan.</x:v>
      </x:c>
      <x:c r="J7" s="9" t="str">
        <x:v>État repos, sélection, utilisation et remise en place; l’objet conserve son pivot entre ces états.</x:v>
      </x:c>
      <x:c r="K7" s="9" t="str">
        <x:v>Bruit de manipulation original et confirmation visible.</x:v>
      </x:c>
      <x:c r="L7" s="9" t="str">
        <x:v>Objet proposé RED/CONTACT/prop; composant inspectable distinct du déclencheur narratif.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L’objet possède un état visible avant et après interaction; il ne peut pas être perdu ni dupliqué par rechargement.</x:v>
      </x:c>
      <x:c r="O7" s="9" t="str">
        <x:v>RED-SC-CONTACT-MAIN</x:v>
      </x:c>
      <x:c r="P7" s="9" t="str">
        <x:v>Accessoire ou interaction de production proposé; ne vaut pas relevé exhaustif de la planche.</x:v>
      </x:c>
      <x:c r="Q7" s="9" t="str"/>
      <x:c r="R7" s="9" t="str"/>
      <x:c r="S7" s="9" t="str"/>
    </x:row>
    <x:row r="8" ht="68" customHeight="1">
      <x:c r="A8" s="19" t="str">
        <x:v>RED-SC-AFTERLIFE-PROP</x:v>
      </x:c>
      <x:c r="B8" s="7" t="str">
        <x:v>Terminal de piste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Fiche de piste originale pour le journal.</x:v>
      </x:c>
      <x:c r="G8" s="7" t="str">
        <x:v>Nommer la destination jouable.</x:v>
      </x:c>
      <x:c r="H8" s="7" t="str">
        <x:v>Consulter à volonté après l’entretien; ne pas exposer les secrets de Feron.</x:v>
      </x:c>
      <x:c r="I8" s="7" t="str">
        <x:v>Écran étroit, zone et objectif en deux lignes.</x:v>
      </x:c>
      <x:c r="J8" s="7" t="str">
        <x:v>État repos, sélection, utilisation et remise en place; l’objet conserve son pivot entre ces états.</x:v>
      </x:c>
      <x:c r="K8" s="7" t="str">
        <x:v>Bruit de manipulation original et confirmation visible.</x:v>
      </x:c>
      <x:c r="L8" s="7" t="str">
        <x:v>Objet proposé RED/AFTERLIFE/prop; composant inspectable distinct du déclencheur narratif.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L’objet possède un état visible avant et après interaction; il ne peut pas être perdu ni dupliqué par rechargement.</x:v>
      </x:c>
      <x:c r="O8" s="7" t="str">
        <x:v>RED-SC-AFTERLIFE-MAIN</x:v>
      </x:c>
      <x:c r="P8" s="7" t="str">
        <x:v>Accessoire ou interaction de production proposé; ne vaut pas relevé exhaustif de la planche.</x:v>
      </x:c>
      <x:c r="Q8" s="7" t="str"/>
      <x:c r="R8" s="7" t="str"/>
      <x:c r="S8" s="7" t="str"/>
    </x:row>
    <x:row r="9" ht="68" customHeight="1">
      <x:c r="A9" s="18" t="str">
        <x:v>RED-SC-DOCKS-PROP</x:v>
      </x:c>
      <x:c r="B9" s="9" t="str">
        <x:v>Commande de quai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Console originale de verrouillage.</x:v>
      </x:c>
      <x:c r="G9" s="9" t="str">
        <x:v>Créer une interaction tactique sans ajouter de technologie canon.</x:v>
      </x:c>
      <x:c r="H9" s="9" t="str">
        <x:v>Une action ferme un passage secondaire; le levier principal reste accessible.</x:v>
      </x:c>
      <x:c r="I9" s="9" t="str">
        <x:v>Panneau jaune à trois états visibles.</x:v>
      </x:c>
      <x:c r="J9" s="9" t="str">
        <x:v>État repos, sélection, utilisation et remise en place; l’objet conserve son pivot entre ces états.</x:v>
      </x:c>
      <x:c r="K9" s="9" t="str">
        <x:v>Bruit de manipulation original et confirmation visible.</x:v>
      </x:c>
      <x:c r="L9" s="9" t="str">
        <x:v>Objet proposé RED/DOCKS/prop; composant inspectable distinct du déclencheur narratif.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L’objet possède un état visible avant et après interaction; il ne peut pas être perdu ni dupliqué par rechargement.</x:v>
      </x:c>
      <x:c r="O9" s="9" t="str">
        <x:v>RED-SC-DOCKS-MAIN</x:v>
      </x:c>
      <x:c r="P9" s="9" t="str">
        <x:v>Accessoire ou interaction de production proposé; ne vaut pas relevé exhaustif de la planche.</x:v>
      </x:c>
      <x:c r="Q9" s="9" t="str"/>
      <x:c r="R9" s="9" t="str"/>
      <x:c r="S9" s="9" t="str"/>
    </x:row>
    <x:row r="10" ht="68" customHeight="1">
      <x:c r="A10" s="19" t="str">
        <x:v>RED-SC-PURSUIT-PROP</x:v>
      </x:c>
      <x:c r="B10" s="7" t="str">
        <x:v>Afficheur de trajectoire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Outil de navigation original.</x:v>
      </x:c>
      <x:c r="G10" s="7" t="str">
        <x:v>Donner une lecture des deux approches.</x:v>
      </x:c>
      <x:c r="H10" s="7" t="str">
        <x:v>Prévisualiser un trajet ne dépense aucune action; confirmer l’engage.</x:v>
      </x:c>
      <x:c r="I10" s="7" t="str">
        <x:v>Arc de route plein pour la sélection, pointillé pour la prévision.</x:v>
      </x:c>
      <x:c r="J10" s="7" t="str">
        <x:v>État repos, sélection, utilisation et remise en place; l’objet conserve son pivot entre ces états.</x:v>
      </x:c>
      <x:c r="K10" s="7" t="str">
        <x:v>Bruit de manipulation original et confirmation visible.</x:v>
      </x:c>
      <x:c r="L10" s="7" t="str">
        <x:v>Objet proposé RED/PURSUIT/prop; composant inspectable distinct du déclencheur narratif.</x:v>
      </x:c>
      <x:c r="M10" s="7" t="str">
        <x:v>Préserver l’absence active de Shepard, la relation Liara/Feron et le raccord vers ME2; les méthodes d’enquête ne changent pas le sort publié des protagonistes.</x:v>
      </x:c>
      <x:c r="N10" s="7" t="str">
        <x:v>L’objet possède un état visible avant et après interaction; il ne peut pas être perdu ni dupliqué par rechargement.</x:v>
      </x:c>
      <x:c r="O10" s="7" t="str">
        <x:v>RED-SC-PURSUIT-MAIN</x:v>
      </x:c>
      <x:c r="P10" s="7" t="str">
        <x:v>Accessoire ou interaction de production proposé; ne vaut pas relevé exhaustif de la planche.</x:v>
      </x:c>
      <x:c r="Q10" s="7" t="str"/>
      <x:c r="R10" s="7" t="str"/>
      <x:c r="S10" s="7" t="str"/>
    </x:row>
    <x:row r="11" ht="68" customHeight="1">
      <x:c r="A11" s="18" t="str">
        <x:v>RED-SC-ACCESS-PROP</x:v>
      </x:c>
      <x:c r="B11" s="9" t="str">
        <x:v>Jeton d’accès compartimenté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Objet de gameplay original à portée limitée.</x:v>
      </x:c>
      <x:c r="G11" s="9" t="str">
        <x:v>Représenter un droit d’accès sans le confondre avec une clé universelle.</x:v>
      </x:c>
      <x:c r="H11" s="9" t="str">
        <x:v>Le jeton n’ouvre que le sas nommé; l’interface annonce cette portée.</x:v>
      </x:c>
      <x:c r="I11" s="9" t="str">
        <x:v>Plaquette avec pictogramme du secteur.</x:v>
      </x:c>
      <x:c r="J11" s="9" t="str">
        <x:v>État repos, sélection, utilisation et remise en place; l’objet conserve son pivot entre ces états.</x:v>
      </x:c>
      <x:c r="K11" s="9" t="str">
        <x:v>Bruit de manipulation original et confirmation visible.</x:v>
      </x:c>
      <x:c r="L11" s="9" t="str">
        <x:v>Objet proposé RED/ACCESS/prop; composant inspectable distinct du déclencheur narratif.</x:v>
      </x:c>
      <x:c r="M11" s="9" t="str">
        <x:v>Préserver l’absence active de Shepard, la relation Liara/Feron et le raccord vers ME2; les méthodes d’enquête ne changent pas le sort publié des protagonistes.</x:v>
      </x:c>
      <x:c r="N11" s="9" t="str">
        <x:v>L’objet possède un état visible avant et après interaction; il ne peut pas être perdu ni dupliqué par rechargement.</x:v>
      </x:c>
      <x:c r="O11" s="9" t="str">
        <x:v>RED-SC-ACCESS-MAIN</x:v>
      </x:c>
      <x:c r="P11" s="9" t="str">
        <x:v>Accessoire ou interaction de production proposé; ne vaut pas relevé exhaustif de la planche.</x:v>
      </x:c>
      <x:c r="Q11" s="9" t="str"/>
      <x:c r="R11" s="9" t="str"/>
      <x:c r="S11" s="9" t="str"/>
    </x:row>
    <x:row r="12" ht="68" customHeight="1">
      <x:c r="A12" s="19" t="str">
        <x:v>RED-SC-RECOVER-PROP</x:v>
      </x:c>
      <x:c r="B12" s="7" t="str">
        <x:v>Support de transfert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Support de transport proposé, sans représentation imposée du visage de Shepard.</x:v>
      </x:c>
      <x:c r="G12" s="7" t="str">
        <x:v>Rendre la priorité de mission lisible.</x:v>
      </x:c>
      <x:c r="H12" s="7" t="str">
        <x:v>L’objet reste attaché au flux narratif, non vendable et non équipable.</x:v>
      </x:c>
      <x:c r="I12" s="7" t="str">
        <x:v>Volume fermé, marquage neutre et témoin d’intégrité abstrait.</x:v>
      </x:c>
      <x:c r="J12" s="7" t="str">
        <x:v>État repos, sélection, utilisation et remise en place; l’objet conserve son pivot entre ces états.</x:v>
      </x:c>
      <x:c r="K12" s="7" t="str">
        <x:v>Bruit de manipulation original et confirmation visible.</x:v>
      </x:c>
      <x:c r="L12" s="7" t="str">
        <x:v>Objet proposé RED/RECOVER/prop; composant inspectable distinct du déclencheur narratif.</x:v>
      </x:c>
      <x:c r="M12" s="7" t="str">
        <x:v>Préserver l’absence active de Shepard, la relation Liara/Feron et le raccord vers ME2; les méthodes d’enquête ne changent pas le sort publié des protagonistes.</x:v>
      </x:c>
      <x:c r="N12" s="7" t="str">
        <x:v>L’objet possède un état visible avant et après interaction; il ne peut pas être perdu ni dupliqué par rechargement.</x:v>
      </x:c>
      <x:c r="O12" s="7" t="str">
        <x:v>RED-SC-RECOVER-MAIN</x:v>
      </x:c>
      <x:c r="P12" s="7" t="str">
        <x:v>Accessoire ou interaction de production proposé; ne vaut pas relevé exhaustif de la planche.</x:v>
      </x:c>
      <x:c r="Q12" s="7" t="str"/>
      <x:c r="R12" s="7" t="str"/>
      <x:c r="S12" s="7" t="str"/>
    </x:row>
  </x:sheetData>
  <x:conditionalFormatting sqref="D7:D12">
    <x:cfRule type="cellIs" dxfId="28" priority="1" operator="equal">
      <x:formula>"À vérifier"</x:formula>
    </x:cfRule>
    <x:cfRule type="cellIs" dxfId="29" priority="2" operator="equal">
      <x:formula>"Extrapolation"</x:formula>
    </x:cfRule>
  </x:conditionalFormatting>
  <x:conditionalFormatting sqref="C7:C12">
    <x:cfRule type="cellIs" dxfId="30" priority="3" operator="equal">
      <x:formula>"Validé"</x:formula>
    </x:cfRule>
  </x:conditionalFormatting>
  <x:conditionalFormatting sqref="E7:E12">
    <x:cfRule type="cellIs" dxfId="31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d513bd8b43d45b7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99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Ennemis et boss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Bestiaire, adversaires et affrontements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RED-EN-SUNS</x:v>
      </x:c>
      <x:c r="B7" s="9" t="str">
        <x:v>Blue Suns</x:v>
      </x:c>
      <x:c r="C7" s="15" t="str">
        <x:v>Défini</x:v>
      </x:c>
      <x:c r="D7" s="16" t="str">
        <x:v>À vérifier</x:v>
      </x:c>
      <x:c r="E7" s="16" t="str">
        <x:v>P1</x:v>
      </x:c>
      <x:c r="F7" s="9" t="str">
        <x:v>Les Blue Suns interviennent contre le duo.</x:v>
      </x:c>
      <x:c r="G7" s="9" t="str">
        <x:v>Pression armée et contrôle du quai.</x:v>
      </x:c>
      <x:c r="H7" s="9" t="str">
        <x:v>Profil proposé : Alternance fixation et déplacement; contourner un tireur rend sa couverture inutile.</x:v>
      </x:c>
      <x:c r="I7" s="9" t="str">
        <x:v>Silhouette proposée : Armures lourdes bleues à vérifier; casque distinct du personnel neutre.</x:v>
      </x:c>
      <x:c r="J7" s="9" t="str">
        <x:v>Mise en joue, maintien et recul lisible.</x:v>
      </x:c>
      <x:c r="K7" s="9" t="str">
        <x:v>Salves sèches et annonce radio inventée.</x:v>
      </x:c>
      <x:c r="L7" s="9" t="str">
        <x:v>Livrable proposé : spécification RED/enemies/en-suns; brancher au registre de contenu de l'œuvre seulement après production.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Blue Suns a une silhouette distincte, un comportement télégraphié et une contre-mesure documentée; aucune valeur n'est annoncée comme statistique officielle.</x:v>
      </x:c>
      <x:c r="O7" s="9" t="str"/>
      <x:c r="P7" s="9" t="str">
        <x:v>Mass Effect: Redemption, série concernée</x:v>
      </x:c>
      <x:c r="Q7" s="9" t="str">
        <x:v>RED-S-FERON</x:v>
      </x:c>
      <x:c r="R7" s="9" t="str">
        <x:v>https://masseffect.fandom.com/wiki/Feron</x:v>
      </x:c>
      <x:c r="S7" s="9" t="str">
        <x:v>L’adversaire ou groupe est attesté selon la source; le combat ATB et ses réglages sont entièrement proposés.</x:v>
      </x:c>
    </x:row>
    <x:row r="8" ht="68" customHeight="1">
      <x:c r="A8" s="19" t="str">
        <x:v>RED-EN-SENTRY</x:v>
      </x:c>
      <x:c r="B8" s="7" t="str">
        <x:v>Sentries de poursuite</x:v>
      </x:c>
      <x:c r="C8" s="15" t="str">
        <x:v>Défini</x:v>
      </x:c>
      <x:c r="D8" s="17" t="str">
        <x:v>À vérifier</x:v>
      </x:c>
      <x:c r="E8" s="17" t="str">
        <x:v>P1</x:v>
      </x:c>
      <x:c r="F8" s="7" t="str">
        <x:v>Le wiki décrit des sentries lors de l’approche de la base.</x:v>
      </x:c>
      <x:c r="G8" s="7" t="str">
        <x:v>Menace de navigation proposée, à vérifier dans l’édition.</x:v>
      </x:c>
      <x:c r="H8" s="7" t="str">
        <x:v>Profil proposé : Préparer une passe puis exposer leur trajectoire; éviter le contact vaut progression.</x:v>
      </x:c>
      <x:c r="I8" s="7" t="str">
        <x:v>Silhouette proposée : Petites silhouettes mécaniques différenciées du vaisseau allié.</x:v>
      </x:c>
      <x:c r="J8" s="7" t="str">
        <x:v>Virage anticipé et ligne droite de poursuite.</x:v>
      </x:c>
      <x:c r="K8" s="7" t="str">
        <x:v>Alerte brève visible dans l’afficheur.</x:v>
      </x:c>
      <x:c r="L8" s="7" t="str">
        <x:v>Livrable proposé : spécification RED/enemies/en-sentry; brancher au registre de contenu de l'œuvre seulement après production.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Sentries de poursuite a une silhouette distincte, un comportement télégraphié et une contre-mesure documentée; aucune valeur n'est annoncée comme statistique officielle.</x:v>
      </x:c>
      <x:c r="O8" s="7" t="str"/>
      <x:c r="P8" s="7" t="str">
        <x:v>Mass Effect: Redemption, série concernée</x:v>
      </x:c>
      <x:c r="Q8" s="7" t="str">
        <x:v>RED-S-STORYII</x:v>
      </x:c>
      <x:c r="R8" s="7" t="str">
        <x:v>https://masseffect.fandom.com/wiki/Storyline_II</x:v>
      </x:c>
      <x:c r="S8" s="7" t="str">
        <x:v>L’adversaire ou groupe est attesté selon la source; le combat ATB et ses réglages sont entièrement proposés.</x:v>
      </x:c>
    </x:row>
    <x:row r="9" ht="68" customHeight="1">
      <x:c r="A9" s="18" t="str">
        <x:v>RED-EN-GUARDS</x:v>
      </x:c>
      <x:c r="B9" s="9" t="str">
        <x:v>Gardes de la base</x:v>
      </x:c>
      <x:c r="C9" s="15" t="str">
        <x:v>Défini</x:v>
      </x:c>
      <x:c r="D9" s="16" t="str">
        <x:v>À vérifier</x:v>
      </x:c>
      <x:c r="E9" s="16" t="str">
        <x:v>P1</x:v>
      </x:c>
      <x:c r="F9" s="9" t="str">
        <x:v>Feron et Liara rencontrent les gardes du Courtier.</x:v>
      </x:c>
      <x:c r="G9" s="9" t="str">
        <x:v>Obstacle de furtivité avant combat.</x:v>
      </x:c>
      <x:c r="H9" s="9" t="str">
        <x:v>Profil proposé : Une alerte locale ne propage pas une information impossible sous brouillage.</x:v>
      </x:c>
      <x:c r="I9" s="9" t="str">
        <x:v>Silhouette proposée : Silhouettes armées compactes et contraste froid.</x:v>
      </x:c>
      <x:c r="J9" s="9" t="str">
        <x:v>Contrôle de badge puis pivot de surveillance.</x:v>
      </x:c>
      <x:c r="K9" s="9" t="str">
        <x:v>Interphone et signal d’alerte sectoriel.</x:v>
      </x:c>
      <x:c r="L9" s="9" t="str">
        <x:v>Livrable proposé : spécification RED/enemies/en-guards; brancher au registre de contenu de l'œuvre seulement après production.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Gardes de la base a une silhouette distincte, un comportement télégraphié et une contre-mesure documentée; aucune valeur n'est annoncée comme statistique officielle.</x:v>
      </x:c>
      <x:c r="O9" s="9" t="str"/>
      <x:c r="P9" s="9" t="str">
        <x:v>Mass Effect: Redemption, série concernée</x:v>
      </x:c>
      <x:c r="Q9" s="9" t="str">
        <x:v>RED-S-FERON</x:v>
      </x:c>
      <x:c r="R9" s="9" t="str">
        <x:v>https://masseffect.fandom.com/wiki/Feron</x:v>
      </x:c>
      <x:c r="S9" s="9" t="str">
        <x:v>L’adversaire ou groupe est attesté selon la source; le combat ATB et ses réglages sont entièrement proposés.</x:v>
      </x:c>
    </x:row>
  </x:sheetData>
  <x:conditionalFormatting sqref="D7:D9">
    <x:cfRule type="cellIs" dxfId="32" priority="1" operator="equal">
      <x:formula>"À vérifier"</x:formula>
    </x:cfRule>
    <x:cfRule type="cellIs" dxfId="33" priority="2" operator="equal">
      <x:formula>"Extrapolation"</x:formula>
    </x:cfRule>
  </x:conditionalFormatting>
  <x:conditionalFormatting sqref="C7:C9">
    <x:cfRule type="cellIs" dxfId="34" priority="3" operator="equal">
      <x:formula>"Validé"</x:formula>
    </x:cfRule>
  </x:conditionalFormatting>
  <x:conditionalFormatting sqref="E7:E9">
    <x:cfRule type="cellIs" dxfId="35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9219d27cdce4591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Missions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Étapes de l’intrigue principale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RED-SC-CONTACT-MAIN</x:v>
      </x:c>
      <x:c r="B7" s="9" t="str">
        <x:v>Contact sur Omega — objectif jouable</x:v>
      </x:c>
      <x:c r="C7" s="15" t="str">
        <x:v>Défini</x:v>
      </x:c>
      <x:c r="D7" s="16" t="str">
        <x:v>Extrapolation</x:v>
      </x:c>
      <x:c r="E7" s="16" t="str">
        <x:v>P0</x:v>
      </x:c>
      <x:c r="F7" s="9" t="str">
        <x:v>Identifier le bon intermédiaire et atteindre une sortie de quartier.</x:v>
      </x:c>
      <x:c r="G7" s="9" t="str">
        <x:v>Observation → questions → découverte d’un passage → sortie du duo.</x:v>
      </x:c>
      <x:c r="H7" s="9" t="str">
        <x:v>Trois indices locaux proposés renseignent identité, accès et risque; deux suffisent pour avancer, le troisième précise le journal.</x:v>
      </x:c>
      <x:c r="I7" s="9" t="str">
        <x:v>Alcôve latérale et contre-jour industriel; un ruban lumineux guide la sortie.</x:v>
      </x:c>
      <x:c r="J7" s="9" t="str">
        <x:v>Entrée prudente, geste d'inspection et retour au contrôle pour « Contact sur Omega »; poser les sprites avant tout changement de caméra.</x:v>
      </x:c>
      <x:c r="K7" s="9" t="str">
        <x:v>Brouhaha bas et motif de deux notes dissonantes.</x:v>
      </x:c>
      <x:c r="L7" s="9" t="str">
        <x:v>Graphe proposé RED/quests/CONTACT: entrée → objectif actif → résolution → raccord; conditions terminales séparées des points facultatifs.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L'objectif « Contact sur Omega » atteint son raccord annoncé après chaque méthode; sauvegarde, rechargement et saut de scène n'en changent ni le groupe ni les informations acquises.</x:v>
      </x:c>
      <x:c r="O7" s="9" t="str">
        <x:v>RED-SC-CONTACT-REF</x:v>
      </x:c>
      <x:c r="P7" s="9" t="str">
        <x:v>Conception originale rattachée à Redemption #1–4, premier contact; pagination à contrôler</x:v>
      </x:c>
      <x:c r="Q7" s="9" t="str"/>
      <x:c r="R7" s="9" t="str"/>
      <x:c r="S7" s="9" t="str"/>
    </x:row>
    <x:row r="8" ht="68" customHeight="1">
      <x:c r="A8" s="19" t="str">
        <x:v>RED-SC-AFTERLIFE-MAIN</x:v>
      </x:c>
      <x:c r="B8" s="7" t="str">
        <x:v>Entretien à Afterlife — objectif jouable</x:v>
      </x:c>
      <x:c r="C8" s="15" t="str">
        <x:v>Défini</x:v>
      </x:c>
      <x:c r="D8" s="17" t="str">
        <x:v>Extrapolation</x:v>
      </x:c>
      <x:c r="E8" s="17" t="str">
        <x:v>P0</x:v>
      </x:c>
      <x:c r="F8" s="7" t="str">
        <x:v>Obtenir une piste sans transformer l’entretien en recrutement.</x:v>
      </x:c>
      <x:c r="G8" s="7" t="str">
        <x:v>Antichambre → présentation → question ciblée → validation de la piste.</x:v>
      </x:c>
      <x:c r="H8" s="7" t="str">
        <x:v>Le joueur choisit l’ordre des questions; les réponses essentielles restent accessibles sans jauge morale universelle.</x:v>
      </x:c>
      <x:c r="I8" s="7" t="str">
        <x:v>Fauteuil au fond, foule réduite en silhouettes et trajet libre entre les deux.</x:v>
      </x:c>
      <x:c r="J8" s="7" t="str">
        <x:v>Entrée prudente, geste d'inspection et retour au contrôle pour « Entretien à Afterlife »; poser les sprites avant tout changement de caméra.</x:v>
      </x:c>
      <x:c r="K8" s="7" t="str">
        <x:v>Musique de club originale filtrée durant la conversation.</x:v>
      </x:c>
      <x:c r="L8" s="7" t="str">
        <x:v>Graphe proposé RED/quests/AFTERLIFE: entrée → objectif actif → résolution → raccord; conditions terminales séparées des points facultatifs.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L'objectif « Entretien à Afterlife » atteint son raccord annoncé après chaque méthode; sauvegarde, rechargement et saut de scène n'en changent ni le groupe ni les informations acquises.</x:v>
      </x:c>
      <x:c r="O8" s="7" t="str">
        <x:v>RED-SC-AFTERLIFE-REF</x:v>
      </x:c>
      <x:c r="P8" s="7" t="str">
        <x:v>Conception originale rattachée à Redemption, recherche sur Omega</x:v>
      </x:c>
      <x:c r="Q8" s="7" t="str"/>
      <x:c r="R8" s="7" t="str"/>
      <x:c r="S8" s="7" t="str"/>
    </x:row>
    <x:row r="9" ht="68" customHeight="1">
      <x:c r="A9" s="18" t="str">
        <x:v>RED-SC-DOCKS-MAIN</x:v>
      </x:c>
      <x:c r="B9" s="9" t="str">
        <x:v>Docks et transfert — objectif jouable</x:v>
      </x:c>
      <x:c r="C9" s="15" t="str">
        <x:v>Défini</x:v>
      </x:c>
      <x:c r="D9" s="16" t="str">
        <x:v>Extrapolation</x:v>
      </x:c>
      <x:c r="E9" s="16" t="str">
        <x:v>P0</x:v>
      </x:c>
      <x:c r="F9" s="9" t="str">
        <x:v>Traverser une aire de chargement avant la fermeture des accès.</x:v>
      </x:c>
      <x:c r="G9" s="9" t="str">
        <x:v>Repérage des lignes de vue → déplacement couvert → tentative d’interception → poursuite.</x:v>
      </x:c>
      <x:c r="H9" s="9" t="str">
        <x:v>Les caisses fournissent des masques de tir; tirer sur une commande de porte est une option proposée, pas une scène canon.</x:v>
      </x:c>
      <x:c r="I9" s="9" t="str">
        <x:v>Poutres, caisses distinctes du couvert et rampe diagonale.</x:v>
      </x:c>
      <x:c r="J9" s="9" t="str">
        <x:v>Entrée prudente, geste d'inspection et retour au contrôle pour « Docks et transfert »; poser les sprites avant tout changement de caméra.</x:v>
      </x:c>
      <x:c r="K9" s="9" t="str">
        <x:v>Grue, verrou de sas et poussée de moteur.</x:v>
      </x:c>
      <x:c r="L9" s="9" t="str">
        <x:v>Graphe proposé RED/quests/DOCKS: entrée → objectif actif → résolution → raccord; conditions terminales séparées des points facultatifs.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L'objectif « Docks et transfert » atteint son raccord annoncé après chaque méthode; sauvegarde, rechargement et saut de scène n'en changent ni le groupe ni les informations acquises.</x:v>
      </x:c>
      <x:c r="O9" s="9" t="str">
        <x:v>RED-SC-DOCKS-REF</x:v>
      </x:c>
      <x:c r="P9" s="9" t="str">
        <x:v>Conception originale rattachée à Redemption, transfert sur Omega; numéro à contrôler</x:v>
      </x:c>
      <x:c r="Q9" s="9" t="str"/>
      <x:c r="R9" s="9" t="str"/>
      <x:c r="S9" s="9" t="str"/>
    </x:row>
    <x:row r="10" ht="68" customHeight="1">
      <x:c r="A10" s="19" t="str">
        <x:v>RED-SC-PURSUIT-MAIN</x:v>
      </x:c>
      <x:c r="B10" s="7" t="str">
        <x:v>Rejoindre la base — objectif jouable</x:v>
      </x:c>
      <x:c r="C10" s="15" t="str">
        <x:v>Défini</x:v>
      </x:c>
      <x:c r="D10" s="17" t="str">
        <x:v>Extrapolation</x:v>
      </x:c>
      <x:c r="E10" s="17" t="str">
        <x:v>P0</x:v>
      </x:c>
      <x:c r="F10" s="7" t="str">
        <x:v>Choisir une approche compatible avec les contraintes de communication.</x:v>
      </x:c>
      <x:c r="G10" s="7" t="str">
        <x:v>Départ → manœuvres proposées → identification du relais → arrivée.</x:v>
      </x:c>
      <x:c r="H10" s="7" t="str">
        <x:v>Les commandes de route occupent des fenêtres ATB; la prévisualisation montre collision et exposition avant validation.</x:v>
      </x:c>
      <x:c r="I10" s="7" t="str">
        <x:v>Repères de navigation espacés et point de destination fixe.</x:v>
      </x:c>
      <x:c r="J10" s="7" t="str">
        <x:v>Entrée prudente, geste d'inspection et retour au contrôle pour « Rejoindre la base »; poser les sprites avant tout changement de caméra.</x:v>
      </x:c>
      <x:c r="K10" s="7" t="str">
        <x:v>Bourdonnement de coque puis silence radio annoncé.</x:v>
      </x:c>
      <x:c r="L10" s="7" t="str">
        <x:v>Graphe proposé RED/quests/PURSUIT: entrée → objectif actif → résolution → raccord; conditions terminales séparées des points facultatifs.</x:v>
      </x:c>
      <x:c r="M10" s="7" t="str">
        <x:v>Préserver l’absence active de Shepard, la relation Liara/Feron et le raccord vers ME2; les méthodes d’enquête ne changent pas le sort publié des protagonistes.</x:v>
      </x:c>
      <x:c r="N10" s="7" t="str">
        <x:v>L'objectif « Rejoindre la base » atteint son raccord annoncé après chaque méthode; sauvegarde, rechargement et saut de scène n'en changent ni le groupe ni les informations acquises.</x:v>
      </x:c>
      <x:c r="O10" s="7" t="str">
        <x:v>RED-SC-PURSUIT-REF</x:v>
      </x:c>
      <x:c r="P10" s="7" t="str">
        <x:v>Conception originale rattachée à Redemption #3</x:v>
      </x:c>
      <x:c r="Q10" s="7" t="str"/>
      <x:c r="R10" s="7" t="str"/>
      <x:c r="S10" s="7" t="str"/>
    </x:row>
    <x:row r="11" ht="68" customHeight="1">
      <x:c r="A11" s="18" t="str">
        <x:v>RED-SC-ACCESS-MAIN</x:v>
      </x:c>
      <x:c r="B11" s="9" t="str">
        <x:v>Identité et accès compartimentés — objectif jouable</x:v>
      </x:c>
      <x:c r="C11" s="15" t="str">
        <x:v>Défini</x:v>
      </x:c>
      <x:c r="D11" s="16" t="str">
        <x:v>Extrapolation</x:v>
      </x:c>
      <x:c r="E11" s="16" t="str">
        <x:v>P0</x:v>
      </x:c>
      <x:c r="F11" s="9" t="str">
        <x:v>Franchir deux contrôles locaux sans fournir une carte complète du réseau.</x:v>
      </x:c>
      <x:c r="G11" s="9" t="str">
        <x:v>Sas → contrôle d’identité → relais local → accès au secteur suivant.</x:v>
      </x:c>
      <x:c r="H11" s="9" t="str">
        <x:v>Chaque contrôle demande un type d’information différent; une identité acceptée ne vaut pas accès universel.</x:v>
      </x:c>
      <x:c r="I11" s="9" t="str">
        <x:v>Cloisons opaques, câbles de relais et panneaux d’accès individualisés.</x:v>
      </x:c>
      <x:c r="J11" s="9" t="str">
        <x:v>Entrée prudente, geste d'inspection et retour au contrôle pour « Identité et accès compartimentés »; poser les sprites avant tout changement de caméra.</x:v>
      </x:c>
      <x:c r="K11" s="9" t="str">
        <x:v>Interphone étouffé et clics d’autorisation.</x:v>
      </x:c>
      <x:c r="L11" s="9" t="str">
        <x:v>Graphe proposé RED/quests/ACCESS: entrée → objectif actif → résolution → raccord; conditions terminales séparées des points facultatifs.</x:v>
      </x:c>
      <x:c r="M11" s="9" t="str">
        <x:v>Préserver l’absence active de Shepard, la relation Liara/Feron et le raccord vers ME2; les méthodes d’enquête ne changent pas le sort publié des protagonistes.</x:v>
      </x:c>
      <x:c r="N11" s="9" t="str">
        <x:v>L'objectif « Identité et accès compartimentés » atteint son raccord annoncé après chaque méthode; sauvegarde, rechargement et saut de scène n'en changent ni le groupe ni les informations acquises.</x:v>
      </x:c>
      <x:c r="O11" s="9" t="str">
        <x:v>RED-SC-ACCESS-REF</x:v>
      </x:c>
      <x:c r="P11" s="9" t="str">
        <x:v>Conception originale rattachée à Redemption #3</x:v>
      </x:c>
      <x:c r="Q11" s="9" t="str"/>
      <x:c r="R11" s="9" t="str"/>
      <x:c r="S11" s="9" t="str"/>
    </x:row>
    <x:row r="12" ht="68" customHeight="1">
      <x:c r="A12" s="19" t="str">
        <x:v>RED-SC-RECOVER-MAIN</x:v>
      </x:c>
      <x:c r="B12" s="7" t="str">
        <x:v>Récupération et séparation — objectif jouable</x:v>
      </x:c>
      <x:c r="C12" s="15" t="str">
        <x:v>Défini</x:v>
      </x:c>
      <x:c r="D12" s="17" t="str">
        <x:v>Extrapolation</x:v>
      </x:c>
      <x:c r="E12" s="17" t="str">
        <x:v>P0</x:v>
      </x:c>
      <x:c r="F12" s="7" t="str">
        <x:v>Assurer la récupération dans un espace de sortie sous pression.</x:v>
      </x:c>
      <x:c r="G12" s="7" t="str">
        <x:v>Préparation du duo → fenêtre de transfert → sortie de Liara → raccord narratif.</x:v>
      </x:c>
      <x:c r="H12" s="7" t="str">
        <x:v>La réussite dépend de la synchronisation protection/accès; l’échec propose une reprise locale, pas une fin alternative canon.</x:v>
      </x:c>
      <x:c r="I12" s="7" t="str">
        <x:v>Rampe lumineuse, silhouette du partenaire à distance, conteneur sans visage imposé de Shepard.</x:v>
      </x:c>
      <x:c r="J12" s="7" t="str">
        <x:v>Entrée prudente, geste d'inspection et retour au contrôle pour « Récupération et séparation »; poser les sprites avant tout changement de caméra.</x:v>
      </x:c>
      <x:c r="K12" s="7" t="str">
        <x:v>Moteur croissant, communication coupée puis thème inachevé original.</x:v>
      </x:c>
      <x:c r="L12" s="7" t="str">
        <x:v>Graphe proposé RED/quests/RECOVER: entrée → objectif actif → résolution → raccord; conditions terminales séparées des points facultatifs.</x:v>
      </x:c>
      <x:c r="M12" s="7" t="str">
        <x:v>Préserver l’absence active de Shepard, la relation Liara/Feron et le raccord vers ME2; les méthodes d’enquête ne changent pas le sort publié des protagonistes.</x:v>
      </x:c>
      <x:c r="N12" s="7" t="str">
        <x:v>L'objectif « Récupération et séparation » atteint son raccord annoncé après chaque méthode; sauvegarde, rechargement et saut de scène n'en changent ni le groupe ni les informations acquises.</x:v>
      </x:c>
      <x:c r="O12" s="7" t="str">
        <x:v>RED-SC-RECOVER-REF</x:v>
      </x:c>
      <x:c r="P12" s="7" t="str">
        <x:v>Conception originale rattachée à Redemption #4</x:v>
      </x:c>
      <x:c r="Q12" s="7" t="str"/>
      <x:c r="R12" s="7" t="str"/>
      <x:c r="S12" s="7" t="str"/>
    </x:row>
  </x:sheetData>
  <x:conditionalFormatting sqref="D7:D12">
    <x:cfRule type="cellIs" dxfId="36" priority="1" operator="equal">
      <x:formula>"À vérifier"</x:formula>
    </x:cfRule>
    <x:cfRule type="cellIs" dxfId="37" priority="2" operator="equal">
      <x:formula>"Extrapolation"</x:formula>
    </x:cfRule>
  </x:conditionalFormatting>
  <x:conditionalFormatting sqref="C7:C12">
    <x:cfRule type="cellIs" dxfId="38" priority="3" operator="equal">
      <x:formula>"Validé"</x:formula>
    </x:cfRule>
  </x:conditionalFormatting>
  <x:conditionalFormatting sqref="E7:E12">
    <x:cfRule type="cellIs" dxfId="39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49773530f324c80"/>
  </x:tableParts>
</x:worksheet>
</file>

<file path=xl/worksheets/sheet1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Secondaires et DLC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Contenus annexes, variantes et extensions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RED-SC-CONTACT-SIDE</x:v>
      </x:c>
      <x:c r="B7" s="9" t="str">
        <x:v>Vérifier une seconde sortie</x:v>
      </x:c>
      <x:c r="C7" s="15" t="str">
        <x:v>Défini</x:v>
      </x:c>
      <x:c r="D7" s="16" t="str">
        <x:v>Extrapolation</x:v>
      </x:c>
      <x:c r="E7" s="16" t="str">
        <x:v>P2</x:v>
      </x:c>
      <x:c r="F7" s="9" t="str">
        <x:v>Cartographier un accès secondaire proposé.</x:v>
      </x:c>
      <x:c r="G7" s="9" t="str">
        <x:v>Introduire le rôle prudent de Feron.</x:v>
      </x:c>
      <x:c r="H7" s="9" t="str">
        <x:v>Réduit un contrôle local; aucune récompense de lore canon inventée.</x:v>
      </x:c>
      <x:c r="I7" s="9" t="str">
        <x:v>Alcôve latérale et contre-jour industriel; un ruban lumineux guide la sortie.</x:v>
      </x:c>
      <x:c r="J7" s="9" t="str">
        <x:v>Inspection, interaction courte, confirmation; permettre de renoncer sans bloquer le chemin principal.</x:v>
      </x:c>
      <x:c r="K7" s="9" t="str">
        <x:v>Confirmation discrète; aucune réplique source réemployée.</x:v>
      </x:c>
      <x:c r="L7" s="9" t="str">
        <x:v>Objectif facultatif RED/CONTACT/optional; récompense locale de contexte, pas de modification de la fin.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Terminer, ignorer ou abandonner cette tâche laisse le récit principal accessible et conserve correctement l’état en sauvegarde.</x:v>
      </x:c>
      <x:c r="O7" s="9" t="str">
        <x:v>RED-SC-CONTACT-MAIN</x:v>
      </x:c>
      <x:c r="P7" s="9" t="str">
        <x:v>Ajout original; cette tâche n’est pas attestée dans le comic.</x:v>
      </x:c>
      <x:c r="Q7" s="9" t="str"/>
      <x:c r="R7" s="9" t="str"/>
      <x:c r="S7" s="9" t="str"/>
    </x:row>
    <x:row r="8" ht="68" customHeight="1">
      <x:c r="A8" s="19" t="str">
        <x:v>RED-SC-AFTERLIFE-SIDE</x:v>
      </x:c>
      <x:c r="B8" s="7" t="str">
        <x:v>Écouter le quartier</x:v>
      </x:c>
      <x:c r="C8" s="15" t="str">
        <x:v>Défini</x:v>
      </x:c>
      <x:c r="D8" s="17" t="str">
        <x:v>Extrapolation</x:v>
      </x:c>
      <x:c r="E8" s="17" t="str">
        <x:v>P2</x:v>
      </x:c>
      <x:c r="F8" s="7" t="str">
        <x:v>Recueillir deux observations ambiantes originales.</x:v>
      </x:c>
      <x:c r="G8" s="7" t="str">
        <x:v>Donner du contexte à la station.</x:v>
      </x:c>
      <x:c r="H8" s="7" t="str">
        <x:v>Contenu facultatif sans allégation nouvelle sur Aria.</x:v>
      </x:c>
      <x:c r="I8" s="7" t="str">
        <x:v>Fauteuil au fond, foule réduite en silhouettes et trajet libre entre les deux.</x:v>
      </x:c>
      <x:c r="J8" s="7" t="str">
        <x:v>Inspection, interaction courte, confirmation; permettre de renoncer sans bloquer le chemin principal.</x:v>
      </x:c>
      <x:c r="K8" s="7" t="str">
        <x:v>Confirmation discrète; aucune réplique source réemployée.</x:v>
      </x:c>
      <x:c r="L8" s="7" t="str">
        <x:v>Objectif facultatif RED/AFTERLIFE/optional; récompense locale de contexte, pas de modification de la fin.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Terminer, ignorer ou abandonner cette tâche laisse le récit principal accessible et conserve correctement l’état en sauvegarde.</x:v>
      </x:c>
      <x:c r="O8" s="7" t="str">
        <x:v>RED-SC-AFTERLIFE-MAIN</x:v>
      </x:c>
      <x:c r="P8" s="7" t="str">
        <x:v>Ajout original; cette tâche n’est pas attestée dans le comic.</x:v>
      </x:c>
      <x:c r="Q8" s="7" t="str"/>
      <x:c r="R8" s="7" t="str"/>
      <x:c r="S8" s="7" t="str"/>
    </x:row>
    <x:row r="9" ht="68" customHeight="1">
      <x:c r="A9" s="18" t="str">
        <x:v>RED-SC-DOCKS-SIDE</x:v>
      </x:c>
      <x:c r="B9" s="9" t="str">
        <x:v>Relever la route du cargo</x:v>
      </x:c>
      <x:c r="C9" s="15" t="str">
        <x:v>Défini</x:v>
      </x:c>
      <x:c r="D9" s="16" t="str">
        <x:v>Extrapolation</x:v>
      </x:c>
      <x:c r="E9" s="16" t="str">
        <x:v>P2</x:v>
      </x:c>
      <x:c r="F9" s="9" t="str">
        <x:v>Inspecter un afficheur de départ proposé.</x:v>
      </x:c>
      <x:c r="G9" s="9" t="str">
        <x:v>Offrir une aide de navigation pour la scène suivante.</x:v>
      </x:c>
      <x:c r="H9" s="9" t="str">
        <x:v>Ajoute un repère visuel, jamais une révélation supplémentaire sur le Courtier.</x:v>
      </x:c>
      <x:c r="I9" s="9" t="str">
        <x:v>Poutres, caisses distinctes du couvert et rampe diagonale.</x:v>
      </x:c>
      <x:c r="J9" s="9" t="str">
        <x:v>Inspection, interaction courte, confirmation; permettre de renoncer sans bloquer le chemin principal.</x:v>
      </x:c>
      <x:c r="K9" s="9" t="str">
        <x:v>Confirmation discrète; aucune réplique source réemployée.</x:v>
      </x:c>
      <x:c r="L9" s="9" t="str">
        <x:v>Objectif facultatif RED/DOCKS/optional; récompense locale de contexte, pas de modification de la fin.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Terminer, ignorer ou abandonner cette tâche laisse le récit principal accessible et conserve correctement l’état en sauvegarde.</x:v>
      </x:c>
      <x:c r="O9" s="9" t="str">
        <x:v>RED-SC-DOCKS-MAIN</x:v>
      </x:c>
      <x:c r="P9" s="9" t="str">
        <x:v>Ajout original; cette tâche n’est pas attestée dans le comic.</x:v>
      </x:c>
      <x:c r="Q9" s="9" t="str"/>
      <x:c r="R9" s="9" t="str"/>
      <x:c r="S9" s="9" t="str"/>
    </x:row>
    <x:row r="10" ht="68" customHeight="1">
      <x:c r="A10" s="19" t="str">
        <x:v>RED-SC-PURSUIT-SIDE</x:v>
      </x:c>
      <x:c r="B10" s="7" t="str">
        <x:v>Calibrer le filtre radio</x:v>
      </x:c>
      <x:c r="C10" s="15" t="str">
        <x:v>Défini</x:v>
      </x:c>
      <x:c r="D10" s="17" t="str">
        <x:v>Extrapolation</x:v>
      </x:c>
      <x:c r="E10" s="17" t="str">
        <x:v>P2</x:v>
      </x:c>
      <x:c r="F10" s="7" t="str">
        <x:v>Réglage facultatif de trois marqueurs proposés.</x:v>
      </x:c>
      <x:c r="G10" s="7" t="str">
        <x:v>Aider la lecture des signaux faibles.</x:v>
      </x:c>
      <x:c r="H10" s="7" t="str">
        <x:v>Réduit le bruit de l’interface; ne supprime pas la contrainte narrative d’isolement.</x:v>
      </x:c>
      <x:c r="I10" s="7" t="str">
        <x:v>Repères de navigation espacés et point de destination fixe.</x:v>
      </x:c>
      <x:c r="J10" s="7" t="str">
        <x:v>Inspection, interaction courte, confirmation; permettre de renoncer sans bloquer le chemin principal.</x:v>
      </x:c>
      <x:c r="K10" s="7" t="str">
        <x:v>Confirmation discrète; aucune réplique source réemployée.</x:v>
      </x:c>
      <x:c r="L10" s="7" t="str">
        <x:v>Objectif facultatif RED/PURSUIT/optional; récompense locale de contexte, pas de modification de la fin.</x:v>
      </x:c>
      <x:c r="M10" s="7" t="str">
        <x:v>Préserver l’absence active de Shepard, la relation Liara/Feron et le raccord vers ME2; les méthodes d’enquête ne changent pas le sort publié des protagonistes.</x:v>
      </x:c>
      <x:c r="N10" s="7" t="str">
        <x:v>Terminer, ignorer ou abandonner cette tâche laisse le récit principal accessible et conserve correctement l’état en sauvegarde.</x:v>
      </x:c>
      <x:c r="O10" s="7" t="str">
        <x:v>RED-SC-PURSUIT-MAIN</x:v>
      </x:c>
      <x:c r="P10" s="7" t="str">
        <x:v>Ajout original; cette tâche n’est pas attestée dans le comic.</x:v>
      </x:c>
      <x:c r="Q10" s="7" t="str"/>
      <x:c r="R10" s="7" t="str"/>
      <x:c r="S10" s="7" t="str"/>
    </x:row>
    <x:row r="11" ht="68" customHeight="1">
      <x:c r="A11" s="18" t="str">
        <x:v>RED-SC-ACCESS-SIDE</x:v>
      </x:c>
      <x:c r="B11" s="9" t="str">
        <x:v>Relever une anomalie de relais</x:v>
      </x:c>
      <x:c r="C11" s="15" t="str">
        <x:v>Défini</x:v>
      </x:c>
      <x:c r="D11" s="16" t="str">
        <x:v>Extrapolation</x:v>
      </x:c>
      <x:c r="E11" s="16" t="str">
        <x:v>P2</x:v>
      </x:c>
      <x:c r="F11" s="9" t="str">
        <x:v>Comparer deux journaux de connexion proposés.</x:v>
      </x:c>
      <x:c r="G11" s="9" t="str">
        <x:v>Montrer les limites du réseau.</x:v>
      </x:c>
      <x:c r="H11" s="9" t="str">
        <x:v>Révèle un raccourci local, sans exposer toute l’organisation.</x:v>
      </x:c>
      <x:c r="I11" s="9" t="str">
        <x:v>Cloisons opaques, câbles de relais et panneaux d’accès individualisés.</x:v>
      </x:c>
      <x:c r="J11" s="9" t="str">
        <x:v>Inspection, interaction courte, confirmation; permettre de renoncer sans bloquer le chemin principal.</x:v>
      </x:c>
      <x:c r="K11" s="9" t="str">
        <x:v>Confirmation discrète; aucune réplique source réemployée.</x:v>
      </x:c>
      <x:c r="L11" s="9" t="str">
        <x:v>Objectif facultatif RED/ACCESS/optional; récompense locale de contexte, pas de modification de la fin.</x:v>
      </x:c>
      <x:c r="M11" s="9" t="str">
        <x:v>Préserver l’absence active de Shepard, la relation Liara/Feron et le raccord vers ME2; les méthodes d’enquête ne changent pas le sort publié des protagonistes.</x:v>
      </x:c>
      <x:c r="N11" s="9" t="str">
        <x:v>Terminer, ignorer ou abandonner cette tâche laisse le récit principal accessible et conserve correctement l’état en sauvegarde.</x:v>
      </x:c>
      <x:c r="O11" s="9" t="str">
        <x:v>RED-SC-ACCESS-MAIN</x:v>
      </x:c>
      <x:c r="P11" s="9" t="str">
        <x:v>Ajout original; cette tâche n’est pas attestée dans le comic.</x:v>
      </x:c>
      <x:c r="Q11" s="9" t="str"/>
      <x:c r="R11" s="9" t="str"/>
      <x:c r="S11" s="9" t="str"/>
    </x:row>
    <x:row r="12" ht="68" customHeight="1">
      <x:c r="A12" s="19" t="str">
        <x:v>RED-SC-RECOVER-SIDE</x:v>
      </x:c>
      <x:c r="B12" s="7" t="str">
        <x:v>Préparer une issue de secours</x:v>
      </x:c>
      <x:c r="C12" s="15" t="str">
        <x:v>Défini</x:v>
      </x:c>
      <x:c r="D12" s="17" t="str">
        <x:v>Extrapolation</x:v>
      </x:c>
      <x:c r="E12" s="17" t="str">
        <x:v>P2</x:v>
      </x:c>
      <x:c r="F12" s="7" t="str">
        <x:v>Déverrouiller une sortie secondaire proposée avant le transfert.</x:v>
      </x:c>
      <x:c r="G12" s="7" t="str">
        <x:v>Récompenser l’anticipation sans changer la séparation.</x:v>
      </x:c>
      <x:c r="H12" s="7" t="str">
        <x:v>Diminue le risque du trajet final; pas de sauvetage canon supplémentaire.</x:v>
      </x:c>
      <x:c r="I12" s="7" t="str">
        <x:v>Rampe lumineuse, silhouette du partenaire à distance, conteneur sans visage imposé de Shepard.</x:v>
      </x:c>
      <x:c r="J12" s="7" t="str">
        <x:v>Inspection, interaction courte, confirmation; permettre de renoncer sans bloquer le chemin principal.</x:v>
      </x:c>
      <x:c r="K12" s="7" t="str">
        <x:v>Confirmation discrète; aucune réplique source réemployée.</x:v>
      </x:c>
      <x:c r="L12" s="7" t="str">
        <x:v>Objectif facultatif RED/RECOVER/optional; récompense locale de contexte, pas de modification de la fin.</x:v>
      </x:c>
      <x:c r="M12" s="7" t="str">
        <x:v>Préserver l’absence active de Shepard, la relation Liara/Feron et le raccord vers ME2; les méthodes d’enquête ne changent pas le sort publié des protagonistes.</x:v>
      </x:c>
      <x:c r="N12" s="7" t="str">
        <x:v>Terminer, ignorer ou abandonner cette tâche laisse le récit principal accessible et conserve correctement l’état en sauvegarde.</x:v>
      </x:c>
      <x:c r="O12" s="7" t="str">
        <x:v>RED-SC-RECOVER-MAIN</x:v>
      </x:c>
      <x:c r="P12" s="7" t="str">
        <x:v>Ajout original; cette tâche n’est pas attestée dans le comic.</x:v>
      </x:c>
      <x:c r="Q12" s="7" t="str"/>
      <x:c r="R12" s="7" t="str"/>
      <x:c r="S12" s="7" t="str"/>
    </x:row>
  </x:sheetData>
  <x:conditionalFormatting sqref="D7:D12">
    <x:cfRule type="cellIs" dxfId="40" priority="1" operator="equal">
      <x:formula>"À vérifier"</x:formula>
    </x:cfRule>
    <x:cfRule type="cellIs" dxfId="41" priority="2" operator="equal">
      <x:formula>"Extrapolation"</x:formula>
    </x:cfRule>
  </x:conditionalFormatting>
  <x:conditionalFormatting sqref="C7:C12">
    <x:cfRule type="cellIs" dxfId="42" priority="3" operator="equal">
      <x:formula>"Validé"</x:formula>
    </x:cfRule>
  </x:conditionalFormatting>
  <x:conditionalFormatting sqref="E7:E12">
    <x:cfRule type="cellIs" dxfId="43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7c7df93096943dc"/>
  </x:tableParts>
</x:worksheet>
</file>

<file path=xl/worksheets/sheet1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Choix et relations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Conséquences persistantes et relations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RED-SC-CONTACT-CHOICE</x:v>
      </x:c>
      <x:c r="B7" s="9" t="str">
        <x:v>Contact sur Omega — stratégie locale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Questionner publiquement ou vérifier discrètement un itinéraire.</x:v>
      </x:c>
      <x:c r="G7" s="9" t="str">
        <x:v>Choix de méthode dans une adaptation; aucun embranchement alternatif n’est déclaré officiel.</x:v>
      </x:c>
      <x:c r="H7" s="9" t="str">
        <x:v>La voie publique réduit la recherche mais augmente les contrôles; la discrétion consomme du temps sans perdre de fait essentiel.</x:v>
      </x:c>
      <x:c r="I7" s="9" t="str">
        <x:v>Deux options nommées avec leur conséquence immédiate; coût affiché avant engagement.</x:v>
      </x:c>
      <x:c r="J7" s="9" t="str">
        <x:v>Geler les poses de dialogue pendant le choix; ne pas consommer une action en quittant le menu.</x:v>
      </x:c>
      <x:c r="K7" s="9" t="str">
        <x:v>Retour de sélection sobre; confirmation distincte d’une simple navigation.</x:v>
      </x:c>
      <x:c r="L7" s="9" t="str">
        <x:v>Décision locale RED/CONTACT; stocker la méthode choisie et les conséquences temporaires, puis rejoindre le point de raccord.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Les deux méthodes peuvent être comprises avant sélection; chacune rejoint le même ancrage canon sans supprimer un personnage nécessaire.</x:v>
      </x:c>
      <x:c r="O7" s="9" t="str">
        <x:v>RED-SC-CONTACT-MAIN</x:v>
      </x:c>
      <x:c r="P7" s="9" t="str">
        <x:v>Bifurcation de gameplay originale, pas un choix présent dans l’œuvre.</x:v>
      </x:c>
      <x:c r="Q7" s="9" t="str"/>
      <x:c r="R7" s="9" t="str"/>
      <x:c r="S7" s="9" t="str"/>
    </x:row>
    <x:row r="8" ht="68" customHeight="1">
      <x:c r="A8" s="19" t="str">
        <x:v>RED-SC-AFTERLIFE-CHOICE</x:v>
      </x:c>
      <x:c r="B8" s="7" t="str">
        <x:v>Entretien à Afterlife — stratégie locale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Insister sur l’urgence ou demander d’abord les limites de l’aide.</x:v>
      </x:c>
      <x:c r="G8" s="7" t="str">
        <x:v>Choix de méthode dans une adaptation; aucun embranchement alternatif n’est déclaré officiel.</x:v>
      </x:c>
      <x:c r="H8" s="7" t="str">
        <x:v>Change le ton et un commentaire local; même piste finale.</x:v>
      </x:c>
      <x:c r="I8" s="7" t="str">
        <x:v>Deux options nommées avec leur conséquence immédiate; coût affiché avant engagement.</x:v>
      </x:c>
      <x:c r="J8" s="7" t="str">
        <x:v>Geler les poses de dialogue pendant le choix; ne pas consommer une action en quittant le menu.</x:v>
      </x:c>
      <x:c r="K8" s="7" t="str">
        <x:v>Retour de sélection sobre; confirmation distincte d’une simple navigation.</x:v>
      </x:c>
      <x:c r="L8" s="7" t="str">
        <x:v>Décision locale RED/AFTERLIFE; stocker la méthode choisie et les conséquences temporaires, puis rejoindre le point de raccord.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Les deux méthodes peuvent être comprises avant sélection; chacune rejoint le même ancrage canon sans supprimer un personnage nécessaire.</x:v>
      </x:c>
      <x:c r="O8" s="7" t="str">
        <x:v>RED-SC-AFTERLIFE-MAIN</x:v>
      </x:c>
      <x:c r="P8" s="7" t="str">
        <x:v>Bifurcation de gameplay originale, pas un choix présent dans l’œuvre.</x:v>
      </x:c>
      <x:c r="Q8" s="7" t="str"/>
      <x:c r="R8" s="7" t="str"/>
      <x:c r="S8" s="7" t="str"/>
    </x:row>
    <x:row r="9" ht="68" customHeight="1">
      <x:c r="A9" s="18" t="str">
        <x:v>RED-SC-DOCKS-CHOICE</x:v>
      </x:c>
      <x:c r="B9" s="9" t="str">
        <x:v>Docks et transfert — stratégie locale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Sécuriser le passage du duo ou concentrer les actions sur le contrôle du quai.</x:v>
      </x:c>
      <x:c r="G9" s="9" t="str">
        <x:v>Choix de méthode dans une adaptation; aucun embranchement alternatif n’est déclaré officiel.</x:v>
      </x:c>
      <x:c r="H9" s="9" t="str">
        <x:v>L’une protège le groupe, l’autre raccourcit le trajet; le départ narratif reste fixé.</x:v>
      </x:c>
      <x:c r="I9" s="9" t="str">
        <x:v>Deux options nommées avec leur conséquence immédiate; coût affiché avant engagement.</x:v>
      </x:c>
      <x:c r="J9" s="9" t="str">
        <x:v>Geler les poses de dialogue pendant le choix; ne pas consommer une action en quittant le menu.</x:v>
      </x:c>
      <x:c r="K9" s="9" t="str">
        <x:v>Retour de sélection sobre; confirmation distincte d’une simple navigation.</x:v>
      </x:c>
      <x:c r="L9" s="9" t="str">
        <x:v>Décision locale RED/DOCKS; stocker la méthode choisie et les conséquences temporaires, puis rejoindre le point de raccord.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Les deux méthodes peuvent être comprises avant sélection; chacune rejoint le même ancrage canon sans supprimer un personnage nécessaire.</x:v>
      </x:c>
      <x:c r="O9" s="9" t="str">
        <x:v>RED-SC-DOCKS-MAIN</x:v>
      </x:c>
      <x:c r="P9" s="9" t="str">
        <x:v>Bifurcation de gameplay originale, pas un choix présent dans l’œuvre.</x:v>
      </x:c>
      <x:c r="Q9" s="9" t="str"/>
      <x:c r="R9" s="9" t="str"/>
      <x:c r="S9" s="9" t="str"/>
    </x:row>
    <x:row r="10" ht="68" customHeight="1">
      <x:c r="A10" s="19" t="str">
        <x:v>RED-SC-PURSUIT-CHOICE</x:v>
      </x:c>
      <x:c r="B10" s="7" t="str">
        <x:v>Rejoindre la base — stratégie locale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Trajectoire courte exposée ou détour abrité.</x:v>
      </x:c>
      <x:c r="G10" s="7" t="str">
        <x:v>Choix de méthode dans une adaptation; aucun embranchement alternatif n’est déclaré officiel.</x:v>
      </x:c>
      <x:c r="H10" s="7" t="str">
        <x:v>Différence de ressources locales; aucune branche vers une autre planète.</x:v>
      </x:c>
      <x:c r="I10" s="7" t="str">
        <x:v>Deux options nommées avec leur conséquence immédiate; coût affiché avant engagement.</x:v>
      </x:c>
      <x:c r="J10" s="7" t="str">
        <x:v>Geler les poses de dialogue pendant le choix; ne pas consommer une action en quittant le menu.</x:v>
      </x:c>
      <x:c r="K10" s="7" t="str">
        <x:v>Retour de sélection sobre; confirmation distincte d’une simple navigation.</x:v>
      </x:c>
      <x:c r="L10" s="7" t="str">
        <x:v>Décision locale RED/PURSUIT; stocker la méthode choisie et les conséquences temporaires, puis rejoindre le point de raccord.</x:v>
      </x:c>
      <x:c r="M10" s="7" t="str">
        <x:v>Préserver l’absence active de Shepard, la relation Liara/Feron et le raccord vers ME2; les méthodes d’enquête ne changent pas le sort publié des protagonistes.</x:v>
      </x:c>
      <x:c r="N10" s="7" t="str">
        <x:v>Les deux méthodes peuvent être comprises avant sélection; chacune rejoint le même ancrage canon sans supprimer un personnage nécessaire.</x:v>
      </x:c>
      <x:c r="O10" s="7" t="str">
        <x:v>RED-SC-PURSUIT-MAIN</x:v>
      </x:c>
      <x:c r="P10" s="7" t="str">
        <x:v>Bifurcation de gameplay originale, pas un choix présent dans l’œuvre.</x:v>
      </x:c>
      <x:c r="Q10" s="7" t="str"/>
      <x:c r="R10" s="7" t="str"/>
      <x:c r="S10" s="7" t="str"/>
    </x:row>
    <x:row r="11" ht="68" customHeight="1">
      <x:c r="A11" s="18" t="str">
        <x:v>RED-SC-ACCESS-CHOICE</x:v>
      </x:c>
      <x:c r="B11" s="9" t="str">
        <x:v>Identité et accès compartimentés — stratégie locale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Employer la couverture préparée ou détourner l’attention par une panne locale.</x:v>
      </x:c>
      <x:c r="G11" s="9" t="str">
        <x:v>Choix de méthode dans une adaptation; aucun embranchement alternatif n’est déclaré officiel.</x:v>
      </x:c>
      <x:c r="H11" s="9" t="str">
        <x:v>La couverture conserve l’alerte; la panne ouvre une fenêtre plus courte et attire une patrouille.</x:v>
      </x:c>
      <x:c r="I11" s="9" t="str">
        <x:v>Deux options nommées avec leur conséquence immédiate; coût affiché avant engagement.</x:v>
      </x:c>
      <x:c r="J11" s="9" t="str">
        <x:v>Geler les poses de dialogue pendant le choix; ne pas consommer une action en quittant le menu.</x:v>
      </x:c>
      <x:c r="K11" s="9" t="str">
        <x:v>Retour de sélection sobre; confirmation distincte d’une simple navigation.</x:v>
      </x:c>
      <x:c r="L11" s="9" t="str">
        <x:v>Décision locale RED/ACCESS; stocker la méthode choisie et les conséquences temporaires, puis rejoindre le point de raccord.</x:v>
      </x:c>
      <x:c r="M11" s="9" t="str">
        <x:v>Préserver l’absence active de Shepard, la relation Liara/Feron et le raccord vers ME2; les méthodes d’enquête ne changent pas le sort publié des protagonistes.</x:v>
      </x:c>
      <x:c r="N11" s="9" t="str">
        <x:v>Les deux méthodes peuvent être comprises avant sélection; chacune rejoint le même ancrage canon sans supprimer un personnage nécessaire.</x:v>
      </x:c>
      <x:c r="O11" s="9" t="str">
        <x:v>RED-SC-ACCESS-MAIN</x:v>
      </x:c>
      <x:c r="P11" s="9" t="str">
        <x:v>Bifurcation de gameplay originale, pas un choix présent dans l’œuvre.</x:v>
      </x:c>
      <x:c r="Q11" s="9" t="str"/>
      <x:c r="R11" s="9" t="str"/>
      <x:c r="S11" s="9" t="str"/>
    </x:row>
    <x:row r="12" ht="68" customHeight="1">
      <x:c r="A12" s="19" t="str">
        <x:v>RED-SC-RECOVER-CHOICE</x:v>
      </x:c>
      <x:c r="B12" s="7" t="str">
        <x:v>Récupération et séparation — stratégie locale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Réserver une action de protection ou neutraliser d’abord un contrôle de quai.</x:v>
      </x:c>
      <x:c r="G12" s="7" t="str">
        <x:v>Choix de méthode dans une adaptation; aucun embranchement alternatif n’est déclaré officiel.</x:v>
      </x:c>
      <x:c r="H12" s="7" t="str">
        <x:v>Change la difficulté de la dernière traversée; la séparation publiée reste un raccord fixe.</x:v>
      </x:c>
      <x:c r="I12" s="7" t="str">
        <x:v>Deux options nommées avec leur conséquence immédiate; coût affiché avant engagement.</x:v>
      </x:c>
      <x:c r="J12" s="7" t="str">
        <x:v>Geler les poses de dialogue pendant le choix; ne pas consommer une action en quittant le menu.</x:v>
      </x:c>
      <x:c r="K12" s="7" t="str">
        <x:v>Retour de sélection sobre; confirmation distincte d’une simple navigation.</x:v>
      </x:c>
      <x:c r="L12" s="7" t="str">
        <x:v>Décision locale RED/RECOVER; stocker la méthode choisie et les conséquences temporaires, puis rejoindre le point de raccord.</x:v>
      </x:c>
      <x:c r="M12" s="7" t="str">
        <x:v>Préserver l’absence active de Shepard, la relation Liara/Feron et le raccord vers ME2; les méthodes d’enquête ne changent pas le sort publié des protagonistes.</x:v>
      </x:c>
      <x:c r="N12" s="7" t="str">
        <x:v>Les deux méthodes peuvent être comprises avant sélection; chacune rejoint le même ancrage canon sans supprimer un personnage nécessaire.</x:v>
      </x:c>
      <x:c r="O12" s="7" t="str">
        <x:v>RED-SC-RECOVER-MAIN</x:v>
      </x:c>
      <x:c r="P12" s="7" t="str">
        <x:v>Bifurcation de gameplay originale, pas un choix présent dans l’œuvre.</x:v>
      </x:c>
      <x:c r="Q12" s="7" t="str"/>
      <x:c r="R12" s="7" t="str"/>
      <x:c r="S12" s="7" t="str"/>
    </x:row>
  </x:sheetData>
  <x:conditionalFormatting sqref="D7:D12">
    <x:cfRule type="cellIs" dxfId="44" priority="1" operator="equal">
      <x:formula>"À vérifier"</x:formula>
    </x:cfRule>
    <x:cfRule type="cellIs" dxfId="45" priority="2" operator="equal">
      <x:formula>"Extrapolation"</x:formula>
    </x:cfRule>
  </x:conditionalFormatting>
  <x:conditionalFormatting sqref="C7:C12">
    <x:cfRule type="cellIs" dxfId="46" priority="3" operator="equal">
      <x:formula>"Validé"</x:formula>
    </x:cfRule>
  </x:conditionalFormatting>
  <x:conditionalFormatting sqref="E7:E12">
    <x:cfRule type="cellIs" dxfId="47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52dc52bfcd74ad7"/>
  </x:tableParts>
</x:worksheet>
</file>

<file path=xl/worksheets/sheet1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Dialogues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Situations de dialogue et conditions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RED-SC-CONTACT-DIA</x:v>
      </x:c>
      <x:c r="B7" s="9" t="str">
        <x:v>Contact sur Omega — intentions de conversation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Liara exprime son urgence; Feron évalue ce qu’il peut révéler.</x:v>
      </x:c>
      <x:c r="G7" s="9" t="str">
        <x:v>Préserver le thème « confiance sous pression »; échanges nouveaux, sans recopier les bulles.</x:v>
      </x:c>
      <x:c r="H7" s="9" t="str">
        <x:v>Proposer questions de contexte, reformulation et fin de conversation; les informations nécessaires restent accessibles après une réponse sceptique.</x:v>
      </x:c>
      <x:c r="I7" s="9" t="str">
        <x:v>Portraits sobres avec locuteur et destinataire; encart distinct si l’information est un soupçon.</x:v>
      </x:c>
      <x:c r="J7" s="9" t="str">
        <x:v>Entrée prudente, geste d'inspection et retour au contrôle pour « Contact sur Omega »; poser les sprites avant tout changement de caméra.</x:v>
      </x:c>
      <x:c r="K7" s="9" t="str">
        <x:v>Dialogue original à écrire; texte intégral accessible, avance manuelle et rappel des locuteurs.</x:v>
      </x:c>
      <x:c r="L7" s="9" t="str">
        <x:v>Arbre proposé RED/CONTACT/dialogue; séparer ce qui est su, ce qui est affirmé et ce qui reste caché au joueur.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Le lecteur peut identifier le locuteur, son but et le niveau de certitude; aucune phrase du comic n’est reproduite comme dialogue final.</x:v>
      </x:c>
      <x:c r="O7" s="9" t="str">
        <x:v>RED-SC-CONTACT-MAIN</x:v>
      </x:c>
      <x:c r="P7" s="9" t="str">
        <x:v>Écriture originale à partir des thèmes, sans transcrire les bulles.</x:v>
      </x:c>
      <x:c r="Q7" s="9" t="str"/>
      <x:c r="R7" s="9" t="str"/>
      <x:c r="S7" s="9" t="str"/>
    </x:row>
    <x:row r="8" ht="68" customHeight="1">
      <x:c r="A8" s="19" t="str">
        <x:v>RED-SC-AFTERLIFE-DIA</x:v>
      </x:c>
      <x:c r="B8" s="7" t="str">
        <x:v>Entretien à Afterlife — intentions de conversation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Autorité d’Aria, prudence de Feron et volonté de Liara; conserver les intentions sans reprendre les répliques.</x:v>
      </x:c>
      <x:c r="G8" s="7" t="str">
        <x:v>Préserver le thème « information conditionnelle »; échanges nouveaux, sans recopier les bulles.</x:v>
      </x:c>
      <x:c r="H8" s="7" t="str">
        <x:v>Proposer questions de contexte, reformulation et fin de conversation; les informations nécessaires restent accessibles après une réponse sceptique.</x:v>
      </x:c>
      <x:c r="I8" s="7" t="str">
        <x:v>Portraits sobres avec locuteur et destinataire; encart distinct si l’information est un soupçon.</x:v>
      </x:c>
      <x:c r="J8" s="7" t="str">
        <x:v>Entrée prudente, geste d'inspection et retour au contrôle pour « Entretien à Afterlife »; poser les sprites avant tout changement de caméra.</x:v>
      </x:c>
      <x:c r="K8" s="7" t="str">
        <x:v>Dialogue original à écrire; texte intégral accessible, avance manuelle et rappel des locuteurs.</x:v>
      </x:c>
      <x:c r="L8" s="7" t="str">
        <x:v>Arbre proposé RED/AFTERLIFE/dialogue; séparer ce qui est su, ce qui est affirmé et ce qui reste caché au joueur.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Le lecteur peut identifier le locuteur, son but et le niveau de certitude; aucune phrase du comic n’est reproduite comme dialogue final.</x:v>
      </x:c>
      <x:c r="O8" s="7" t="str">
        <x:v>RED-SC-AFTERLIFE-MAIN</x:v>
      </x:c>
      <x:c r="P8" s="7" t="str">
        <x:v>Écriture originale à partir des thèmes, sans transcrire les bulles.</x:v>
      </x:c>
      <x:c r="Q8" s="7" t="str"/>
      <x:c r="R8" s="7" t="str"/>
      <x:c r="S8" s="7" t="str"/>
    </x:row>
    <x:row r="9" ht="68" customHeight="1">
      <x:c r="A9" s="18" t="str">
        <x:v>RED-SC-DOCKS-DIA</x:v>
      </x:c>
      <x:c r="B9" s="9" t="str">
        <x:v>Docks et transfert — intentions de conversation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Échanger des instructions courtes tout en gardant l’identité des différents employeurs incertaine.</x:v>
      </x:c>
      <x:c r="G9" s="9" t="str">
        <x:v>Préserver le thème « urgence et méfiance »; échanges nouveaux, sans recopier les bulles.</x:v>
      </x:c>
      <x:c r="H9" s="9" t="str">
        <x:v>Proposer questions de contexte, reformulation et fin de conversation; les informations nécessaires restent accessibles après une réponse sceptique.</x:v>
      </x:c>
      <x:c r="I9" s="9" t="str">
        <x:v>Portraits sobres avec locuteur et destinataire; encart distinct si l’information est un soupçon.</x:v>
      </x:c>
      <x:c r="J9" s="9" t="str">
        <x:v>Entrée prudente, geste d'inspection et retour au contrôle pour « Docks et transfert »; poser les sprites avant tout changement de caméra.</x:v>
      </x:c>
      <x:c r="K9" s="9" t="str">
        <x:v>Dialogue original à écrire; texte intégral accessible, avance manuelle et rappel des locuteurs.</x:v>
      </x:c>
      <x:c r="L9" s="9" t="str">
        <x:v>Arbre proposé RED/DOCKS/dialogue; séparer ce qui est su, ce qui est affirmé et ce qui reste caché au joueur.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Le lecteur peut identifier le locuteur, son but et le niveau de certitude; aucune phrase du comic n’est reproduite comme dialogue final.</x:v>
      </x:c>
      <x:c r="O9" s="9" t="str">
        <x:v>RED-SC-DOCKS-MAIN</x:v>
      </x:c>
      <x:c r="P9" s="9" t="str">
        <x:v>Écriture originale à partir des thèmes, sans transcrire les bulles.</x:v>
      </x:c>
      <x:c r="Q9" s="9" t="str"/>
      <x:c r="R9" s="9" t="str"/>
      <x:c r="S9" s="9" t="str"/>
    </x:row>
    <x:row r="10" ht="68" customHeight="1">
      <x:c r="A10" s="19" t="str">
        <x:v>RED-SC-PURSUIT-DIA</x:v>
      </x:c>
      <x:c r="B10" s="7" t="str">
        <x:v>Rejoindre la base — intentions de conversation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Discuter des risques et de ce que Feron sait du réseau adverse.</x:v>
      </x:c>
      <x:c r="G10" s="7" t="str">
        <x:v>Préserver le thème « dépendance mutuelle »; échanges nouveaux, sans recopier les bulles.</x:v>
      </x:c>
      <x:c r="H10" s="7" t="str">
        <x:v>Proposer questions de contexte, reformulation et fin de conversation; les informations nécessaires restent accessibles après une réponse sceptique.</x:v>
      </x:c>
      <x:c r="I10" s="7" t="str">
        <x:v>Portraits sobres avec locuteur et destinataire; encart distinct si l’information est un soupçon.</x:v>
      </x:c>
      <x:c r="J10" s="7" t="str">
        <x:v>Entrée prudente, geste d'inspection et retour au contrôle pour « Rejoindre la base »; poser les sprites avant tout changement de caméra.</x:v>
      </x:c>
      <x:c r="K10" s="7" t="str">
        <x:v>Dialogue original à écrire; texte intégral accessible, avance manuelle et rappel des locuteurs.</x:v>
      </x:c>
      <x:c r="L10" s="7" t="str">
        <x:v>Arbre proposé RED/PURSUIT/dialogue; séparer ce qui est su, ce qui est affirmé et ce qui reste caché au joueur.</x:v>
      </x:c>
      <x:c r="M10" s="7" t="str">
        <x:v>Préserver l’absence active de Shepard, la relation Liara/Feron et le raccord vers ME2; les méthodes d’enquête ne changent pas le sort publié des protagonistes.</x:v>
      </x:c>
      <x:c r="N10" s="7" t="str">
        <x:v>Le lecteur peut identifier le locuteur, son but et le niveau de certitude; aucune phrase du comic n’est reproduite comme dialogue final.</x:v>
      </x:c>
      <x:c r="O10" s="7" t="str">
        <x:v>RED-SC-PURSUIT-MAIN</x:v>
      </x:c>
      <x:c r="P10" s="7" t="str">
        <x:v>Écriture originale à partir des thèmes, sans transcrire les bulles.</x:v>
      </x:c>
      <x:c r="Q10" s="7" t="str"/>
      <x:c r="R10" s="7" t="str"/>
      <x:c r="S10" s="7" t="str"/>
    </x:row>
    <x:row r="11" ht="68" customHeight="1">
      <x:c r="A11" s="18" t="str">
        <x:v>RED-SC-ACCESS-DIA</x:v>
      </x:c>
      <x:c r="B11" s="9" t="str">
        <x:v>Identité et accès compartimentés — intentions de conversation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Feron entretient une apparence crédible; Liara doit limiter ses questions au bon moment.</x:v>
      </x:c>
      <x:c r="G11" s="9" t="str">
        <x:v>Préserver le thème « apparences et informations »; échanges nouveaux, sans recopier les bulles.</x:v>
      </x:c>
      <x:c r="H11" s="9" t="str">
        <x:v>Proposer questions de contexte, reformulation et fin de conversation; les informations nécessaires restent accessibles après une réponse sceptique.</x:v>
      </x:c>
      <x:c r="I11" s="9" t="str">
        <x:v>Portraits sobres avec locuteur et destinataire; encart distinct si l’information est un soupçon.</x:v>
      </x:c>
      <x:c r="J11" s="9" t="str">
        <x:v>Entrée prudente, geste d'inspection et retour au contrôle pour « Identité et accès compartimentés »; poser les sprites avant tout changement de caméra.</x:v>
      </x:c>
      <x:c r="K11" s="9" t="str">
        <x:v>Dialogue original à écrire; texte intégral accessible, avance manuelle et rappel des locuteurs.</x:v>
      </x:c>
      <x:c r="L11" s="9" t="str">
        <x:v>Arbre proposé RED/ACCESS/dialogue; séparer ce qui est su, ce qui est affirmé et ce qui reste caché au joueur.</x:v>
      </x:c>
      <x:c r="M11" s="9" t="str">
        <x:v>Préserver l’absence active de Shepard, la relation Liara/Feron et le raccord vers ME2; les méthodes d’enquête ne changent pas le sort publié des protagonistes.</x:v>
      </x:c>
      <x:c r="N11" s="9" t="str">
        <x:v>Le lecteur peut identifier le locuteur, son but et le niveau de certitude; aucune phrase du comic n’est reproduite comme dialogue final.</x:v>
      </x:c>
      <x:c r="O11" s="9" t="str">
        <x:v>RED-SC-ACCESS-MAIN</x:v>
      </x:c>
      <x:c r="P11" s="9" t="str">
        <x:v>Écriture originale à partir des thèmes, sans transcrire les bulles.</x:v>
      </x:c>
      <x:c r="Q11" s="9" t="str"/>
      <x:c r="R11" s="9" t="str"/>
      <x:c r="S11" s="9" t="str"/>
    </x:row>
    <x:row r="12" ht="68" customHeight="1">
      <x:c r="A12" s="19" t="str">
        <x:v>RED-SC-RECOVER-DIA</x:v>
      </x:c>
      <x:c r="B12" s="7" t="str">
        <x:v>Récupération et séparation — intentions de conversation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Faire comprendre par actions l’écart entre les paroles et les loyautés de Feron.</x:v>
      </x:c>
      <x:c r="G12" s="7" t="str">
        <x:v>Préserver le thème « actes et confiance »; échanges nouveaux, sans recopier les bulles.</x:v>
      </x:c>
      <x:c r="H12" s="7" t="str">
        <x:v>Proposer questions de contexte, reformulation et fin de conversation; les informations nécessaires restent accessibles après une réponse sceptique.</x:v>
      </x:c>
      <x:c r="I12" s="7" t="str">
        <x:v>Portraits sobres avec locuteur et destinataire; encart distinct si l’information est un soupçon.</x:v>
      </x:c>
      <x:c r="J12" s="7" t="str">
        <x:v>Entrée prudente, geste d'inspection et retour au contrôle pour « Récupération et séparation »; poser les sprites avant tout changement de caméra.</x:v>
      </x:c>
      <x:c r="K12" s="7" t="str">
        <x:v>Dialogue original à écrire; texte intégral accessible, avance manuelle et rappel des locuteurs.</x:v>
      </x:c>
      <x:c r="L12" s="7" t="str">
        <x:v>Arbre proposé RED/RECOVER/dialogue; séparer ce qui est su, ce qui est affirmé et ce qui reste caché au joueur.</x:v>
      </x:c>
      <x:c r="M12" s="7" t="str">
        <x:v>Préserver l’absence active de Shepard, la relation Liara/Feron et le raccord vers ME2; les méthodes d’enquête ne changent pas le sort publié des protagonistes.</x:v>
      </x:c>
      <x:c r="N12" s="7" t="str">
        <x:v>Le lecteur peut identifier le locuteur, son but et le niveau de certitude; aucune phrase du comic n’est reproduite comme dialogue final.</x:v>
      </x:c>
      <x:c r="O12" s="7" t="str">
        <x:v>RED-SC-RECOVER-MAIN</x:v>
      </x:c>
      <x:c r="P12" s="7" t="str">
        <x:v>Écriture originale à partir des thèmes, sans transcrire les bulles.</x:v>
      </x:c>
      <x:c r="Q12" s="7" t="str"/>
      <x:c r="R12" s="7" t="str"/>
      <x:c r="S12" s="7" t="str"/>
    </x:row>
  </x:sheetData>
  <x:conditionalFormatting sqref="D7:D12">
    <x:cfRule type="cellIs" dxfId="48" priority="1" operator="equal">
      <x:formula>"À vérifier"</x:formula>
    </x:cfRule>
    <x:cfRule type="cellIs" dxfId="49" priority="2" operator="equal">
      <x:formula>"Extrapolation"</x:formula>
    </x:cfRule>
  </x:conditionalFormatting>
  <x:conditionalFormatting sqref="C7:C12">
    <x:cfRule type="cellIs" dxfId="50" priority="3" operator="equal">
      <x:formula>"Validé"</x:formula>
    </x:cfRule>
  </x:conditionalFormatting>
  <x:conditionalFormatting sqref="E7:E12">
    <x:cfRule type="cellIs" dxfId="51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61116518e6840c6"/>
  </x:tableParts>
</x:worksheet>
</file>

<file path=xl/worksheets/sheet1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Cinématiques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Séquences et mise en scène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RED-SC-CONTACT-CINE</x:v>
      </x:c>
      <x:c r="B7" s="9" t="str">
        <x:v>Contact sur Omega — raccord mis en scène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Plan d’ensemble du carrefour puis champ rapproché sur les deux silhouettes, sans reproduire les cases.</x:v>
      </x:c>
      <x:c r="G7" s="9" t="str">
        <x:v>Observation → questions → découverte d’un passage → sortie du duo.</x:v>
      </x:c>
      <x:c r="H7" s="9" t="str"/>
      <x:c r="I7" s="9" t="str">
        <x:v>Alcôve latérale et contre-jour industriel; un ruban lumineux guide la sortie.</x:v>
      </x:c>
      <x:c r="J7" s="9" t="str">
        <x:v>Entrée prudente, geste d'inspection et retour au contrôle pour « Contact sur Omega »; poser les sprites avant tout changement de caméra.</x:v>
      </x:c>
      <x:c r="K7" s="9" t="str">
        <x:v>Brouhaha bas et motif de deux notes dissonantes.</x:v>
      </x:c>
      <x:c r="L7" s="9" t="str">
        <x:v>Séquence proposée RED/CONTACT/cinematic; mise à jour des états avant restitution du contrôle; bouton passer et relecture séparés.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La version passée et la version regardée aboutissent au même placement, inventaire et objectif; les sous-titres ne sont pas coupés.</x:v>
      </x:c>
      <x:c r="O7" s="9" t="str">
        <x:v>RED-SC-CONTACT-MAIN</x:v>
      </x:c>
      <x:c r="P7" s="9" t="str">
        <x:v>Découpage original pour sprites 2D sur décor 3D.</x:v>
      </x:c>
      <x:c r="Q7" s="9" t="str"/>
      <x:c r="R7" s="9" t="str"/>
      <x:c r="S7" s="9" t="str"/>
    </x:row>
    <x:row r="8" ht="68" customHeight="1">
      <x:c r="A8" s="19" t="str">
        <x:v>RED-SC-AFTERLIFE-CINE</x:v>
      </x:c>
      <x:c r="B8" s="7" t="str">
        <x:v>Entretien à Afterlife — raccord mis en scène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Aria domine le cadre en hauteur; le duo occupe le bas, puis la sortie reprend une caméra jouable.</x:v>
      </x:c>
      <x:c r="G8" s="7" t="str">
        <x:v>Antichambre → présentation → question ciblée → validation de la piste.</x:v>
      </x:c>
      <x:c r="H8" s="7" t="str"/>
      <x:c r="I8" s="7" t="str">
        <x:v>Fauteuil au fond, foule réduite en silhouettes et trajet libre entre les deux.</x:v>
      </x:c>
      <x:c r="J8" s="7" t="str">
        <x:v>Entrée prudente, geste d'inspection et retour au contrôle pour « Entretien à Afterlife »; poser les sprites avant tout changement de caméra.</x:v>
      </x:c>
      <x:c r="K8" s="7" t="str">
        <x:v>Musique de club originale filtrée durant la conversation.</x:v>
      </x:c>
      <x:c r="L8" s="7" t="str">
        <x:v>Séquence proposée RED/AFTERLIFE/cinematic; mise à jour des états avant restitution du contrôle; bouton passer et relecture séparés.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La version passée et la version regardée aboutissent au même placement, inventaire et objectif; les sous-titres ne sont pas coupés.</x:v>
      </x:c>
      <x:c r="O8" s="7" t="str">
        <x:v>RED-SC-AFTERLIFE-MAIN</x:v>
      </x:c>
      <x:c r="P8" s="7" t="str">
        <x:v>Découpage original pour sprites 2D sur décor 3D.</x:v>
      </x:c>
      <x:c r="Q8" s="7" t="str"/>
      <x:c r="R8" s="7" t="str"/>
      <x:c r="S8" s="7" t="str"/>
    </x:row>
    <x:row r="9" ht="68" customHeight="1">
      <x:c r="A9" s="18" t="str">
        <x:v>RED-SC-DOCKS-CINE</x:v>
      </x:c>
      <x:c r="B9" s="9" t="str">
        <x:v>Docks et transfert — raccord mis en scène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Glissement latéral révélant le vaisseau; la caméra ne suit pas un projectile hors écran.</x:v>
      </x:c>
      <x:c r="G9" s="9" t="str">
        <x:v>Repérage des lignes de vue → déplacement couvert → tentative d’interception → poursuite.</x:v>
      </x:c>
      <x:c r="H9" s="9" t="str"/>
      <x:c r="I9" s="9" t="str">
        <x:v>Poutres, caisses distinctes du couvert et rampe diagonale.</x:v>
      </x:c>
      <x:c r="J9" s="9" t="str">
        <x:v>Entrée prudente, geste d'inspection et retour au contrôle pour « Docks et transfert »; poser les sprites avant tout changement de caméra.</x:v>
      </x:c>
      <x:c r="K9" s="9" t="str">
        <x:v>Grue, verrou de sas et poussée de moteur.</x:v>
      </x:c>
      <x:c r="L9" s="9" t="str">
        <x:v>Séquence proposée RED/DOCKS/cinematic; mise à jour des états avant restitution du contrôle; bouton passer et relecture séparés.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La version passée et la version regardée aboutissent au même placement, inventaire et objectif; les sous-titres ne sont pas coupés.</x:v>
      </x:c>
      <x:c r="O9" s="9" t="str">
        <x:v>RED-SC-DOCKS-MAIN</x:v>
      </x:c>
      <x:c r="P9" s="9" t="str">
        <x:v>Découpage original pour sprites 2D sur décor 3D.</x:v>
      </x:c>
      <x:c r="Q9" s="9" t="str"/>
      <x:c r="R9" s="9" t="str"/>
      <x:c r="S9" s="9" t="str"/>
    </x:row>
    <x:row r="10" ht="68" customHeight="1">
      <x:c r="A10" s="19" t="str">
        <x:v>RED-SC-PURSUIT-CINE</x:v>
      </x:c>
      <x:c r="B10" s="7" t="str">
        <x:v>Rejoindre la base — raccord mis en scène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Vue de cockpit simplifiée alternant avec une vue extérieure d’orientation.</x:v>
      </x:c>
      <x:c r="G10" s="7" t="str">
        <x:v>Départ → manœuvres proposées → identification du relais → arrivée.</x:v>
      </x:c>
      <x:c r="H10" s="7" t="str"/>
      <x:c r="I10" s="7" t="str">
        <x:v>Repères de navigation espacés et point de destination fixe.</x:v>
      </x:c>
      <x:c r="J10" s="7" t="str">
        <x:v>Entrée prudente, geste d'inspection et retour au contrôle pour « Rejoindre la base »; poser les sprites avant tout changement de caméra.</x:v>
      </x:c>
      <x:c r="K10" s="7" t="str">
        <x:v>Bourdonnement de coque puis silence radio annoncé.</x:v>
      </x:c>
      <x:c r="L10" s="7" t="str">
        <x:v>Séquence proposée RED/PURSUIT/cinematic; mise à jour des états avant restitution du contrôle; bouton passer et relecture séparés.</x:v>
      </x:c>
      <x:c r="M10" s="7" t="str">
        <x:v>Préserver l’absence active de Shepard, la relation Liara/Feron et le raccord vers ME2; les méthodes d’enquête ne changent pas le sort publié des protagonistes.</x:v>
      </x:c>
      <x:c r="N10" s="7" t="str">
        <x:v>La version passée et la version regardée aboutissent au même placement, inventaire et objectif; les sous-titres ne sont pas coupés.</x:v>
      </x:c>
      <x:c r="O10" s="7" t="str">
        <x:v>RED-SC-PURSUIT-MAIN</x:v>
      </x:c>
      <x:c r="P10" s="7" t="str">
        <x:v>Découpage original pour sprites 2D sur décor 3D.</x:v>
      </x:c>
      <x:c r="Q10" s="7" t="str"/>
      <x:c r="R10" s="7" t="str"/>
      <x:c r="S10" s="7" t="str"/>
    </x:row>
    <x:row r="11" ht="68" customHeight="1">
      <x:c r="A11" s="18" t="str">
        <x:v>RED-SC-ACCESS-CINE</x:v>
      </x:c>
      <x:c r="B11" s="9" t="str">
        <x:v>Identité et accès compartimentés — raccord mis en scène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Cadres fixes derrière les contrôles, visibilité de la sortie maintenue.</x:v>
      </x:c>
      <x:c r="G11" s="9" t="str">
        <x:v>Sas → contrôle d’identité → relais local → accès au secteur suivant.</x:v>
      </x:c>
      <x:c r="H11" s="9" t="str"/>
      <x:c r="I11" s="9" t="str">
        <x:v>Cloisons opaques, câbles de relais et panneaux d’accès individualisés.</x:v>
      </x:c>
      <x:c r="J11" s="9" t="str">
        <x:v>Entrée prudente, geste d'inspection et retour au contrôle pour « Identité et accès compartimentés »; poser les sprites avant tout changement de caméra.</x:v>
      </x:c>
      <x:c r="K11" s="9" t="str">
        <x:v>Interphone étouffé et clics d’autorisation.</x:v>
      </x:c>
      <x:c r="L11" s="9" t="str">
        <x:v>Séquence proposée RED/ACCESS/cinematic; mise à jour des états avant restitution du contrôle; bouton passer et relecture séparés.</x:v>
      </x:c>
      <x:c r="M11" s="9" t="str">
        <x:v>Préserver l’absence active de Shepard, la relation Liara/Feron et le raccord vers ME2; les méthodes d’enquête ne changent pas le sort publié des protagonistes.</x:v>
      </x:c>
      <x:c r="N11" s="9" t="str">
        <x:v>La version passée et la version regardée aboutissent au même placement, inventaire et objectif; les sous-titres ne sont pas coupés.</x:v>
      </x:c>
      <x:c r="O11" s="9" t="str">
        <x:v>RED-SC-ACCESS-MAIN</x:v>
      </x:c>
      <x:c r="P11" s="9" t="str">
        <x:v>Découpage original pour sprites 2D sur décor 3D.</x:v>
      </x:c>
      <x:c r="Q11" s="9" t="str"/>
      <x:c r="R11" s="9" t="str"/>
      <x:c r="S11" s="9" t="str"/>
    </x:row>
    <x:row r="12" ht="68" customHeight="1">
      <x:c r="A12" s="19" t="str">
        <x:v>RED-SC-RECOVER-CINE</x:v>
      </x:c>
      <x:c r="B12" s="7" t="str">
        <x:v>Récupération et séparation — raccord mis en scène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Plan large du hangar, séparation spatiale du duo puis fermeture lente du cadre.</x:v>
      </x:c>
      <x:c r="G12" s="7" t="str">
        <x:v>Préparation du duo → fenêtre de transfert → sortie de Liara → raccord narratif.</x:v>
      </x:c>
      <x:c r="H12" s="7" t="str"/>
      <x:c r="I12" s="7" t="str">
        <x:v>Rampe lumineuse, silhouette du partenaire à distance, conteneur sans visage imposé de Shepard.</x:v>
      </x:c>
      <x:c r="J12" s="7" t="str">
        <x:v>Entrée prudente, geste d'inspection et retour au contrôle pour « Récupération et séparation »; poser les sprites avant tout changement de caméra.</x:v>
      </x:c>
      <x:c r="K12" s="7" t="str">
        <x:v>Moteur croissant, communication coupée puis thème inachevé original.</x:v>
      </x:c>
      <x:c r="L12" s="7" t="str">
        <x:v>Séquence proposée RED/RECOVER/cinematic; mise à jour des états avant restitution du contrôle; bouton passer et relecture séparés.</x:v>
      </x:c>
      <x:c r="M12" s="7" t="str">
        <x:v>Préserver l’absence active de Shepard, la relation Liara/Feron et le raccord vers ME2; les méthodes d’enquête ne changent pas le sort publié des protagonistes.</x:v>
      </x:c>
      <x:c r="N12" s="7" t="str">
        <x:v>La version passée et la version regardée aboutissent au même placement, inventaire et objectif; les sous-titres ne sont pas coupés.</x:v>
      </x:c>
      <x:c r="O12" s="7" t="str">
        <x:v>RED-SC-RECOVER-MAIN</x:v>
      </x:c>
      <x:c r="P12" s="7" t="str">
        <x:v>Découpage original pour sprites 2D sur décor 3D.</x:v>
      </x:c>
      <x:c r="Q12" s="7" t="str"/>
      <x:c r="R12" s="7" t="str"/>
      <x:c r="S12" s="7" t="str"/>
    </x:row>
  </x:sheetData>
  <x:conditionalFormatting sqref="D7:D12">
    <x:cfRule type="cellIs" dxfId="52" priority="1" operator="equal">
      <x:formula>"À vérifier"</x:formula>
    </x:cfRule>
    <x:cfRule type="cellIs" dxfId="53" priority="2" operator="equal">
      <x:formula>"Extrapolation"</x:formula>
    </x:cfRule>
  </x:conditionalFormatting>
  <x:conditionalFormatting sqref="C7:C12">
    <x:cfRule type="cellIs" dxfId="54" priority="3" operator="equal">
      <x:formula>"Validé"</x:formula>
    </x:cfRule>
  </x:conditionalFormatting>
  <x:conditionalFormatting sqref="E7:E12">
    <x:cfRule type="cellIs" dxfId="55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5d5772822084e7f"/>
  </x:tableParts>
</x:worksheet>
</file>

<file path=xl/worksheets/sheet1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Armes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Familles, modèles et comportements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RED-KIT-SIDEARM</x:v>
      </x:c>
      <x:c r="B7" s="9" t="str">
        <x:v>Arme de poing de production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Profil léger proposé pour les confrontations du duo.</x:v>
      </x:c>
      <x:c r="G7" s="9" t="str">
        <x:v>Ne pas attribuer un modèle précis sans inspection des cases.</x:v>
      </x:c>
      <x:c r="H7" s="9" t="str">
        <x:v>Tir court, précision stable, coût ATB annoncé; couverture réduit la ligne de tir.</x:v>
      </x:c>
      <x:c r="I7" s="9" t="str">
        <x:v>Silhouette compacte, canon lisible, palette neutre.</x:v>
      </x:c>
      <x:c r="J7" s="9" t="str">
        <x:v>Sortie du holster, visée, recul et rangement.</x:v>
      </x:c>
      <x:c r="K7" s="9" t="str">
        <x:v>Confirmation audiovisuelle originale, doublée d’un libellé.</x:v>
      </x:c>
      <x:c r="L7" s="9" t="str">
        <x:v>Spécification de ressource RED/kit/SIDEARM; données séparées du moteur, interface de coût et états d'épuisement prévus.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Le sprite d’arme suit la main et le tir ne traverse pas le couvert.</x:v>
      </x:c>
      <x:c r="O7" s="9" t="str"/>
      <x:c r="P7" s="9" t="str">
        <x:v>Création de gameplay et direction visuelle originales; modèle exact à vérifier si une arme source est évoquée.</x:v>
      </x:c>
      <x:c r="Q7" s="9" t="str"/>
      <x:c r="R7" s="9" t="str"/>
      <x:c r="S7" s="9" t="str"/>
    </x:row>
  </x:sheetData>
  <x:conditionalFormatting sqref="D7:D7">
    <x:cfRule type="cellIs" dxfId="56" priority="1" operator="equal">
      <x:formula>"À vérifier"</x:formula>
    </x:cfRule>
    <x:cfRule type="cellIs" dxfId="57" priority="2" operator="equal">
      <x:formula>"Extrapolation"</x:formula>
    </x:cfRule>
  </x:conditionalFormatting>
  <x:conditionalFormatting sqref="C7:C7">
    <x:cfRule type="cellIs" dxfId="58" priority="3" operator="equal">
      <x:formula>"Validé"</x:formula>
    </x:cfRule>
  </x:conditionalFormatting>
  <x:conditionalFormatting sqref="E7:E7">
    <x:cfRule type="cellIs" dxfId="59" priority="4" operator="equal">
      <x:formula>"P0"</x:formula>
    </x:cfRule>
  </x:conditionalFormatting>
  <x:dataValidations count="3">
    <x:dataValidation type="list" sqref="C7">
      <x:formula1>"Défini,Prototype,Intégré,Validé"</x:formula1>
    </x:dataValidation>
    <x:dataValidation type="list" sqref="D7">
      <x:formula1>"Établi,À vérifier,Extrapolation,Coupé attesté,Concept abandonné,Allégation écartée"</x:formula1>
    </x:dataValidation>
    <x:dataValidation type="list" sqref="E7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07929e276e74c7e"/>
  </x:tableParts>
</x:worksheet>
</file>

<file path=xl/worksheets/sheet1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Armures et équipement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Protections, modules et consommables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RED-KIT-ACCESS</x:v>
      </x:c>
      <x:c r="B7" s="9" t="str">
        <x:v>Kit de couverture de Feron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Ressource locale originale pour préparer un contrôle.</x:v>
      </x:c>
      <x:c r="G7" s="9" t="str">
        <x:v>Matérialiser la préparation d’identité.</x:v>
      </x:c>
      <x:c r="H7" s="9" t="str">
        <x:v>Usage limité au secteur préparé; vérifier le coût avant validation.</x:v>
      </x:c>
      <x:c r="I7" s="9" t="str">
        <x:v>Petite carte, affichage du secteur en texte.</x:v>
      </x:c>
      <x:c r="J7" s="9" t="str">
        <x:v>Inspection à une main et remise en poche.</x:v>
      </x:c>
      <x:c r="K7" s="9" t="str">
        <x:v>Confirmation audiovisuelle originale, doublée d’un libellé.</x:v>
      </x:c>
      <x:c r="L7" s="9" t="str">
        <x:v>Spécification de ressource RED/kit/ACCESS; données séparées du moteur, interface de coût et états d'épuisement prévus.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Impossible d’ouvrir un accès qui n’a pas été préparé.</x:v>
      </x:c>
      <x:c r="O7" s="9" t="str"/>
      <x:c r="P7" s="9" t="str">
        <x:v>Création de gameplay et direction visuelle originales; modèle exact à vérifier si une arme source est évoquée.</x:v>
      </x:c>
      <x:c r="Q7" s="9" t="str"/>
      <x:c r="R7" s="9" t="str"/>
      <x:c r="S7" s="9" t="str"/>
    </x:row>
  </x:sheetData>
  <x:conditionalFormatting sqref="D7:D7">
    <x:cfRule type="cellIs" dxfId="60" priority="1" operator="equal">
      <x:formula>"À vérifier"</x:formula>
    </x:cfRule>
    <x:cfRule type="cellIs" dxfId="61" priority="2" operator="equal">
      <x:formula>"Extrapolation"</x:formula>
    </x:cfRule>
  </x:conditionalFormatting>
  <x:conditionalFormatting sqref="C7:C7">
    <x:cfRule type="cellIs" dxfId="62" priority="3" operator="equal">
      <x:formula>"Validé"</x:formula>
    </x:cfRule>
  </x:conditionalFormatting>
  <x:conditionalFormatting sqref="E7:E7">
    <x:cfRule type="cellIs" dxfId="63" priority="4" operator="equal">
      <x:formula>"P0"</x:formula>
    </x:cfRule>
  </x:conditionalFormatting>
  <x:dataValidations count="3">
    <x:dataValidation type="list" sqref="C7">
      <x:formula1>"Défini,Prototype,Intégré,Validé"</x:formula1>
    </x:dataValidation>
    <x:dataValidation type="list" sqref="D7">
      <x:formula1>"Établi,À vérifier,Extrapolation,Coupé attesté,Concept abandonné,Allégation écartée"</x:formula1>
    </x:dataValidation>
    <x:dataValidation type="list" sqref="E7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55e03395b054723"/>
  </x:tableParts>
</x:worksheet>
</file>

<file path=xl/worksheets/sheet18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Pouvoirs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Capacités canoniques et traduction ATB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RED-KIT-BIOTIC</x:v>
      </x:c>
      <x:c r="B7" s="9" t="str">
        <x:v>Déplacement biotique proposé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Pouvoir tactique original inspiré du rôle de Liara, sans valeur canon.</x:v>
      </x:c>
      <x:c r="G7" s="9" t="str">
        <x:v>Créer des fenêtres de traversée.</x:v>
      </x:c>
      <x:c r="H7" s="9" t="str">
        <x:v>Sélectionner un objet léger ou une cible compatible; obstacles fixes exclus; coût visible.</x:v>
      </x:c>
      <x:c r="I7" s="9" t="str">
        <x:v>Contour cyan et destination marquée.</x:v>
      </x:c>
      <x:c r="J7" s="9" t="str">
        <x:v>Bras écartés puis relâchement.</x:v>
      </x:c>
      <x:c r="K7" s="9" t="str">
        <x:v>Confirmation audiovisuelle originale, doublée d’un libellé.</x:v>
      </x:c>
      <x:c r="L7" s="9" t="str">
        <x:v>Spécification de ressource RED/kit/BIOTIC; données séparées du moteur, interface de coût et états d'épuisement prévus.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La prévisualisation correspond au résultat et ne déplace pas un objet narratif verrouillé.</x:v>
      </x:c>
      <x:c r="O7" s="9" t="str"/>
      <x:c r="P7" s="9" t="str">
        <x:v>Création de gameplay et direction visuelle originales; modèle exact à vérifier si une arme source est évoquée.</x:v>
      </x:c>
      <x:c r="Q7" s="9" t="str"/>
      <x:c r="R7" s="9" t="str"/>
      <x:c r="S7" s="9" t="str"/>
    </x:row>
  </x:sheetData>
  <x:conditionalFormatting sqref="D7:D7">
    <x:cfRule type="cellIs" dxfId="64" priority="1" operator="equal">
      <x:formula>"À vérifier"</x:formula>
    </x:cfRule>
    <x:cfRule type="cellIs" dxfId="65" priority="2" operator="equal">
      <x:formula>"Extrapolation"</x:formula>
    </x:cfRule>
  </x:conditionalFormatting>
  <x:conditionalFormatting sqref="C7:C7">
    <x:cfRule type="cellIs" dxfId="66" priority="3" operator="equal">
      <x:formula>"Validé"</x:formula>
    </x:cfRule>
  </x:conditionalFormatting>
  <x:conditionalFormatting sqref="E7:E7">
    <x:cfRule type="cellIs" dxfId="67" priority="4" operator="equal">
      <x:formula>"P0"</x:formula>
    </x:cfRule>
  </x:conditionalFormatting>
  <x:dataValidations count="3">
    <x:dataValidation type="list" sqref="C7">
      <x:formula1>"Défini,Prototype,Intégré,Validé"</x:formula1>
    </x:dataValidation>
    <x:dataValidation type="list" sqref="D7">
      <x:formula1>"Établi,À vérifier,Extrapolation,Coupé attesté,Concept abandonné,Allégation écartée"</x:formula1>
    </x:dataValidation>
    <x:dataValidation type="list" sqref="E7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864ce671d3d4279"/>
  </x:tableParts>
</x:worksheet>
</file>

<file path=xl/worksheets/sheet19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Movesets alliés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Actions et contraintes par équipier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RED-ALLY-LIARA</x:v>
      </x:c>
      <x:c r="B7" s="9" t="str">
        <x:v>Écran de passage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Action de groupe originale pour Liara T’Soni.</x:v>
      </x:c>
      <x:c r="G7" s="9" t="str">
        <x:v>Héroïne du duo; maîtrise du terrain et questions d’enquête.</x:v>
      </x:c>
      <x:c r="H7" s="9" t="str">
        <x:v>Proposition : dépenser une action pour déplacer un obstacle léger et ouvrir un passage au partenaire; inutile contre une structure fixe.</x:v>
      </x:c>
      <x:c r="I7" s="9" t="str">
        <x:v>Contour cyan de l’obstacle et flèche vers la case d’arrivée.</x:v>
      </x:c>
      <x:c r="J7" s="9" t="str">
        <x:v>Garde ouverte, poussée des deux bras, lecture d’un terminal, protection du partenaire.</x:v>
      </x:c>
      <x:c r="K7" s="9" t="str">
        <x:v>Confirmation courte doublée d’un pictogramme; événement silencieux visible dans le journal de combat.</x:v>
      </x:c>
      <x:c r="L7" s="9" t="str">
        <x:v>Commande ATB proposée RED/LIARA/assist; résoudre cible, coût proposé, contre-mesure et annulation avant les dégâts.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La commande indique son coût avant validation, échoue proprement si la cible devient invalide et ne déclenche pas une action canon supplémentaire.</x:v>
      </x:c>
      <x:c r="O7" s="9" t="str">
        <x:v>RED-ACT-LIARA, RED-ANI-LIARA</x:v>
      </x:c>
      <x:c r="P7" s="9" t="str">
        <x:v>Adaptation originale du rôle; pas un pouvoir officiel du comic.</x:v>
      </x:c>
      <x:c r="Q7" s="9" t="str"/>
      <x:c r="R7" s="9" t="str"/>
      <x:c r="S7" s="9" t="str"/>
    </x:row>
    <x:row r="8" ht="68" customHeight="1">
      <x:c r="A8" s="19" t="str">
        <x:v>RED-ALLY-FERON</x:v>
      </x:c>
      <x:c r="B8" s="7" t="str">
        <x:v>Couverture d’identité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Action de groupe originale pour Feron.</x:v>
      </x:c>
      <x:c r="G8" s="7" t="str">
        <x:v>Soutien furtif; transforme une information en fenêtre de progression.</x:v>
      </x:c>
      <x:c r="H8" s="7" t="str">
        <x:v>Préparer une justification avant un contrôle; consommer cette préparation sur un seul accès, sans rendre tous les gardes passifs.</x:v>
      </x:c>
      <x:c r="I8" s="7" t="str">
        <x:v>Icône de laissez-passer barrée dès utilisation.</x:v>
      </x:c>
      <x:c r="J8" s="7" t="str">
        <x:v>Coup d’œil latéral, geste de passe, accroupissement et manipulation discrète.</x:v>
      </x:c>
      <x:c r="K8" s="7" t="str">
        <x:v>Confirmation courte doublée d’un pictogramme; événement silencieux visible dans le journal de combat.</x:v>
      </x:c>
      <x:c r="L8" s="7" t="str">
        <x:v>Commande ATB proposée RED/FERON/assist; résoudre cible, coût proposé, contre-mesure et annulation avant les dégâts.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La commande indique son coût avant validation, échoue proprement si la cible devient invalide et ne déclenche pas une action canon supplémentaire.</x:v>
      </x:c>
      <x:c r="O8" s="7" t="str">
        <x:v>RED-ACT-FERON, RED-ANI-FERON</x:v>
      </x:c>
      <x:c r="P8" s="7" t="str">
        <x:v>Adaptation originale du rôle; pas un pouvoir officiel du comic.</x:v>
      </x:c>
      <x:c r="Q8" s="7" t="str"/>
      <x:c r="R8" s="7" t="str"/>
      <x:c r="S8" s="7" t="str"/>
    </x:row>
  </x:sheetData>
  <x:conditionalFormatting sqref="D7:D8">
    <x:cfRule type="cellIs" dxfId="68" priority="1" operator="equal">
      <x:formula>"À vérifier"</x:formula>
    </x:cfRule>
    <x:cfRule type="cellIs" dxfId="69" priority="2" operator="equal">
      <x:formula>"Extrapolation"</x:formula>
    </x:cfRule>
  </x:conditionalFormatting>
  <x:conditionalFormatting sqref="C7:C8">
    <x:cfRule type="cellIs" dxfId="70" priority="3" operator="equal">
      <x:formula>"Validé"</x:formula>
    </x:cfRule>
  </x:conditionalFormatting>
  <x:conditionalFormatting sqref="E7:E8">
    <x:cfRule type="cellIs" dxfId="71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8582e15b3e34a19"/>
  </x:tableParts>
</x:worksheet>
</file>

<file path=xl/worksheets/sheet20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Movesets ennemis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Télégraphes, actions et réponses tactiques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RED-EN-SUNS-M1</x:v>
      </x:c>
      <x:c r="B7" s="9" t="str">
        <x:v>Fixation de quai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Pattern original de tir soutenu.</x:v>
      </x:c>
      <x:c r="G7" s="9" t="str">
        <x:v>Pression armée et contrôle du quai.</x:v>
      </x:c>
      <x:c r="H7" s="9" t="str">
        <x:v>Annoncer la ligne de tir; le couvert l’interrompt, déplacement latéral la quitte.</x:v>
      </x:c>
      <x:c r="I7" s="9" t="str">
        <x:v>Ligne hachurée au sol.</x:v>
      </x:c>
      <x:c r="J7" s="9" t="str">
        <x:v>Mise en joue, maintien et recul lisible.</x:v>
      </x:c>
      <x:c r="K7" s="9" t="str">
        <x:v>Salves sèches et annonce radio inventée.</x:v>
      </x:c>
      <x:c r="L7" s="9" t="str">
        <x:v>Action proposée RED/SUNS/1; étapes annonce → attente ATB → validation cible → résolution; annulation explicite si neutralisé.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Le joueur peut reconnaître la préparation et employer la contre-mesure avant la résolution; aucune attaque invisible ou imparable hors séquence annoncée.</x:v>
      </x:c>
      <x:c r="O7" s="9" t="str">
        <x:v>RED-EN-SUNS</x:v>
      </x:c>
      <x:c r="P7" s="9" t="str">
        <x:v>Pattern original; pas de valeur numérique canon.</x:v>
      </x:c>
      <x:c r="Q7" s="9" t="str"/>
      <x:c r="R7" s="9" t="str"/>
      <x:c r="S7" s="9" t="str"/>
    </x:row>
    <x:row r="8" ht="68" customHeight="1">
      <x:c r="A8" s="19" t="str">
        <x:v>RED-EN-SUNS-M2</x:v>
      </x:c>
      <x:c r="B8" s="7" t="str">
        <x:v>Verrou de passage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Pattern original de contrôle de terrain.</x:v>
      </x:c>
      <x:c r="G8" s="7" t="str">
        <x:v>Pression armée et contrôle du quai.</x:v>
      </x:c>
      <x:c r="H8" s="7" t="str">
        <x:v>Le mercenaire ferme un accès après préparation; interrompre sa commande ou emprunter l’accès secondaire.</x:v>
      </x:c>
      <x:c r="I8" s="7" t="str">
        <x:v>Icône de verrou sur la porte et geste vers le panneau.</x:v>
      </x:c>
      <x:c r="J8" s="7" t="str">
        <x:v>Mise en joue, maintien et recul lisible.</x:v>
      </x:c>
      <x:c r="K8" s="7" t="str">
        <x:v>Salves sèches et annonce radio inventée.</x:v>
      </x:c>
      <x:c r="L8" s="7" t="str">
        <x:v>Action proposée RED/SUNS/2; étapes annonce → attente ATB → validation cible → résolution; annulation explicite si neutralisé.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Le joueur peut reconnaître la préparation et employer la contre-mesure avant la résolution; aucune attaque invisible ou imparable hors séquence annoncée.</x:v>
      </x:c>
      <x:c r="O8" s="7" t="str">
        <x:v>RED-EN-SUNS</x:v>
      </x:c>
      <x:c r="P8" s="7" t="str">
        <x:v>Pattern original; pas de valeur numérique canon.</x:v>
      </x:c>
      <x:c r="Q8" s="7" t="str"/>
      <x:c r="R8" s="7" t="str"/>
      <x:c r="S8" s="7" t="str"/>
    </x:row>
    <x:row r="9" ht="68" customHeight="1">
      <x:c r="A9" s="18" t="str">
        <x:v>RED-EN-SENTRY-M1</x:v>
      </x:c>
      <x:c r="B9" s="9" t="str">
        <x:v>Passe de contrôle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Manœuvre de poursuite originale.</x:v>
      </x:c>
      <x:c r="G9" s="9" t="str">
        <x:v>Menace de navigation proposée, à vérifier dans l’édition.</x:v>
      </x:c>
      <x:c r="H9" s="9" t="str">
        <x:v>Choisir un couloir abrité avant la résolution; aucun tir automatique hors écran.</x:v>
      </x:c>
      <x:c r="I9" s="9" t="str">
        <x:v>Arc de balayage.</x:v>
      </x:c>
      <x:c r="J9" s="9" t="str">
        <x:v>Virage anticipé et ligne droite de poursuite.</x:v>
      </x:c>
      <x:c r="K9" s="9" t="str">
        <x:v>Alerte brève visible dans l’afficheur.</x:v>
      </x:c>
      <x:c r="L9" s="9" t="str">
        <x:v>Action proposée RED/SENTRY/1; étapes annonce → attente ATB → validation cible → résolution; annulation explicite si neutralisé.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Le joueur peut reconnaître la préparation et employer la contre-mesure avant la résolution; aucune attaque invisible ou imparable hors séquence annoncée.</x:v>
      </x:c>
      <x:c r="O9" s="9" t="str">
        <x:v>RED-EN-SENTRY</x:v>
      </x:c>
      <x:c r="P9" s="9" t="str">
        <x:v>Pattern original; pas de valeur numérique canon.</x:v>
      </x:c>
      <x:c r="Q9" s="9" t="str"/>
      <x:c r="R9" s="9" t="str"/>
      <x:c r="S9" s="9" t="str"/>
    </x:row>
    <x:row r="10" ht="68" customHeight="1">
      <x:c r="A10" s="19" t="str">
        <x:v>RED-EN-SENTRY-M2</x:v>
      </x:c>
      <x:c r="B10" s="7" t="str">
        <x:v>Interception de route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Verrouillage original d’une voie.</x:v>
      </x:c>
      <x:c r="G10" s="7" t="str">
        <x:v>Menace de navigation proposée, à vérifier dans l’édition.</x:v>
      </x:c>
      <x:c r="H10" s="7" t="str">
        <x:v>Changer de trajectoire pendant la préparation; conserver toujours une issue.</x:v>
      </x:c>
      <x:c r="I10" s="7" t="str">
        <x:v>Segment barré avec durée proposée visible.</x:v>
      </x:c>
      <x:c r="J10" s="7" t="str">
        <x:v>Virage anticipé et ligne droite de poursuite.</x:v>
      </x:c>
      <x:c r="K10" s="7" t="str">
        <x:v>Alerte brève visible dans l’afficheur.</x:v>
      </x:c>
      <x:c r="L10" s="7" t="str">
        <x:v>Action proposée RED/SENTRY/2; étapes annonce → attente ATB → validation cible → résolution; annulation explicite si neutralisé.</x:v>
      </x:c>
      <x:c r="M10" s="7" t="str">
        <x:v>Préserver l’absence active de Shepard, la relation Liara/Feron et le raccord vers ME2; les méthodes d’enquête ne changent pas le sort publié des protagonistes.</x:v>
      </x:c>
      <x:c r="N10" s="7" t="str">
        <x:v>Le joueur peut reconnaître la préparation et employer la contre-mesure avant la résolution; aucune attaque invisible ou imparable hors séquence annoncée.</x:v>
      </x:c>
      <x:c r="O10" s="7" t="str">
        <x:v>RED-EN-SENTRY</x:v>
      </x:c>
      <x:c r="P10" s="7" t="str">
        <x:v>Pattern original; pas de valeur numérique canon.</x:v>
      </x:c>
      <x:c r="Q10" s="7" t="str"/>
      <x:c r="R10" s="7" t="str"/>
      <x:c r="S10" s="7" t="str"/>
    </x:row>
    <x:row r="11" ht="68" customHeight="1">
      <x:c r="A11" s="18" t="str">
        <x:v>RED-EN-GUARDS-M1</x:v>
      </x:c>
      <x:c r="B11" s="9" t="str">
        <x:v>Contrôle rapproché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Inspection originale de couverture.</x:v>
      </x:c>
      <x:c r="G11" s="9" t="str">
        <x:v>Obstacle de furtivité avant combat.</x:v>
      </x:c>
      <x:c r="H11" s="9" t="str">
        <x:v>Présenter un droit adapté ou quitter la zone de contrôle avant son verrouillage.</x:v>
      </x:c>
      <x:c r="I11" s="9" t="str">
        <x:v>Cône de question plutôt que viseur mortel.</x:v>
      </x:c>
      <x:c r="J11" s="9" t="str">
        <x:v>Contrôle de badge puis pivot de surveillance.</x:v>
      </x:c>
      <x:c r="K11" s="9" t="str">
        <x:v>Interphone et signal d’alerte sectoriel.</x:v>
      </x:c>
      <x:c r="L11" s="9" t="str">
        <x:v>Action proposée RED/GUARDS/1; étapes annonce → attente ATB → validation cible → résolution; annulation explicite si neutralisé.</x:v>
      </x:c>
      <x:c r="M11" s="9" t="str">
        <x:v>Préserver l’absence active de Shepard, la relation Liara/Feron et le raccord vers ME2; les méthodes d’enquête ne changent pas le sort publié des protagonistes.</x:v>
      </x:c>
      <x:c r="N11" s="9" t="str">
        <x:v>Le joueur peut reconnaître la préparation et employer la contre-mesure avant la résolution; aucune attaque invisible ou imparable hors séquence annoncée.</x:v>
      </x:c>
      <x:c r="O11" s="9" t="str">
        <x:v>RED-EN-GUARDS</x:v>
      </x:c>
      <x:c r="P11" s="9" t="str">
        <x:v>Pattern original; pas de valeur numérique canon.</x:v>
      </x:c>
      <x:c r="Q11" s="9" t="str"/>
      <x:c r="R11" s="9" t="str"/>
      <x:c r="S11" s="9" t="str"/>
    </x:row>
    <x:row r="12" ht="68" customHeight="1">
      <x:c r="A12" s="19" t="str">
        <x:v>RED-EN-GUARDS-M2</x:v>
      </x:c>
      <x:c r="B12" s="7" t="str">
        <x:v>Alerte compartimentée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Renfort original limité au secteur.</x:v>
      </x:c>
      <x:c r="G12" s="7" t="str">
        <x:v>Obstacle de furtivité avant combat.</x:v>
      </x:c>
      <x:c r="H12" s="7" t="str">
        <x:v>Interrompre le relais local; aucun renfort n’apparaît sans entrée visible.</x:v>
      </x:c>
      <x:c r="I12" s="7" t="str">
        <x:v>Relais clignotant avec symbole d’appel.</x:v>
      </x:c>
      <x:c r="J12" s="7" t="str">
        <x:v>Contrôle de badge puis pivot de surveillance.</x:v>
      </x:c>
      <x:c r="K12" s="7" t="str">
        <x:v>Interphone et signal d’alerte sectoriel.</x:v>
      </x:c>
      <x:c r="L12" s="7" t="str">
        <x:v>Action proposée RED/GUARDS/2; étapes annonce → attente ATB → validation cible → résolution; annulation explicite si neutralisé.</x:v>
      </x:c>
      <x:c r="M12" s="7" t="str">
        <x:v>Préserver l’absence active de Shepard, la relation Liara/Feron et le raccord vers ME2; les méthodes d’enquête ne changent pas le sort publié des protagonistes.</x:v>
      </x:c>
      <x:c r="N12" s="7" t="str">
        <x:v>Le joueur peut reconnaître la préparation et employer la contre-mesure avant la résolution; aucune attaque invisible ou imparable hors séquence annoncée.</x:v>
      </x:c>
      <x:c r="O12" s="7" t="str">
        <x:v>RED-EN-GUARDS</x:v>
      </x:c>
      <x:c r="P12" s="7" t="str">
        <x:v>Pattern original; pas de valeur numérique canon.</x:v>
      </x:c>
      <x:c r="Q12" s="7" t="str"/>
      <x:c r="R12" s="7" t="str"/>
      <x:c r="S12" s="7" t="str"/>
    </x:row>
  </x:sheetData>
  <x:conditionalFormatting sqref="D7:D12">
    <x:cfRule type="cellIs" dxfId="72" priority="1" operator="equal">
      <x:formula>"À vérifier"</x:formula>
    </x:cfRule>
    <x:cfRule type="cellIs" dxfId="73" priority="2" operator="equal">
      <x:formula>"Extrapolation"</x:formula>
    </x:cfRule>
  </x:conditionalFormatting>
  <x:conditionalFormatting sqref="C7:C12">
    <x:cfRule type="cellIs" dxfId="74" priority="3" operator="equal">
      <x:formula>"Validé"</x:formula>
    </x:cfRule>
  </x:conditionalFormatting>
  <x:conditionalFormatting sqref="E7:E12">
    <x:cfRule type="cellIs" dxfId="75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47fdcdec22941c9"/>
  </x:tableParts>
</x:worksheet>
</file>

<file path=xl/worksheets/sheet21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Animations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Bibliothèque d’animation pour sprites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82" customHeight="1">
      <x:c r="A7" s="18" t="str">
        <x:v>RED-ANI-LIARA</x:v>
      </x:c>
      <x:c r="B7" s="9" t="str">
        <x:v>Liara T’Soni — jeu de poses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Définir les transitions propres au rôle de Liara T’Soni.</x:v>
      </x:c>
      <x:c r="G7" s="9" t="str">
        <x:v>Héroïne du duo; maîtrise du terrain et questions d’enquête.</x:v>
      </x:c>
      <x:c r="H7" s="9" t="str"/>
      <x:c r="I7" s="9" t="str">
        <x:v>Peau bleue, crête asari et manteau de terrain simplifié; accents cyan réservés aux actions.</x:v>
      </x:c>
      <x:c r="J7" s="9" t="str">
        <x:v>Garde ouverte, poussée des deux bras, lecture d’un terminal, protection du partenaire. Décomposer anticipation, action, retour et interruption; garder un état neutre utilisable après une cinématique sautée.</x:v>
      </x:c>
      <x:c r="K7" s="9" t="str">
        <x:v>Associer les contacts de sol ou de siège à des événements; éviter le bruitage répété sur une pose tenue.</x:v>
      </x:c>
      <x:c r="L7" s="9" t="str">
        <x:v>Table d'animation prévue RED/LIARA; paramètres direction, locomotion, accessoire et interruption.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Un enchaînement déplacement → interaction → interruption → reprise conserve le pivot et les accessoires de Liara T’Soni.</x:v>
      </x:c>
      <x:c r="O7" s="9" t="str">
        <x:v>RED-ACT-LIARA, RED-SPR-LIARA</x:v>
      </x:c>
      <x:c r="P7" s="9" t="str">
        <x:v>Conception originale, aucune cadence extraite du comic.</x:v>
      </x:c>
      <x:c r="Q7" s="9" t="str"/>
      <x:c r="R7" s="9" t="str"/>
      <x:c r="S7" s="9" t="str"/>
    </x:row>
    <x:row r="8" ht="82" customHeight="1">
      <x:c r="A8" s="19" t="str">
        <x:v>RED-ANI-FERON</x:v>
      </x:c>
      <x:c r="B8" s="7" t="str">
        <x:v>Feron — jeu de poses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Définir les transitions propres au rôle de Feron.</x:v>
      </x:c>
      <x:c r="G8" s="7" t="str">
        <x:v>Soutien furtif; transforme une information en fenêtre de progression.</x:v>
      </x:c>
      <x:c r="H8" s="7" t="str"/>
      <x:c r="I8" s="7" t="str">
        <x:v>Tête reptilienne et col haut, couches de vêtement lisibles; motifs précis à vérifier.</x:v>
      </x:c>
      <x:c r="J8" s="7" t="str">
        <x:v>Coup d’œil latéral, geste de passe, accroupissement et manipulation discrète. Décomposer anticipation, action, retour et interruption; garder un état neutre utilisable après une cinématique sautée.</x:v>
      </x:c>
      <x:c r="K8" s="7" t="str">
        <x:v>Associer les contacts de sol ou de siège à des événements; éviter le bruitage répété sur une pose tenue.</x:v>
      </x:c>
      <x:c r="L8" s="7" t="str">
        <x:v>Table d'animation prévue RED/FERON; paramètres direction, locomotion, accessoire et interruption.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Un enchaînement déplacement → interaction → interruption → reprise conserve le pivot et les accessoires de Feron.</x:v>
      </x:c>
      <x:c r="O8" s="7" t="str">
        <x:v>RED-ACT-FERON, RED-SPR-FERON</x:v>
      </x:c>
      <x:c r="P8" s="7" t="str">
        <x:v>Conception originale, aucune cadence extraite du comic.</x:v>
      </x:c>
      <x:c r="Q8" s="7" t="str"/>
      <x:c r="R8" s="7" t="str"/>
      <x:c r="S8" s="7" t="str"/>
    </x:row>
    <x:row r="9" ht="68" customHeight="1">
      <x:c r="A9" s="18" t="str">
        <x:v>RED-ANI-MIRANDA</x:v>
      </x:c>
      <x:c r="B9" s="9" t="str">
        <x:v>Miranda Lawson — jeu de poses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Définir les transitions propres au rôle de Miranda Lawson.</x:v>
      </x:c>
      <x:c r="G9" s="9" t="str">
        <x:v>Interlocutrice de mission; présenter ses objectifs sans lui donner une omniscience de gameplay.</x:v>
      </x:c>
      <x:c r="H9" s="9" t="str"/>
      <x:c r="I9" s="9" t="str">
        <x:v>Combinaison claire à panneaux sombres, silhouette tenue; costume du numéro à comparer.</x:v>
      </x:c>
      <x:c r="J9" s="9" t="str">
        <x:v>Posture droite, main sur interface, demi-tour contrôlé. Décomposer anticipation, action, retour et interruption; garder un état neutre utilisable après une cinématique sautée.</x:v>
      </x:c>
      <x:c r="K9" s="9" t="str">
        <x:v>Associer les contacts de sol ou de siège à des événements; éviter le bruitage répété sur une pose tenue.</x:v>
      </x:c>
      <x:c r="L9" s="9" t="str">
        <x:v>Table d'animation prévue RED/MIRANDA; paramètres direction, locomotion, accessoire et interruption.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Un enchaînement déplacement → interaction → interruption → reprise conserve le pivot et les accessoires de Miranda Lawson.</x:v>
      </x:c>
      <x:c r="O9" s="9" t="str">
        <x:v>RED-ACT-MIRANDA, RED-SPR-MIRANDA</x:v>
      </x:c>
      <x:c r="P9" s="9" t="str">
        <x:v>Conception originale, aucune cadence extraite du comic.</x:v>
      </x:c>
      <x:c r="Q9" s="9" t="str"/>
      <x:c r="R9" s="9" t="str"/>
      <x:c r="S9" s="9" t="str"/>
    </x:row>
    <x:row r="10" ht="68" customHeight="1">
      <x:c r="A10" s="19" t="str">
        <x:v>RED-ANI-ARIA</x:v>
      </x:c>
      <x:c r="B10" s="7" t="str">
        <x:v>Aria T’Loak — jeu de poses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Définir les transitions propres au rôle de Aria T’Loak.</x:v>
      </x:c>
      <x:c r="G10" s="7" t="str">
        <x:v>Négociation brève, accès à une information, autorité locale.</x:v>
      </x:c>
      <x:c r="H10" s="7" t="str"/>
      <x:c r="I10" s="7" t="str">
        <x:v>Silhouette asari angulaire, fauteuil en contre-jour et éclairage violet limité au fond.</x:v>
      </x:c>
      <x:c r="J10" s="7" t="str">
        <x:v>Immobilité dominante, inclinaison de tête, geste qui clôt l’entretien. Décomposer anticipation, action, retour et interruption; garder un état neutre utilisable après une cinématique sautée.</x:v>
      </x:c>
      <x:c r="K10" s="7" t="str">
        <x:v>Associer les contacts de sol ou de siège à des événements; éviter le bruitage répété sur une pose tenue.</x:v>
      </x:c>
      <x:c r="L10" s="7" t="str">
        <x:v>Table d'animation prévue RED/ARIA; paramètres direction, locomotion, accessoire et interruption.</x:v>
      </x:c>
      <x:c r="M10" s="7" t="str">
        <x:v>Préserver l’absence active de Shepard, la relation Liara/Feron et le raccord vers ME2; les méthodes d’enquête ne changent pas le sort publié des protagonistes.</x:v>
      </x:c>
      <x:c r="N10" s="7" t="str">
        <x:v>Un enchaînement déplacement → interaction → interruption → reprise conserve le pivot et les accessoires de Aria T’Loak.</x:v>
      </x:c>
      <x:c r="O10" s="7" t="str">
        <x:v>RED-ACT-ARIA, RED-SPR-ARIA</x:v>
      </x:c>
      <x:c r="P10" s="7" t="str">
        <x:v>Conception originale, aucune cadence extraite du comic.</x:v>
      </x:c>
      <x:c r="Q10" s="7" t="str"/>
      <x:c r="R10" s="7" t="str"/>
      <x:c r="S10" s="7" t="str"/>
    </x:row>
    <x:row r="11" ht="68" customHeight="1">
      <x:c r="A11" s="18" t="str">
        <x:v>RED-ANI-TIM</x:v>
      </x:c>
      <x:c r="B11" s="9" t="str">
        <x:v>L’Homme trouble — jeu de poses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Définir les transitions propres au rôle de L’Homme trouble.</x:v>
      </x:c>
      <x:c r="G11" s="9" t="str">
        <x:v>Communication distante; exposer une proposition sans la valider moralement par l’interface.</x:v>
      </x:c>
      <x:c r="H11" s="9" t="str"/>
      <x:c r="I11" s="9" t="str">
        <x:v>Visage partiellement éclairé dans un cadre holographique sobre.</x:v>
      </x:c>
      <x:c r="J11" s="9" t="str">
        <x:v>Regard fixe, déplacement léger de la main, interruption du canal. Décomposer anticipation, action, retour et interruption; garder un état neutre utilisable après une cinématique sautée.</x:v>
      </x:c>
      <x:c r="K11" s="9" t="str">
        <x:v>Associer les contacts de sol ou de siège à des événements; éviter le bruitage répété sur une pose tenue.</x:v>
      </x:c>
      <x:c r="L11" s="9" t="str">
        <x:v>Table d'animation prévue RED/TIM; paramètres direction, locomotion, accessoire et interruption.</x:v>
      </x:c>
      <x:c r="M11" s="9" t="str">
        <x:v>Préserver l’absence active de Shepard, la relation Liara/Feron et le raccord vers ME2; les méthodes d’enquête ne changent pas le sort publié des protagonistes.</x:v>
      </x:c>
      <x:c r="N11" s="9" t="str">
        <x:v>Un enchaînement déplacement → interaction → interruption → reprise conserve le pivot et les accessoires de L’Homme trouble.</x:v>
      </x:c>
      <x:c r="O11" s="9" t="str">
        <x:v>RED-ACT-TIM, RED-SPR-TIM</x:v>
      </x:c>
      <x:c r="P11" s="9" t="str">
        <x:v>Conception originale, aucune cadence extraite du comic.</x:v>
      </x:c>
      <x:c r="Q11" s="9" t="str"/>
      <x:c r="R11" s="9" t="str"/>
      <x:c r="S11" s="9" t="str"/>
    </x:row>
    <x:row r="12" ht="68" customHeight="1">
      <x:c r="A12" s="19" t="str">
        <x:v>RED-ANI-TAZZIK</x:v>
      </x:c>
      <x:c r="B12" s="7" t="str">
        <x:v>Tazzik — jeu de poses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Définir les transitions propres au rôle de Tazzik.</x:v>
      </x:c>
      <x:c r="G12" s="7" t="str">
        <x:v>Antagoniste identifiable; pression à distance et obstacle à la récupération.</x:v>
      </x:c>
      <x:c r="H12" s="7" t="str"/>
      <x:c r="I12" s="7" t="str">
        <x:v>Silhouette salariane exceptionnellement imposante à contrôler; épaules lisibles, teinte froide.</x:v>
      </x:c>
      <x:c r="J12" s="7" t="str">
        <x:v>Visée basse, recul bref, blocage de passage et retournement. Décomposer anticipation, action, retour et interruption; garder un état neutre utilisable après une cinématique sautée.</x:v>
      </x:c>
      <x:c r="K12" s="7" t="str">
        <x:v>Associer les contacts de sol ou de siège à des événements; éviter le bruitage répété sur une pose tenue.</x:v>
      </x:c>
      <x:c r="L12" s="7" t="str">
        <x:v>Table d'animation prévue RED/TAZZIK; paramètres direction, locomotion, accessoire et interruption.</x:v>
      </x:c>
      <x:c r="M12" s="7" t="str">
        <x:v>Préserver l’absence active de Shepard, la relation Liara/Feron et le raccord vers ME2; les méthodes d’enquête ne changent pas le sort publié des protagonistes.</x:v>
      </x:c>
      <x:c r="N12" s="7" t="str">
        <x:v>Un enchaînement déplacement → interaction → interruption → reprise conserve le pivot et les accessoires de Tazzik.</x:v>
      </x:c>
      <x:c r="O12" s="7" t="str">
        <x:v>RED-ACT-TAZZIK, RED-SPR-TAZZIK</x:v>
      </x:c>
      <x:c r="P12" s="7" t="str">
        <x:v>Conception originale, aucune cadence extraite du comic.</x:v>
      </x:c>
      <x:c r="Q12" s="7" t="str"/>
      <x:c r="R12" s="7" t="str"/>
      <x:c r="S12" s="7" t="str"/>
    </x:row>
    <x:row r="13" ht="68" customHeight="1">
      <x:c r="A13" s="18" t="str">
        <x:v>RED-ANI-BROKER</x:v>
      </x:c>
      <x:c r="B13" s="9" t="str">
        <x:v>Courtier de l’ombre — représentation distante — jeu de poses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Définir les transitions propres au rôle de Courtier de l’ombre — représentation distante.</x:v>
      </x:c>
      <x:c r="G13" s="9" t="str">
        <x:v>Présence par relais et informations; ne pas révéler sa forme comme un nouveau combat.</x:v>
      </x:c>
      <x:c r="H13" s="9" t="str"/>
      <x:c r="I13" s="9" t="str">
        <x:v>Écran opaque, contour artificiel et fond sombre; aucune identité visible ajoutée.</x:v>
      </x:c>
      <x:c r="J13" s="9" t="str">
        <x:v>Interface active, brouillage puis extinction. Décomposer anticipation, action, retour et interruption; garder un état neutre utilisable après une cinématique sautée.</x:v>
      </x:c>
      <x:c r="K13" s="9" t="str">
        <x:v>Associer les contacts de sol ou de siège à des événements; éviter le bruitage répété sur une pose tenue.</x:v>
      </x:c>
      <x:c r="L13" s="9" t="str">
        <x:v>Table d'animation prévue RED/BROKER; paramètres direction, locomotion, accessoire et interruption.</x:v>
      </x:c>
      <x:c r="M13" s="9" t="str">
        <x:v>Préserver l’absence active de Shepard, la relation Liara/Feron et le raccord vers ME2; les méthodes d’enquête ne changent pas le sort publié des protagonistes.</x:v>
      </x:c>
      <x:c r="N13" s="9" t="str">
        <x:v>Un enchaînement déplacement → interaction → interruption → reprise conserve le pivot et les accessoires de Courtier de l’ombre — représentation distante.</x:v>
      </x:c>
      <x:c r="O13" s="9" t="str">
        <x:v>RED-ACT-BROKER, RED-SPR-BROKER</x:v>
      </x:c>
      <x:c r="P13" s="9" t="str">
        <x:v>Conception originale, aucune cadence extraite du comic.</x:v>
      </x:c>
      <x:c r="Q13" s="9" t="str"/>
      <x:c r="R13" s="9" t="str"/>
      <x:c r="S13" s="9" t="str"/>
    </x:row>
  </x:sheetData>
  <x:conditionalFormatting sqref="D7:D13">
    <x:cfRule type="cellIs" dxfId="76" priority="1" operator="equal">
      <x:formula>"À vérifier"</x:formula>
    </x:cfRule>
    <x:cfRule type="cellIs" dxfId="77" priority="2" operator="equal">
      <x:formula>"Extrapolation"</x:formula>
    </x:cfRule>
  </x:conditionalFormatting>
  <x:conditionalFormatting sqref="C7:C13">
    <x:cfRule type="cellIs" dxfId="78" priority="3" operator="equal">
      <x:formula>"Validé"</x:formula>
    </x:cfRule>
  </x:conditionalFormatting>
  <x:conditionalFormatting sqref="E7:E13">
    <x:cfRule type="cellIs" dxfId="79" priority="4" operator="equal">
      <x:formula>"P0"</x:formula>
    </x:cfRule>
  </x:conditionalFormatting>
  <x:dataValidations count="3">
    <x:dataValidation type="list" sqref="C7:C13">
      <x:formula1>"Défini,Prototype,Intégré,Validé"</x:formula1>
    </x:dataValidation>
    <x:dataValidation type="list" sqref="D7:D13">
      <x:formula1>"Établi,À vérifier,Extrapolation,Coupé attesté,Concept abandonné,Allégation écartée"</x:formula1>
    </x:dataValidation>
    <x:dataValidation type="list" sqref="E7:E13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460185362cf4919"/>
  </x:tableParts>
</x:worksheet>
</file>

<file path=xl/worksheets/sheet2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Sprites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Livrables 2D, portraits et variantes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RED-SPR-LIARA</x:v>
      </x:c>
      <x:c r="B7" s="9" t="str">
        <x:v>Liara T’Soni — planche de sprites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Produire une silhouette lisible pour Liara T’Soni dans le module Redemption.</x:v>
      </x:c>
      <x:c r="G7" s="9" t="str">
        <x:v>Héroïne du duo; maîtrise du terrain et questions d’enquête.</x:v>
      </x:c>
      <x:c r="H7" s="9" t="str"/>
      <x:c r="I7" s="9" t="str">
        <x:v>Peau bleue, crête asari et manteau de terrain simplifié; accents cyan réservés aux actions. Prévoir face, dos et profils trois-quarts; conserver le même pivot de pieds dans chaque pose.</x:v>
      </x:c>
      <x:c r="J7" s="9" t="str">
        <x:v>Garde ouverte, poussée des deux bras, lecture d’un terminal, protection du partenaire. Séparer arme/objet tenu du corps lorsque le changement de main est nécessaire.</x:v>
      </x:c>
      <x:c r="K7" s="9" t="str"/>
      <x:c r="L7" s="9" t="str">
        <x:v>Atlas prévu red/actors/liara; métadonnées pivot, masque d'occlusion, orientation et état. Aucun fichier de sprite n'est livré par ce catalogue.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La planche permet d'identifier Liara T’Soni sans portrait UI à l'échelle de jeu; pieds stables devant les occultations du décor 3D.</x:v>
      </x:c>
      <x:c r="O7" s="9" t="str">
        <x:v>RED-ACT-LIARA</x:v>
      </x:c>
      <x:c r="P7" s="9" t="str">
        <x:v>Conception originale; référence visuelle du personnage à contrôler.</x:v>
      </x:c>
      <x:c r="Q7" s="9" t="str"/>
      <x:c r="R7" s="9" t="str"/>
      <x:c r="S7" s="9" t="str"/>
    </x:row>
    <x:row r="8" ht="68" customHeight="1">
      <x:c r="A8" s="19" t="str">
        <x:v>RED-SPR-FERON</x:v>
      </x:c>
      <x:c r="B8" s="7" t="str">
        <x:v>Feron — planche de sprites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Produire une silhouette lisible pour Feron dans le module Redemption.</x:v>
      </x:c>
      <x:c r="G8" s="7" t="str">
        <x:v>Soutien furtif; transforme une information en fenêtre de progression.</x:v>
      </x:c>
      <x:c r="H8" s="7" t="str"/>
      <x:c r="I8" s="7" t="str">
        <x:v>Tête reptilienne et col haut, couches de vêtement lisibles; motifs précis à vérifier. Prévoir face, dos et profils trois-quarts; conserver le même pivot de pieds dans chaque pose.</x:v>
      </x:c>
      <x:c r="J8" s="7" t="str">
        <x:v>Coup d’œil latéral, geste de passe, accroupissement et manipulation discrète. Séparer arme/objet tenu du corps lorsque le changement de main est nécessaire.</x:v>
      </x:c>
      <x:c r="K8" s="7" t="str"/>
      <x:c r="L8" s="7" t="str">
        <x:v>Atlas prévu red/actors/feron; métadonnées pivot, masque d'occlusion, orientation et état. Aucun fichier de sprite n'est livré par ce catalogue.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La planche permet d'identifier Feron sans portrait UI à l'échelle de jeu; pieds stables devant les occultations du décor 3D.</x:v>
      </x:c>
      <x:c r="O8" s="7" t="str">
        <x:v>RED-ACT-FERON</x:v>
      </x:c>
      <x:c r="P8" s="7" t="str">
        <x:v>Conception originale; référence visuelle du personnage à contrôler.</x:v>
      </x:c>
      <x:c r="Q8" s="7" t="str"/>
      <x:c r="R8" s="7" t="str"/>
      <x:c r="S8" s="7" t="str"/>
    </x:row>
    <x:row r="9" ht="68" customHeight="1">
      <x:c r="A9" s="18" t="str">
        <x:v>RED-SPR-MIRANDA</x:v>
      </x:c>
      <x:c r="B9" s="9" t="str">
        <x:v>Miranda Lawson — planche de sprites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Produire une silhouette lisible pour Miranda Lawson dans le module Redemption.</x:v>
      </x:c>
      <x:c r="G9" s="9" t="str">
        <x:v>Interlocutrice de mission; présenter ses objectifs sans lui donner une omniscience de gameplay.</x:v>
      </x:c>
      <x:c r="H9" s="9" t="str"/>
      <x:c r="I9" s="9" t="str">
        <x:v>Combinaison claire à panneaux sombres, silhouette tenue; costume du numéro à comparer. Prévoir face, dos et profils trois-quarts; conserver le même pivot de pieds dans chaque pose.</x:v>
      </x:c>
      <x:c r="J9" s="9" t="str">
        <x:v>Posture droite, main sur interface, demi-tour contrôlé. Séparer arme/objet tenu du corps lorsque le changement de main est nécessaire.</x:v>
      </x:c>
      <x:c r="K9" s="9" t="str"/>
      <x:c r="L9" s="9" t="str">
        <x:v>Atlas prévu red/actors/miranda; métadonnées pivot, masque d'occlusion, orientation et état. Aucun fichier de sprite n'est livré par ce catalogue.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La planche permet d'identifier Miranda Lawson sans portrait UI à l'échelle de jeu; pieds stables devant les occultations du décor 3D.</x:v>
      </x:c>
      <x:c r="O9" s="9" t="str">
        <x:v>RED-ACT-MIRANDA</x:v>
      </x:c>
      <x:c r="P9" s="9" t="str">
        <x:v>Conception originale; référence visuelle du personnage à contrôler.</x:v>
      </x:c>
      <x:c r="Q9" s="9" t="str"/>
      <x:c r="R9" s="9" t="str"/>
      <x:c r="S9" s="9" t="str"/>
    </x:row>
    <x:row r="10" ht="68" customHeight="1">
      <x:c r="A10" s="19" t="str">
        <x:v>RED-SPR-ARIA</x:v>
      </x:c>
      <x:c r="B10" s="7" t="str">
        <x:v>Aria T’Loak — planche de sprites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Produire une silhouette lisible pour Aria T’Loak dans le module Redemption.</x:v>
      </x:c>
      <x:c r="G10" s="7" t="str">
        <x:v>Négociation brève, accès à une information, autorité locale.</x:v>
      </x:c>
      <x:c r="H10" s="7" t="str"/>
      <x:c r="I10" s="7" t="str">
        <x:v>Silhouette asari angulaire, fauteuil en contre-jour et éclairage violet limité au fond. Prévoir face, dos et profils trois-quarts; conserver le même pivot de pieds dans chaque pose.</x:v>
      </x:c>
      <x:c r="J10" s="7" t="str">
        <x:v>Immobilité dominante, inclinaison de tête, geste qui clôt l’entretien. Séparer arme/objet tenu du corps lorsque le changement de main est nécessaire.</x:v>
      </x:c>
      <x:c r="K10" s="7" t="str"/>
      <x:c r="L10" s="7" t="str">
        <x:v>Atlas prévu red/actors/aria; métadonnées pivot, masque d'occlusion, orientation et état. Aucun fichier de sprite n'est livré par ce catalogue.</x:v>
      </x:c>
      <x:c r="M10" s="7" t="str">
        <x:v>Préserver l’absence active de Shepard, la relation Liara/Feron et le raccord vers ME2; les méthodes d’enquête ne changent pas le sort publié des protagonistes.</x:v>
      </x:c>
      <x:c r="N10" s="7" t="str">
        <x:v>La planche permet d'identifier Aria T’Loak sans portrait UI à l'échelle de jeu; pieds stables devant les occultations du décor 3D.</x:v>
      </x:c>
      <x:c r="O10" s="7" t="str">
        <x:v>RED-ACT-ARIA</x:v>
      </x:c>
      <x:c r="P10" s="7" t="str">
        <x:v>Conception originale; référence visuelle du personnage à contrôler.</x:v>
      </x:c>
      <x:c r="Q10" s="7" t="str"/>
      <x:c r="R10" s="7" t="str"/>
      <x:c r="S10" s="7" t="str"/>
    </x:row>
    <x:row r="11" ht="68" customHeight="1">
      <x:c r="A11" s="18" t="str">
        <x:v>RED-SPR-TIM</x:v>
      </x:c>
      <x:c r="B11" s="9" t="str">
        <x:v>L’Homme trouble — planche de sprites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Produire une silhouette lisible pour L’Homme trouble dans le module Redemption.</x:v>
      </x:c>
      <x:c r="G11" s="9" t="str">
        <x:v>Communication distante; exposer une proposition sans la valider moralement par l’interface.</x:v>
      </x:c>
      <x:c r="H11" s="9" t="str"/>
      <x:c r="I11" s="9" t="str">
        <x:v>Visage partiellement éclairé dans un cadre holographique sobre. Prévoir face, dos et profils trois-quarts; conserver le même pivot de pieds dans chaque pose.</x:v>
      </x:c>
      <x:c r="J11" s="9" t="str">
        <x:v>Regard fixe, déplacement léger de la main, interruption du canal. Séparer arme/objet tenu du corps lorsque le changement de main est nécessaire.</x:v>
      </x:c>
      <x:c r="K11" s="9" t="str"/>
      <x:c r="L11" s="9" t="str">
        <x:v>Atlas prévu red/actors/tim; métadonnées pivot, masque d'occlusion, orientation et état. Aucun fichier de sprite n'est livré par ce catalogue.</x:v>
      </x:c>
      <x:c r="M11" s="9" t="str">
        <x:v>Préserver l’absence active de Shepard, la relation Liara/Feron et le raccord vers ME2; les méthodes d’enquête ne changent pas le sort publié des protagonistes.</x:v>
      </x:c>
      <x:c r="N11" s="9" t="str">
        <x:v>La planche permet d'identifier L’Homme trouble sans portrait UI à l'échelle de jeu; pieds stables devant les occultations du décor 3D.</x:v>
      </x:c>
      <x:c r="O11" s="9" t="str">
        <x:v>RED-ACT-TIM</x:v>
      </x:c>
      <x:c r="P11" s="9" t="str">
        <x:v>Conception originale; référence visuelle du personnage à contrôler.</x:v>
      </x:c>
      <x:c r="Q11" s="9" t="str"/>
      <x:c r="R11" s="9" t="str"/>
      <x:c r="S11" s="9" t="str"/>
    </x:row>
    <x:row r="12" ht="68" customHeight="1">
      <x:c r="A12" s="19" t="str">
        <x:v>RED-SPR-TAZZIK</x:v>
      </x:c>
      <x:c r="B12" s="7" t="str">
        <x:v>Tazzik — planche de sprites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Produire une silhouette lisible pour Tazzik dans le module Redemption.</x:v>
      </x:c>
      <x:c r="G12" s="7" t="str">
        <x:v>Antagoniste identifiable; pression à distance et obstacle à la récupération.</x:v>
      </x:c>
      <x:c r="H12" s="7" t="str"/>
      <x:c r="I12" s="7" t="str">
        <x:v>Silhouette salariane exceptionnellement imposante à contrôler; épaules lisibles, teinte froide. Prévoir face, dos et profils trois-quarts; conserver le même pivot de pieds dans chaque pose.</x:v>
      </x:c>
      <x:c r="J12" s="7" t="str">
        <x:v>Visée basse, recul bref, blocage de passage et retournement. Séparer arme/objet tenu du corps lorsque le changement de main est nécessaire.</x:v>
      </x:c>
      <x:c r="K12" s="7" t="str"/>
      <x:c r="L12" s="7" t="str">
        <x:v>Atlas prévu red/actors/tazzik; métadonnées pivot, masque d'occlusion, orientation et état. Aucun fichier de sprite n'est livré par ce catalogue.</x:v>
      </x:c>
      <x:c r="M12" s="7" t="str">
        <x:v>Préserver l’absence active de Shepard, la relation Liara/Feron et le raccord vers ME2; les méthodes d’enquête ne changent pas le sort publié des protagonistes.</x:v>
      </x:c>
      <x:c r="N12" s="7" t="str">
        <x:v>La planche permet d'identifier Tazzik sans portrait UI à l'échelle de jeu; pieds stables devant les occultations du décor 3D.</x:v>
      </x:c>
      <x:c r="O12" s="7" t="str">
        <x:v>RED-ACT-TAZZIK</x:v>
      </x:c>
      <x:c r="P12" s="7" t="str">
        <x:v>Conception originale; référence visuelle du personnage à contrôler.</x:v>
      </x:c>
      <x:c r="Q12" s="7" t="str"/>
      <x:c r="R12" s="7" t="str"/>
      <x:c r="S12" s="7" t="str"/>
    </x:row>
    <x:row r="13" ht="68" customHeight="1">
      <x:c r="A13" s="18" t="str">
        <x:v>RED-SPR-BROKER</x:v>
      </x:c>
      <x:c r="B13" s="9" t="str">
        <x:v>Courtier de l’ombre — représentation distante — planche de sprites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Produire une silhouette lisible pour Courtier de l’ombre — représentation distante dans le module Redemption.</x:v>
      </x:c>
      <x:c r="G13" s="9" t="str">
        <x:v>Présence par relais et informations; ne pas révéler sa forme comme un nouveau combat.</x:v>
      </x:c>
      <x:c r="H13" s="9" t="str"/>
      <x:c r="I13" s="9" t="str">
        <x:v>Écran opaque, contour artificiel et fond sombre; aucune identité visible ajoutée. Prévoir face, dos et profils trois-quarts; conserver le même pivot de pieds dans chaque pose.</x:v>
      </x:c>
      <x:c r="J13" s="9" t="str">
        <x:v>Interface active, brouillage puis extinction. Séparer arme/objet tenu du corps lorsque le changement de main est nécessaire.</x:v>
      </x:c>
      <x:c r="K13" s="9" t="str"/>
      <x:c r="L13" s="9" t="str">
        <x:v>Atlas prévu red/actors/broker; métadonnées pivot, masque d'occlusion, orientation et état. Aucun fichier de sprite n'est livré par ce catalogue.</x:v>
      </x:c>
      <x:c r="M13" s="9" t="str">
        <x:v>Préserver l’absence active de Shepard, la relation Liara/Feron et le raccord vers ME2; les méthodes d’enquête ne changent pas le sort publié des protagonistes.</x:v>
      </x:c>
      <x:c r="N13" s="9" t="str">
        <x:v>La planche permet d'identifier Courtier de l’ombre — représentation distante sans portrait UI à l'échelle de jeu; pieds stables devant les occultations du décor 3D.</x:v>
      </x:c>
      <x:c r="O13" s="9" t="str">
        <x:v>RED-ACT-BROKER</x:v>
      </x:c>
      <x:c r="P13" s="9" t="str">
        <x:v>Conception originale; référence visuelle du personnage à contrôler.</x:v>
      </x:c>
      <x:c r="Q13" s="9" t="str"/>
      <x:c r="R13" s="9" t="str"/>
      <x:c r="S13" s="9" t="str"/>
    </x:row>
  </x:sheetData>
  <x:conditionalFormatting sqref="D7:D13">
    <x:cfRule type="cellIs" dxfId="80" priority="1" operator="equal">
      <x:formula>"À vérifier"</x:formula>
    </x:cfRule>
    <x:cfRule type="cellIs" dxfId="81" priority="2" operator="equal">
      <x:formula>"Extrapolation"</x:formula>
    </x:cfRule>
  </x:conditionalFormatting>
  <x:conditionalFormatting sqref="C7:C13">
    <x:cfRule type="cellIs" dxfId="82" priority="3" operator="equal">
      <x:formula>"Validé"</x:formula>
    </x:cfRule>
  </x:conditionalFormatting>
  <x:conditionalFormatting sqref="E7:E13">
    <x:cfRule type="cellIs" dxfId="83" priority="4" operator="equal">
      <x:formula>"P0"</x:formula>
    </x:cfRule>
  </x:conditionalFormatting>
  <x:dataValidations count="3">
    <x:dataValidation type="list" sqref="C7:C13">
      <x:formula1>"Défini,Prototype,Intégré,Validé"</x:formula1>
    </x:dataValidation>
    <x:dataValidation type="list" sqref="D7:D13">
      <x:formula1>"Établi,À vérifier,Extrapolation,Coupé attesté,Concept abandonné,Allégation écartée"</x:formula1>
    </x:dataValidation>
    <x:dataValidation type="list" sqref="E7:E13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07aed0cb89e434c"/>
  </x:tableParts>
</x:worksheet>
</file>

<file path=xl/worksheets/sheet2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VFX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Effets visuels et lisibilité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RED-SC-CONTACT-VFX</x:v>
      </x:c>
      <x:c r="B7" s="9" t="str">
        <x:v>Contact sur Omega — signal visuel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Pulsation douce du repère avec symbole d’enquête, différente d’un objet de combat.</x:v>
      </x:c>
      <x:c r="G7" s="9" t="str">
        <x:v>Rendre lisibles les interactions propres à cette séquence à la taille réelle du jeu.</x:v>
      </x:c>
      <x:c r="H7" s="9" t="str"/>
      <x:c r="I7" s="9" t="str">
        <x:v>Pulsation douce du repère avec symbole d’enquête, différente d’un objet de combat.</x:v>
      </x:c>
      <x:c r="J7" s="9" t="str">
        <x:v>Anticipation séparée de l’impact; variante sans flash, sans secousse et à contraste renforcé.</x:v>
      </x:c>
      <x:c r="K7" s="9" t="str">
        <x:v>Brouhaha bas et motif de deux notes dissonantes.</x:v>
      </x:c>
      <x:c r="L7" s="9" t="str">
        <x:v>Émetteur proposé RED/CONTACT/vfx; ancrage sur monde 3D et tri compatible avec les sprites; options de confort indépendantes.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Le signal reste identifiable en pause et sans son; aucun flash plein écran indispensable pour comprendre la résolution.</x:v>
      </x:c>
      <x:c r="O7" s="9" t="str">
        <x:v>RED-SC-CONTACT-MAIN</x:v>
      </x:c>
      <x:c r="P7" s="9" t="str">
        <x:v>VFX original; intensité et timing à régler au prototype.</x:v>
      </x:c>
      <x:c r="Q7" s="9" t="str"/>
      <x:c r="R7" s="9" t="str"/>
      <x:c r="S7" s="9" t="str"/>
    </x:row>
    <x:row r="8" ht="68" customHeight="1">
      <x:c r="A8" s="19" t="str">
        <x:v>RED-SC-AFTERLIFE-VFX</x:v>
      </x:c>
      <x:c r="B8" s="7" t="str">
        <x:v>Entretien à Afterlife — signal visuel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Lueur de confirmation sur le terminal, sans effet de gain de puissance.</x:v>
      </x:c>
      <x:c r="G8" s="7" t="str">
        <x:v>Rendre lisibles les interactions propres à cette séquence à la taille réelle du jeu.</x:v>
      </x:c>
      <x:c r="H8" s="7" t="str"/>
      <x:c r="I8" s="7" t="str">
        <x:v>Lueur de confirmation sur le terminal, sans effet de gain de puissance.</x:v>
      </x:c>
      <x:c r="J8" s="7" t="str">
        <x:v>Anticipation séparée de l’impact; variante sans flash, sans secousse et à contraste renforcé.</x:v>
      </x:c>
      <x:c r="K8" s="7" t="str">
        <x:v>Musique de club originale filtrée durant la conversation.</x:v>
      </x:c>
      <x:c r="L8" s="7" t="str">
        <x:v>Émetteur proposé RED/AFTERLIFE/vfx; ancrage sur monde 3D et tri compatible avec les sprites; options de confort indépendantes.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Le signal reste identifiable en pause et sans son; aucun flash plein écran indispensable pour comprendre la résolution.</x:v>
      </x:c>
      <x:c r="O8" s="7" t="str">
        <x:v>RED-SC-AFTERLIFE-MAIN</x:v>
      </x:c>
      <x:c r="P8" s="7" t="str">
        <x:v>VFX original; intensité et timing à régler au prototype.</x:v>
      </x:c>
      <x:c r="Q8" s="7" t="str"/>
      <x:c r="R8" s="7" t="str"/>
      <x:c r="S8" s="7" t="str"/>
    </x:row>
    <x:row r="9" ht="68" customHeight="1">
      <x:c r="A9" s="18" t="str">
        <x:v>RED-SC-DOCKS-VFX</x:v>
      </x:c>
      <x:c r="B9" s="9" t="str">
        <x:v>Docks et transfert — signal visuel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Traits de visée arrêtés par les caisses; fermeture de porte annoncée au sol.</x:v>
      </x:c>
      <x:c r="G9" s="9" t="str">
        <x:v>Rendre lisibles les interactions propres à cette séquence à la taille réelle du jeu.</x:v>
      </x:c>
      <x:c r="H9" s="9" t="str"/>
      <x:c r="I9" s="9" t="str">
        <x:v>Traits de visée arrêtés par les caisses; fermeture de porte annoncée au sol.</x:v>
      </x:c>
      <x:c r="J9" s="9" t="str">
        <x:v>Anticipation séparée de l’impact; variante sans flash, sans secousse et à contraste renforcé.</x:v>
      </x:c>
      <x:c r="K9" s="9" t="str">
        <x:v>Grue, verrou de sas et poussée de moteur.</x:v>
      </x:c>
      <x:c r="L9" s="9" t="str">
        <x:v>Émetteur proposé RED/DOCKS/vfx; ancrage sur monde 3D et tri compatible avec les sprites; options de confort indépendantes.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Le signal reste identifiable en pause et sans son; aucun flash plein écran indispensable pour comprendre la résolution.</x:v>
      </x:c>
      <x:c r="O9" s="9" t="str">
        <x:v>RED-SC-DOCKS-MAIN</x:v>
      </x:c>
      <x:c r="P9" s="9" t="str">
        <x:v>VFX original; intensité et timing à régler au prototype.</x:v>
      </x:c>
      <x:c r="Q9" s="9" t="str"/>
      <x:c r="R9" s="9" t="str"/>
      <x:c r="S9" s="9" t="str"/>
    </x:row>
    <x:row r="10" ht="68" customHeight="1">
      <x:c r="A10" s="19" t="str">
        <x:v>RED-SC-PURSUIT-VFX</x:v>
      </x:c>
      <x:c r="B10" s="7" t="str">
        <x:v>Rejoindre la base — signal visuel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Traînée de route temporaire et masque de brouillage périphérique; pas de flash global.</x:v>
      </x:c>
      <x:c r="G10" s="7" t="str">
        <x:v>Rendre lisibles les interactions propres à cette séquence à la taille réelle du jeu.</x:v>
      </x:c>
      <x:c r="H10" s="7" t="str"/>
      <x:c r="I10" s="7" t="str">
        <x:v>Traînée de route temporaire et masque de brouillage périphérique; pas de flash global.</x:v>
      </x:c>
      <x:c r="J10" s="7" t="str">
        <x:v>Anticipation séparée de l’impact; variante sans flash, sans secousse et à contraste renforcé.</x:v>
      </x:c>
      <x:c r="K10" s="7" t="str">
        <x:v>Bourdonnement de coque puis silence radio annoncé.</x:v>
      </x:c>
      <x:c r="L10" s="7" t="str">
        <x:v>Émetteur proposé RED/PURSUIT/vfx; ancrage sur monde 3D et tri compatible avec les sprites; options de confort indépendantes.</x:v>
      </x:c>
      <x:c r="M10" s="7" t="str">
        <x:v>Préserver l’absence active de Shepard, la relation Liara/Feron et le raccord vers ME2; les méthodes d’enquête ne changent pas le sort publié des protagonistes.</x:v>
      </x:c>
      <x:c r="N10" s="7" t="str">
        <x:v>Le signal reste identifiable en pause et sans son; aucun flash plein écran indispensable pour comprendre la résolution.</x:v>
      </x:c>
      <x:c r="O10" s="7" t="str">
        <x:v>RED-SC-PURSUIT-MAIN</x:v>
      </x:c>
      <x:c r="P10" s="7" t="str">
        <x:v>VFX original; intensité et timing à régler au prototype.</x:v>
      </x:c>
      <x:c r="Q10" s="7" t="str"/>
      <x:c r="R10" s="7" t="str"/>
      <x:c r="S10" s="7" t="str"/>
    </x:row>
    <x:row r="11" ht="68" customHeight="1">
      <x:c r="A11" s="18" t="str">
        <x:v>RED-SC-ACCESS-VFX</x:v>
      </x:c>
      <x:c r="B11" s="9" t="str">
        <x:v>Identité et accès compartimentés — signal visuel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Deux cadres distincts indiquent identité acceptée et porte accessible.</x:v>
      </x:c>
      <x:c r="G11" s="9" t="str">
        <x:v>Rendre lisibles les interactions propres à cette séquence à la taille réelle du jeu.</x:v>
      </x:c>
      <x:c r="H11" s="9" t="str"/>
      <x:c r="I11" s="9" t="str">
        <x:v>Deux cadres distincts indiquent identité acceptée et porte accessible.</x:v>
      </x:c>
      <x:c r="J11" s="9" t="str">
        <x:v>Anticipation séparée de l’impact; variante sans flash, sans secousse et à contraste renforcé.</x:v>
      </x:c>
      <x:c r="K11" s="9" t="str">
        <x:v>Interphone étouffé et clics d’autorisation.</x:v>
      </x:c>
      <x:c r="L11" s="9" t="str">
        <x:v>Émetteur proposé RED/ACCESS/vfx; ancrage sur monde 3D et tri compatible avec les sprites; options de confort indépendantes.</x:v>
      </x:c>
      <x:c r="M11" s="9" t="str">
        <x:v>Préserver l’absence active de Shepard, la relation Liara/Feron et le raccord vers ME2; les méthodes d’enquête ne changent pas le sort publié des protagonistes.</x:v>
      </x:c>
      <x:c r="N11" s="9" t="str">
        <x:v>Le signal reste identifiable en pause et sans son; aucun flash plein écran indispensable pour comprendre la résolution.</x:v>
      </x:c>
      <x:c r="O11" s="9" t="str">
        <x:v>RED-SC-ACCESS-MAIN</x:v>
      </x:c>
      <x:c r="P11" s="9" t="str">
        <x:v>VFX original; intensité et timing à régler au prototype.</x:v>
      </x:c>
      <x:c r="Q11" s="9" t="str"/>
      <x:c r="R11" s="9" t="str"/>
      <x:c r="S11" s="9" t="str"/>
    </x:row>
    <x:row r="12" ht="68" customHeight="1">
      <x:c r="A12" s="19" t="str">
        <x:v>RED-SC-RECOVER-VFX</x:v>
      </x:c>
      <x:c r="B12" s="7" t="str">
        <x:v>Récupération et séparation — signal visuel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Ligne de liaison du duo qui s’interrompt au raccord; indication de sortie maintenue.</x:v>
      </x:c>
      <x:c r="G12" s="7" t="str">
        <x:v>Rendre lisibles les interactions propres à cette séquence à la taille réelle du jeu.</x:v>
      </x:c>
      <x:c r="H12" s="7" t="str"/>
      <x:c r="I12" s="7" t="str">
        <x:v>Ligne de liaison du duo qui s’interrompt au raccord; indication de sortie maintenue.</x:v>
      </x:c>
      <x:c r="J12" s="7" t="str">
        <x:v>Anticipation séparée de l’impact; variante sans flash, sans secousse et à contraste renforcé.</x:v>
      </x:c>
      <x:c r="K12" s="7" t="str">
        <x:v>Moteur croissant, communication coupée puis thème inachevé original.</x:v>
      </x:c>
      <x:c r="L12" s="7" t="str">
        <x:v>Émetteur proposé RED/RECOVER/vfx; ancrage sur monde 3D et tri compatible avec les sprites; options de confort indépendantes.</x:v>
      </x:c>
      <x:c r="M12" s="7" t="str">
        <x:v>Préserver l’absence active de Shepard, la relation Liara/Feron et le raccord vers ME2; les méthodes d’enquête ne changent pas le sort publié des protagonistes.</x:v>
      </x:c>
      <x:c r="N12" s="7" t="str">
        <x:v>Le signal reste identifiable en pause et sans son; aucun flash plein écran indispensable pour comprendre la résolution.</x:v>
      </x:c>
      <x:c r="O12" s="7" t="str">
        <x:v>RED-SC-RECOVER-MAIN</x:v>
      </x:c>
      <x:c r="P12" s="7" t="str">
        <x:v>VFX original; intensité et timing à régler au prototype.</x:v>
      </x:c>
      <x:c r="Q12" s="7" t="str"/>
      <x:c r="R12" s="7" t="str"/>
      <x:c r="S12" s="7" t="str"/>
    </x:row>
  </x:sheetData>
  <x:conditionalFormatting sqref="D7:D12">
    <x:cfRule type="cellIs" dxfId="84" priority="1" operator="equal">
      <x:formula>"À vérifier"</x:formula>
    </x:cfRule>
    <x:cfRule type="cellIs" dxfId="85" priority="2" operator="equal">
      <x:formula>"Extrapolation"</x:formula>
    </x:cfRule>
  </x:conditionalFormatting>
  <x:conditionalFormatting sqref="C7:C12">
    <x:cfRule type="cellIs" dxfId="86" priority="3" operator="equal">
      <x:formula>"Validé"</x:formula>
    </x:cfRule>
  </x:conditionalFormatting>
  <x:conditionalFormatting sqref="E7:E12">
    <x:cfRule type="cellIs" dxfId="87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e8f6c24787640f3"/>
  </x:tableParts>
</x:worksheet>
</file>

<file path=xl/worksheets/sheet2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Audio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Ambiances, effets et musique originale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RED-AUD-OMEGA</x:v>
      </x:c>
      <x:c r="B7" s="9" t="str">
        <x:v>Omega — paysage sonore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Ventilation grave, annonces lointaines inventées et percussion métallique espacée.</x:v>
      </x:c>
      <x:c r="G7" s="9" t="str">
        <x:v>Hub de pistes sous tension.</x:v>
      </x:c>
      <x:c r="H7" s="9" t="str">
        <x:v>Doubler les alarmes utiles par texte, symbole ou changement de pose; les bruits d’ambiance ne portent pas seuls une information obligatoire.</x:v>
      </x:c>
      <x:c r="I7" s="9" t="str">
        <x:v>Métal usé, lumière orange latérale et profondeur industrielle; sol clair sous les sprites.</x:v>
      </x:c>
      <x:c r="J7" s="9" t="str">
        <x:v>Déclencher les contacts mécaniques au mouvement visible; éviter les boucles désynchronisées des portes.</x:v>
      </x:c>
      <x:c r="K7" s="9" t="str">
        <x:v>Ventilation grave, annonces lointaines inventées et percussion métallique espacée. Composer une ambiance originale en couches fond / activité / danger, avec réglage indépendant des voix.</x:v>
      </x:c>
      <x:c r="L7" s="9" t="str">
        <x:v>Bus proposé RED/OMEGA; snapshots exploration, tension et dialogue; fondus après chargement.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Un parcours muet reste compréhensible; l’entrée en dialogue baisse les ambiances sans couper brutalement leur réverbération.</x:v>
      </x:c>
      <x:c r="O7" s="9" t="str">
        <x:v>RED-ZONE-OMEGA</x:v>
      </x:c>
      <x:c r="P7" s="9" t="str">
        <x:v>Création sonore originale; aucune piste commerciale requise.</x:v>
      </x:c>
      <x:c r="Q7" s="9" t="str"/>
      <x:c r="R7" s="9" t="str"/>
      <x:c r="S7" s="9" t="str"/>
    </x:row>
    <x:row r="8" ht="82" customHeight="1">
      <x:c r="A8" s="19" t="str">
        <x:v>RED-AUD-ALINGON</x:v>
      </x:c>
      <x:c r="B8" s="7" t="str">
        <x:v>Alingon / Alignon — graphie à contrôler — paysage sonore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Souffle électrique irrégulier et portes étanches, avec absence calculée de radio.</x:v>
      </x:c>
      <x:c r="G8" s="7" t="str">
        <x:v>Faire sentir l’isolement informationnel.</x:v>
      </x:c>
      <x:c r="H8" s="7" t="str">
        <x:v>Doubler les alarmes utiles par texte, symbole ou changement de pose; les bruits d’ambiance ne portent pas seuls une information obligatoire.</x:v>
      </x:c>
      <x:c r="I8" s="7" t="str">
        <x:v>Roche sombre, métal mat et arcs lumineux très discrets; brouillage en bord de cadre.</x:v>
      </x:c>
      <x:c r="J8" s="7" t="str">
        <x:v>Déclencher les contacts mécaniques au mouvement visible; éviter les boucles désynchronisées des portes.</x:v>
      </x:c>
      <x:c r="K8" s="7" t="str">
        <x:v>Souffle électrique irrégulier et portes étanches, avec absence calculée de radio. Composer une ambiance originale en couches fond / activité / danger, avec réglage indépendant des voix.</x:v>
      </x:c>
      <x:c r="L8" s="7" t="str">
        <x:v>Bus proposé RED/ALINGON; snapshots exploration, tension et dialogue; fondus après chargement.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Un parcours muet reste compréhensible; l’entrée en dialogue baisse les ambiances sans couper brutalement leur réverbération.</x:v>
      </x:c>
      <x:c r="O8" s="7" t="str">
        <x:v>RED-ZONE-ALINGON</x:v>
      </x:c>
      <x:c r="P8" s="7" t="str">
        <x:v>Création sonore originale; aucune piste commerciale requise.</x:v>
      </x:c>
      <x:c r="Q8" s="7" t="str"/>
      <x:c r="R8" s="7" t="str"/>
      <x:c r="S8" s="7" t="str"/>
    </x:row>
    <x:row r="9" ht="68" customHeight="1">
      <x:c r="A9" s="18" t="str">
        <x:v>RED-AUD-SPACE</x:v>
      </x:c>
      <x:c r="B9" s="9" t="str">
        <x:v>Poursuite dans l’espace — paysage sonore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Moteur filtré par coque, alarmes brèves et respirations calmes du cockpit.</x:v>
      </x:c>
      <x:c r="G9" s="9" t="str">
        <x:v>Intermède de navigation lisible, distinct d’un mode de vol complet.</x:v>
      </x:c>
      <x:c r="H9" s="9" t="str">
        <x:v>Doubler les alarmes utiles par texte, symbole ou changement de pose; les bruits d’ambiance ne portent pas seuls une information obligatoire.</x:v>
      </x:c>
      <x:c r="I9" s="9" t="str">
        <x:v>Astéroïdes mats et contraste faible du ciel; vaisseau du duo traité en sprite orientable.</x:v>
      </x:c>
      <x:c r="J9" s="9" t="str">
        <x:v>Déclencher les contacts mécaniques au mouvement visible; éviter les boucles désynchronisées des portes.</x:v>
      </x:c>
      <x:c r="K9" s="9" t="str">
        <x:v>Moteur filtré par coque, alarmes brèves et respirations calmes du cockpit. Composer une ambiance originale en couches fond / activité / danger, avec réglage indépendant des voix.</x:v>
      </x:c>
      <x:c r="L9" s="9" t="str">
        <x:v>Bus proposé RED/SPACE; snapshots exploration, tension et dialogue; fondus après chargement.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Un parcours muet reste compréhensible; l’entrée en dialogue baisse les ambiances sans couper brutalement leur réverbération.</x:v>
      </x:c>
      <x:c r="O9" s="9" t="str">
        <x:v>RED-ZONE-SPACE</x:v>
      </x:c>
      <x:c r="P9" s="9" t="str">
        <x:v>Création sonore originale; aucune piste commerciale requise.</x:v>
      </x:c>
      <x:c r="Q9" s="9" t="str"/>
      <x:c r="R9" s="9" t="str"/>
      <x:c r="S9" s="9" t="str"/>
    </x:row>
  </x:sheetData>
  <x:conditionalFormatting sqref="D7:D9">
    <x:cfRule type="cellIs" dxfId="88" priority="1" operator="equal">
      <x:formula>"À vérifier"</x:formula>
    </x:cfRule>
    <x:cfRule type="cellIs" dxfId="89" priority="2" operator="equal">
      <x:formula>"Extrapolation"</x:formula>
    </x:cfRule>
  </x:conditionalFormatting>
  <x:conditionalFormatting sqref="C7:C9">
    <x:cfRule type="cellIs" dxfId="90" priority="3" operator="equal">
      <x:formula>"Validé"</x:formula>
    </x:cfRule>
  </x:conditionalFormatting>
  <x:conditionalFormatting sqref="E7:E9">
    <x:cfRule type="cellIs" dxfId="91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dc310d9f5234565"/>
  </x:tableParts>
</x:worksheet>
</file>

<file path=xl/worksheets/sheet2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Systèmes et UI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Interface et règles de jeu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RED-SYS-CANON</x:v>
      </x:c>
      <x:c r="B7" s="9" t="str">
        <x:v>Journal à deux niveaux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Dans Redemption, séparer faits attestés, données à contrôler et événements issus des règles du fan game.</x:v>
      </x:c>
      <x:c r="G7" s="9" t="str">
        <x:v>La continuité éditoriale est distincte des essais de gameplay; un choix stratégique ne réécrit pas la fin publiée.</x:v>
      </x:c>
      <x:c r="H7" s="9" t="str">
        <x:v>La continuité éditoriale est distincte des essais de gameplay; un choix stratégique ne réécrit pas la fin publiée.</x:v>
      </x:c>
      <x:c r="I7" s="9" t="str"/>
      <x:c r="J7" s="9" t="str"/>
      <x:c r="K7" s="9" t="str"/>
      <x:c r="L7" s="9" t="str">
        <x:v>Contrat de production RED/SYS-CANON; à appliquer au futur contenu de l'œuvre.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Chaque entrée de journal porte sa provenance; un résultat de combat ne change jamais le niveau de certitude du fait source.</x:v>
      </x:c>
      <x:c r="O7" s="9" t="str">
        <x:v>RED-REF-SCOPE</x:v>
      </x:c>
      <x:c r="P7" s="9" t="str">
        <x:v>Règle originale de production; les ancrages de continuité sont documentés dans les fiches REF.</x:v>
      </x:c>
      <x:c r="Q7" s="9" t="str"/>
      <x:c r="R7" s="9" t="str"/>
      <x:c r="S7" s="9" t="str"/>
    </x:row>
    <x:row r="8" ht="68" customHeight="1">
      <x:c r="A8" s="19" t="str">
        <x:v>RED-SYS-GROUP</x:v>
      </x:c>
      <x:c r="B8" s="7" t="str">
        <x:v>Groupe propre au chapitre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Liara contrôlable; Feron partenaire d’infiltration selon le segment. Miranda et Aria restent des interlocutrices dans ce périmètre.</x:v>
      </x:c>
      <x:c r="G8" s="7" t="str">
        <x:v>Former le groupe à partir du chapitre actif; les rôles de soutien ne deviennent pas des recrutements permanents.</x:v>
      </x:c>
      <x:c r="H8" s="7" t="str">
        <x:v>Former le groupe à partir du chapitre actif; les rôles de soutien ne deviennent pas des recrutements permanents.</x:v>
      </x:c>
      <x:c r="I8" s="7" t="str"/>
      <x:c r="J8" s="7" t="str"/>
      <x:c r="K8" s="7" t="str"/>
      <x:c r="L8" s="7" t="str">
        <x:v>Contrat de production RED/SYS-GROUP; à appliquer au futur contenu de l'œuvre.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Recharger un chapitre restitue uniquement son groupe autorisé, ses positions et ses commandes proposées.</x:v>
      </x:c>
      <x:c r="O8" s="7" t="str">
        <x:v>RED-REF-SCOPE</x:v>
      </x:c>
      <x:c r="P8" s="7" t="str">
        <x:v>Règle originale de production; les ancrages de continuité sont documentés dans les fiches REF.</x:v>
      </x:c>
      <x:c r="Q8" s="7" t="str"/>
      <x:c r="R8" s="7" t="str"/>
      <x:c r="S8" s="7" t="str"/>
    </x:row>
    <x:row r="9" ht="68" customHeight="1">
      <x:c r="A9" s="18" t="str">
        <x:v>RED-SYS-ATB</x:v>
      </x:c>
      <x:c r="B9" s="9" t="str">
        <x:v>Rythme ATB proposé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Duo asymétrique proposé : contrôle de terrain pour Liara et préparation d’accès pour Feron; une réserve d’action peut servir à protéger le partenaire au lieu d’infliger des dégâts.</x:v>
      </x:c>
      <x:c r="G9" s="9" t="str">
        <x:v>Pause de planification, annonce visible, résolution déterministe et commandes annulables avant confirmation.</x:v>
      </x:c>
      <x:c r="H9" s="9" t="str">
        <x:v>Pause de planification, annonce visible, résolution déterministe et commandes annulables avant confirmation.</x:v>
      </x:c>
      <x:c r="I9" s="9" t="str"/>
      <x:c r="J9" s="9" t="str"/>
      <x:c r="K9" s="9" t="str"/>
      <x:c r="L9" s="9" t="str">
        <x:v>Contrat de production RED/SYS-ATB; à appliquer au futur contenu de l'œuvre.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Un lecteur peut suivre chaque préparation sans son; la vitesse réglable ne modifie pas les conditions du raccord narratif.</x:v>
      </x:c>
      <x:c r="O9" s="9" t="str">
        <x:v>RED-REF-SCOPE</x:v>
      </x:c>
      <x:c r="P9" s="9" t="str">
        <x:v>Règle originale de production; les ancrages de continuité sont documentés dans les fiches REF.</x:v>
      </x:c>
      <x:c r="Q9" s="9" t="str"/>
      <x:c r="R9" s="9" t="str"/>
      <x:c r="S9" s="9" t="str"/>
    </x:row>
    <x:row r="10" ht="68" customHeight="1">
      <x:c r="A10" s="19" t="str">
        <x:v>RED-SYS-SAVE</x:v>
      </x:c>
      <x:c r="B10" s="7" t="str">
        <x:v>Sauvegarde des modules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Conserver la progression de Redemption sans exporter une issue hypothétique vers la continuité des jeux.</x:v>
      </x:c>
      <x:c r="G10" s="7" t="str">
        <x:v>Stocker le numéro/segment, la méthode locale, les indices acquis et le raccord déjà vu; ne pas écrire dans une sauvegarde canon du jeu.</x:v>
      </x:c>
      <x:c r="H10" s="7" t="str">
        <x:v>Stocker le numéro/segment, la méthode locale, les indices acquis et le raccord déjà vu; ne pas écrire dans une sauvegarde canon du jeu.</x:v>
      </x:c>
      <x:c r="I10" s="7" t="str"/>
      <x:c r="J10" s="7" t="str"/>
      <x:c r="K10" s="7" t="str"/>
      <x:c r="L10" s="7" t="str">
        <x:v>Contrat de production RED/SYS-SAVE; à appliquer au futur contenu de l'œuvre.</x:v>
      </x:c>
      <x:c r="M10" s="7" t="str">
        <x:v>Préserver l’absence active de Shepard, la relation Liara/Feron et le raccord vers ME2; les méthodes d’enquête ne changent pas le sort publié des protagonistes.</x:v>
      </x:c>
      <x:c r="N10" s="7" t="str">
        <x:v>Sauvegarder, quitter et reprendre avant/après un raccord ne double aucun objet, objectif ou récompense.</x:v>
      </x:c>
      <x:c r="O10" s="7" t="str">
        <x:v>RED-REF-SCOPE</x:v>
      </x:c>
      <x:c r="P10" s="7" t="str">
        <x:v>Règle originale de production; les ancrages de continuité sont documentés dans les fiches REF.</x:v>
      </x:c>
      <x:c r="Q10" s="7" t="str"/>
      <x:c r="R10" s="7" t="str"/>
      <x:c r="S10" s="7" t="str"/>
    </x:row>
  </x:sheetData>
  <x:conditionalFormatting sqref="D7:D10">
    <x:cfRule type="cellIs" dxfId="92" priority="1" operator="equal">
      <x:formula>"À vérifier"</x:formula>
    </x:cfRule>
    <x:cfRule type="cellIs" dxfId="93" priority="2" operator="equal">
      <x:formula>"Extrapolation"</x:formula>
    </x:cfRule>
  </x:conditionalFormatting>
  <x:conditionalFormatting sqref="C7:C10">
    <x:cfRule type="cellIs" dxfId="94" priority="3" operator="equal">
      <x:formula>"Validé"</x:formula>
    </x:cfRule>
  </x:conditionalFormatting>
  <x:conditionalFormatting sqref="E7:E10">
    <x:cfRule type="cellIs" dxfId="95" priority="4" operator="equal">
      <x:formula>"P0"</x:formula>
    </x:cfRule>
  </x:conditionalFormatting>
  <x:dataValidations count="3">
    <x:dataValidation type="list" sqref="C7:C10">
      <x:formula1>"Défini,Prototype,Intégré,Validé"</x:formula1>
    </x:dataValidation>
    <x:dataValidation type="list" sqref="D7:D10">
      <x:formula1>"Établi,À vérifier,Extrapolation,Coupé attesté,Concept abandonné,Allégation écartée"</x:formula1>
    </x:dataValidation>
    <x:dataValidation type="list" sqref="E7:E1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575e5113fdc41c2"/>
  </x:tableParts>
</x:worksheet>
</file>

<file path=xl/worksheets/sheet2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QA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Critères de test et contrôles de fidélité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RED-SC-CONTACT-QA</x:v>
      </x:c>
      <x:c r="B7" s="9" t="str">
        <x:v>Contact sur Omega — contrôle du parcours</x:v>
      </x:c>
      <x:c r="C7" s="15" t="str">
        <x:v>Défini</x:v>
      </x:c>
      <x:c r="D7" s="16" t="str">
        <x:v>Extrapolation</x:v>
      </x:c>
      <x:c r="E7" s="16" t="str">
        <x:v>P0</x:v>
      </x:c>
      <x:c r="F7" s="9" t="str">
        <x:v>Rejouer « Contact sur Omega » par les deux méthodes proposées, avec tâche facultative ignorée puis terminée, et en sautant le raccord.</x:v>
      </x:c>
      <x:c r="G7" s="9" t="str">
        <x:v>Observation → questions → découverte d’un passage → sortie du duo.</x:v>
      </x:c>
      <x:c r="H7" s="9" t="str">
        <x:v>Trois indices locaux proposés renseignent identité, accès et risque; deux suffisent pour avancer, le troisième précise le journal.</x:v>
      </x:c>
      <x:c r="I7" s="9" t="str"/>
      <x:c r="J7" s="9" t="str"/>
      <x:c r="K7" s="9" t="str"/>
      <x:c r="L7" s="9" t="str">
        <x:v>Scénarios de recette à exécuter pour RED/CONTACT; consigner résultat réel et preuve seulement lors d’une future réalisation.</x:v>
      </x:c>
      <x:c r="M7" s="9" t="str">
        <x:v>Fiche de recette définie; aucun test du jeu n’a été exécuté par ce catalogue.</x:v>
      </x:c>
      <x:c r="N7" s="9" t="str">
        <x:v>L'objectif « Contact sur Omega » atteint son raccord annoncé après chaque méthode; sauvegarde, rechargement et saut de scène n'en changent ni le groupe ni les informations acquises.</x:v>
      </x:c>
      <x:c r="O7" s="9" t="str">
        <x:v>RED-SC-CONTACT-MAIN, RED-SC-CONTACT-CHOICE, RED-SC-CONTACT-CINE, RED-SC-CONTACT-PROP</x:v>
      </x:c>
      <x:c r="P7" s="9" t="str">
        <x:v>Critère de production original, pas une validation déjà obtenue.</x:v>
      </x:c>
      <x:c r="Q7" s="9" t="str"/>
      <x:c r="R7" s="9" t="str"/>
      <x:c r="S7" s="9" t="str"/>
    </x:row>
    <x:row r="8" ht="68" customHeight="1">
      <x:c r="A8" s="19" t="str">
        <x:v>RED-SC-AFTERLIFE-QA</x:v>
      </x:c>
      <x:c r="B8" s="7" t="str">
        <x:v>Entretien à Afterlife — contrôle du parcours</x:v>
      </x:c>
      <x:c r="C8" s="15" t="str">
        <x:v>Défini</x:v>
      </x:c>
      <x:c r="D8" s="17" t="str">
        <x:v>Extrapolation</x:v>
      </x:c>
      <x:c r="E8" s="17" t="str">
        <x:v>P0</x:v>
      </x:c>
      <x:c r="F8" s="7" t="str">
        <x:v>Rejouer « Entretien à Afterlife » par les deux méthodes proposées, avec tâche facultative ignorée puis terminée, et en sautant le raccord.</x:v>
      </x:c>
      <x:c r="G8" s="7" t="str">
        <x:v>Antichambre → présentation → question ciblée → validation de la piste.</x:v>
      </x:c>
      <x:c r="H8" s="7" t="str">
        <x:v>Le joueur choisit l’ordre des questions; les réponses essentielles restent accessibles sans jauge morale universelle.</x:v>
      </x:c>
      <x:c r="I8" s="7" t="str"/>
      <x:c r="J8" s="7" t="str"/>
      <x:c r="K8" s="7" t="str"/>
      <x:c r="L8" s="7" t="str">
        <x:v>Scénarios de recette à exécuter pour RED/AFTERLIFE; consigner résultat réel et preuve seulement lors d’une future réalisation.</x:v>
      </x:c>
      <x:c r="M8" s="7" t="str">
        <x:v>Fiche de recette définie; aucun test du jeu n’a été exécuté par ce catalogue.</x:v>
      </x:c>
      <x:c r="N8" s="7" t="str">
        <x:v>L'objectif « Entretien à Afterlife » atteint son raccord annoncé après chaque méthode; sauvegarde, rechargement et saut de scène n'en changent ni le groupe ni les informations acquises.</x:v>
      </x:c>
      <x:c r="O8" s="7" t="str">
        <x:v>RED-SC-AFTERLIFE-MAIN, RED-SC-AFTERLIFE-CHOICE, RED-SC-AFTERLIFE-CINE, RED-SC-AFTERLIFE-PROP</x:v>
      </x:c>
      <x:c r="P8" s="7" t="str">
        <x:v>Critère de production original, pas une validation déjà obtenue.</x:v>
      </x:c>
      <x:c r="Q8" s="7" t="str"/>
      <x:c r="R8" s="7" t="str"/>
      <x:c r="S8" s="7" t="str"/>
    </x:row>
    <x:row r="9" ht="68" customHeight="1">
      <x:c r="A9" s="18" t="str">
        <x:v>RED-SC-DOCKS-QA</x:v>
      </x:c>
      <x:c r="B9" s="9" t="str">
        <x:v>Docks et transfert — contrôle du parcours</x:v>
      </x:c>
      <x:c r="C9" s="15" t="str">
        <x:v>Défini</x:v>
      </x:c>
      <x:c r="D9" s="16" t="str">
        <x:v>Extrapolation</x:v>
      </x:c>
      <x:c r="E9" s="16" t="str">
        <x:v>P0</x:v>
      </x:c>
      <x:c r="F9" s="9" t="str">
        <x:v>Rejouer « Docks et transfert » par les deux méthodes proposées, avec tâche facultative ignorée puis terminée, et en sautant le raccord.</x:v>
      </x:c>
      <x:c r="G9" s="9" t="str">
        <x:v>Repérage des lignes de vue → déplacement couvert → tentative d’interception → poursuite.</x:v>
      </x:c>
      <x:c r="H9" s="9" t="str">
        <x:v>Les caisses fournissent des masques de tir; tirer sur une commande de porte est une option proposée, pas une scène canon.</x:v>
      </x:c>
      <x:c r="I9" s="9" t="str"/>
      <x:c r="J9" s="9" t="str"/>
      <x:c r="K9" s="9" t="str"/>
      <x:c r="L9" s="9" t="str">
        <x:v>Scénarios de recette à exécuter pour RED/DOCKS; consigner résultat réel et preuve seulement lors d’une future réalisation.</x:v>
      </x:c>
      <x:c r="M9" s="9" t="str">
        <x:v>Fiche de recette définie; aucun test du jeu n’a été exécuté par ce catalogue.</x:v>
      </x:c>
      <x:c r="N9" s="9" t="str">
        <x:v>L'objectif « Docks et transfert » atteint son raccord annoncé après chaque méthode; sauvegarde, rechargement et saut de scène n'en changent ni le groupe ni les informations acquises.</x:v>
      </x:c>
      <x:c r="O9" s="9" t="str">
        <x:v>RED-SC-DOCKS-MAIN, RED-SC-DOCKS-CHOICE, RED-SC-DOCKS-CINE, RED-SC-DOCKS-PROP</x:v>
      </x:c>
      <x:c r="P9" s="9" t="str">
        <x:v>Critère de production original, pas une validation déjà obtenue.</x:v>
      </x:c>
      <x:c r="Q9" s="9" t="str"/>
      <x:c r="R9" s="9" t="str"/>
      <x:c r="S9" s="9" t="str"/>
    </x:row>
    <x:row r="10" ht="68" customHeight="1">
      <x:c r="A10" s="19" t="str">
        <x:v>RED-SC-PURSUIT-QA</x:v>
      </x:c>
      <x:c r="B10" s="7" t="str">
        <x:v>Rejoindre la base — contrôle du parcours</x:v>
      </x:c>
      <x:c r="C10" s="15" t="str">
        <x:v>Défini</x:v>
      </x:c>
      <x:c r="D10" s="17" t="str">
        <x:v>Extrapolation</x:v>
      </x:c>
      <x:c r="E10" s="17" t="str">
        <x:v>P0</x:v>
      </x:c>
      <x:c r="F10" s="7" t="str">
        <x:v>Rejouer « Rejoindre la base » par les deux méthodes proposées, avec tâche facultative ignorée puis terminée, et en sautant le raccord.</x:v>
      </x:c>
      <x:c r="G10" s="7" t="str">
        <x:v>Départ → manœuvres proposées → identification du relais → arrivée.</x:v>
      </x:c>
      <x:c r="H10" s="7" t="str">
        <x:v>Les commandes de route occupent des fenêtres ATB; la prévisualisation montre collision et exposition avant validation.</x:v>
      </x:c>
      <x:c r="I10" s="7" t="str"/>
      <x:c r="J10" s="7" t="str"/>
      <x:c r="K10" s="7" t="str"/>
      <x:c r="L10" s="7" t="str">
        <x:v>Scénarios de recette à exécuter pour RED/PURSUIT; consigner résultat réel et preuve seulement lors d’une future réalisation.</x:v>
      </x:c>
      <x:c r="M10" s="7" t="str">
        <x:v>Fiche de recette définie; aucun test du jeu n’a été exécuté par ce catalogue.</x:v>
      </x:c>
      <x:c r="N10" s="7" t="str">
        <x:v>L'objectif « Rejoindre la base » atteint son raccord annoncé après chaque méthode; sauvegarde, rechargement et saut de scène n'en changent ni le groupe ni les informations acquises.</x:v>
      </x:c>
      <x:c r="O10" s="7" t="str">
        <x:v>RED-SC-PURSUIT-MAIN, RED-SC-PURSUIT-CHOICE, RED-SC-PURSUIT-CINE, RED-SC-PURSUIT-PROP</x:v>
      </x:c>
      <x:c r="P10" s="7" t="str">
        <x:v>Critère de production original, pas une validation déjà obtenue.</x:v>
      </x:c>
      <x:c r="Q10" s="7" t="str"/>
      <x:c r="R10" s="7" t="str"/>
      <x:c r="S10" s="7" t="str"/>
    </x:row>
    <x:row r="11" ht="68" customHeight="1">
      <x:c r="A11" s="18" t="str">
        <x:v>RED-SC-ACCESS-QA</x:v>
      </x:c>
      <x:c r="B11" s="9" t="str">
        <x:v>Identité et accès compartimentés — contrôle du parcours</x:v>
      </x:c>
      <x:c r="C11" s="15" t="str">
        <x:v>Défini</x:v>
      </x:c>
      <x:c r="D11" s="16" t="str">
        <x:v>Extrapolation</x:v>
      </x:c>
      <x:c r="E11" s="16" t="str">
        <x:v>P0</x:v>
      </x:c>
      <x:c r="F11" s="9" t="str">
        <x:v>Rejouer « Identité et accès compartimentés » par les deux méthodes proposées, avec tâche facultative ignorée puis terminée, et en sautant le raccord.</x:v>
      </x:c>
      <x:c r="G11" s="9" t="str">
        <x:v>Sas → contrôle d’identité → relais local → accès au secteur suivant.</x:v>
      </x:c>
      <x:c r="H11" s="9" t="str">
        <x:v>Chaque contrôle demande un type d’information différent; une identité acceptée ne vaut pas accès universel.</x:v>
      </x:c>
      <x:c r="I11" s="9" t="str"/>
      <x:c r="J11" s="9" t="str"/>
      <x:c r="K11" s="9" t="str"/>
      <x:c r="L11" s="9" t="str">
        <x:v>Scénarios de recette à exécuter pour RED/ACCESS; consigner résultat réel et preuve seulement lors d’une future réalisation.</x:v>
      </x:c>
      <x:c r="M11" s="9" t="str">
        <x:v>Fiche de recette définie; aucun test du jeu n’a été exécuté par ce catalogue.</x:v>
      </x:c>
      <x:c r="N11" s="9" t="str">
        <x:v>L'objectif « Identité et accès compartimentés » atteint son raccord annoncé après chaque méthode; sauvegarde, rechargement et saut de scène n'en changent ni le groupe ni les informations acquises.</x:v>
      </x:c>
      <x:c r="O11" s="9" t="str">
        <x:v>RED-SC-ACCESS-MAIN, RED-SC-ACCESS-CHOICE, RED-SC-ACCESS-CINE, RED-SC-ACCESS-PROP</x:v>
      </x:c>
      <x:c r="P11" s="9" t="str">
        <x:v>Critère de production original, pas une validation déjà obtenue.</x:v>
      </x:c>
      <x:c r="Q11" s="9" t="str"/>
      <x:c r="R11" s="9" t="str"/>
      <x:c r="S11" s="9" t="str"/>
    </x:row>
    <x:row r="12" ht="68" customHeight="1">
      <x:c r="A12" s="19" t="str">
        <x:v>RED-SC-RECOVER-QA</x:v>
      </x:c>
      <x:c r="B12" s="7" t="str">
        <x:v>Récupération et séparation — contrôle du parcours</x:v>
      </x:c>
      <x:c r="C12" s="15" t="str">
        <x:v>Défini</x:v>
      </x:c>
      <x:c r="D12" s="17" t="str">
        <x:v>Extrapolation</x:v>
      </x:c>
      <x:c r="E12" s="17" t="str">
        <x:v>P0</x:v>
      </x:c>
      <x:c r="F12" s="7" t="str">
        <x:v>Rejouer « Récupération et séparation » par les deux méthodes proposées, avec tâche facultative ignorée puis terminée, et en sautant le raccord.</x:v>
      </x:c>
      <x:c r="G12" s="7" t="str">
        <x:v>Préparation du duo → fenêtre de transfert → sortie de Liara → raccord narratif.</x:v>
      </x:c>
      <x:c r="H12" s="7" t="str">
        <x:v>La réussite dépend de la synchronisation protection/accès; l’échec propose une reprise locale, pas une fin alternative canon.</x:v>
      </x:c>
      <x:c r="I12" s="7" t="str"/>
      <x:c r="J12" s="7" t="str"/>
      <x:c r="K12" s="7" t="str"/>
      <x:c r="L12" s="7" t="str">
        <x:v>Scénarios de recette à exécuter pour RED/RECOVER; consigner résultat réel et preuve seulement lors d’une future réalisation.</x:v>
      </x:c>
      <x:c r="M12" s="7" t="str">
        <x:v>Fiche de recette définie; aucun test du jeu n’a été exécuté par ce catalogue.</x:v>
      </x:c>
      <x:c r="N12" s="7" t="str">
        <x:v>L'objectif « Récupération et séparation » atteint son raccord annoncé après chaque méthode; sauvegarde, rechargement et saut de scène n'en changent ni le groupe ni les informations acquises.</x:v>
      </x:c>
      <x:c r="O12" s="7" t="str">
        <x:v>RED-SC-RECOVER-MAIN, RED-SC-RECOVER-CHOICE, RED-SC-RECOVER-CINE, RED-SC-RECOVER-PROP</x:v>
      </x:c>
      <x:c r="P12" s="7" t="str">
        <x:v>Critère de production original, pas une validation déjà obtenue.</x:v>
      </x:c>
      <x:c r="Q12" s="7" t="str"/>
      <x:c r="R12" s="7" t="str"/>
      <x:c r="S12" s="7" t="str"/>
    </x:row>
    <x:row r="13" ht="54" customHeight="1">
      <x:c r="A13" s="18" t="str">
        <x:v>RED-QA-SOURCE</x:v>
      </x:c>
      <x:c r="B13" s="9" t="str">
        <x:v>Vérification des références</x:v>
      </x:c>
      <x:c r="C13" s="15" t="str">
        <x:v>Défini</x:v>
      </x:c>
      <x:c r="D13" s="16" t="str">
        <x:v>Extrapolation</x:v>
      </x:c>
      <x:c r="E13" s="16" t="str">
        <x:v>P0</x:v>
      </x:c>
      <x:c r="F13" s="9" t="str">
        <x:v>Contrôler Redemption dans une édition autorisée avant de transformer les éléments À vérifier en faits établis.</x:v>
      </x:c>
      <x:c r="G13" s="9" t="str">
        <x:v>Vérifier le bon numéro, les graphies, les costumes et le placement exact des séquences; aucune pagination non consultée fournie.</x:v>
      </x:c>
      <x:c r="H13" s="9" t="str"/>
      <x:c r="I13" s="9" t="str"/>
      <x:c r="J13" s="9" t="str"/>
      <x:c r="K13" s="9" t="str"/>
      <x:c r="L13" s="9" t="str">
        <x:v>Contrat de production RED/QA-SOURCE; à appliquer au futur contenu de l'œuvre.</x:v>
      </x:c>
      <x:c r="M13" s="9" t="str">
        <x:v>Recette planifiée; aucune réalisation testée ici.</x:v>
      </x:c>
      <x:c r="N13" s="9" t="str">
        <x:v>Chaque ajout de nom, page, costume ou date est lié à la bonne édition; les descriptions restent brèves et paraphrasées.</x:v>
      </x:c>
      <x:c r="O13" s="9" t="str">
        <x:v>RED-REF-SCOPE</x:v>
      </x:c>
      <x:c r="P13" s="9" t="str">
        <x:v>Règle originale de production; les ancrages de continuité sont documentés dans les fiches REF.</x:v>
      </x:c>
      <x:c r="Q13" s="9" t="str"/>
      <x:c r="R13" s="9" t="str"/>
      <x:c r="S13" s="9" t="str"/>
    </x:row>
    <x:row r="14" ht="54" customHeight="1">
      <x:c r="A14" s="19" t="str">
        <x:v>RED-QA-VISIBILITY</x:v>
      </x:c>
      <x:c r="B14" s="7" t="str">
        <x:v>Lecture des sprites et du terrain</x:v>
      </x:c>
      <x:c r="C14" s="15" t="str">
        <x:v>Défini</x:v>
      </x:c>
      <x:c r="D14" s="17" t="str">
        <x:v>Extrapolation</x:v>
      </x:c>
      <x:c r="E14" s="17" t="str">
        <x:v>P0</x:v>
      </x:c>
      <x:c r="F14" s="7" t="str">
        <x:v>Contrôler la taille des sprites, la séparation des silhouettes et les sorties sous la caméra fixe de chaque scène.</x:v>
      </x:c>
      <x:c r="G14" s="7" t="str">
        <x:v>Faire parcourir les zones avec premier plan actif, sous-titres larges et mode de contraste renforcé.</x:v>
      </x:c>
      <x:c r="H14" s="7" t="str"/>
      <x:c r="I14" s="7" t="str"/>
      <x:c r="J14" s="7" t="str"/>
      <x:c r="K14" s="7" t="str"/>
      <x:c r="L14" s="7" t="str">
        <x:v>Contrat de production RED/QA-VISIBILITY; à appliquer au futur contenu de l'œuvre.</x:v>
      </x:c>
      <x:c r="M14" s="7" t="str">
        <x:v>Recette planifiée; aucune réalisation testée ici.</x:v>
      </x:c>
      <x:c r="N14" s="7" t="str">
        <x:v>Le personnage contrôlé, les sorties et le signal de danger restent localisables sans désactiver le décor.</x:v>
      </x:c>
      <x:c r="O14" s="7" t="str">
        <x:v>RED-REF-SCOPE</x:v>
      </x:c>
      <x:c r="P14" s="7" t="str">
        <x:v>Règle originale de production; les ancrages de continuité sont documentés dans les fiches REF.</x:v>
      </x:c>
      <x:c r="Q14" s="7" t="str"/>
      <x:c r="R14" s="7" t="str"/>
      <x:c r="S14" s="7" t="str"/>
    </x:row>
    <x:row r="15" ht="68" customHeight="1">
      <x:c r="A15" s="18" t="str">
        <x:v>RED-QA-NARRATIVE</x:v>
      </x:c>
      <x:c r="B15" s="9" t="str">
        <x:v>Convergence narrative</x:v>
      </x:c>
      <x:c r="C15" s="15" t="str">
        <x:v>Défini</x:v>
      </x:c>
      <x:c r="D15" s="16" t="str">
        <x:v>Extrapolation</x:v>
      </x:c>
      <x:c r="E15" s="16" t="str">
        <x:v>P0</x:v>
      </x:c>
      <x:c r="F15" s="9" t="str">
        <x:v>Préserver l’absence active de Shepard, la relation Liara/Feron et le raccord vers ME2; les méthodes d’enquête ne changent pas le sort publié des protagonistes.</x:v>
      </x:c>
      <x:c r="G15" s="9" t="str">
        <x:v>La continuité éditoriale est distincte des essais de gameplay; un choix stratégique ne réécrit pas la fin publiée.</x:v>
      </x:c>
      <x:c r="H15" s="9" t="str"/>
      <x:c r="I15" s="9" t="str"/>
      <x:c r="J15" s="9" t="str"/>
      <x:c r="K15" s="9" t="str"/>
      <x:c r="L15" s="9" t="str">
        <x:v>Contrat de production RED/QA-NARRATIVE; à appliquer au futur contenu de l'œuvre.</x:v>
      </x:c>
      <x:c r="M15" s="9" t="str">
        <x:v>Recette planifiée; aucune réalisation testée ici.</x:v>
      </x:c>
      <x:c r="N15" s="9" t="str">
        <x:v>Jouer chaque choix local et passer chaque cinématique produit les mêmes ancrages de conclusion; les divergences restent marquées adaptation.</x:v>
      </x:c>
      <x:c r="O15" s="9" t="str">
        <x:v>RED-REF-SCOPE</x:v>
      </x:c>
      <x:c r="P15" s="9" t="str">
        <x:v>Règle originale de production; les ancrages de continuité sont documentés dans les fiches REF.</x:v>
      </x:c>
      <x:c r="Q15" s="9" t="str"/>
      <x:c r="R15" s="9" t="str"/>
      <x:c r="S15" s="9" t="str"/>
    </x:row>
  </x:sheetData>
  <x:conditionalFormatting sqref="D7:D15">
    <x:cfRule type="cellIs" dxfId="96" priority="1" operator="equal">
      <x:formula>"À vérifier"</x:formula>
    </x:cfRule>
    <x:cfRule type="cellIs" dxfId="97" priority="2" operator="equal">
      <x:formula>"Extrapolation"</x:formula>
    </x:cfRule>
  </x:conditionalFormatting>
  <x:conditionalFormatting sqref="C7:C15">
    <x:cfRule type="cellIs" dxfId="98" priority="3" operator="equal">
      <x:formula>"Validé"</x:formula>
    </x:cfRule>
  </x:conditionalFormatting>
  <x:conditionalFormatting sqref="E7:E15">
    <x:cfRule type="cellIs" dxfId="99" priority="4" operator="equal">
      <x:formula>"P0"</x:formula>
    </x:cfRule>
  </x:conditionalFormatting>
  <x:dataValidations count="3">
    <x:dataValidation type="list" sqref="C7:C15">
      <x:formula1>"Défini,Prototype,Intégré,Validé"</x:formula1>
    </x:dataValidation>
    <x:dataValidation type="list" sqref="D7:D15">
      <x:formula1>"Établi,À vérifier,Extrapolation,Coupé attesté,Concept abandonné,Allégation écartée"</x:formula1>
    </x:dataValidation>
    <x:dataValidation type="list" sqref="E7:E15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894e06514a1481f"/>
  </x:tableParts>
</x:worksheet>
</file>

<file path=xl/worksheets/sheet2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Continuité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États persistants, chronologie et limites de l’adaptation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RED-CNT-PLACE</x:v>
      </x:c>
      <x:c r="B7" s="9" t="str">
        <x:v>Position dans l’univers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Pont entre la disparition de Shepard au début de ME2 et sa reconstruction; ne pas rejouer le DLC du Courtier de l’ombre comme s’il appartenait aux quatre numéros.</x:v>
      </x:c>
      <x:c r="G7" s="9" t="str">
        <x:v>La continuité éditoriale est distincte des essais de gameplay; un choix stratégique ne réécrit pas la fin publiée.</x:v>
      </x:c>
      <x:c r="H7" s="9" t="str"/>
      <x:c r="I7" s="9" t="str"/>
      <x:c r="J7" s="9" t="str"/>
      <x:c r="K7" s="9" t="str"/>
      <x:c r="L7" s="9" t="str">
        <x:v>Contrat de production RED/CNT-PLACE; à appliquer au futur contenu de l'œuvre.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La frise indique les incertitudes et les liens avec les autres œuvres sans attribuer une date non sourcée.</x:v>
      </x:c>
      <x:c r="O7" s="9" t="str">
        <x:v>RED-REF-SCOPE</x:v>
      </x:c>
      <x:c r="P7" s="9" t="str">
        <x:v>Règle originale de production; les ancrages de continuité sont documentés dans les fiches REF.</x:v>
      </x:c>
      <x:c r="Q7" s="9" t="str"/>
      <x:c r="R7" s="9" t="str"/>
      <x:c r="S7" s="9" t="str"/>
    </x:row>
    <x:row r="8" ht="68" customHeight="1">
      <x:c r="A8" s="19" t="str">
        <x:v>RED-CNT-NO-CUT</x:v>
      </x:c>
      <x:c r="B8" s="7" t="str">
        <x:v>Contenus non attestés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Aucune rumeur de scène coupée n’est intégrée à Redemption.</x:v>
      </x:c>
      <x:c r="G8" s="7" t="str">
        <x:v>Un contenu absent des notices consultées reste non documenté; une illustration préparatoire ne prouve pas une scène canon.</x:v>
      </x:c>
      <x:c r="H8" s="7" t="str"/>
      <x:c r="I8" s="7" t="str"/>
      <x:c r="J8" s="7" t="str"/>
      <x:c r="K8" s="7" t="str"/>
      <x:c r="L8" s="7" t="str">
        <x:v>Contrat de production RED/CNT-NO-CUT; à appliquer au futur contenu de l'œuvre.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Une future fiche Coupé attesté ou Concept abandonné devra citer une preuve primaire spécifique.</x:v>
      </x:c>
      <x:c r="O8" s="7" t="str">
        <x:v>RED-REF-SCOPE</x:v>
      </x:c>
      <x:c r="P8" s="7" t="str">
        <x:v>Règle originale de production; les ancrages de continuité sont documentés dans les fiches REF.</x:v>
      </x:c>
      <x:c r="Q8" s="7" t="str"/>
      <x:c r="R8" s="7" t="str"/>
      <x:c r="S8" s="7" t="str"/>
    </x:row>
  </x:sheetData>
  <x:conditionalFormatting sqref="D7:D8">
    <x:cfRule type="cellIs" dxfId="100" priority="1" operator="equal">
      <x:formula>"À vérifier"</x:formula>
    </x:cfRule>
    <x:cfRule type="cellIs" dxfId="101" priority="2" operator="equal">
      <x:formula>"Extrapolation"</x:formula>
    </x:cfRule>
  </x:conditionalFormatting>
  <x:conditionalFormatting sqref="C7:C8">
    <x:cfRule type="cellIs" dxfId="102" priority="3" operator="equal">
      <x:formula>"Validé"</x:formula>
    </x:cfRule>
  </x:conditionalFormatting>
  <x:conditionalFormatting sqref="E7:E8">
    <x:cfRule type="cellIs" dxfId="103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b37823d3f4d410f"/>
  </x:tableParts>
</x:worksheet>
</file>

<file path=xl/worksheets/sheet28.xml><?xml version="1.0" encoding="utf-8"?>
<x:worksheet xmlns:x="http://schemas.openxmlformats.org/spreadsheetml/2006/main">
  <x:sheetPr>
    <x:tabColor rgb="FF78929B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7" hidden="0" customWidth="1"/>
    <x:col min="2" max="2" width="67" hidden="0" customWidth="1"/>
    <x:col min="3" max="3" width="47" hidden="0" customWidth="1"/>
    <x:col min="4" max="4" width="90" hidden="0" customWidth="1"/>
    <x:col min="5" max="5" width="48" hidden="0" customWidth="1"/>
    <x:col min="6" max="6" width="65" hidden="0" customWidth="1"/>
  </x:cols>
  <x:sheetData>
    <x:row r="1" ht="22" customHeight="1">
      <x:c r="A1" s="2"/>
      <x:c r="B1" s="2"/>
      <x:c r="C1" s="2"/>
      <x:c r="D1" s="2"/>
      <x:c r="E1" s="2"/>
      <x:c r="F1" s="2"/>
    </x:row>
    <x:row r="2" ht="22" customHeight="1">
      <x:c r="A2" s="3" t="str">
        <x:v>Guide du catalogue</x:v>
      </x:c>
      <x:c r="B2" s="2"/>
      <x:c r="C2" s="2"/>
      <x:c r="D2" s="2"/>
      <x:c r="E2" s="2"/>
      <x:c r="F2" s="2"/>
    </x:row>
    <x:row r="3" ht="22" customHeight="1">
      <x:c r="A3" s="4" t="str">
        <x:v>Mass Effect: Redemption</x:v>
      </x:c>
      <x:c r="B3" s="2"/>
      <x:c r="C3" s="2"/>
      <x:c r="D3" s="2"/>
      <x:c r="E3" s="2"/>
      <x:c r="F3" s="2"/>
    </x:row>
    <x:row r="4" ht="22" customHeight="1">
      <x:c r="A4" s="5"/>
      <x:c r="B4" s="5"/>
      <x:c r="C4" s="5"/>
      <x:c r="D4" s="5"/>
      <x:c r="E4" s="5"/>
      <x:c r="F4" s="5"/>
    </x:row>
    <x:row r="5" ht="22" customHeight="1">
      <x:c r="A5" s="2"/>
      <x:c r="B5" s="2"/>
      <x:c r="C5" s="2"/>
      <x:c r="D5" s="2"/>
      <x:c r="E5" s="2"/>
      <x:c r="F5" s="2"/>
    </x:row>
    <x:row r="6" ht="34" customHeight="1">
      <x:c r="A6" s="28" t="str">
        <x:v>Champ</x:v>
      </x:c>
      <x:c r="B6" s="30" t="str">
        <x:v>Définition</x:v>
      </x:c>
      <x:c r="C6" s="2"/>
      <x:c r="D6" s="2"/>
      <x:c r="E6" s="2"/>
      <x:c r="F6" s="2"/>
    </x:row>
    <x:row r="7" ht="30" customHeight="1">
      <x:c r="A7" s="7" t="str">
        <x:v>Œuvre</x:v>
      </x:c>
      <x:c r="B7" s="7" t="str">
        <x:v>Mass Effect: Redemption</x:v>
      </x:c>
      <x:c r="C7" s="2"/>
      <x:c r="D7" s="2"/>
      <x:c r="E7" s="2"/>
      <x:c r="F7" s="2"/>
    </x:row>
    <x:row r="8" ht="30" customHeight="1">
      <x:c r="A8" s="7" t="str">
        <x:v>Support</x:v>
      </x:c>
      <x:c r="B8" s="7" t="str">
        <x:v>Comic / bande dessinée</x:v>
      </x:c>
      <x:c r="C8" s="2"/>
      <x:c r="D8" s="2"/>
      <x:c r="E8" s="2"/>
      <x:c r="F8" s="2"/>
    </x:row>
    <x:row r="9" ht="68" customHeight="1">
      <x:c r="A9" s="7" t="str">
        <x:v>Périmètre</x:v>
      </x:c>
      <x:c r="B9" s="7" t="str">
        <x:v>Les quatre numéros de Redemption; pont narratif vers Mass Effect 2, personnages, Omega, poursuite et récupération. Bonus éditoriaux traités comme références, pas comme scènes supplémentaires.</x:v>
      </x:c>
      <x:c r="C9" s="2"/>
      <x:c r="D9" s="2"/>
      <x:c r="E9" s="2"/>
      <x:c r="F9" s="2"/>
    </x:row>
    <x:row r="10" ht="54" customHeight="1">
      <x:c r="A10" s="7" t="str">
        <x:v>Projet</x:v>
      </x:c>
      <x:c r="B10" s="7" t="str">
        <x:v>117 fiches de production ; 8 fiches au stade Prototype de portée partielle. Les autres livrables restent des spécifications ; aucun achèvement intégral 1:1 revendiqué.</x:v>
      </x:c>
      <x:c r="C10" s="2"/>
      <x:c r="D10" s="2"/>
      <x:c r="E10" s="2"/>
      <x:c r="F10" s="2"/>
    </x:row>
    <x:row r="11" ht="180" customHeight="1">
      <x:c r="A11" s="7" t="str">
        <x:v>Références et limites</x:v>
      </x:c>
      <x:c r="B11" s="7" t="str">
        <x:v>Le Shepard personnalisé doit rester compatible avec les choix du joueur. Les notes de l’auteur emploient « Alignon », alors que le wiki emploie « Alingon » : graphie à comparer au comic et au codex avant livraison. Les missions, options, ATB, coûts, compositions 2D/3D, effets et fichiers proposés sont des extrapolations; aucun chiffre de réglage n’est présenté comme canon. « Établi » qualifie uniquement le fait bref de description, pas sa proposition d’adaptation. Les sources wiki consultées via l’index restent À vérifier. Les 12 pages Fandom fournies ont été tentées en accès direct et ont échoué; les notices officielles et notes d’auteur servent de remplacement lorsque disponibles.</x:v>
      </x:c>
      <x:c r="C11" s="2"/>
      <x:c r="D11" s="2"/>
      <x:c r="E11" s="2"/>
      <x:c r="F11" s="2"/>
    </x:row>
    <x:row r="12" ht="30" customHeight="1">
      <x:c r="A12" s="7" t="str">
        <x:v>Date de référence</x:v>
      </x:c>
      <x:c r="B12" s="42" t="d">
        <x:v>2026-10-22T12:00:00.000Z</x:v>
      </x:c>
      <x:c r="C12" s="2"/>
      <x:c r="D12" s="2"/>
      <x:c r="E12" s="2"/>
      <x:c r="F12" s="2"/>
    </x:row>
    <x:row r="13" ht="40" customHeight="1">
      <x:c r="A13" s="7" t="str">
        <x:v>Statut Défini</x:v>
      </x:c>
      <x:c r="B13" s="7" t="str">
        <x:v>Fiche de conception à réaliser. Aucun asset ou code supplémentaire n’est prouvé par cette valeur.</x:v>
      </x:c>
      <x:c r="C13" s="2"/>
      <x:c r="D13" s="2"/>
      <x:c r="E13" s="2"/>
      <x:c r="F13" s="2"/>
    </x:row>
    <x:row r="14" ht="40" customHeight="1">
      <x:c r="A14" s="7" t="str">
        <x:v>Établi</x:v>
      </x:c>
      <x:c r="B14" s="7" t="str">
        <x:v>Fait de référence documenté. Les colonnes adaptation, règles, visuel et animation décrivent la production envisagée.</x:v>
      </x:c>
      <x:c r="C14" s="2"/>
      <x:c r="D14" s="2"/>
      <x:c r="E14" s="2"/>
      <x:c r="F14" s="2"/>
    </x:row>
    <x:row r="15" ht="40" customHeight="1">
      <x:c r="A15" s="7" t="str">
        <x:v>À vérifier</x:v>
      </x:c>
      <x:c r="B15" s="7" t="str">
        <x:v>Information partielle, indexée ou nécessitant un contrôle dans l’œuvre originale.</x:v>
      </x:c>
      <x:c r="C15" s="2"/>
      <x:c r="D15" s="2"/>
      <x:c r="E15" s="2"/>
      <x:c r="F15" s="2"/>
    </x:row>
    <x:row r="16" ht="40" customHeight="1">
      <x:c r="A16" s="7" t="str">
        <x:v>Extrapolation</x:v>
      </x:c>
      <x:c r="B16" s="7" t="str">
        <x:v>Création ou interprétation pour le fan game. Ne décrit pas un contenu officiel.</x:v>
      </x:c>
      <x:c r="C16" s="2"/>
      <x:c r="D16" s="2"/>
      <x:c r="E16" s="2"/>
      <x:c r="F16" s="2"/>
    </x:row>
    <x:row r="17" ht="40" customHeight="1">
      <x:c r="A17" s="7" t="str">
        <x:v>Coupé attesté</x:v>
      </x:c>
      <x:c r="B17" s="7" t="str">
        <x:v>Contenu retiré appuyé par une source identifiée. Son état exact peut rester à relever.</x:v>
      </x:c>
      <x:c r="C17" s="2"/>
      <x:c r="D17" s="2"/>
      <x:c r="E17" s="2"/>
      <x:c r="F17" s="2"/>
    </x:row>
    <x:row r="18" ht="40" customHeight="1">
      <x:c r="A18" s="7" t="str">
        <x:v>Concept abandonné</x:v>
      </x:c>
      <x:c r="B18" s="7" t="str">
        <x:v>Piste ou prototype documenté, sans scénario final officiel présumé.</x:v>
      </x:c>
      <x:c r="C18" s="2"/>
      <x:c r="D18" s="2"/>
      <x:c r="E18" s="2"/>
      <x:c r="F18" s="2"/>
    </x:row>
    <x:row r="19" ht="40" customHeight="1">
      <x:c r="A19" s="7" t="str">
        <x:v>Allégation écartée</x:v>
      </x:c>
      <x:c r="B19" s="7" t="str">
        <x:v>Hypothèse exclue de la continuité de production. Motif donné dans la fiche.</x:v>
      </x:c>
      <x:c r="C19" s="2"/>
      <x:c r="D19" s="2"/>
      <x:c r="E19" s="2"/>
      <x:c r="F19" s="2"/>
    </x:row>
    <x:row r="20" ht="40" customHeight="1">
      <x:c r="A20" s="7" t="str">
        <x:v>Priorités</x:v>
      </x:c>
      <x:c r="B20" s="7" t="str">
        <x:v>P0 : dépendance structurante. P1 : production du module. P2 : enrichissement ultérieur.</x:v>
      </x:c>
      <x:c r="C20" s="2"/>
      <x:c r="D20" s="2"/>
      <x:c r="E20" s="2"/>
      <x:c r="F20" s="2"/>
    </x:row>
    <x:row r="21" ht="54" customHeight="1">
      <x:c r="A21" s="7" t="str">
        <x:v>Édition</x:v>
      </x:c>
      <x:c r="B21" s="7" t="str">
        <x:v>Les statuts se modifient dans les cellules ambre. Les compteurs se recalculent. Les modifications Excel ne sont pas réimportées automatiquement.</x:v>
      </x:c>
      <x:c r="C21" s="2"/>
      <x:c r="D21" s="2"/>
      <x:c r="E21" s="2"/>
      <x:c r="F21" s="2"/>
    </x:row>
    <x:row r="22" ht="40" customHeight="1">
      <x:c r="A22" s="7" t="str">
        <x:v>Régénération</x:v>
      </x:c>
      <x:c r="B22" s="7" t="str">
        <x:v>Conserver les décisions approuvées dans le catalogue JSON du dépôt avant de régénérer ce classeur.</x:v>
      </x:c>
      <x:c r="C22" s="2"/>
      <x:c r="D22" s="2"/>
      <x:c r="E22" s="2"/>
      <x:c r="F22" s="2"/>
    </x:row>
    <x:row r="23" ht="22" customHeight="1">
      <x:c r="A23" s="2"/>
      <x:c r="B23" s="2"/>
      <x:c r="C23" s="2"/>
      <x:c r="D23" s="2"/>
      <x:c r="E23" s="2"/>
      <x:c r="F23" s="2"/>
    </x:row>
    <x:row r="24" ht="22" customHeight="1">
      <x:c r="A24" s="2"/>
      <x:c r="B24" s="2"/>
      <x:c r="C24" s="2"/>
      <x:c r="D24" s="2"/>
      <x:c r="E24" s="2"/>
      <x:c r="F24" s="2"/>
    </x:row>
    <x:row r="25" ht="22" customHeight="1">
      <x:c r="A25" s="2"/>
      <x:c r="B25" s="2"/>
      <x:c r="C25" s="2"/>
      <x:c r="D25" s="2"/>
      <x:c r="E25" s="2"/>
      <x:c r="F25" s="2"/>
    </x:row>
    <x:row r="26" ht="34" customHeight="1">
      <x:c r="A26" s="28" t="str">
        <x:v>Source</x:v>
      </x:c>
      <x:c r="B26" s="29" t="str">
        <x:v>Titre</x:v>
      </x:c>
      <x:c r="C26" s="29" t="str">
        <x:v>Type</x:v>
      </x:c>
      <x:c r="D26" s="29" t="str">
        <x:v>URL</x:v>
      </x:c>
      <x:c r="E26" s="29" t="str">
        <x:v>Périmètre</x:v>
      </x:c>
      <x:c r="F26" s="30" t="str">
        <x:v>Accès et limites</x:v>
      </x:c>
    </x:row>
    <x:row r="27" ht="42" customHeight="1">
      <x:c r="A27" s="6" t="str">
        <x:v>RED-S-BOOK</x:v>
      </x:c>
      <x:c r="B27" s="6" t="str">
        <x:v>Dark Horse — Redemption</x:v>
      </x:c>
      <x:c r="C27" s="6" t="str">
        <x:v>source officielle — notice Dark Horse via Penguin Random House</x:v>
      </x:c>
      <x:c r="D27" s="6" t="str">
        <x:v>https://www.penguinrandomhouse.com/books/241684/mass-effect-volume-1-redemption-by-mac-walters-various-artists/</x:v>
      </x:c>
      <x:c r="E27" s="6" t="str">
        <x:v>Liara, Terminus, quatre numéros et bonus graphiques.</x:v>
      </x:c>
      <x:c r="F27" s="6" t="str">
        <x:v>Consulté le 22 octobre 2026; les faits sont paraphrasés brièvement.</x:v>
      </x:c>
    </x:row>
    <x:row r="28" ht="54" customHeight="1">
      <x:c r="A28" s="6" t="str">
        <x:v>RED-S-COMPLETE</x:v>
      </x:c>
      <x:c r="B28" s="6" t="str">
        <x:v>Dark Horse Digital — The Complete Comics</x:v>
      </x:c>
      <x:c r="C28" s="6" t="str">
        <x:v>source officielle — éditeur</x:v>
      </x:c>
      <x:c r="D28" s="6" t="str">
        <x:v>https://digital.darkhorse.com/books/7bcdbde713b746338287bb0d74350bac/mass-effect-the-complete-comics</x:v>
      </x:c>
      <x:c r="E28" s="6" t="str">
        <x:v>Prémisses, personnages centraux et compilation; ne remplace pas les numéros individuels.</x:v>
      </x:c>
      <x:c r="F28" s="6" t="str">
        <x:v>Consulté le 22 octobre 2026; les faits sont paraphrasés brièvement.</x:v>
      </x:c>
    </x:row>
    <x:row r="29" ht="42" customHeight="1">
      <x:c r="A29" s="6" t="str">
        <x:v>RED-S-AUTHOR1</x:v>
      </x:c>
      <x:c r="B29" s="6" t="str">
        <x:v>John Jackson Miller — Redemption #1</x:v>
      </x:c>
      <x:c r="C29" s="6" t="str">
        <x:v>source officielle — notes du scénariste</x:v>
      </x:c>
      <x:c r="D29" s="6" t="str">
        <x:v>https://farawaypress.com/comics/masseffectredemption/masseffectredemption1/</x:v>
      </x:c>
      <x:c r="E29" s="6" t="str">
        <x:v>Conception et éléments explicitement commentés de Redemption #1</x:v>
      </x:c>
      <x:c r="F29" s="6" t="str">
        <x:v>Consulté le 22 octobre 2026; les faits sont paraphrasés brièvement.</x:v>
      </x:c>
    </x:row>
    <x:row r="30" ht="42" customHeight="1">
      <x:c r="A30" s="6" t="str">
        <x:v>RED-S-AUTHOR2</x:v>
      </x:c>
      <x:c r="B30" s="6" t="str">
        <x:v>John Jackson Miller — Redemption #2</x:v>
      </x:c>
      <x:c r="C30" s="6" t="str">
        <x:v>source officielle — notes du scénariste</x:v>
      </x:c>
      <x:c r="D30" s="6" t="str">
        <x:v>https://farawaypress.com/comics/masseffectredemption/masseffectredemption2/</x:v>
      </x:c>
      <x:c r="E30" s="6" t="str">
        <x:v>Conception et éléments explicitement commentés de Redemption #2</x:v>
      </x:c>
      <x:c r="F30" s="6" t="str">
        <x:v>Consulté le 22 octobre 2026; les faits sont paraphrasés brièvement.</x:v>
      </x:c>
    </x:row>
    <x:row r="31" ht="42" customHeight="1">
      <x:c r="A31" s="6" t="str">
        <x:v>RED-S-AUTHOR3</x:v>
      </x:c>
      <x:c r="B31" s="6" t="str">
        <x:v>John Jackson Miller — Redemption #3</x:v>
      </x:c>
      <x:c r="C31" s="6" t="str">
        <x:v>source officielle — notes du scénariste</x:v>
      </x:c>
      <x:c r="D31" s="6" t="str">
        <x:v>https://farawaypress.com/comics/masseffectredemption/masseffectredemption3/</x:v>
      </x:c>
      <x:c r="E31" s="6" t="str">
        <x:v>Conception et éléments explicitement commentés de Redemption #3</x:v>
      </x:c>
      <x:c r="F31" s="6" t="str">
        <x:v>Consulté le 22 octobre 2026; les faits sont paraphrasés brièvement.</x:v>
      </x:c>
    </x:row>
    <x:row r="32" ht="42" customHeight="1">
      <x:c r="A32" s="6" t="str">
        <x:v>RED-S-AUTHOR4</x:v>
      </x:c>
      <x:c r="B32" s="6" t="str">
        <x:v>John Jackson Miller — Redemption #4</x:v>
      </x:c>
      <x:c r="C32" s="6" t="str">
        <x:v>source officielle — notes du scénariste</x:v>
      </x:c>
      <x:c r="D32" s="6" t="str">
        <x:v>https://farawaypress.com/comics/masseffectredemption/masseffectredemption4/</x:v>
      </x:c>
      <x:c r="E32" s="6" t="str">
        <x:v>Conception et éléments explicitement commentés de Redemption #4</x:v>
      </x:c>
      <x:c r="F32" s="6" t="str">
        <x:v>Consulté le 22 octobre 2026; les faits sont paraphrasés brièvement.</x:v>
      </x:c>
    </x:row>
    <x:row r="33" ht="54" customHeight="1">
      <x:c r="A33" s="6" t="str">
        <x:v>RED-S-FERON</x:v>
      </x:c>
      <x:c r="B33" s="6" t="str">
        <x:v>Feron — Redemption</x:v>
      </x:c>
      <x:c r="C33" s="6" t="str">
        <x:v>wiki — extrait indexé, à contrôler</x:v>
      </x:c>
      <x:c r="D33" s="6" t="str">
        <x:v>https://masseffect.fandom.com/wiki/Feron</x:v>
      </x:c>
      <x:c r="E33" s="6" t="str">
        <x:v>Rôle de Feron et séquences à vérifier.</x:v>
      </x:c>
      <x:c r="F33" s="6" t="str">
        <x:v>Contenu lu dans le résultat de recherche indexé; ouverture directe Fandom restreinte ou en erreur. Comparaison avec le comic autorisé requise.</x:v>
      </x:c>
    </x:row>
    <x:row r="34" ht="54" customHeight="1">
      <x:c r="A34" s="6" t="str">
        <x:v>RED-S-TAZZIK</x:v>
      </x:c>
      <x:c r="B34" s="6" t="str">
        <x:v>Tazzik</x:v>
      </x:c>
      <x:c r="C34" s="6" t="str">
        <x:v>wiki — extrait indexé, à contrôler</x:v>
      </x:c>
      <x:c r="D34" s="6" t="str">
        <x:v>https://masseffect.fandom.com/wiki/Tazzik</x:v>
      </x:c>
      <x:c r="E34" s="6" t="str">
        <x:v>Rôle du salarian et Alingon.</x:v>
      </x:c>
      <x:c r="F34" s="6" t="str">
        <x:v>Contenu lu dans le résultat de recherche indexé; ouverture directe Fandom restreinte ou en erreur. Comparaison avec le comic autorisé requise.</x:v>
      </x:c>
    </x:row>
    <x:row r="35" ht="54" customHeight="1">
      <x:c r="A35" s="6" t="str">
        <x:v>RED-S-STORYII</x:v>
      </x:c>
      <x:c r="B35" s="6" t="str">
        <x:v>Storyline II — Redemption</x:v>
      </x:c>
      <x:c r="C35" s="6" t="str">
        <x:v>wiki — extrait indexé, à contrôler</x:v>
      </x:c>
      <x:c r="D35" s="6" t="str">
        <x:v>https://masseffect.fandom.com/wiki/Storyline_II</x:v>
      </x:c>
      <x:c r="E35" s="6" t="str">
        <x:v>Poursuite et sentries autour d’Alingon; extrait indexé consulté, à contrôler.</x:v>
      </x:c>
      <x:c r="F35" s="6" t="str">
        <x:v>Contenu lu dans le résultat de recherche indexé; ouverture directe Fandom restreinte ou en erreur. Comparaison avec le comic autorisé requise.</x:v>
      </x:c>
    </x:row>
    <x:row r="36" ht="22" customHeight="1">
      <x:c r="A36" s="2"/>
      <x:c r="B36" s="2"/>
      <x:c r="C36" s="2"/>
      <x:c r="D36" s="2"/>
      <x:c r="E36" s="2"/>
      <x:c r="F36" s="2"/>
    </x:row>
    <x:row r="37" ht="22" customHeight="1">
      <x:c r="A37" s="2"/>
      <x:c r="B37" s="2"/>
      <x:c r="C37" s="2"/>
      <x:c r="D37" s="2"/>
      <x:c r="E37" s="2"/>
      <x:c r="F37" s="2"/>
    </x:row>
    <x:row r="38" ht="22" customHeight="1">
      <x:c r="A38" s="2"/>
      <x:c r="B38" s="2"/>
      <x:c r="C38" s="2"/>
      <x:c r="D38" s="2"/>
      <x:c r="E38" s="2"/>
      <x:c r="F38" s="2"/>
    </x:row>
    <x:row r="39" ht="34" customHeight="1">
      <x:c r="A39" s="28" t="str">
        <x:v>Domaine</x:v>
      </x:c>
      <x:c r="B39" s="29" t="str">
        <x:v>Couverture actuelle</x:v>
      </x:c>
      <x:c r="C39" s="30" t="str">
        <x:v>Travail restant</x:v>
      </x:c>
      <x:c r="D39" s="2"/>
      <x:c r="E39" s="2"/>
      <x:c r="F39" s="2"/>
    </x:row>
    <x:row r="40" ht="68" customHeight="1">
      <x:c r="A40" s="6" t="str">
        <x:v>characters</x:v>
      </x:c>
      <x:c r="B40" s="6" t="str">
        <x:v>3 fiche(s) : Liara T’Soni; Feron; Tazzik</x:v>
      </x:c>
      <x:c r="C40" s="6" t="str">
        <x:v>Comparer les détails marqués À vérifier à une édition autorisée; les sources éditoriales n’attestent pas chaque détail graphique.</x:v>
      </x:c>
      <x:c r="D40" s="2"/>
      <x:c r="E40" s="2"/>
      <x:c r="F40" s="2"/>
    </x:row>
    <x:row r="41" ht="68" customHeight="1">
      <x:c r="A41" s="6" t="str">
        <x:v>npcs</x:v>
      </x:c>
      <x:c r="B41" s="6" t="str">
        <x:v>4 fiche(s) : Miranda Lawson; Aria T’Loak; L’Homme trouble; Courtier de l’ombre — représentation distante</x:v>
      </x:c>
      <x:c r="C41" s="6" t="str">
        <x:v>Comparer les détails marqués À vérifier à une édition autorisée; les sources éditoriales n’attestent pas chaque détail graphique.</x:v>
      </x:c>
      <x:c r="D41" s="2"/>
      <x:c r="E41" s="2"/>
      <x:c r="F41" s="2"/>
    </x:row>
    <x:row r="42" ht="68" customHeight="1">
      <x:c r="A42" s="6" t="str">
        <x:v>lore</x:v>
      </x:c>
      <x:c r="B42" s="6" t="str">
        <x:v>10 fiche(s) : Série en quatre numéros; Shepard adaptable; Duo de recherche; Croquis du recueil</x:v>
      </x:c>
      <x:c r="C42" s="6" t="str">
        <x:v>Comparer les détails marqués À vérifier à une édition autorisée; les sources éditoriales n’attestent pas chaque détail graphique.</x:v>
      </x:c>
      <x:c r="D42" s="2"/>
      <x:c r="E42" s="2"/>
      <x:c r="F42" s="2"/>
    </x:row>
    <x:row r="43" ht="68" customHeight="1">
      <x:c r="A43" s="6" t="str">
        <x:v>worlds</x:v>
      </x:c>
      <x:c r="B43" s="6" t="str">
        <x:v>3 fiche(s) : Omega; Alingon / Alignon — graphie à contrôler; Poursuite dans l’espace</x:v>
      </x:c>
      <x:c r="C43" s="6" t="str">
        <x:v>Comparer les détails marqués À vérifier à une édition autorisée; les sources éditoriales n’attestent pas chaque détail graphique.</x:v>
      </x:c>
      <x:c r="D43" s="2"/>
      <x:c r="E43" s="2"/>
      <x:c r="F43" s="2"/>
    </x:row>
    <x:row r="44" ht="54" customHeight="1">
      <x:c r="A44" s="6" t="str">
        <x:v>zones</x:v>
      </x:c>
      <x:c r="B44" s="6" t="str">
        <x:v>3 fiche(s) : Omega — espace jouable proposé; Alingon / Alignon — graphie à contrôler — espace jouable proposé; Poursuite dans l’espace — espace jouable proposé</x:v>
      </x:c>
      <x:c r="C44" s="6" t="str">
        <x:v>Prototyper les règles proposées et exécuter les critères de recette; aucune fiche n’est déclarée intégrée ou validée.</x:v>
      </x:c>
      <x:c r="D44" s="2"/>
      <x:c r="E44" s="2"/>
      <x:c r="F44" s="2"/>
    </x:row>
    <x:row r="45" ht="54" customHeight="1">
      <x:c r="A45" s="6" t="str">
        <x:v>links</x:v>
      </x:c>
      <x:c r="B45" s="6" t="str">
        <x:v>3 fiche(s) : Omega — accès et sortie; Alingon / Alignon — graphie à contrôler — accès et sortie; Poursuite dans l’espace — accès et sortie</x:v>
      </x:c>
      <x:c r="C45" s="6" t="str">
        <x:v>Prototyper les règles proposées et exécuter les critères de recette; aucune fiche n’est déclarée intégrée ou validée.</x:v>
      </x:c>
      <x:c r="D45" s="2"/>
      <x:c r="E45" s="2"/>
      <x:c r="F45" s="2"/>
    </x:row>
    <x:row r="46" ht="54" customHeight="1">
      <x:c r="A46" s="6" t="str">
        <x:v>scenery</x:v>
      </x:c>
      <x:c r="B46" s="6" t="str">
        <x:v>3 fiche(s) : Omega — décor et repère; Alingon / Alignon — graphie à contrôler — décor et repère; Poursuite dans l’espace — décor et repère</x:v>
      </x:c>
      <x:c r="C46" s="6" t="str">
        <x:v>Produire les assets originaux puis vérifier en situation; ce catalogue ne livre ni image, ni son, ni animation.</x:v>
      </x:c>
      <x:c r="D46" s="2"/>
      <x:c r="E46" s="2"/>
      <x:c r="F46" s="2"/>
    </x:row>
    <x:row r="47" ht="54" customHeight="1">
      <x:c r="A47" s="6" t="str">
        <x:v>props</x:v>
      </x:c>
      <x:c r="B47" s="6" t="str">
        <x:v>6 fiche(s) : Repère de rendez-vous; Terminal de piste; Commande de quai; Afficheur de trajectoire</x:v>
      </x:c>
      <x:c r="C47" s="6" t="str">
        <x:v>Prototyper les règles proposées et exécuter les critères de recette; aucune fiche n’est déclarée intégrée ou validée.</x:v>
      </x:c>
      <x:c r="D47" s="2"/>
      <x:c r="E47" s="2"/>
      <x:c r="F47" s="2"/>
    </x:row>
    <x:row r="48" ht="54" customHeight="1">
      <x:c r="A48" s="6" t="str">
        <x:v>enemies</x:v>
      </x:c>
      <x:c r="B48" s="6" t="str">
        <x:v>3 fiche(s) : Blue Suns; Sentries de poursuite; Gardes de la base</x:v>
      </x:c>
      <x:c r="C48" s="6" t="str">
        <x:v>Prototyper les règles proposées et exécuter les critères de recette; aucune fiche n’est déclarée intégrée ou validée.</x:v>
      </x:c>
      <x:c r="D48" s="2"/>
      <x:c r="E48" s="2"/>
      <x:c r="F48" s="2"/>
    </x:row>
    <x:row r="49" ht="54" customHeight="1">
      <x:c r="A49" s="6" t="str">
        <x:v>main_quests</x:v>
      </x:c>
      <x:c r="B49" s="6" t="str">
        <x:v>6 fiche(s) : Contact sur Omega — objectif jouable; Entretien à Afterlife — objectif jouable; Docks et transfert — objectif jouable; Rejoindre la base — objectif jouable</x:v>
      </x:c>
      <x:c r="C49" s="6" t="str">
        <x:v>Prototyper les règles proposées et exécuter les critères de recette; aucune fiche n’est déclarée intégrée ou validée.</x:v>
      </x:c>
      <x:c r="D49" s="2"/>
      <x:c r="E49" s="2"/>
      <x:c r="F49" s="2"/>
    </x:row>
    <x:row r="50" ht="54" customHeight="1">
      <x:c r="A50" s="6" t="str">
        <x:v>side_quests</x:v>
      </x:c>
      <x:c r="B50" s="6" t="str">
        <x:v>6 fiche(s) : Vérifier une seconde sortie; Écouter le quartier; Relever la route du cargo; Calibrer le filtre radio</x:v>
      </x:c>
      <x:c r="C50" s="6" t="str">
        <x:v>Prototyper les règles proposées et exécuter les critères de recette; aucune fiche n’est déclarée intégrée ou validée.</x:v>
      </x:c>
      <x:c r="D50" s="2"/>
      <x:c r="E50" s="2"/>
      <x:c r="F50" s="2"/>
    </x:row>
    <x:row r="51" ht="54" customHeight="1">
      <x:c r="A51" s="6" t="str">
        <x:v>choices</x:v>
      </x:c>
      <x:c r="B51" s="6" t="str">
        <x:v>6 fiche(s) : Contact sur Omega — stratégie locale; Entretien à Afterlife — stratégie locale; Docks et transfert — stratégie locale; Rejoindre la base — stratégie locale</x:v>
      </x:c>
      <x:c r="C51" s="6" t="str">
        <x:v>Prototyper les règles proposées et exécuter les critères de recette; aucune fiche n’est déclarée intégrée ou validée.</x:v>
      </x:c>
      <x:c r="D51" s="2"/>
      <x:c r="E51" s="2"/>
      <x:c r="F51" s="2"/>
    </x:row>
    <x:row r="52" ht="68" customHeight="1">
      <x:c r="A52" s="6" t="str">
        <x:v>dialogues</x:v>
      </x:c>
      <x:c r="B52" s="6" t="str">
        <x:v>6 fiche(s) : Contact sur Omega — intentions de conversation; Entretien à Afterlife — intentions de conversation; Docks et transfert — intentions de conversation; Rejoindre la base — intentions de conversation</x:v>
      </x:c>
      <x:c r="C52" s="6" t="str">
        <x:v>Prototyper les règles proposées et exécuter les critères de recette; aucune fiche n’est déclarée intégrée ou validée.</x:v>
      </x:c>
      <x:c r="D52" s="2"/>
      <x:c r="E52" s="2"/>
      <x:c r="F52" s="2"/>
    </x:row>
    <x:row r="53" ht="68" customHeight="1">
      <x:c r="A53" s="6" t="str">
        <x:v>cinematics</x:v>
      </x:c>
      <x:c r="B53" s="6" t="str">
        <x:v>6 fiche(s) : Contact sur Omega — raccord mis en scène; Entretien à Afterlife — raccord mis en scène; Docks et transfert — raccord mis en scène; Rejoindre la base — raccord mis en scène</x:v>
      </x:c>
      <x:c r="C53" s="6" t="str">
        <x:v>Prototyper les règles proposées et exécuter les critères de recette; aucune fiche n’est déclarée intégrée ou validée.</x:v>
      </x:c>
      <x:c r="D53" s="2"/>
      <x:c r="E53" s="2"/>
      <x:c r="F53" s="2"/>
    </x:row>
    <x:row r="54" ht="54" customHeight="1">
      <x:c r="A54" s="6" t="str">
        <x:v>weapons</x:v>
      </x:c>
      <x:c r="B54" s="6" t="str">
        <x:v>1 fiche(s) : Arme de poing de production</x:v>
      </x:c>
      <x:c r="C54" s="6" t="str">
        <x:v>Prototyper les règles proposées et exécuter les critères de recette; aucune fiche n’est déclarée intégrée ou validée.</x:v>
      </x:c>
      <x:c r="D54" s="2"/>
      <x:c r="E54" s="2"/>
      <x:c r="F54" s="2"/>
    </x:row>
    <x:row r="55" ht="54" customHeight="1">
      <x:c r="A55" s="6" t="str">
        <x:v>equipment</x:v>
      </x:c>
      <x:c r="B55" s="6" t="str">
        <x:v>1 fiche(s) : Kit de couverture de Feron</x:v>
      </x:c>
      <x:c r="C55" s="6" t="str">
        <x:v>Prototyper les règles proposées et exécuter les critères de recette; aucune fiche n’est déclarée intégrée ou validée.</x:v>
      </x:c>
      <x:c r="D55" s="2"/>
      <x:c r="E55" s="2"/>
      <x:c r="F55" s="2"/>
    </x:row>
    <x:row r="56" ht="54" customHeight="1">
      <x:c r="A56" s="6" t="str">
        <x:v>powers</x:v>
      </x:c>
      <x:c r="B56" s="6" t="str">
        <x:v>1 fiche(s) : Déplacement biotique proposé</x:v>
      </x:c>
      <x:c r="C56" s="6" t="str">
        <x:v>Prototyper les règles proposées et exécuter les critères de recette; aucune fiche n’est déclarée intégrée ou validée.</x:v>
      </x:c>
      <x:c r="D56" s="2"/>
      <x:c r="E56" s="2"/>
      <x:c r="F56" s="2"/>
    </x:row>
    <x:row r="57" ht="54" customHeight="1">
      <x:c r="A57" s="6" t="str">
        <x:v>ally_moves</x:v>
      </x:c>
      <x:c r="B57" s="6" t="str">
        <x:v>2 fiche(s) : Écran de passage; Couverture d’identité</x:v>
      </x:c>
      <x:c r="C57" s="6" t="str">
        <x:v>Prototyper les règles proposées et exécuter les critères de recette; aucune fiche n’est déclarée intégrée ou validée.</x:v>
      </x:c>
      <x:c r="D57" s="2"/>
      <x:c r="E57" s="2"/>
      <x:c r="F57" s="2"/>
    </x:row>
    <x:row r="58" ht="54" customHeight="1">
      <x:c r="A58" s="6" t="str">
        <x:v>enemy_moves</x:v>
      </x:c>
      <x:c r="B58" s="6" t="str">
        <x:v>6 fiche(s) : Fixation de quai; Verrou de passage; Passe de contrôle; Interception de route</x:v>
      </x:c>
      <x:c r="C58" s="6" t="str">
        <x:v>Prototyper les règles proposées et exécuter les critères de recette; aucune fiche n’est déclarée intégrée ou validée.</x:v>
      </x:c>
      <x:c r="D58" s="2"/>
      <x:c r="E58" s="2"/>
      <x:c r="F58" s="2"/>
    </x:row>
    <x:row r="59" ht="54" customHeight="1">
      <x:c r="A59" s="6" t="str">
        <x:v>animations</x:v>
      </x:c>
      <x:c r="B59" s="6" t="str">
        <x:v>7 fiche(s) : Liara T’Soni — jeu de poses; Feron — jeu de poses; Miranda Lawson — jeu de poses; Aria T’Loak — jeu de poses</x:v>
      </x:c>
      <x:c r="C59" s="6" t="str">
        <x:v>Produire les assets originaux puis vérifier en situation; ce catalogue ne livre ni image, ni son, ni animation.</x:v>
      </x:c>
      <x:c r="D59" s="2"/>
      <x:c r="E59" s="2"/>
      <x:c r="F59" s="2"/>
    </x:row>
    <x:row r="60" ht="54" customHeight="1">
      <x:c r="A60" s="6" t="str">
        <x:v>sprites</x:v>
      </x:c>
      <x:c r="B60" s="6" t="str">
        <x:v>7 fiche(s) : Liara T’Soni — planche de sprites; Feron — planche de sprites; Miranda Lawson — planche de sprites; Aria T’Loak — planche de sprites</x:v>
      </x:c>
      <x:c r="C60" s="6" t="str">
        <x:v>Produire les assets originaux puis vérifier en situation; ce catalogue ne livre ni image, ni son, ni animation.</x:v>
      </x:c>
      <x:c r="D60" s="2"/>
      <x:c r="E60" s="2"/>
      <x:c r="F60" s="2"/>
    </x:row>
    <x:row r="61" ht="54" customHeight="1">
      <x:c r="A61" s="6" t="str">
        <x:v>vfx</x:v>
      </x:c>
      <x:c r="B61" s="6" t="str">
        <x:v>6 fiche(s) : Contact sur Omega — signal visuel; Entretien à Afterlife — signal visuel; Docks et transfert — signal visuel; Rejoindre la base — signal visuel</x:v>
      </x:c>
      <x:c r="C61" s="6" t="str">
        <x:v>Produire les assets originaux puis vérifier en situation; ce catalogue ne livre ni image, ni son, ni animation.</x:v>
      </x:c>
      <x:c r="D61" s="2"/>
      <x:c r="E61" s="2"/>
      <x:c r="F61" s="2"/>
    </x:row>
    <x:row r="62" ht="54" customHeight="1">
      <x:c r="A62" s="6" t="str">
        <x:v>audio</x:v>
      </x:c>
      <x:c r="B62" s="6" t="str">
        <x:v>3 fiche(s) : Omega — paysage sonore; Alingon / Alignon — graphie à contrôler — paysage sonore; Poursuite dans l’espace — paysage sonore</x:v>
      </x:c>
      <x:c r="C62" s="6" t="str">
        <x:v>Produire les assets originaux puis vérifier en situation; ce catalogue ne livre ni image, ni son, ni animation.</x:v>
      </x:c>
      <x:c r="D62" s="2"/>
      <x:c r="E62" s="2"/>
      <x:c r="F62" s="2"/>
    </x:row>
    <x:row r="63" ht="54" customHeight="1">
      <x:c r="A63" s="6" t="str">
        <x:v>systems</x:v>
      </x:c>
      <x:c r="B63" s="6" t="str">
        <x:v>4 fiche(s) : Journal à deux niveaux; Groupe propre au chapitre; Rythme ATB proposé; Sauvegarde des modules</x:v>
      </x:c>
      <x:c r="C63" s="6" t="str">
        <x:v>Prototyper les règles proposées et exécuter les critères de recette; aucune fiche n’est déclarée intégrée ou validée.</x:v>
      </x:c>
      <x:c r="D63" s="2"/>
      <x:c r="E63" s="2"/>
      <x:c r="F63" s="2"/>
    </x:row>
    <x:row r="64" ht="68" customHeight="1">
      <x:c r="A64" s="6" t="str">
        <x:v>qa</x:v>
      </x:c>
      <x:c r="B64" s="6" t="str">
        <x:v>9 fiche(s) : Contact sur Omega — contrôle du parcours; Entretien à Afterlife — contrôle du parcours; Docks et transfert — contrôle du parcours; Rejoindre la base — contrôle du parcours</x:v>
      </x:c>
      <x:c r="C64" s="6" t="str">
        <x:v>Prototyper les règles proposées et exécuter les critères de recette; aucune fiche n’est déclarée intégrée ou validée.</x:v>
      </x:c>
      <x:c r="D64" s="2"/>
      <x:c r="E64" s="2"/>
      <x:c r="F64" s="2"/>
    </x:row>
    <x:row r="65" ht="68" customHeight="1">
      <x:c r="A65" s="6" t="str">
        <x:v>continuity</x:v>
      </x:c>
      <x:c r="B65" s="6" t="str">
        <x:v>2 fiche(s) : Position dans l’univers; Contenus non attestés</x:v>
      </x:c>
      <x:c r="C65" s="6" t="str">
        <x:v>Comparer les détails marqués À vérifier à une édition autorisée; les sources éditoriales n’attestent pas chaque détail graphique.</x:v>
      </x:c>
      <x:c r="D65" s="2"/>
      <x:c r="E65" s="2"/>
      <x:c r="F65" s="2"/>
    </x:row>
    <x:row r="66" ht="96" customHeight="1">
      <x:c r="A66" s="6" t="str">
        <x:v>Prototype Chroniques indépendant</x:v>
      </x:c>
      <x:c r="B66" s="6" t="str">
        <x:v>2 personnages sélectionnables, 0 équipements utilisables sous restrictions d’œuvre, segment, scène et porteur ; preuves dans implementationPaths et evidence des seules lignes Prototype.</x:v>
      </x:c>
      <x:c r="C66" s="6" t="str">
        <x:v>Campagne complète, dialogues, acquisition canonique, sprites, costumes, animations et statistiques originales à réaliser ou vérifier. Les ateliers sont des essais de préparation ATB, sans progression canonique ni transfert ME1.</x:v>
      </x:c>
      <x:c r="D66" s="2"/>
      <x:c r="E66" s="2"/>
      <x:c r="F66" s="2"/>
    </x:row>
    <x:row r="67" ht="96" customHeight="1">
      <x:c r="A67" s="6" t="str">
        <x:v>Complément pouvoirs, modules et lectures</x:v>
      </x:c>
      <x:c r="B67" s="6" t="str">
        <x:v>0 fiches de pouvoirs utilisées, 0 familles de modules préparables et 6 références consultables dans une lecture documentaire. Les chemins et preuves sont inscrits sur les seules lignes Prototype.</x:v>
      </x:c>
      <x:c r="C67" s="6" t="str">
        <x:v>Arbres et progression complets, modèles et rangs exacts, campagnes et dialogues intégraux, niveaux et ressources visuelles propres à l’œuvre restent à réaliser ou vérifier. Les références lues ne rendent pas leurs personnages jouables.</x:v>
      </x:c>
      <x:c r="D67" s="2"/>
      <x:c r="E67" s="2"/>
      <x:c r="F67" s="2"/>
    </x:row>
    <x:row r="68" ht="22" customHeight="1">
      <x:c r="A68" s="2"/>
      <x:c r="B68" s="2"/>
      <x:c r="C68" s="2"/>
      <x:c r="D68" s="2"/>
      <x:c r="E68" s="2"/>
      <x:c r="F68" s="2"/>
    </x:row>
    <x:row r="69" ht="22" customHeight="1">
      <x:c r="A69" s="2"/>
      <x:c r="B69" s="2"/>
      <x:c r="C69" s="2"/>
      <x:c r="D69" s="2"/>
      <x:c r="E69" s="2"/>
      <x:c r="F69" s="2"/>
    </x:row>
    <x:row r="70" ht="22" customHeight="1">
      <x:c r="A70" s="2"/>
      <x:c r="B70" s="2"/>
      <x:c r="C70" s="2"/>
      <x:c r="D70" s="2"/>
      <x:c r="E70" s="2"/>
      <x:c r="F70" s="2"/>
    </x:row>
    <x:row r="71" ht="22" customHeight="1">
      <x:c r="A71" s="2"/>
      <x:c r="B71" s="2"/>
      <x:c r="C71" s="2"/>
      <x:c r="D71" s="2"/>
      <x:c r="E71" s="2"/>
      <x:c r="F71" s="2"/>
    </x:row>
    <x:row r="72" ht="22" customHeight="1">
      <x:c r="A72" s="2"/>
      <x:c r="B72" s="2"/>
      <x:c r="C72" s="2"/>
      <x:c r="D72" s="2"/>
      <x:c r="E72" s="2"/>
      <x:c r="F72" s="2"/>
    </x:row>
    <x:row r="73" ht="22" customHeight="1">
      <x:c r="A73" s="2"/>
      <x:c r="B73" s="2"/>
      <x:c r="C73" s="2"/>
      <x:c r="D73" s="2"/>
      <x:c r="E73" s="2"/>
      <x:c r="F73" s="2"/>
    </x:row>
    <x:row r="74" ht="22" customHeight="1">
      <x:c r="A74" s="2"/>
      <x:c r="B74" s="2"/>
      <x:c r="C74" s="2"/>
      <x:c r="D74" s="2"/>
      <x:c r="E74" s="2"/>
      <x:c r="F74" s="2"/>
    </x:row>
    <x:row r="75" ht="22" customHeight="1">
      <x:c r="A75" s="2"/>
      <x:c r="B75" s="2"/>
      <x:c r="C75" s="2"/>
      <x:c r="D75" s="2"/>
      <x:c r="E75" s="2"/>
      <x:c r="F75" s="2"/>
    </x:row>
    <x:row r="76" ht="22" customHeight="1">
      <x:c r="A76" s="2"/>
      <x:c r="B76" s="2"/>
      <x:c r="C76" s="2"/>
      <x:c r="D76" s="2"/>
      <x:c r="E76" s="2"/>
      <x:c r="F76" s="2"/>
    </x:row>
    <x:row r="77" ht="22" customHeight="1">
      <x:c r="A77" s="2"/>
      <x:c r="B77" s="2"/>
      <x:c r="C77" s="2"/>
      <x:c r="D77" s="2"/>
      <x:c r="E77" s="2"/>
      <x:c r="F77" s="2"/>
    </x:row>
    <x:row r="78" ht="22" customHeight="1">
      <x:c r="A78" s="2"/>
      <x:c r="B78" s="2"/>
      <x:c r="C78" s="2"/>
      <x:c r="D78" s="2"/>
      <x:c r="E78" s="2"/>
      <x:c r="F78" s="2"/>
    </x:row>
    <x:row r="79" ht="22" customHeight="1">
      <x:c r="A79" s="2"/>
      <x:c r="B79" s="2"/>
      <x:c r="C79" s="2"/>
      <x:c r="D79" s="2"/>
      <x:c r="E79" s="2"/>
      <x:c r="F79" s="2"/>
    </x:row>
    <x:row r="80" ht="22" customHeight="1">
      <x:c r="A80" s="2"/>
      <x:c r="B80" s="2"/>
      <x:c r="C80" s="2"/>
      <x:c r="D80" s="2"/>
      <x:c r="E80" s="2"/>
      <x:c r="F80" s="2"/>
    </x:row>
    <x:row r="81" ht="22" customHeight="1">
      <x:c r="A81" s="2"/>
      <x:c r="B81" s="2"/>
      <x:c r="C81" s="2"/>
      <x:c r="D81" s="2"/>
      <x:c r="E81" s="2"/>
      <x:c r="F81" s="2"/>
    </x:row>
    <x:row r="82" ht="22" customHeight="1">
      <x:c r="A82" s="2"/>
      <x:c r="B82" s="2"/>
      <x:c r="C82" s="2"/>
      <x:c r="D82" s="2"/>
      <x:c r="E82" s="2"/>
      <x:c r="F82" s="2"/>
    </x:row>
    <x:row r="83" ht="22" customHeight="1">
      <x:c r="A83" s="2"/>
      <x:c r="B83" s="2"/>
      <x:c r="C83" s="2"/>
      <x:c r="D83" s="2"/>
      <x:c r="E83" s="2"/>
      <x:c r="F83" s="2"/>
    </x:row>
    <x:row r="84" ht="22" customHeight="1">
      <x:c r="A84" s="2"/>
      <x:c r="B84" s="2"/>
      <x:c r="C84" s="2"/>
      <x:c r="D84" s="2"/>
      <x:c r="E84" s="2"/>
      <x:c r="F84" s="2"/>
    </x:row>
    <x:row r="85" ht="22" customHeight="1">
      <x:c r="A85" s="2"/>
      <x:c r="B85" s="2"/>
      <x:c r="C85" s="2"/>
      <x:c r="D85" s="2"/>
      <x:c r="E85" s="2"/>
      <x:c r="F85" s="2"/>
    </x:row>
    <x:row r="86" ht="22" customHeight="1">
      <x:c r="A86" s="2"/>
      <x:c r="B86" s="2"/>
      <x:c r="C86" s="2"/>
      <x:c r="D86" s="2"/>
      <x:c r="E86" s="2"/>
      <x:c r="F86" s="2"/>
    </x:row>
    <x:row r="87" ht="22" customHeight="1">
      <x:c r="A87" s="2"/>
      <x:c r="B87" s="2"/>
      <x:c r="C87" s="2"/>
      <x:c r="D87" s="2"/>
      <x:c r="E87" s="2"/>
      <x:c r="F87" s="2"/>
    </x:row>
    <x:row r="88" ht="22" customHeight="1">
      <x:c r="A88" s="2"/>
      <x:c r="B88" s="2"/>
      <x:c r="C88" s="2"/>
      <x:c r="D88" s="2"/>
      <x:c r="E88" s="2"/>
      <x:c r="F88" s="2"/>
    </x:row>
    <x:row r="89" ht="22" customHeight="1">
      <x:c r="A89" s="2"/>
      <x:c r="B89" s="2"/>
      <x:c r="C89" s="2"/>
      <x:c r="D89" s="2"/>
      <x:c r="E89" s="2"/>
      <x:c r="F89" s="2"/>
    </x:row>
    <x:row r="90" ht="22" customHeight="1">
      <x:c r="A90" s="2"/>
      <x:c r="B90" s="2"/>
      <x:c r="C90" s="2"/>
      <x:c r="D90" s="2"/>
      <x:c r="E90" s="2"/>
      <x:c r="F90" s="2"/>
    </x:row>
    <x:row r="91" ht="22" customHeight="1">
      <x:c r="A91" s="2"/>
      <x:c r="B91" s="2"/>
      <x:c r="C91" s="2"/>
      <x:c r="D91" s="2"/>
      <x:c r="E91" s="2"/>
      <x:c r="F91" s="2"/>
    </x:row>
    <x:row r="92" ht="22" customHeight="1">
      <x:c r="A92" s="2"/>
      <x:c r="B92" s="2"/>
      <x:c r="C92" s="2"/>
      <x:c r="D92" s="2"/>
      <x:c r="E92" s="2"/>
      <x:c r="F92" s="2"/>
    </x:row>
    <x:row r="93" ht="22" customHeight="1">
      <x:c r="A93" s="2"/>
      <x:c r="B93" s="2"/>
      <x:c r="C93" s="2"/>
      <x:c r="D93" s="2"/>
      <x:c r="E93" s="2"/>
      <x:c r="F93" s="2"/>
    </x:row>
    <x:row r="94" ht="22" customHeight="1">
      <x:c r="A94" s="2"/>
      <x:c r="B94" s="2"/>
      <x:c r="C94" s="2"/>
      <x:c r="D94" s="2"/>
      <x:c r="E94" s="2"/>
      <x:c r="F94" s="2"/>
    </x:row>
    <x:row r="95" ht="22" customHeight="1">
      <x:c r="A95" s="2"/>
      <x:c r="B95" s="2"/>
      <x:c r="C95" s="2"/>
      <x:c r="D95" s="2"/>
      <x:c r="E95" s="2"/>
      <x:c r="F95" s="2"/>
    </x:row>
    <x:row r="96" ht="22" customHeight="1">
      <x:c r="A96" s="2"/>
      <x:c r="B96" s="2"/>
      <x:c r="C96" s="2"/>
      <x:c r="D96" s="2"/>
      <x:c r="E96" s="2"/>
      <x:c r="F96" s="2"/>
    </x:row>
    <x:row r="97" ht="22" customHeight="1">
      <x:c r="A97" s="2"/>
      <x:c r="B97" s="2"/>
      <x:c r="C97" s="2"/>
      <x:c r="D97" s="2"/>
      <x:c r="E97" s="2"/>
      <x:c r="F97" s="2"/>
    </x:row>
    <x:row r="98" ht="22" customHeight="1">
      <x:c r="A98" s="2"/>
      <x:c r="B98" s="2"/>
      <x:c r="C98" s="2"/>
      <x:c r="D98" s="2"/>
      <x:c r="E98" s="2"/>
      <x:c r="F98" s="2"/>
    </x:row>
    <x:row r="99" ht="22" customHeight="1">
      <x:c r="A99" s="2"/>
      <x:c r="B99" s="2"/>
      <x:c r="C99" s="2"/>
      <x:c r="D99" s="2"/>
      <x:c r="E99" s="2"/>
      <x:c r="F99" s="2"/>
    </x:row>
    <x:row r="100" ht="22" customHeight="1">
      <x:c r="A100" s="2"/>
      <x:c r="B100" s="2"/>
      <x:c r="C100" s="2"/>
      <x:c r="D100" s="2"/>
      <x:c r="E100" s="2"/>
      <x:c r="F100" s="2"/>
    </x:row>
    <x:row r="101" ht="22" customHeight="1">
      <x:c r="A101" s="2"/>
      <x:c r="B101" s="2"/>
      <x:c r="C101" s="2"/>
      <x:c r="D101" s="2"/>
      <x:c r="E101" s="2"/>
      <x:c r="F101" s="2"/>
    </x:row>
    <x:row r="102" ht="22" customHeight="1">
      <x:c r="A102" s="2"/>
      <x:c r="B102" s="2"/>
      <x:c r="C102" s="2"/>
      <x:c r="D102" s="2"/>
      <x:c r="E102" s="2"/>
      <x:c r="F102" s="2"/>
    </x:row>
    <x:row r="103" ht="22" customHeight="1">
      <x:c r="A103" s="2"/>
      <x:c r="B103" s="2"/>
      <x:c r="C103" s="2"/>
      <x:c r="D103" s="2"/>
      <x:c r="E103" s="2"/>
      <x:c r="F103" s="2"/>
    </x:row>
    <x:row r="104" ht="22" customHeight="1">
      <x:c r="A104" s="2"/>
      <x:c r="B104" s="2"/>
      <x:c r="C104" s="2"/>
      <x:c r="D104" s="2"/>
      <x:c r="E104" s="2"/>
      <x:c r="F104" s="2"/>
    </x:row>
    <x:row r="105" ht="22" customHeight="1">
      <x:c r="A105" s="2"/>
      <x:c r="B105" s="2"/>
      <x:c r="C105" s="2"/>
      <x:c r="D105" s="2"/>
      <x:c r="E105" s="2"/>
      <x:c r="F105" s="2"/>
    </x:row>
    <x:row r="106" ht="22" customHeight="1">
      <x:c r="A106" s="2"/>
      <x:c r="B106" s="2"/>
      <x:c r="C106" s="2"/>
      <x:c r="D106" s="2"/>
      <x:c r="E106" s="2"/>
      <x:c r="F106" s="2"/>
    </x:row>
    <x:row r="107" ht="22" customHeight="1">
      <x:c r="A107" s="2"/>
      <x:c r="B107" s="2"/>
      <x:c r="C107" s="2"/>
      <x:c r="D107" s="2"/>
      <x:c r="E107" s="2"/>
      <x:c r="F107" s="2"/>
    </x:row>
    <x:row r="108" ht="22" customHeight="1">
      <x:c r="A108" s="2"/>
      <x:c r="B108" s="2"/>
      <x:c r="C108" s="2"/>
      <x:c r="D108" s="2"/>
      <x:c r="E108" s="2"/>
      <x:c r="F108" s="2"/>
    </x:row>
    <x:row r="109" ht="22" customHeight="1">
      <x:c r="A109" s="2"/>
      <x:c r="B109" s="2"/>
      <x:c r="C109" s="2"/>
      <x:c r="D109" s="2"/>
      <x:c r="E109" s="2"/>
      <x:c r="F109" s="2"/>
    </x:row>
    <x:row r="110" ht="22" customHeight="1">
      <x:c r="A110" s="2"/>
      <x:c r="B110" s="2"/>
      <x:c r="C110" s="2"/>
      <x:c r="D110" s="2"/>
      <x:c r="E110" s="2"/>
      <x:c r="F110" s="2"/>
    </x:row>
    <x:row r="111" ht="22" customHeight="1">
      <x:c r="A111" s="2"/>
      <x:c r="B111" s="2"/>
      <x:c r="C111" s="2"/>
      <x:c r="D111" s="2"/>
      <x:c r="E111" s="2"/>
      <x:c r="F111" s="2"/>
    </x:row>
    <x:row r="112" ht="22" customHeight="1">
      <x:c r="A112" s="2"/>
      <x:c r="B112" s="2"/>
      <x:c r="C112" s="2"/>
      <x:c r="D112" s="2"/>
      <x:c r="E112" s="2"/>
      <x:c r="F112" s="2"/>
    </x:row>
    <x:row r="113" ht="22" customHeight="1">
      <x:c r="A113" s="2"/>
      <x:c r="B113" s="2"/>
      <x:c r="C113" s="2"/>
      <x:c r="D113" s="2"/>
      <x:c r="E113" s="2"/>
      <x:c r="F113" s="2"/>
    </x:row>
    <x:row r="114" ht="22" customHeight="1">
      <x:c r="A114" s="2"/>
      <x:c r="B114" s="2"/>
      <x:c r="C114" s="2"/>
      <x:c r="D114" s="2"/>
      <x:c r="E114" s="2"/>
      <x:c r="F114" s="2"/>
    </x:row>
    <x:row r="115" ht="22" customHeight="1">
      <x:c r="A115" s="2"/>
      <x:c r="B115" s="2"/>
      <x:c r="C115" s="2"/>
      <x:c r="D115" s="2"/>
      <x:c r="E115" s="2"/>
      <x:c r="F115" s="2"/>
    </x:row>
    <x:row r="116" ht="22" customHeight="1">
      <x:c r="A116" s="2"/>
      <x:c r="B116" s="2"/>
      <x:c r="C116" s="2"/>
      <x:c r="D116" s="2"/>
      <x:c r="E116" s="2"/>
      <x:c r="F116" s="2"/>
    </x:row>
    <x:row r="117" ht="22" customHeight="1">
      <x:c r="A117" s="2"/>
      <x:c r="B117" s="2"/>
      <x:c r="C117" s="2"/>
      <x:c r="D117" s="2"/>
      <x:c r="E117" s="2"/>
      <x:c r="F117" s="2"/>
    </x:row>
    <x:row r="118" ht="22" customHeight="1">
      <x:c r="A118" s="2"/>
      <x:c r="B118" s="2"/>
      <x:c r="C118" s="2"/>
      <x:c r="D118" s="2"/>
      <x:c r="E118" s="2"/>
      <x:c r="F118" s="2"/>
    </x:row>
    <x:row r="119" ht="22" customHeight="1">
      <x:c r="A119" s="2"/>
      <x:c r="B119" s="2"/>
      <x:c r="C119" s="2"/>
      <x:c r="D119" s="2"/>
      <x:c r="E119" s="2"/>
      <x:c r="F119" s="2"/>
    </x:row>
    <x:row r="120" ht="22" customHeight="1">
      <x:c r="A120" s="2"/>
      <x:c r="B120" s="2"/>
      <x:c r="C120" s="2"/>
      <x:c r="D120" s="2"/>
      <x:c r="E120" s="2"/>
      <x:c r="F120" s="2"/>
    </x:row>
    <x:row r="121" ht="22" customHeight="1">
      <x:c r="A121" s="2"/>
      <x:c r="B121" s="2"/>
      <x:c r="C121" s="2"/>
      <x:c r="D121" s="2"/>
      <x:c r="E121" s="2"/>
      <x:c r="F121" s="2"/>
    </x:row>
    <x:row r="122" ht="22" customHeight="1">
      <x:c r="A122" s="2"/>
      <x:c r="B122" s="2"/>
      <x:c r="C122" s="2"/>
      <x:c r="D122" s="2"/>
      <x:c r="E122" s="2"/>
      <x:c r="F122" s="2"/>
    </x:row>
    <x:row r="123" ht="22" customHeight="1">
      <x:c r="A123" s="2"/>
      <x:c r="B123" s="2"/>
      <x:c r="C123" s="2"/>
      <x:c r="D123" s="2"/>
      <x:c r="E123" s="2"/>
      <x:c r="F123" s="2"/>
    </x:row>
    <x:row r="124" ht="22" customHeight="1">
      <x:c r="A124" s="2"/>
      <x:c r="B124" s="2"/>
      <x:c r="C124" s="2"/>
      <x:c r="D124" s="2"/>
      <x:c r="E124" s="2"/>
      <x:c r="F124" s="2"/>
    </x:row>
    <x:row r="125" ht="22" customHeight="1">
      <x:c r="A125" s="2"/>
      <x:c r="B125" s="2"/>
      <x:c r="C125" s="2"/>
      <x:c r="D125" s="2"/>
      <x:c r="E125" s="2"/>
      <x:c r="F125" s="2"/>
    </x:row>
    <x:row r="126" ht="22" customHeight="1">
      <x:c r="A126" s="2"/>
      <x:c r="B126" s="2"/>
      <x:c r="C126" s="2"/>
      <x:c r="D126" s="2"/>
      <x:c r="E126" s="2"/>
      <x:c r="F126" s="2"/>
    </x:row>
    <x:row r="127" ht="22" customHeight="1">
      <x:c r="A127" s="2"/>
      <x:c r="B127" s="2"/>
      <x:c r="C127" s="2"/>
      <x:c r="D127" s="2"/>
      <x:c r="E127" s="2"/>
      <x:c r="F127" s="2"/>
    </x:row>
    <x:row r="128" ht="22" customHeight="1">
      <x:c r="A128" s="2"/>
      <x:c r="B128" s="2"/>
      <x:c r="C128" s="2"/>
      <x:c r="D128" s="2"/>
      <x:c r="E128" s="2"/>
      <x:c r="F128" s="2"/>
    </x:row>
    <x:row r="129" ht="22" customHeight="1">
      <x:c r="A129" s="2"/>
      <x:c r="B129" s="2"/>
      <x:c r="C129" s="2"/>
      <x:c r="D129" s="2"/>
      <x:c r="E129" s="2"/>
      <x:c r="F129" s="2"/>
    </x:row>
    <x:row r="130" ht="22" customHeight="1">
      <x:c r="A130" s="2"/>
      <x:c r="B130" s="2"/>
      <x:c r="C130" s="2"/>
      <x:c r="D130" s="2"/>
      <x:c r="E130" s="2"/>
      <x:c r="F130" s="2"/>
    </x:row>
    <x:row r="131" ht="22" customHeight="1">
      <x:c r="A131" s="2"/>
      <x:c r="B131" s="2"/>
      <x:c r="C131" s="2"/>
      <x:c r="D131" s="2"/>
      <x:c r="E131" s="2"/>
      <x:c r="F131" s="2"/>
    </x:row>
    <x:row r="132" ht="22" customHeight="1">
      <x:c r="A132" s="2"/>
      <x:c r="B132" s="2"/>
      <x:c r="C132" s="2"/>
      <x:c r="D132" s="2"/>
      <x:c r="E132" s="2"/>
      <x:c r="F132" s="2"/>
    </x:row>
    <x:row r="133" ht="22" customHeight="1">
      <x:c r="A133" s="2"/>
      <x:c r="B133" s="2"/>
      <x:c r="C133" s="2"/>
      <x:c r="D133" s="2"/>
      <x:c r="E133" s="2"/>
      <x:c r="F133" s="2"/>
    </x:row>
    <x:row r="134" ht="22" customHeight="1">
      <x:c r="A134" s="2"/>
      <x:c r="B134" s="2"/>
      <x:c r="C134" s="2"/>
      <x:c r="D134" s="2"/>
      <x:c r="E134" s="2"/>
      <x:c r="F134" s="2"/>
    </x:row>
    <x:row r="135" ht="22" customHeight="1">
      <x:c r="A135" s="2"/>
      <x:c r="B135" s="2"/>
      <x:c r="C135" s="2"/>
      <x:c r="D135" s="2"/>
      <x:c r="E135" s="2"/>
      <x:c r="F135" s="2"/>
    </x:row>
    <x:row r="136" ht="22" customHeight="1">
      <x:c r="A136" s="2"/>
      <x:c r="B136" s="2"/>
      <x:c r="C136" s="2"/>
      <x:c r="D136" s="2"/>
      <x:c r="E136" s="2"/>
      <x:c r="F136" s="2"/>
    </x:row>
    <x:row r="137" ht="22" customHeight="1">
      <x:c r="A137" s="2"/>
      <x:c r="B137" s="2"/>
      <x:c r="C137" s="2"/>
      <x:c r="D137" s="2"/>
      <x:c r="E137" s="2"/>
      <x:c r="F137" s="2"/>
    </x:row>
  </x:sheetData>
  <x:pageMargins left="0.7" right="0.7" top="0.75" bottom="0.75" header="0.3" footer="0.3"/>
</x:worksheet>
</file>