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f93c6c61bb470d" /></Relationships>
</file>

<file path=xl/workbook.xml><?xml version="1.0" encoding="utf-8"?>
<x:workbook xmlns:x="http://schemas.openxmlformats.org/spreadsheetml/2006/main">
  <x:sheets>
    <x:sheet xmlns:r="http://schemas.openxmlformats.org/officeDocument/2006/relationships" name="Dashboard" sheetId="1" r:id="Ra968ea645c754e0d"/>
    <x:sheet xmlns:r="http://schemas.openxmlformats.org/officeDocument/2006/relationships" name="Personnages" sheetId="2" r:id="Rc94e217e9f7e4201"/>
    <x:sheet xmlns:r="http://schemas.openxmlformats.org/officeDocument/2006/relationships" name="PNJ" sheetId="3" r:id="Rf626d543998b4eb4"/>
    <x:sheet xmlns:r="http://schemas.openxmlformats.org/officeDocument/2006/relationships" name="Especes_factions" sheetId="4" r:id="R3a2b60cc09b243c8"/>
    <x:sheet xmlns:r="http://schemas.openxmlformats.org/officeDocument/2006/relationships" name="Mondes" sheetId="5" r:id="R96bf79cabf7d4f24"/>
    <x:sheet xmlns:r="http://schemas.openxmlformats.org/officeDocument/2006/relationships" name="Zones" sheetId="6" r:id="R3343561d6866437e"/>
    <x:sheet xmlns:r="http://schemas.openxmlformats.org/officeDocument/2006/relationships" name="Liaisons" sheetId="7" r:id="Rf888bdd4872d4a6d"/>
    <x:sheet xmlns:r="http://schemas.openxmlformats.org/officeDocument/2006/relationships" name="Decors" sheetId="8" r:id="Rfced049be7d74314"/>
    <x:sheet xmlns:r="http://schemas.openxmlformats.org/officeDocument/2006/relationships" name="Props" sheetId="9" r:id="R7d50d70df9f340ff"/>
    <x:sheet xmlns:r="http://schemas.openxmlformats.org/officeDocument/2006/relationships" name="Ennemis_boss" sheetId="10" r:id="R913daa967d974fbc"/>
    <x:sheet xmlns:r="http://schemas.openxmlformats.org/officeDocument/2006/relationships" name="Missions" sheetId="11" r:id="R47160e1a4a1d4eea"/>
    <x:sheet xmlns:r="http://schemas.openxmlformats.org/officeDocument/2006/relationships" name="Secondaires_DLC" sheetId="12" r:id="Re20b986595154a97"/>
    <x:sheet xmlns:r="http://schemas.openxmlformats.org/officeDocument/2006/relationships" name="Choix_relations" sheetId="13" r:id="R88ba52a227044a4f"/>
    <x:sheet xmlns:r="http://schemas.openxmlformats.org/officeDocument/2006/relationships" name="Dialogues" sheetId="14" r:id="R683090cd5187464b"/>
    <x:sheet xmlns:r="http://schemas.openxmlformats.org/officeDocument/2006/relationships" name="Cinematiques" sheetId="15" r:id="R8978315b3f2b43d3"/>
    <x:sheet xmlns:r="http://schemas.openxmlformats.org/officeDocument/2006/relationships" name="Armes" sheetId="16" r:id="R7964432861144fd0"/>
    <x:sheet xmlns:r="http://schemas.openxmlformats.org/officeDocument/2006/relationships" name="Armures_equipement" sheetId="17" r:id="R0b0ced635f7b4e34"/>
    <x:sheet xmlns:r="http://schemas.openxmlformats.org/officeDocument/2006/relationships" name="Pouvoirs" sheetId="18" r:id="R2753c7f49ba5403e"/>
    <x:sheet xmlns:r="http://schemas.openxmlformats.org/officeDocument/2006/relationships" name="Movesets_allies" sheetId="19" r:id="R5a9efc20b1284a7a"/>
    <x:sheet xmlns:r="http://schemas.openxmlformats.org/officeDocument/2006/relationships" name="Movesets_ennemis" sheetId="20" r:id="R58b0449e9098418f"/>
    <x:sheet xmlns:r="http://schemas.openxmlformats.org/officeDocument/2006/relationships" name="Animations" sheetId="21" r:id="Racf8875e3370458a"/>
    <x:sheet xmlns:r="http://schemas.openxmlformats.org/officeDocument/2006/relationships" name="Sprites" sheetId="22" r:id="R97c71b1b4b764eb3"/>
    <x:sheet xmlns:r="http://schemas.openxmlformats.org/officeDocument/2006/relationships" name="VFX" sheetId="23" r:id="R02023651b10b43b3"/>
    <x:sheet xmlns:r="http://schemas.openxmlformats.org/officeDocument/2006/relationships" name="Audio" sheetId="24" r:id="Rcbf9ee017ae9461f"/>
    <x:sheet xmlns:r="http://schemas.openxmlformats.org/officeDocument/2006/relationships" name="UI_systemes" sheetId="25" r:id="Rb2027a6110584807"/>
    <x:sheet xmlns:r="http://schemas.openxmlformats.org/officeDocument/2006/relationships" name="QA" sheetId="26" r:id="Rb39c530df85a435e"/>
    <x:sheet xmlns:r="http://schemas.openxmlformats.org/officeDocument/2006/relationships" name="Continuite" sheetId="27" r:id="Rf3e2b590ec424595"/>
    <x:sheet xmlns:r="http://schemas.openxmlformats.org/officeDocument/2006/relationships" name="Guide" sheetId="28" r:id="Rf5ff1d1af10b40c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de649304b4a44b0d" /><Relationship Type="http://schemas.openxmlformats.org/officeDocument/2006/relationships/theme" Target="/xl/theme/theme1.xml" Id="Rdae3f52f451f4b8f" /><Relationship Type="http://schemas.openxmlformats.org/officeDocument/2006/relationships/sharedStrings" Target="/xl/sharedStrings.xml" Id="R34fc729fdd704d56" /><Relationship Type="http://schemas.openxmlformats.org/officeDocument/2006/relationships/worksheet" Target="/xl/worksheets/sheet1.xml" Id="Ra968ea645c754e0d" /><Relationship Type="http://schemas.openxmlformats.org/officeDocument/2006/relationships/worksheet" Target="/xl/worksheets/sheet2.xml" Id="Rc94e217e9f7e4201" /><Relationship Type="http://schemas.openxmlformats.org/officeDocument/2006/relationships/worksheet" Target="/xl/worksheets/sheet3.xml" Id="Rf626d543998b4eb4" /><Relationship Type="http://schemas.openxmlformats.org/officeDocument/2006/relationships/worksheet" Target="/xl/worksheets/sheet4.xml" Id="R3a2b60cc09b243c8" /><Relationship Type="http://schemas.openxmlformats.org/officeDocument/2006/relationships/worksheet" Target="/xl/worksheets/sheet5.xml" Id="R96bf79cabf7d4f24" /><Relationship Type="http://schemas.openxmlformats.org/officeDocument/2006/relationships/worksheet" Target="/xl/worksheets/sheet6.xml" Id="R3343561d6866437e" /><Relationship Type="http://schemas.openxmlformats.org/officeDocument/2006/relationships/worksheet" Target="/xl/worksheets/sheet7.xml" Id="Rf888bdd4872d4a6d" /><Relationship Type="http://schemas.openxmlformats.org/officeDocument/2006/relationships/worksheet" Target="/xl/worksheets/sheet8.xml" Id="Rfced049be7d74314" /><Relationship Type="http://schemas.openxmlformats.org/officeDocument/2006/relationships/worksheet" Target="/xl/worksheets/sheet9.xml" Id="R7d50d70df9f340ff" /><Relationship Type="http://schemas.openxmlformats.org/officeDocument/2006/relationships/worksheet" Target="/xl/worksheets/sheet10.xml" Id="R913daa967d974fbc" /><Relationship Type="http://schemas.openxmlformats.org/officeDocument/2006/relationships/worksheet" Target="/xl/worksheets/sheet11.xml" Id="R47160e1a4a1d4eea" /><Relationship Type="http://schemas.openxmlformats.org/officeDocument/2006/relationships/worksheet" Target="/xl/worksheets/sheet12.xml" Id="Re20b986595154a97" /><Relationship Type="http://schemas.openxmlformats.org/officeDocument/2006/relationships/worksheet" Target="/xl/worksheets/sheet13.xml" Id="R88ba52a227044a4f" /><Relationship Type="http://schemas.openxmlformats.org/officeDocument/2006/relationships/worksheet" Target="/xl/worksheets/sheet14.xml" Id="R683090cd5187464b" /><Relationship Type="http://schemas.openxmlformats.org/officeDocument/2006/relationships/worksheet" Target="/xl/worksheets/sheet15.xml" Id="R8978315b3f2b43d3" /><Relationship Type="http://schemas.openxmlformats.org/officeDocument/2006/relationships/worksheet" Target="/xl/worksheets/sheet16.xml" Id="R7964432861144fd0" /><Relationship Type="http://schemas.openxmlformats.org/officeDocument/2006/relationships/worksheet" Target="/xl/worksheets/sheet17.xml" Id="R0b0ced635f7b4e34" /><Relationship Type="http://schemas.openxmlformats.org/officeDocument/2006/relationships/worksheet" Target="/xl/worksheets/sheet18.xml" Id="R2753c7f49ba5403e" /><Relationship Type="http://schemas.openxmlformats.org/officeDocument/2006/relationships/worksheet" Target="/xl/worksheets/sheet19.xml" Id="R5a9efc20b1284a7a" /><Relationship Type="http://schemas.openxmlformats.org/officeDocument/2006/relationships/worksheet" Target="/xl/worksheets/sheet20.xml" Id="R58b0449e9098418f" /><Relationship Type="http://schemas.openxmlformats.org/officeDocument/2006/relationships/worksheet" Target="/xl/worksheets/sheet21.xml" Id="Racf8875e3370458a" /><Relationship Type="http://schemas.openxmlformats.org/officeDocument/2006/relationships/worksheet" Target="/xl/worksheets/sheet22.xml" Id="R97c71b1b4b764eb3" /><Relationship Type="http://schemas.openxmlformats.org/officeDocument/2006/relationships/worksheet" Target="/xl/worksheets/sheet23.xml" Id="R02023651b10b43b3" /><Relationship Type="http://schemas.openxmlformats.org/officeDocument/2006/relationships/worksheet" Target="/xl/worksheets/sheet24.xml" Id="Rcbf9ee017ae9461f" /><Relationship Type="http://schemas.openxmlformats.org/officeDocument/2006/relationships/worksheet" Target="/xl/worksheets/sheet25.xml" Id="Rb2027a6110584807" /><Relationship Type="http://schemas.openxmlformats.org/officeDocument/2006/relationships/worksheet" Target="/xl/worksheets/sheet26.xml" Id="Rb39c530df85a435e" /><Relationship Type="http://schemas.openxmlformats.org/officeDocument/2006/relationships/worksheet" Target="/xl/worksheets/sheet27.xml" Id="Rf3e2b590ec424595" /><Relationship Type="http://schemas.openxmlformats.org/officeDocument/2006/relationships/worksheet" Target="/xl/worksheets/sheet28.xml" Id="Rf5ff1d1af10b40c7" /></Relationships>
</file>

<file path=xl/tables/table1.xml><?xml version="1.0" encoding="utf-8"?>
<x:table xmlns:x="http://schemas.openxmlformats.org/spreadsheetml/2006/main" id="1" name="RED_characters" displayName="RED_character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RED_npcs" displayName="RED_npc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RED_lore" displayName="RED_lore"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RED_worlds" displayName="RED_world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RED_zones" displayName="RED_zon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RED_links" displayName="RED_link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RED_scenery" displayName="RED_scenery"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RED_props" displayName="RED_prop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RED_enemies" displayName="RED_enemi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RED_main_quests" displayName="RED_main_quest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RED_side_quests" displayName="RED_side_quest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RED_choices" displayName="RED_choic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RED_dialogues" displayName="RED_dialogu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RED_cinematics" displayName="RED_cinematic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RED_weapons" displayName="RED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RED_equipment" displayName="RED_equipment"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RED_powers" displayName="RED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RED_ally_moves" displayName="RED_ally_move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RED_enemy_moves" displayName="RED_enem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RED_animations" displayName="RED_animation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RED_sprites" displayName="RED_sprite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RED_vfx" displayName="RED_vfx"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RED_audio" displayName="RED_audio"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RED_systems" displayName="RED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RED_qa" displayName="RED_qa"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RED_continuity" displayName="RED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59cc7bd4a84907" /></Relationships>
</file>

<file path=xl/worksheets/_rels/sheet3.xml.rels>&#65279;<?xml version="1.0" encoding="utf-8"?><Relationships xmlns="http://schemas.openxmlformats.org/package/2006/relationships"><Relationship Type="http://schemas.openxmlformats.org/officeDocument/2006/relationships/table" Target="/xl/tables/table2.xml" Id="Re1e09ae5a6054121" /></Relationships>
</file>

<file path=xl/worksheets/_rels/sheet4.xml.rels>&#65279;<?xml version="1.0" encoding="utf-8"?><Relationships xmlns="http://schemas.openxmlformats.org/package/2006/relationships"><Relationship Type="http://schemas.openxmlformats.org/officeDocument/2006/relationships/table" Target="/xl/tables/table3.xml" Id="R0a175d9b68c94e03" /></Relationships>
</file>

<file path=xl/worksheets/_rels/sheet5.xml.rels>&#65279;<?xml version="1.0" encoding="utf-8"?><Relationships xmlns="http://schemas.openxmlformats.org/package/2006/relationships"><Relationship Type="http://schemas.openxmlformats.org/officeDocument/2006/relationships/table" Target="/xl/tables/table4.xml" Id="R8e3dcbaaf1bc40d6" /></Relationships>
</file>

<file path=xl/worksheets/_rels/sheet6.xml.rels>&#65279;<?xml version="1.0" encoding="utf-8"?><Relationships xmlns="http://schemas.openxmlformats.org/package/2006/relationships"><Relationship Type="http://schemas.openxmlformats.org/officeDocument/2006/relationships/table" Target="/xl/tables/table5.xml" Id="Rcf57c1e559d84471" /></Relationships>
</file>

<file path=xl/worksheets/_rels/sheet7.xml.rels>&#65279;<?xml version="1.0" encoding="utf-8"?><Relationships xmlns="http://schemas.openxmlformats.org/package/2006/relationships"><Relationship Type="http://schemas.openxmlformats.org/officeDocument/2006/relationships/table" Target="/xl/tables/table6.xml" Id="Rcaa7490fc681444d" /></Relationships>
</file>

<file path=xl/worksheets/_rels/sheet8.xml.rels>&#65279;<?xml version="1.0" encoding="utf-8"?><Relationships xmlns="http://schemas.openxmlformats.org/package/2006/relationships"><Relationship Type="http://schemas.openxmlformats.org/officeDocument/2006/relationships/table" Target="/xl/tables/table7.xml" Id="R16ac2d07a20647cf" /></Relationships>
</file>

<file path=xl/worksheets/_rels/sheet9.xml.rels>&#65279;<?xml version="1.0" encoding="utf-8"?><Relationships xmlns="http://schemas.openxmlformats.org/package/2006/relationships"><Relationship Type="http://schemas.openxmlformats.org/officeDocument/2006/relationships/table" Target="/xl/tables/table8.xml" Id="Rdcaf8d7a311f4f9c" /></Relationships>
</file>

<file path=xl/worksheets/_rels/sheet10.xml.rels>&#65279;<?xml version="1.0" encoding="utf-8"?><Relationships xmlns="http://schemas.openxmlformats.org/package/2006/relationships"><Relationship Type="http://schemas.openxmlformats.org/officeDocument/2006/relationships/table" Target="/xl/tables/table9.xml" Id="R9b7109585e194412" /></Relationships>
</file>

<file path=xl/worksheets/_rels/sheet11.xml.rels>&#65279;<?xml version="1.0" encoding="utf-8"?><Relationships xmlns="http://schemas.openxmlformats.org/package/2006/relationships"><Relationship Type="http://schemas.openxmlformats.org/officeDocument/2006/relationships/table" Target="/xl/tables/table10.xml" Id="R6c5a80d0f07a488e" /></Relationships>
</file>

<file path=xl/worksheets/_rels/sheet12.xml.rels>&#65279;<?xml version="1.0" encoding="utf-8"?><Relationships xmlns="http://schemas.openxmlformats.org/package/2006/relationships"><Relationship Type="http://schemas.openxmlformats.org/officeDocument/2006/relationships/table" Target="/xl/tables/table11.xml" Id="R6baa583b7ba146ac" /></Relationships>
</file>

<file path=xl/worksheets/_rels/sheet13.xml.rels>&#65279;<?xml version="1.0" encoding="utf-8"?><Relationships xmlns="http://schemas.openxmlformats.org/package/2006/relationships"><Relationship Type="http://schemas.openxmlformats.org/officeDocument/2006/relationships/table" Target="/xl/tables/table12.xml" Id="R3ef094c4b828406e" /></Relationships>
</file>

<file path=xl/worksheets/_rels/sheet14.xml.rels>&#65279;<?xml version="1.0" encoding="utf-8"?><Relationships xmlns="http://schemas.openxmlformats.org/package/2006/relationships"><Relationship Type="http://schemas.openxmlformats.org/officeDocument/2006/relationships/table" Target="/xl/tables/table13.xml" Id="Radf0f8fdb2804b06" /></Relationships>
</file>

<file path=xl/worksheets/_rels/sheet15.xml.rels>&#65279;<?xml version="1.0" encoding="utf-8"?><Relationships xmlns="http://schemas.openxmlformats.org/package/2006/relationships"><Relationship Type="http://schemas.openxmlformats.org/officeDocument/2006/relationships/table" Target="/xl/tables/table14.xml" Id="Ra45f6e14cb8646d9" /></Relationships>
</file>

<file path=xl/worksheets/_rels/sheet16.xml.rels>&#65279;<?xml version="1.0" encoding="utf-8"?><Relationships xmlns="http://schemas.openxmlformats.org/package/2006/relationships"><Relationship Type="http://schemas.openxmlformats.org/officeDocument/2006/relationships/table" Target="/xl/tables/table15.xml" Id="R3baa67b2cd7b47a2" /></Relationships>
</file>

<file path=xl/worksheets/_rels/sheet17.xml.rels>&#65279;<?xml version="1.0" encoding="utf-8"?><Relationships xmlns="http://schemas.openxmlformats.org/package/2006/relationships"><Relationship Type="http://schemas.openxmlformats.org/officeDocument/2006/relationships/table" Target="/xl/tables/table16.xml" Id="R59e161686ea94c63" /></Relationships>
</file>

<file path=xl/worksheets/_rels/sheet18.xml.rels>&#65279;<?xml version="1.0" encoding="utf-8"?><Relationships xmlns="http://schemas.openxmlformats.org/package/2006/relationships"><Relationship Type="http://schemas.openxmlformats.org/officeDocument/2006/relationships/table" Target="/xl/tables/table17.xml" Id="R346be3b2a7694e6c" /></Relationships>
</file>

<file path=xl/worksheets/_rels/sheet19.xml.rels>&#65279;<?xml version="1.0" encoding="utf-8"?><Relationships xmlns="http://schemas.openxmlformats.org/package/2006/relationships"><Relationship Type="http://schemas.openxmlformats.org/officeDocument/2006/relationships/table" Target="/xl/tables/table18.xml" Id="R34735bd250ab4428" /></Relationships>
</file>

<file path=xl/worksheets/_rels/sheet20.xml.rels>&#65279;<?xml version="1.0" encoding="utf-8"?><Relationships xmlns="http://schemas.openxmlformats.org/package/2006/relationships"><Relationship Type="http://schemas.openxmlformats.org/officeDocument/2006/relationships/table" Target="/xl/tables/table19.xml" Id="R3813dca00e7342a3" /></Relationships>
</file>

<file path=xl/worksheets/_rels/sheet21.xml.rels>&#65279;<?xml version="1.0" encoding="utf-8"?><Relationships xmlns="http://schemas.openxmlformats.org/package/2006/relationships"><Relationship Type="http://schemas.openxmlformats.org/officeDocument/2006/relationships/table" Target="/xl/tables/table20.xml" Id="R5870842bdfa247cb" /></Relationships>
</file>

<file path=xl/worksheets/_rels/sheet22.xml.rels>&#65279;<?xml version="1.0" encoding="utf-8"?><Relationships xmlns="http://schemas.openxmlformats.org/package/2006/relationships"><Relationship Type="http://schemas.openxmlformats.org/officeDocument/2006/relationships/table" Target="/xl/tables/table21.xml" Id="R1beb7bf0c66c45dc" /></Relationships>
</file>

<file path=xl/worksheets/_rels/sheet23.xml.rels>&#65279;<?xml version="1.0" encoding="utf-8"?><Relationships xmlns="http://schemas.openxmlformats.org/package/2006/relationships"><Relationship Type="http://schemas.openxmlformats.org/officeDocument/2006/relationships/table" Target="/xl/tables/table22.xml" Id="R9c6ea54792894690" /></Relationships>
</file>

<file path=xl/worksheets/_rels/sheet24.xml.rels>&#65279;<?xml version="1.0" encoding="utf-8"?><Relationships xmlns="http://schemas.openxmlformats.org/package/2006/relationships"><Relationship Type="http://schemas.openxmlformats.org/officeDocument/2006/relationships/table" Target="/xl/tables/table23.xml" Id="R7c7f80e6e8cc47b8" /></Relationships>
</file>

<file path=xl/worksheets/_rels/sheet25.xml.rels>&#65279;<?xml version="1.0" encoding="utf-8"?><Relationships xmlns="http://schemas.openxmlformats.org/package/2006/relationships"><Relationship Type="http://schemas.openxmlformats.org/officeDocument/2006/relationships/table" Target="/xl/tables/table24.xml" Id="R60ffd7fc03944dbb" /></Relationships>
</file>

<file path=xl/worksheets/_rels/sheet26.xml.rels>&#65279;<?xml version="1.0" encoding="utf-8"?><Relationships xmlns="http://schemas.openxmlformats.org/package/2006/relationships"><Relationship Type="http://schemas.openxmlformats.org/officeDocument/2006/relationships/table" Target="/xl/tables/table25.xml" Id="Rb0d921004d3d4aef" /></Relationships>
</file>

<file path=xl/worksheets/_rels/sheet27.xml.rels>&#65279;<?xml version="1.0" encoding="utf-8"?><Relationships xmlns="http://schemas.openxmlformats.org/package/2006/relationships"><Relationship Type="http://schemas.openxmlformats.org/officeDocument/2006/relationships/table" Target="/xl/tables/table26.xml" Id="Ref70db8d34e645b5"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Redemption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3" t="n">
        <x:f>SUM(B10:B35)</x:f>
        <x:v>117</x:v>
      </x:c>
      <x:c r="C5" s="2"/>
      <x:c r="D5" s="2" t="str">
        <x:v>Intégrés</x:v>
      </x:c>
      <x:c r="E5" s="33" t="n">
        <x:f>SUM(E10:F35)</x:f>
        <x:v>0</x:v>
      </x:c>
      <x:c r="F5" s="2"/>
      <x:c r="G5" s="2" t="str">
        <x:v>À vérifier</x:v>
      </x:c>
      <x:c r="H5" s="33" t="n">
        <x:f>SUM(H10:H35)</x:f>
        <x:v>8</x:v>
      </x:c>
      <x:c r="I5" s="2"/>
      <x:c r="J5" s="2" t="str">
        <x:v>Extrapolations</x:v>
      </x:c>
      <x:c r="K5" s="33" t="n">
        <x:f>SUM(I10:I35)</x:f>
        <x:v>94</x:v>
      </x:c>
      <x:c r="L5" s="2"/>
      <x:c r="M5" s="2"/>
    </x:row>
    <x:row r="6" ht="22" customHeight="1">
      <x:c r="A6" s="2"/>
      <x:c r="B6" s="2"/>
      <x:c r="C6" s="2"/>
      <x:c r="D6" s="2"/>
      <x:c r="E6" s="2"/>
      <x:c r="F6" s="2"/>
      <x:c r="G6" s="2"/>
      <x:c r="H6" s="2"/>
      <x:c r="I6" s="2"/>
      <x:c r="J6" s="2"/>
      <x:c r="K6" s="2"/>
      <x:c r="L6" s="2"/>
      <x:c r="M6" s="2"/>
    </x:row>
    <x:row r="7" ht="22" customHeight="1">
      <x:c r="A7" s="34"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30" t="str">
        <x:v>Domaine</x:v>
      </x:c>
      <x:c r="B9" s="31" t="str">
        <x:v>Total</x:v>
      </x:c>
      <x:c r="C9" s="31" t="str">
        <x:v>Défini</x:v>
      </x:c>
      <x:c r="D9" s="31" t="str">
        <x:v>Prototype</x:v>
      </x:c>
      <x:c r="E9" s="31" t="str">
        <x:v>Intégré</x:v>
      </x:c>
      <x:c r="F9" s="31" t="str">
        <x:v>Validé</x:v>
      </x:c>
      <x:c r="G9" s="31" t="str">
        <x:v>Établi</x:v>
      </x:c>
      <x:c r="H9" s="31" t="str">
        <x:v>À vérifier</x:v>
      </x:c>
      <x:c r="I9" s="31" t="str">
        <x:v>Extrapolation</x:v>
      </x:c>
      <x:c r="J9" s="31" t="str">
        <x:v>Coupé attesté</x:v>
      </x:c>
      <x:c r="K9" s="31" t="str">
        <x:v>Concept abandonné</x:v>
      </x:c>
      <x:c r="L9" s="31" t="str">
        <x:v>Allégation écartée</x:v>
      </x:c>
      <x:c r="M9" s="32" t="str">
        <x:v>Priorité P0</x:v>
      </x:c>
    </x:row>
    <x:row r="10" ht="22" customHeight="1">
      <x:c r="A10" s="35" t="str">
        <x:v>Personnages</x:v>
      </x:c>
      <x:c r="B10" s="39" t="n">
        <x:f>COUNTA('Personnages'!$A$7:$A$9)</x:f>
        <x:v>3</x:v>
      </x:c>
      <x:c r="C10" s="39" t="n">
        <x:f>COUNTIFS('Personnages'!$C$7:$C$9,"Défini")</x:f>
        <x:v>1</x:v>
      </x:c>
      <x:c r="D10" s="39" t="n">
        <x:f>COUNTIFS('Personnages'!$C$7:$C$9,"Prototype")</x:f>
        <x:v>2</x:v>
      </x:c>
      <x:c r="E10" s="39" t="n">
        <x:f>COUNTIFS('Personnages'!$C$7:$C$9,"Intégré")</x:f>
        <x:v>0</x:v>
      </x:c>
      <x:c r="F10" s="39" t="n">
        <x:f>COUNTIFS('Personnages'!$C$7:$C$9,"Validé")</x:f>
        <x:v>0</x:v>
      </x:c>
      <x:c r="G10" s="39" t="n">
        <x:f>COUNTIFS('Personnages'!$D$7:$D$9,"Établi")</x:f>
        <x:v>2</x:v>
      </x:c>
      <x:c r="H10" s="39" t="n">
        <x:f>COUNTIFS('Personnages'!$D$7:$D$9,"À vérifier")</x:f>
        <x:v>1</x:v>
      </x:c>
      <x:c r="I10" s="39" t="n">
        <x:f>COUNTIFS('Personnages'!$D$7:$D$9,"Extrapolation")</x:f>
        <x:v>0</x:v>
      </x:c>
      <x:c r="J10" s="39" t="n">
        <x:f>COUNTIFS('Personnages'!$D$7:$D$9,"Coupé attesté")</x:f>
        <x:v>0</x:v>
      </x:c>
      <x:c r="K10" s="39" t="n">
        <x:f>COUNTIFS('Personnages'!$D$7:$D$9,"Concept abandonné")</x:f>
        <x:v>0</x:v>
      </x:c>
      <x:c r="L10" s="39" t="n">
        <x:f>COUNTIFS('Personnages'!$D$7:$D$9,"Allégation écartée")</x:f>
        <x:v>0</x:v>
      </x:c>
      <x:c r="M10" s="39" t="n">
        <x:f>COUNTIFS('Personnages'!$E$7:$E$9,"P0")</x:f>
        <x:v>0</x:v>
      </x:c>
    </x:row>
    <x:row r="11" ht="22" customHeight="1">
      <x:c r="A11" s="2" t="str">
        <x:v>PNJ</x:v>
      </x:c>
      <x:c r="B11" s="40" t="n">
        <x:f>COUNTA('PNJ'!$A$7:$A$10)</x:f>
        <x:v>4</x:v>
      </x:c>
      <x:c r="C11" s="40" t="n">
        <x:f>COUNTIFS('PNJ'!$C$7:$C$10,"Défini")</x:f>
        <x:v>4</x:v>
      </x:c>
      <x:c r="D11" s="40" t="n">
        <x:f>COUNTIFS('PNJ'!$C$7:$C$10,"Prototype")</x:f>
        <x:v>0</x:v>
      </x:c>
      <x:c r="E11" s="40" t="n">
        <x:f>COUNTIFS('PNJ'!$C$7:$C$10,"Intégré")</x:f>
        <x:v>0</x:v>
      </x:c>
      <x:c r="F11" s="40" t="n">
        <x:f>COUNTIFS('PNJ'!$C$7:$C$10,"Validé")</x:f>
        <x:v>0</x:v>
      </x:c>
      <x:c r="G11" s="40" t="n">
        <x:f>COUNTIFS('PNJ'!$D$7:$D$10,"Établi")</x:f>
        <x:v>3</x:v>
      </x:c>
      <x:c r="H11" s="40" t="n">
        <x:f>COUNTIFS('PNJ'!$D$7:$D$10,"À vérifier")</x:f>
        <x:v>1</x:v>
      </x:c>
      <x:c r="I11" s="40" t="n">
        <x:f>COUNTIFS('PNJ'!$D$7:$D$10,"Extrapolation")</x:f>
        <x:v>0</x:v>
      </x:c>
      <x:c r="J11" s="40" t="n">
        <x:f>COUNTIFS('PNJ'!$D$7:$D$10,"Coupé attesté")</x:f>
        <x:v>0</x:v>
      </x:c>
      <x:c r="K11" s="40" t="n">
        <x:f>COUNTIFS('PNJ'!$D$7:$D$10,"Concept abandonné")</x:f>
        <x:v>0</x:v>
      </x:c>
      <x:c r="L11" s="40" t="n">
        <x:f>COUNTIFS('PNJ'!$D$7:$D$10,"Allégation écartée")</x:f>
        <x:v>0</x:v>
      </x:c>
      <x:c r="M11" s="40" t="n">
        <x:f>COUNTIFS('PNJ'!$E$7:$E$10,"P0")</x:f>
        <x:v>0</x:v>
      </x:c>
    </x:row>
    <x:row r="12" ht="22" customHeight="1">
      <x:c r="A12" s="35" t="str">
        <x:v>Espèces et factions</x:v>
      </x:c>
      <x:c r="B12" s="39" t="n">
        <x:f>COUNTA('Especes_factions'!$A$7:$A$16)</x:f>
        <x:v>10</x:v>
      </x:c>
      <x:c r="C12" s="39" t="n">
        <x:f>COUNTIFS('Especes_factions'!$C$7:$C$16,"Défini")</x:f>
        <x:v>10</x:v>
      </x:c>
      <x:c r="D12" s="39" t="n">
        <x:f>COUNTIFS('Especes_factions'!$C$7:$C$16,"Prototype")</x:f>
        <x:v>0</x:v>
      </x:c>
      <x:c r="E12" s="39" t="n">
        <x:f>COUNTIFS('Especes_factions'!$C$7:$C$16,"Intégré")</x:f>
        <x:v>0</x:v>
      </x:c>
      <x:c r="F12" s="39" t="n">
        <x:f>COUNTIFS('Especes_factions'!$C$7:$C$16,"Validé")</x:f>
        <x:v>0</x:v>
      </x:c>
      <x:c r="G12" s="39" t="n">
        <x:f>COUNTIFS('Especes_factions'!$D$7:$D$16,"Établi")</x:f>
        <x:v>7</x:v>
      </x:c>
      <x:c r="H12" s="39" t="n">
        <x:f>COUNTIFS('Especes_factions'!$D$7:$D$16,"À vérifier")</x:f>
        <x:v>3</x:v>
      </x:c>
      <x:c r="I12" s="39" t="n">
        <x:f>COUNTIFS('Especes_factions'!$D$7:$D$16,"Extrapolation")</x:f>
        <x:v>0</x:v>
      </x:c>
      <x:c r="J12" s="39" t="n">
        <x:f>COUNTIFS('Especes_factions'!$D$7:$D$16,"Coupé attesté")</x:f>
        <x:v>0</x:v>
      </x:c>
      <x:c r="K12" s="39" t="n">
        <x:f>COUNTIFS('Especes_factions'!$D$7:$D$16,"Concept abandonné")</x:f>
        <x:v>0</x:v>
      </x:c>
      <x:c r="L12" s="39" t="n">
        <x:f>COUNTIFS('Especes_factions'!$D$7:$D$16,"Allégation écartée")</x:f>
        <x:v>0</x:v>
      </x:c>
      <x:c r="M12" s="39" t="n">
        <x:f>COUNTIFS('Especes_factions'!$E$7:$E$16,"P0")</x:f>
        <x:v>4</x:v>
      </x:c>
    </x:row>
    <x:row r="13" ht="22" customHeight="1">
      <x:c r="A13" s="2" t="str">
        <x:v>Mondes</x:v>
      </x:c>
      <x:c r="B13" s="40" t="n">
        <x:f>COUNTA('Mondes'!$A$7:$A$9)</x:f>
        <x:v>3</x:v>
      </x:c>
      <x:c r="C13" s="40" t="n">
        <x:f>COUNTIFS('Mondes'!$C$7:$C$9,"Défini")</x:f>
        <x:v>3</x:v>
      </x:c>
      <x:c r="D13" s="40" t="n">
        <x:f>COUNTIFS('Mondes'!$C$7:$C$9,"Prototype")</x:f>
        <x:v>0</x:v>
      </x:c>
      <x:c r="E13" s="40" t="n">
        <x:f>COUNTIFS('Mondes'!$C$7:$C$9,"Intégré")</x:f>
        <x:v>0</x:v>
      </x:c>
      <x:c r="F13" s="40" t="n">
        <x:f>COUNTIFS('Mondes'!$C$7:$C$9,"Validé")</x:f>
        <x:v>0</x:v>
      </x:c>
      <x:c r="G13" s="40" t="n">
        <x:f>COUNTIFS('Mondes'!$D$7:$D$9,"Établi")</x:f>
        <x:v>3</x:v>
      </x:c>
      <x:c r="H13" s="40" t="n">
        <x:f>COUNTIFS('Mondes'!$D$7:$D$9,"À vérifier")</x:f>
        <x:v>0</x:v>
      </x:c>
      <x:c r="I13" s="40" t="n">
        <x:f>COUNTIFS('Mondes'!$D$7:$D$9,"Extrapolation")</x:f>
        <x:v>0</x:v>
      </x:c>
      <x:c r="J13" s="40" t="n">
        <x:f>COUNTIFS('Mondes'!$D$7:$D$9,"Coupé attesté")</x:f>
        <x:v>0</x:v>
      </x:c>
      <x:c r="K13" s="40" t="n">
        <x:f>COUNTIFS('Mondes'!$D$7:$D$9,"Concept abandonné")</x:f>
        <x:v>0</x:v>
      </x:c>
      <x:c r="L13" s="40" t="n">
        <x:f>COUNTIFS('Mondes'!$D$7:$D$9,"Allégation écartée")</x:f>
        <x:v>0</x:v>
      </x:c>
      <x:c r="M13" s="40" t="n">
        <x:f>COUNTIFS('Mondes'!$E$7:$E$9,"P0")</x:f>
        <x:v>0</x:v>
      </x:c>
    </x:row>
    <x:row r="14" ht="22" customHeight="1">
      <x:c r="A14" s="35" t="str">
        <x:v>Zones</x:v>
      </x:c>
      <x:c r="B14" s="39" t="n">
        <x:f>COUNTA('Zones'!$A$7:$A$9)</x:f>
        <x:v>3</x:v>
      </x:c>
      <x:c r="C14" s="39" t="n">
        <x:f>COUNTIFS('Zones'!$C$7:$C$9,"Défini")</x:f>
        <x:v>3</x:v>
      </x:c>
      <x:c r="D14" s="39" t="n">
        <x:f>COUNTIFS('Zones'!$C$7:$C$9,"Prototype")</x:f>
        <x:v>0</x:v>
      </x:c>
      <x:c r="E14" s="39" t="n">
        <x:f>COUNTIFS('Zones'!$C$7:$C$9,"Intégré")</x:f>
        <x:v>0</x:v>
      </x:c>
      <x:c r="F14" s="39" t="n">
        <x:f>COUNTIFS('Zones'!$C$7:$C$9,"Validé")</x:f>
        <x:v>0</x:v>
      </x:c>
      <x:c r="G14" s="39" t="n">
        <x:f>COUNTIFS('Zones'!$D$7:$D$9,"Établi")</x:f>
        <x:v>0</x:v>
      </x:c>
      <x:c r="H14" s="39" t="n">
        <x:f>COUNTIFS('Zones'!$D$7:$D$9,"À vérifier")</x:f>
        <x:v>0</x:v>
      </x:c>
      <x:c r="I14" s="39" t="n">
        <x:f>COUNTIFS('Zones'!$D$7:$D$9,"Extrapolation")</x:f>
        <x:v>3</x:v>
      </x:c>
      <x:c r="J14" s="39" t="n">
        <x:f>COUNTIFS('Zones'!$D$7:$D$9,"Coupé attesté")</x:f>
        <x:v>0</x:v>
      </x:c>
      <x:c r="K14" s="39" t="n">
        <x:f>COUNTIFS('Zones'!$D$7:$D$9,"Concept abandonné")</x:f>
        <x:v>0</x:v>
      </x:c>
      <x:c r="L14" s="39" t="n">
        <x:f>COUNTIFS('Zones'!$D$7:$D$9,"Allégation écartée")</x:f>
        <x:v>0</x:v>
      </x:c>
      <x:c r="M14" s="39" t="n">
        <x:f>COUNTIFS('Zones'!$E$7:$E$9,"P0")</x:f>
        <x:v>0</x:v>
      </x:c>
    </x:row>
    <x:row r="15" ht="22" customHeight="1">
      <x:c r="A15" s="2" t="str">
        <x:v>Liaisons</x:v>
      </x:c>
      <x:c r="B15" s="40" t="n">
        <x:f>COUNTA('Liaisons'!$A$7:$A$9)</x:f>
        <x:v>3</x:v>
      </x:c>
      <x:c r="C15" s="40" t="n">
        <x:f>COUNTIFS('Liaisons'!$C$7:$C$9,"Défini")</x:f>
        <x:v>3</x:v>
      </x:c>
      <x:c r="D15" s="40" t="n">
        <x:f>COUNTIFS('Liaisons'!$C$7:$C$9,"Prototype")</x:f>
        <x:v>0</x:v>
      </x:c>
      <x:c r="E15" s="40" t="n">
        <x:f>COUNTIFS('Liaisons'!$C$7:$C$9,"Intégré")</x:f>
        <x:v>0</x:v>
      </x:c>
      <x:c r="F15" s="40" t="n">
        <x:f>COUNTIFS('Liaisons'!$C$7:$C$9,"Validé")</x:f>
        <x:v>0</x:v>
      </x:c>
      <x:c r="G15" s="40" t="n">
        <x:f>COUNTIFS('Liaisons'!$D$7:$D$9,"Établi")</x:f>
        <x:v>0</x:v>
      </x:c>
      <x:c r="H15" s="40" t="n">
        <x:f>COUNTIFS('Liaisons'!$D$7:$D$9,"À vérifier")</x:f>
        <x:v>0</x:v>
      </x:c>
      <x:c r="I15" s="40" t="n">
        <x:f>COUNTIFS('Liaisons'!$D$7:$D$9,"Extrapolation")</x:f>
        <x:v>3</x:v>
      </x:c>
      <x:c r="J15" s="40" t="n">
        <x:f>COUNTIFS('Liaisons'!$D$7:$D$9,"Coupé attesté")</x:f>
        <x:v>0</x:v>
      </x:c>
      <x:c r="K15" s="40" t="n">
        <x:f>COUNTIFS('Liaisons'!$D$7:$D$9,"Concept abandonné")</x:f>
        <x:v>0</x:v>
      </x:c>
      <x:c r="L15" s="40" t="n">
        <x:f>COUNTIFS('Liaisons'!$D$7:$D$9,"Allégation écartée")</x:f>
        <x:v>0</x:v>
      </x:c>
      <x:c r="M15" s="40" t="n">
        <x:f>COUNTIFS('Liaisons'!$E$7:$E$9,"P0")</x:f>
        <x:v>0</x:v>
      </x:c>
    </x:row>
    <x:row r="16" ht="22" customHeight="1">
      <x:c r="A16" s="35" t="str">
        <x:v>Décors</x:v>
      </x:c>
      <x:c r="B16" s="39" t="n">
        <x:f>COUNTA('Decors'!$A$7:$A$9)</x:f>
        <x:v>3</x:v>
      </x:c>
      <x:c r="C16" s="39" t="n">
        <x:f>COUNTIFS('Decors'!$C$7:$C$9,"Défini")</x:f>
        <x:v>3</x:v>
      </x:c>
      <x:c r="D16" s="39" t="n">
        <x:f>COUNTIFS('Decors'!$C$7:$C$9,"Prototype")</x:f>
        <x:v>0</x:v>
      </x:c>
      <x:c r="E16" s="39" t="n">
        <x:f>COUNTIFS('Decors'!$C$7:$C$9,"Intégré")</x:f>
        <x:v>0</x:v>
      </x:c>
      <x:c r="F16" s="39" t="n">
        <x:f>COUNTIFS('Decors'!$C$7:$C$9,"Validé")</x:f>
        <x:v>0</x:v>
      </x:c>
      <x:c r="G16" s="39" t="n">
        <x:f>COUNTIFS('Decors'!$D$7:$D$9,"Établi")</x:f>
        <x:v>0</x:v>
      </x:c>
      <x:c r="H16" s="39" t="n">
        <x:f>COUNTIFS('Decors'!$D$7:$D$9,"À vérifier")</x:f>
        <x:v>0</x:v>
      </x:c>
      <x:c r="I16" s="39" t="n">
        <x:f>COUNTIFS('Decors'!$D$7:$D$9,"Extrapolation")</x:f>
        <x:v>3</x:v>
      </x:c>
      <x:c r="J16" s="39" t="n">
        <x:f>COUNTIFS('Decors'!$D$7:$D$9,"Coupé attesté")</x:f>
        <x:v>0</x:v>
      </x:c>
      <x:c r="K16" s="39" t="n">
        <x:f>COUNTIFS('Decors'!$D$7:$D$9,"Concept abandonné")</x:f>
        <x:v>0</x:v>
      </x:c>
      <x:c r="L16" s="39" t="n">
        <x:f>COUNTIFS('Decors'!$D$7:$D$9,"Allégation écartée")</x:f>
        <x:v>0</x:v>
      </x:c>
      <x:c r="M16" s="39" t="n">
        <x:f>COUNTIFS('Decors'!$E$7:$E$9,"P0")</x:f>
        <x:v>0</x:v>
      </x:c>
    </x:row>
    <x:row r="17" ht="22" customHeight="1">
      <x:c r="A17" s="2" t="str">
        <x:v>Props</x:v>
      </x:c>
      <x:c r="B17" s="40" t="n">
        <x:f>COUNTA('Props'!$A$7:$A$12)</x:f>
        <x:v>6</x:v>
      </x:c>
      <x:c r="C17" s="40" t="n">
        <x:f>COUNTIFS('Props'!$C$7:$C$12,"Défini")</x:f>
        <x:v>6</x:v>
      </x:c>
      <x:c r="D17" s="40" t="n">
        <x:f>COUNTIFS('Props'!$C$7:$C$12,"Prototype")</x:f>
        <x:v>0</x:v>
      </x:c>
      <x:c r="E17" s="40" t="n">
        <x:f>COUNTIFS('Props'!$C$7:$C$12,"Intégré")</x:f>
        <x:v>0</x:v>
      </x:c>
      <x:c r="F17" s="40" t="n">
        <x:f>COUNTIFS('Props'!$C$7:$C$12,"Validé")</x:f>
        <x:v>0</x:v>
      </x:c>
      <x:c r="G17" s="40" t="n">
        <x:f>COUNTIFS('Props'!$D$7:$D$12,"Établi")</x:f>
        <x:v>0</x:v>
      </x:c>
      <x:c r="H17" s="40" t="n">
        <x:f>COUNTIFS('Props'!$D$7:$D$12,"À vérifier")</x:f>
        <x:v>0</x:v>
      </x:c>
      <x:c r="I17" s="40" t="n">
        <x:f>COUNTIFS('Props'!$D$7:$D$12,"Extrapolation")</x:f>
        <x:v>6</x:v>
      </x:c>
      <x:c r="J17" s="40" t="n">
        <x:f>COUNTIFS('Props'!$D$7:$D$12,"Coupé attesté")</x:f>
        <x:v>0</x:v>
      </x:c>
      <x:c r="K17" s="40" t="n">
        <x:f>COUNTIFS('Props'!$D$7:$D$12,"Concept abandonné")</x:f>
        <x:v>0</x:v>
      </x:c>
      <x:c r="L17" s="40" t="n">
        <x:f>COUNTIFS('Props'!$D$7:$D$12,"Allégation écartée")</x:f>
        <x:v>0</x:v>
      </x:c>
      <x:c r="M17" s="40" t="n">
        <x:f>COUNTIFS('Props'!$E$7:$E$12,"P0")</x:f>
        <x:v>0</x:v>
      </x:c>
    </x:row>
    <x:row r="18" ht="22" customHeight="1">
      <x:c r="A18" s="35" t="str">
        <x:v>Ennemis et boss</x:v>
      </x:c>
      <x:c r="B18" s="39" t="n">
        <x:f>COUNTA('Ennemis_boss'!$A$7:$A$9)</x:f>
        <x:v>3</x:v>
      </x:c>
      <x:c r="C18" s="39" t="n">
        <x:f>COUNTIFS('Ennemis_boss'!$C$7:$C$9,"Défini")</x:f>
        <x:v>3</x:v>
      </x:c>
      <x:c r="D18" s="39" t="n">
        <x:f>COUNTIFS('Ennemis_boss'!$C$7:$C$9,"Prototype")</x:f>
        <x:v>0</x:v>
      </x:c>
      <x:c r="E18" s="39" t="n">
        <x:f>COUNTIFS('Ennemis_boss'!$C$7:$C$9,"Intégré")</x:f>
        <x:v>0</x:v>
      </x:c>
      <x:c r="F18" s="39" t="n">
        <x:f>COUNTIFS('Ennemis_boss'!$C$7:$C$9,"Validé")</x:f>
        <x:v>0</x:v>
      </x:c>
      <x:c r="G18" s="39" t="n">
        <x:f>COUNTIFS('Ennemis_boss'!$D$7:$D$9,"Établi")</x:f>
        <x:v>0</x:v>
      </x:c>
      <x:c r="H18" s="39" t="n">
        <x:f>COUNTIFS('Ennemis_boss'!$D$7:$D$9,"À vérifier")</x:f>
        <x:v>3</x:v>
      </x:c>
      <x:c r="I18" s="39" t="n">
        <x:f>COUNTIFS('Ennemis_boss'!$D$7:$D$9,"Extrapolation")</x:f>
        <x:v>0</x:v>
      </x:c>
      <x:c r="J18" s="39" t="n">
        <x:f>COUNTIFS('Ennemis_boss'!$D$7:$D$9,"Coupé attesté")</x:f>
        <x:v>0</x:v>
      </x:c>
      <x:c r="K18" s="39" t="n">
        <x:f>COUNTIFS('Ennemis_boss'!$D$7:$D$9,"Concept abandonné")</x:f>
        <x:v>0</x:v>
      </x:c>
      <x:c r="L18" s="39" t="n">
        <x:f>COUNTIFS('Ennemis_boss'!$D$7:$D$9,"Allégation écartée")</x:f>
        <x:v>0</x:v>
      </x:c>
      <x:c r="M18" s="39" t="n">
        <x:f>COUNTIFS('Ennemis_boss'!$E$7:$E$9,"P0")</x:f>
        <x:v>0</x:v>
      </x:c>
    </x:row>
    <x:row r="19" ht="22" customHeight="1">
      <x:c r="A19" s="2" t="str">
        <x:v>Missions</x:v>
      </x:c>
      <x:c r="B19" s="40" t="n">
        <x:f>COUNTA('Missions'!$A$7:$A$12)</x:f>
        <x:v>6</x:v>
      </x:c>
      <x:c r="C19" s="40" t="n">
        <x:f>COUNTIFS('Missions'!$C$7:$C$12,"Défini")</x:f>
        <x:v>6</x:v>
      </x:c>
      <x:c r="D19" s="40" t="n">
        <x:f>COUNTIFS('Missions'!$C$7:$C$12,"Prototype")</x:f>
        <x:v>0</x:v>
      </x:c>
      <x:c r="E19" s="40" t="n">
        <x:f>COUNTIFS('Missions'!$C$7:$C$12,"Intégré")</x:f>
        <x:v>0</x:v>
      </x:c>
      <x:c r="F19" s="40" t="n">
        <x:f>COUNTIFS('Missions'!$C$7:$C$12,"Validé")</x:f>
        <x:v>0</x:v>
      </x:c>
      <x:c r="G19" s="40" t="n">
        <x:f>COUNTIFS('Missions'!$D$7:$D$12,"Établi")</x:f>
        <x:v>0</x:v>
      </x:c>
      <x:c r="H19" s="40" t="n">
        <x:f>COUNTIFS('Missions'!$D$7:$D$12,"À vérifier")</x:f>
        <x:v>0</x:v>
      </x:c>
      <x:c r="I19" s="40" t="n">
        <x:f>COUNTIFS('Missions'!$D$7:$D$12,"Extrapolation")</x:f>
        <x:v>6</x:v>
      </x:c>
      <x:c r="J19" s="40" t="n">
        <x:f>COUNTIFS('Missions'!$D$7:$D$12,"Coupé attesté")</x:f>
        <x:v>0</x:v>
      </x:c>
      <x:c r="K19" s="40" t="n">
        <x:f>COUNTIFS('Missions'!$D$7:$D$12,"Concept abandonné")</x:f>
        <x:v>0</x:v>
      </x:c>
      <x:c r="L19" s="40" t="n">
        <x:f>COUNTIFS('Missions'!$D$7:$D$12,"Allégation écartée")</x:f>
        <x:v>0</x:v>
      </x:c>
      <x:c r="M19" s="40" t="n">
        <x:f>COUNTIFS('Missions'!$E$7:$E$12,"P0")</x:f>
        <x:v>6</x:v>
      </x:c>
    </x:row>
    <x:row r="20" ht="22" customHeight="1">
      <x:c r="A20" s="35" t="str">
        <x:v>Secondaires et DLC</x:v>
      </x:c>
      <x:c r="B20" s="39" t="n">
        <x:f>COUNTA('Secondaires_DLC'!$A$7:$A$12)</x:f>
        <x:v>6</x:v>
      </x:c>
      <x:c r="C20" s="39" t="n">
        <x:f>COUNTIFS('Secondaires_DLC'!$C$7:$C$12,"Défini")</x:f>
        <x:v>6</x:v>
      </x:c>
      <x:c r="D20" s="39" t="n">
        <x:f>COUNTIFS('Secondaires_DLC'!$C$7:$C$12,"Prototype")</x:f>
        <x:v>0</x:v>
      </x:c>
      <x:c r="E20" s="39" t="n">
        <x:f>COUNTIFS('Secondaires_DLC'!$C$7:$C$12,"Intégré")</x:f>
        <x:v>0</x:v>
      </x:c>
      <x:c r="F20" s="39" t="n">
        <x:f>COUNTIFS('Secondaires_DLC'!$C$7:$C$12,"Validé")</x:f>
        <x:v>0</x:v>
      </x:c>
      <x:c r="G20" s="39" t="n">
        <x:f>COUNTIFS('Secondaires_DLC'!$D$7:$D$12,"Établi")</x:f>
        <x:v>0</x:v>
      </x:c>
      <x:c r="H20" s="39" t="n">
        <x:f>COUNTIFS('Secondaires_DLC'!$D$7:$D$12,"À vérifier")</x:f>
        <x:v>0</x:v>
      </x:c>
      <x:c r="I20" s="39" t="n">
        <x:f>COUNTIFS('Secondaires_DLC'!$D$7:$D$12,"Extrapolation")</x:f>
        <x:v>6</x:v>
      </x:c>
      <x:c r="J20" s="39" t="n">
        <x:f>COUNTIFS('Secondaires_DLC'!$D$7:$D$12,"Coupé attesté")</x:f>
        <x:v>0</x:v>
      </x:c>
      <x:c r="K20" s="39" t="n">
        <x:f>COUNTIFS('Secondaires_DLC'!$D$7:$D$12,"Concept abandonné")</x:f>
        <x:v>0</x:v>
      </x:c>
      <x:c r="L20" s="39" t="n">
        <x:f>COUNTIFS('Secondaires_DLC'!$D$7:$D$12,"Allégation écartée")</x:f>
        <x:v>0</x:v>
      </x:c>
      <x:c r="M20" s="39" t="n">
        <x:f>COUNTIFS('Secondaires_DLC'!$E$7:$E$12,"P0")</x:f>
        <x:v>0</x:v>
      </x:c>
    </x:row>
    <x:row r="21" ht="22" customHeight="1">
      <x:c r="A21" s="2" t="str">
        <x:v>Choix et relations</x:v>
      </x:c>
      <x:c r="B21" s="40" t="n">
        <x:f>COUNTA('Choix_relations'!$A$7:$A$12)</x:f>
        <x:v>6</x:v>
      </x:c>
      <x:c r="C21" s="40" t="n">
        <x:f>COUNTIFS('Choix_relations'!$C$7:$C$12,"Défini")</x:f>
        <x:v>6</x:v>
      </x:c>
      <x:c r="D21" s="40" t="n">
        <x:f>COUNTIFS('Choix_relations'!$C$7:$C$12,"Prototype")</x:f>
        <x:v>0</x:v>
      </x:c>
      <x:c r="E21" s="40" t="n">
        <x:f>COUNTIFS('Choix_relations'!$C$7:$C$12,"Intégré")</x:f>
        <x:v>0</x:v>
      </x:c>
      <x:c r="F21" s="40" t="n">
        <x:f>COUNTIFS('Choix_relations'!$C$7:$C$12,"Validé")</x:f>
        <x:v>0</x:v>
      </x:c>
      <x:c r="G21" s="40" t="n">
        <x:f>COUNTIFS('Choix_relations'!$D$7:$D$12,"Établi")</x:f>
        <x:v>0</x:v>
      </x:c>
      <x:c r="H21" s="40" t="n">
        <x:f>COUNTIFS('Choix_relations'!$D$7:$D$12,"À vérifier")</x:f>
        <x:v>0</x:v>
      </x:c>
      <x:c r="I21" s="40" t="n">
        <x:f>COUNTIFS('Choix_relations'!$D$7:$D$12,"Extrapolation")</x:f>
        <x:v>6</x:v>
      </x:c>
      <x:c r="J21" s="40" t="n">
        <x:f>COUNTIFS('Choix_relations'!$D$7:$D$12,"Coupé attesté")</x:f>
        <x:v>0</x:v>
      </x:c>
      <x:c r="K21" s="40" t="n">
        <x:f>COUNTIFS('Choix_relations'!$D$7:$D$12,"Concept abandonné")</x:f>
        <x:v>0</x:v>
      </x:c>
      <x:c r="L21" s="40" t="n">
        <x:f>COUNTIFS('Choix_relations'!$D$7:$D$12,"Allégation écartée")</x:f>
        <x:v>0</x:v>
      </x:c>
      <x:c r="M21" s="40" t="n">
        <x:f>COUNTIFS('Choix_relations'!$E$7:$E$12,"P0")</x:f>
        <x:v>0</x:v>
      </x:c>
    </x:row>
    <x:row r="22" ht="22" customHeight="1">
      <x:c r="A22" s="35" t="str">
        <x:v>Dialogues</x:v>
      </x:c>
      <x:c r="B22" s="39" t="n">
        <x:f>COUNTA('Dialogues'!$A$7:$A$12)</x:f>
        <x:v>6</x:v>
      </x:c>
      <x:c r="C22" s="39" t="n">
        <x:f>COUNTIFS('Dialogues'!$C$7:$C$12,"Défini")</x:f>
        <x:v>6</x:v>
      </x:c>
      <x:c r="D22" s="39" t="n">
        <x:f>COUNTIFS('Dialogues'!$C$7:$C$12,"Prototype")</x:f>
        <x:v>0</x:v>
      </x:c>
      <x:c r="E22" s="39" t="n">
        <x:f>COUNTIFS('Dialogues'!$C$7:$C$12,"Intégré")</x:f>
        <x:v>0</x:v>
      </x:c>
      <x:c r="F22" s="39" t="n">
        <x:f>COUNTIFS('Dialogues'!$C$7:$C$12,"Validé")</x:f>
        <x:v>0</x:v>
      </x:c>
      <x:c r="G22" s="39" t="n">
        <x:f>COUNTIFS('Dialogues'!$D$7:$D$12,"Établi")</x:f>
        <x:v>0</x:v>
      </x:c>
      <x:c r="H22" s="39" t="n">
        <x:f>COUNTIFS('Dialogues'!$D$7:$D$12,"À vérifier")</x:f>
        <x:v>0</x:v>
      </x:c>
      <x:c r="I22" s="39" t="n">
        <x:f>COUNTIFS('Dialogues'!$D$7:$D$12,"Extrapolation")</x:f>
        <x:v>6</x:v>
      </x:c>
      <x:c r="J22" s="39" t="n">
        <x:f>COUNTIFS('Dialogues'!$D$7:$D$12,"Coupé attesté")</x:f>
        <x:v>0</x:v>
      </x:c>
      <x:c r="K22" s="39" t="n">
        <x:f>COUNTIFS('Dialogues'!$D$7:$D$12,"Concept abandonné")</x:f>
        <x:v>0</x:v>
      </x:c>
      <x:c r="L22" s="39" t="n">
        <x:f>COUNTIFS('Dialogues'!$D$7:$D$12,"Allégation écartée")</x:f>
        <x:v>0</x:v>
      </x:c>
      <x:c r="M22" s="39" t="n">
        <x:f>COUNTIFS('Dialogues'!$E$7:$E$12,"P0")</x:f>
        <x:v>0</x:v>
      </x:c>
    </x:row>
    <x:row r="23" ht="22" customHeight="1">
      <x:c r="A23" s="2" t="str">
        <x:v>Cinématiques</x:v>
      </x:c>
      <x:c r="B23" s="40" t="n">
        <x:f>COUNTA('Cinematiques'!$A$7:$A$12)</x:f>
        <x:v>6</x:v>
      </x:c>
      <x:c r="C23" s="40" t="n">
        <x:f>COUNTIFS('Cinematiques'!$C$7:$C$12,"Défini")</x:f>
        <x:v>6</x:v>
      </x:c>
      <x:c r="D23" s="40" t="n">
        <x:f>COUNTIFS('Cinematiques'!$C$7:$C$12,"Prototype")</x:f>
        <x:v>0</x:v>
      </x:c>
      <x:c r="E23" s="40" t="n">
        <x:f>COUNTIFS('Cinematiques'!$C$7:$C$12,"Intégré")</x:f>
        <x:v>0</x:v>
      </x:c>
      <x:c r="F23" s="40" t="n">
        <x:f>COUNTIFS('Cinematiques'!$C$7:$C$12,"Validé")</x:f>
        <x:v>0</x:v>
      </x:c>
      <x:c r="G23" s="40" t="n">
        <x:f>COUNTIFS('Cinematiques'!$D$7:$D$12,"Établi")</x:f>
        <x:v>0</x:v>
      </x:c>
      <x:c r="H23" s="40" t="n">
        <x:f>COUNTIFS('Cinematiques'!$D$7:$D$12,"À vérifier")</x:f>
        <x:v>0</x:v>
      </x:c>
      <x:c r="I23" s="40" t="n">
        <x:f>COUNTIFS('Cinematiques'!$D$7:$D$12,"Extrapolation")</x:f>
        <x:v>6</x:v>
      </x:c>
      <x:c r="J23" s="40" t="n">
        <x:f>COUNTIFS('Cinematiques'!$D$7:$D$12,"Coupé attesté")</x:f>
        <x:v>0</x:v>
      </x:c>
      <x:c r="K23" s="40" t="n">
        <x:f>COUNTIFS('Cinematiques'!$D$7:$D$12,"Concept abandonné")</x:f>
        <x:v>0</x:v>
      </x:c>
      <x:c r="L23" s="40" t="n">
        <x:f>COUNTIFS('Cinematiques'!$D$7:$D$12,"Allégation écartée")</x:f>
        <x:v>0</x:v>
      </x:c>
      <x:c r="M23" s="40" t="n">
        <x:f>COUNTIFS('Cinematiques'!$E$7:$E$12,"P0")</x:f>
        <x:v>0</x:v>
      </x:c>
    </x:row>
    <x:row r="24" ht="22" customHeight="1">
      <x:c r="A24" s="35" t="str">
        <x:v>Armes</x:v>
      </x:c>
      <x:c r="B24" s="39" t="n">
        <x:f>COUNTA('Armes'!$A$7:$A$7)</x:f>
        <x:v>1</x:v>
      </x:c>
      <x:c r="C24" s="39" t="n">
        <x:f>COUNTIFS('Armes'!$C$7:$C$7,"Défini")</x:f>
        <x:v>1</x:v>
      </x:c>
      <x:c r="D24" s="39" t="n">
        <x:f>COUNTIFS('Armes'!$C$7:$C$7,"Prototype")</x:f>
        <x:v>0</x:v>
      </x:c>
      <x:c r="E24" s="39" t="n">
        <x:f>COUNTIFS('Armes'!$C$7:$C$7,"Intégré")</x:f>
        <x:v>0</x:v>
      </x:c>
      <x:c r="F24" s="39" t="n">
        <x:f>COUNTIFS('Armes'!$C$7:$C$7,"Validé")</x:f>
        <x:v>0</x:v>
      </x:c>
      <x:c r="G24" s="39" t="n">
        <x:f>COUNTIFS('Armes'!$D$7:$D$7,"Établi")</x:f>
        <x:v>0</x:v>
      </x:c>
      <x:c r="H24" s="39" t="n">
        <x:f>COUNTIFS('Armes'!$D$7:$D$7,"À vérifier")</x:f>
        <x:v>0</x:v>
      </x:c>
      <x:c r="I24" s="39" t="n">
        <x:f>COUNTIFS('Armes'!$D$7:$D$7,"Extrapolation")</x:f>
        <x:v>1</x:v>
      </x:c>
      <x:c r="J24" s="39" t="n">
        <x:f>COUNTIFS('Armes'!$D$7:$D$7,"Coupé attesté")</x:f>
        <x:v>0</x:v>
      </x:c>
      <x:c r="K24" s="39" t="n">
        <x:f>COUNTIFS('Armes'!$D$7:$D$7,"Concept abandonné")</x:f>
        <x:v>0</x:v>
      </x:c>
      <x:c r="L24" s="39" t="n">
        <x:f>COUNTIFS('Armes'!$D$7:$D$7,"Allégation écartée")</x:f>
        <x:v>0</x:v>
      </x:c>
      <x:c r="M24" s="39" t="n">
        <x:f>COUNTIFS('Armes'!$E$7:$E$7,"P0")</x:f>
        <x:v>0</x:v>
      </x:c>
    </x:row>
    <x:row r="25" ht="22" customHeight="1">
      <x:c r="A25" s="2" t="str">
        <x:v>Armures et équipement</x:v>
      </x:c>
      <x:c r="B25" s="40" t="n">
        <x:f>COUNTA('Armures_equipement'!$A$7:$A$7)</x:f>
        <x:v>1</x:v>
      </x:c>
      <x:c r="C25" s="40" t="n">
        <x:f>COUNTIFS('Armures_equipement'!$C$7:$C$7,"Défini")</x:f>
        <x:v>1</x:v>
      </x:c>
      <x:c r="D25" s="40" t="n">
        <x:f>COUNTIFS('Armures_equipement'!$C$7:$C$7,"Prototype")</x:f>
        <x:v>0</x:v>
      </x:c>
      <x:c r="E25" s="40" t="n">
        <x:f>COUNTIFS('Armures_equipement'!$C$7:$C$7,"Intégré")</x:f>
        <x:v>0</x:v>
      </x:c>
      <x:c r="F25" s="40" t="n">
        <x:f>COUNTIFS('Armures_equipement'!$C$7:$C$7,"Validé")</x:f>
        <x:v>0</x:v>
      </x:c>
      <x:c r="G25" s="40" t="n">
        <x:f>COUNTIFS('Armures_equipement'!$D$7:$D$7,"Établi")</x:f>
        <x:v>0</x:v>
      </x:c>
      <x:c r="H25" s="40" t="n">
        <x:f>COUNTIFS('Armures_equipement'!$D$7:$D$7,"À vérifier")</x:f>
        <x:v>0</x:v>
      </x:c>
      <x:c r="I25" s="40" t="n">
        <x:f>COUNTIFS('Armures_equipement'!$D$7:$D$7,"Extrapolation")</x:f>
        <x:v>1</x:v>
      </x:c>
      <x:c r="J25" s="40" t="n">
        <x:f>COUNTIFS('Armures_equipement'!$D$7:$D$7,"Coupé attesté")</x:f>
        <x:v>0</x:v>
      </x:c>
      <x:c r="K25" s="40" t="n">
        <x:f>COUNTIFS('Armures_equipement'!$D$7:$D$7,"Concept abandonné")</x:f>
        <x:v>0</x:v>
      </x:c>
      <x:c r="L25" s="40" t="n">
        <x:f>COUNTIFS('Armures_equipement'!$D$7:$D$7,"Allégation écartée")</x:f>
        <x:v>0</x:v>
      </x:c>
      <x:c r="M25" s="40" t="n">
        <x:f>COUNTIFS('Armures_equipement'!$E$7:$E$7,"P0")</x:f>
        <x:v>0</x:v>
      </x:c>
    </x:row>
    <x:row r="26" ht="22" customHeight="1">
      <x:c r="A26" s="35" t="str">
        <x:v>Pouvoirs</x:v>
      </x:c>
      <x:c r="B26" s="39" t="n">
        <x:f>COUNTA('Pouvoirs'!$A$7:$A$7)</x:f>
        <x:v>1</x:v>
      </x:c>
      <x:c r="C26" s="39" t="n">
        <x:f>COUNTIFS('Pouvoirs'!$C$7:$C$7,"Défini")</x:f>
        <x:v>1</x:v>
      </x:c>
      <x:c r="D26" s="39" t="n">
        <x:f>COUNTIFS('Pouvoirs'!$C$7:$C$7,"Prototype")</x:f>
        <x:v>0</x:v>
      </x:c>
      <x:c r="E26" s="39" t="n">
        <x:f>COUNTIFS('Pouvoirs'!$C$7:$C$7,"Intégré")</x:f>
        <x:v>0</x:v>
      </x:c>
      <x:c r="F26" s="39" t="n">
        <x:f>COUNTIFS('Pouvoirs'!$C$7:$C$7,"Validé")</x:f>
        <x:v>0</x:v>
      </x:c>
      <x:c r="G26" s="39" t="n">
        <x:f>COUNTIFS('Pouvoirs'!$D$7:$D$7,"Établi")</x:f>
        <x:v>0</x:v>
      </x:c>
      <x:c r="H26" s="39" t="n">
        <x:f>COUNTIFS('Pouvoirs'!$D$7:$D$7,"À vérifier")</x:f>
        <x:v>0</x:v>
      </x:c>
      <x:c r="I26" s="39" t="n">
        <x:f>COUNTIFS('Pouvoirs'!$D$7:$D$7,"Extrapolation")</x:f>
        <x:v>1</x:v>
      </x:c>
      <x:c r="J26" s="39" t="n">
        <x:f>COUNTIFS('Pouvoirs'!$D$7:$D$7,"Coupé attesté")</x:f>
        <x:v>0</x:v>
      </x:c>
      <x:c r="K26" s="39" t="n">
        <x:f>COUNTIFS('Pouvoirs'!$D$7:$D$7,"Concept abandonné")</x:f>
        <x:v>0</x:v>
      </x:c>
      <x:c r="L26" s="39" t="n">
        <x:f>COUNTIFS('Pouvoirs'!$D$7:$D$7,"Allégation écartée")</x:f>
        <x:v>0</x:v>
      </x:c>
      <x:c r="M26" s="39" t="n">
        <x:f>COUNTIFS('Pouvoirs'!$E$7:$E$7,"P0")</x:f>
        <x:v>0</x:v>
      </x:c>
    </x:row>
    <x:row r="27" ht="22" customHeight="1">
      <x:c r="A27" s="2" t="str">
        <x:v>Movesets alliés</x:v>
      </x:c>
      <x:c r="B27" s="40" t="n">
        <x:f>COUNTA('Movesets_allies'!$A$7:$A$8)</x:f>
        <x:v>2</x:v>
      </x:c>
      <x:c r="C27" s="40" t="n">
        <x:f>COUNTIFS('Movesets_allies'!$C$7:$C$8,"Défini")</x:f>
        <x:v>2</x:v>
      </x:c>
      <x:c r="D27" s="40" t="n">
        <x:f>COUNTIFS('Movesets_allies'!$C$7:$C$8,"Prototype")</x:f>
        <x:v>0</x:v>
      </x:c>
      <x:c r="E27" s="40" t="n">
        <x:f>COUNTIFS('Movesets_allies'!$C$7:$C$8,"Intégré")</x:f>
        <x:v>0</x:v>
      </x:c>
      <x:c r="F27" s="40" t="n">
        <x:f>COUNTIFS('Movesets_allies'!$C$7:$C$8,"Validé")</x:f>
        <x:v>0</x:v>
      </x:c>
      <x:c r="G27" s="40" t="n">
        <x:f>COUNTIFS('Movesets_allies'!$D$7:$D$8,"Établi")</x:f>
        <x:v>0</x:v>
      </x:c>
      <x:c r="H27" s="40" t="n">
        <x:f>COUNTIFS('Movesets_allies'!$D$7:$D$8,"À vérifier")</x:f>
        <x:v>0</x:v>
      </x:c>
      <x:c r="I27" s="40" t="n">
        <x:f>COUNTIFS('Movesets_allies'!$D$7:$D$8,"Extrapolation")</x:f>
        <x:v>2</x:v>
      </x:c>
      <x:c r="J27" s="40" t="n">
        <x:f>COUNTIFS('Movesets_allies'!$D$7:$D$8,"Coupé attesté")</x:f>
        <x:v>0</x:v>
      </x:c>
      <x:c r="K27" s="40" t="n">
        <x:f>COUNTIFS('Movesets_allies'!$D$7:$D$8,"Concept abandonné")</x:f>
        <x:v>0</x:v>
      </x:c>
      <x:c r="L27" s="40" t="n">
        <x:f>COUNTIFS('Movesets_allies'!$D$7:$D$8,"Allégation écartée")</x:f>
        <x:v>0</x:v>
      </x:c>
      <x:c r="M27" s="40" t="n">
        <x:f>COUNTIFS('Movesets_allies'!$E$7:$E$8,"P0")</x:f>
        <x:v>0</x:v>
      </x:c>
    </x:row>
    <x:row r="28" ht="22" customHeight="1">
      <x:c r="A28" s="35" t="str">
        <x:v>Movesets ennemis</x:v>
      </x:c>
      <x:c r="B28" s="39" t="n">
        <x:f>COUNTA('Movesets_ennemis'!$A$7:$A$12)</x:f>
        <x:v>6</x:v>
      </x:c>
      <x:c r="C28" s="39" t="n">
        <x:f>COUNTIFS('Movesets_ennemis'!$C$7:$C$12,"Défini")</x:f>
        <x:v>6</x:v>
      </x:c>
      <x:c r="D28" s="39" t="n">
        <x:f>COUNTIFS('Movesets_ennemis'!$C$7:$C$12,"Prototype")</x:f>
        <x:v>0</x:v>
      </x:c>
      <x:c r="E28" s="39" t="n">
        <x:f>COUNTIFS('Movesets_ennemis'!$C$7:$C$12,"Intégré")</x:f>
        <x:v>0</x:v>
      </x:c>
      <x:c r="F28" s="39" t="n">
        <x:f>COUNTIFS('Movesets_ennemis'!$C$7:$C$12,"Validé")</x:f>
        <x:v>0</x:v>
      </x:c>
      <x:c r="G28" s="39" t="n">
        <x:f>COUNTIFS('Movesets_ennemis'!$D$7:$D$12,"Établi")</x:f>
        <x:v>0</x:v>
      </x:c>
      <x:c r="H28" s="39" t="n">
        <x:f>COUNTIFS('Movesets_ennemis'!$D$7:$D$12,"À vérifier")</x:f>
        <x:v>0</x:v>
      </x:c>
      <x:c r="I28" s="39" t="n">
        <x:f>COUNTIFS('Movesets_ennemis'!$D$7:$D$12,"Extrapolation")</x:f>
        <x:v>6</x:v>
      </x:c>
      <x:c r="J28" s="39" t="n">
        <x:f>COUNTIFS('Movesets_ennemis'!$D$7:$D$12,"Coupé attesté")</x:f>
        <x:v>0</x:v>
      </x:c>
      <x:c r="K28" s="39" t="n">
        <x:f>COUNTIFS('Movesets_ennemis'!$D$7:$D$12,"Concept abandonné")</x:f>
        <x:v>0</x:v>
      </x:c>
      <x:c r="L28" s="39" t="n">
        <x:f>COUNTIFS('Movesets_ennemis'!$D$7:$D$12,"Allégation écartée")</x:f>
        <x:v>0</x:v>
      </x:c>
      <x:c r="M28" s="39" t="n">
        <x:f>COUNTIFS('Movesets_ennemis'!$E$7:$E$12,"P0")</x:f>
        <x:v>0</x:v>
      </x:c>
    </x:row>
    <x:row r="29" ht="22" customHeight="1">
      <x:c r="A29" s="2" t="str">
        <x:v>Animations</x:v>
      </x:c>
      <x:c r="B29" s="40" t="n">
        <x:f>COUNTA('Animations'!$A$7:$A$13)</x:f>
        <x:v>7</x:v>
      </x:c>
      <x:c r="C29" s="40" t="n">
        <x:f>COUNTIFS('Animations'!$C$7:$C$13,"Défini")</x:f>
        <x:v>7</x:v>
      </x:c>
      <x:c r="D29" s="40" t="n">
        <x:f>COUNTIFS('Animations'!$C$7:$C$13,"Prototype")</x:f>
        <x:v>0</x:v>
      </x:c>
      <x:c r="E29" s="40" t="n">
        <x:f>COUNTIFS('Animations'!$C$7:$C$13,"Intégré")</x:f>
        <x:v>0</x:v>
      </x:c>
      <x:c r="F29" s="40" t="n">
        <x:f>COUNTIFS('Animations'!$C$7:$C$13,"Validé")</x:f>
        <x:v>0</x:v>
      </x:c>
      <x:c r="G29" s="40" t="n">
        <x:f>COUNTIFS('Animations'!$D$7:$D$13,"Établi")</x:f>
        <x:v>0</x:v>
      </x:c>
      <x:c r="H29" s="40" t="n">
        <x:f>COUNTIFS('Animations'!$D$7:$D$13,"À vérifier")</x:f>
        <x:v>0</x:v>
      </x:c>
      <x:c r="I29" s="40" t="n">
        <x:f>COUNTIFS('Animations'!$D$7:$D$13,"Extrapolation")</x:f>
        <x:v>7</x:v>
      </x:c>
      <x:c r="J29" s="40" t="n">
        <x:f>COUNTIFS('Animations'!$D$7:$D$13,"Coupé attesté")</x:f>
        <x:v>0</x:v>
      </x:c>
      <x:c r="K29" s="40" t="n">
        <x:f>COUNTIFS('Animations'!$D$7:$D$13,"Concept abandonné")</x:f>
        <x:v>0</x:v>
      </x:c>
      <x:c r="L29" s="40" t="n">
        <x:f>COUNTIFS('Animations'!$D$7:$D$13,"Allégation écartée")</x:f>
        <x:v>0</x:v>
      </x:c>
      <x:c r="M29" s="40" t="n">
        <x:f>COUNTIFS('Animations'!$E$7:$E$13,"P0")</x:f>
        <x:v>0</x:v>
      </x:c>
    </x:row>
    <x:row r="30" ht="22" customHeight="1">
      <x:c r="A30" s="35" t="str">
        <x:v>Sprites</x:v>
      </x:c>
      <x:c r="B30" s="39" t="n">
        <x:f>COUNTA('Sprites'!$A$7:$A$13)</x:f>
        <x:v>7</x:v>
      </x:c>
      <x:c r="C30" s="39" t="n">
        <x:f>COUNTIFS('Sprites'!$C$7:$C$13,"Défini")</x:f>
        <x:v>7</x:v>
      </x:c>
      <x:c r="D30" s="39" t="n">
        <x:f>COUNTIFS('Sprites'!$C$7:$C$13,"Prototype")</x:f>
        <x:v>0</x:v>
      </x:c>
      <x:c r="E30" s="39" t="n">
        <x:f>COUNTIFS('Sprites'!$C$7:$C$13,"Intégré")</x:f>
        <x:v>0</x:v>
      </x:c>
      <x:c r="F30" s="39" t="n">
        <x:f>COUNTIFS('Sprites'!$C$7:$C$13,"Validé")</x:f>
        <x:v>0</x:v>
      </x:c>
      <x:c r="G30" s="39" t="n">
        <x:f>COUNTIFS('Sprites'!$D$7:$D$13,"Établi")</x:f>
        <x:v>0</x:v>
      </x:c>
      <x:c r="H30" s="39" t="n">
        <x:f>COUNTIFS('Sprites'!$D$7:$D$13,"À vérifier")</x:f>
        <x:v>0</x:v>
      </x:c>
      <x:c r="I30" s="39" t="n">
        <x:f>COUNTIFS('Sprites'!$D$7:$D$13,"Extrapolation")</x:f>
        <x:v>7</x:v>
      </x:c>
      <x:c r="J30" s="39" t="n">
        <x:f>COUNTIFS('Sprites'!$D$7:$D$13,"Coupé attesté")</x:f>
        <x:v>0</x:v>
      </x:c>
      <x:c r="K30" s="39" t="n">
        <x:f>COUNTIFS('Sprites'!$D$7:$D$13,"Concept abandonné")</x:f>
        <x:v>0</x:v>
      </x:c>
      <x:c r="L30" s="39" t="n">
        <x:f>COUNTIFS('Sprites'!$D$7:$D$13,"Allégation écartée")</x:f>
        <x:v>0</x:v>
      </x:c>
      <x:c r="M30" s="39" t="n">
        <x:f>COUNTIFS('Sprites'!$E$7:$E$13,"P0")</x:f>
        <x:v>0</x:v>
      </x:c>
    </x:row>
    <x:row r="31" ht="22" customHeight="1">
      <x:c r="A31" s="2" t="str">
        <x:v>VFX</x:v>
      </x:c>
      <x:c r="B31" s="40" t="n">
        <x:f>COUNTA('VFX'!$A$7:$A$12)</x:f>
        <x:v>6</x:v>
      </x:c>
      <x:c r="C31" s="40" t="n">
        <x:f>COUNTIFS('VFX'!$C$7:$C$12,"Défini")</x:f>
        <x:v>6</x:v>
      </x:c>
      <x:c r="D31" s="40" t="n">
        <x:f>COUNTIFS('VFX'!$C$7:$C$12,"Prototype")</x:f>
        <x:v>0</x:v>
      </x:c>
      <x:c r="E31" s="40" t="n">
        <x:f>COUNTIFS('VFX'!$C$7:$C$12,"Intégré")</x:f>
        <x:v>0</x:v>
      </x:c>
      <x:c r="F31" s="40" t="n">
        <x:f>COUNTIFS('VFX'!$C$7:$C$12,"Validé")</x:f>
        <x:v>0</x:v>
      </x:c>
      <x:c r="G31" s="40" t="n">
        <x:f>COUNTIFS('VFX'!$D$7:$D$12,"Établi")</x:f>
        <x:v>0</x:v>
      </x:c>
      <x:c r="H31" s="40" t="n">
        <x:f>COUNTIFS('VFX'!$D$7:$D$12,"À vérifier")</x:f>
        <x:v>0</x:v>
      </x:c>
      <x:c r="I31" s="40" t="n">
        <x:f>COUNTIFS('VFX'!$D$7:$D$12,"Extrapolation")</x:f>
        <x:v>6</x:v>
      </x:c>
      <x:c r="J31" s="40" t="n">
        <x:f>COUNTIFS('VFX'!$D$7:$D$12,"Coupé attesté")</x:f>
        <x:v>0</x:v>
      </x:c>
      <x:c r="K31" s="40" t="n">
        <x:f>COUNTIFS('VFX'!$D$7:$D$12,"Concept abandonné")</x:f>
        <x:v>0</x:v>
      </x:c>
      <x:c r="L31" s="40" t="n">
        <x:f>COUNTIFS('VFX'!$D$7:$D$12,"Allégation écartée")</x:f>
        <x:v>0</x:v>
      </x:c>
      <x:c r="M31" s="40" t="n">
        <x:f>COUNTIFS('VFX'!$E$7:$E$12,"P0")</x:f>
        <x:v>0</x:v>
      </x:c>
    </x:row>
    <x:row r="32" ht="22" customHeight="1">
      <x:c r="A32" s="35" t="str">
        <x:v>Audio</x:v>
      </x:c>
      <x:c r="B32" s="39" t="n">
        <x:f>COUNTA('Audio'!$A$7:$A$9)</x:f>
        <x:v>3</x:v>
      </x:c>
      <x:c r="C32" s="39" t="n">
        <x:f>COUNTIFS('Audio'!$C$7:$C$9,"Défini")</x:f>
        <x:v>3</x:v>
      </x:c>
      <x:c r="D32" s="39" t="n">
        <x:f>COUNTIFS('Audio'!$C$7:$C$9,"Prototype")</x:f>
        <x:v>0</x:v>
      </x:c>
      <x:c r="E32" s="39" t="n">
        <x:f>COUNTIFS('Audio'!$C$7:$C$9,"Intégré")</x:f>
        <x:v>0</x:v>
      </x:c>
      <x:c r="F32" s="39" t="n">
        <x:f>COUNTIFS('Audio'!$C$7:$C$9,"Validé")</x:f>
        <x:v>0</x:v>
      </x:c>
      <x:c r="G32" s="39" t="n">
        <x:f>COUNTIFS('Audio'!$D$7:$D$9,"Établi")</x:f>
        <x:v>0</x:v>
      </x:c>
      <x:c r="H32" s="39" t="n">
        <x:f>COUNTIFS('Audio'!$D$7:$D$9,"À vérifier")</x:f>
        <x:v>0</x:v>
      </x:c>
      <x:c r="I32" s="39" t="n">
        <x:f>COUNTIFS('Audio'!$D$7:$D$9,"Extrapolation")</x:f>
        <x:v>3</x:v>
      </x:c>
      <x:c r="J32" s="39" t="n">
        <x:f>COUNTIFS('Audio'!$D$7:$D$9,"Coupé attesté")</x:f>
        <x:v>0</x:v>
      </x:c>
      <x:c r="K32" s="39" t="n">
        <x:f>COUNTIFS('Audio'!$D$7:$D$9,"Concept abandonné")</x:f>
        <x:v>0</x:v>
      </x:c>
      <x:c r="L32" s="39" t="n">
        <x:f>COUNTIFS('Audio'!$D$7:$D$9,"Allégation écartée")</x:f>
        <x:v>0</x:v>
      </x:c>
      <x:c r="M32" s="39" t="n">
        <x:f>COUNTIFS('Audio'!$E$7:$E$9,"P0")</x:f>
        <x:v>0</x:v>
      </x:c>
    </x:row>
    <x:row r="33" ht="22" customHeight="1">
      <x:c r="A33" s="2" t="str">
        <x:v>Systèmes et UI</x:v>
      </x:c>
      <x:c r="B33" s="40" t="n">
        <x:f>COUNTA('UI_systemes'!$A$7:$A$10)</x:f>
        <x:v>4</x:v>
      </x:c>
      <x:c r="C33" s="40" t="n">
        <x:f>COUNTIFS('UI_systemes'!$C$7:$C$10,"Défini")</x:f>
        <x:v>4</x:v>
      </x:c>
      <x:c r="D33" s="40" t="n">
        <x:f>COUNTIFS('UI_systemes'!$C$7:$C$10,"Prototype")</x:f>
        <x:v>0</x:v>
      </x:c>
      <x:c r="E33" s="40" t="n">
        <x:f>COUNTIFS('UI_systemes'!$C$7:$C$10,"Intégré")</x:f>
        <x:v>0</x:v>
      </x:c>
      <x:c r="F33" s="40" t="n">
        <x:f>COUNTIFS('UI_systemes'!$C$7:$C$10,"Validé")</x:f>
        <x:v>0</x:v>
      </x:c>
      <x:c r="G33" s="40" t="n">
        <x:f>COUNTIFS('UI_systemes'!$D$7:$D$10,"Établi")</x:f>
        <x:v>0</x:v>
      </x:c>
      <x:c r="H33" s="40" t="n">
        <x:f>COUNTIFS('UI_systemes'!$D$7:$D$10,"À vérifier")</x:f>
        <x:v>0</x:v>
      </x:c>
      <x:c r="I33" s="40" t="n">
        <x:f>COUNTIFS('UI_systemes'!$D$7:$D$10,"Extrapolation")</x:f>
        <x:v>4</x:v>
      </x:c>
      <x:c r="J33" s="40" t="n">
        <x:f>COUNTIFS('UI_systemes'!$D$7:$D$10,"Coupé attesté")</x:f>
        <x:v>0</x:v>
      </x:c>
      <x:c r="K33" s="40" t="n">
        <x:f>COUNTIFS('UI_systemes'!$D$7:$D$10,"Concept abandonné")</x:f>
        <x:v>0</x:v>
      </x:c>
      <x:c r="L33" s="40" t="n">
        <x:f>COUNTIFS('UI_systemes'!$D$7:$D$10,"Allégation écartée")</x:f>
        <x:v>0</x:v>
      </x:c>
      <x:c r="M33" s="40" t="n">
        <x:f>COUNTIFS('UI_systemes'!$E$7:$E$10,"P0")</x:f>
        <x:v>0</x:v>
      </x:c>
    </x:row>
    <x:row r="34" ht="22" customHeight="1">
      <x:c r="A34" s="35" t="str">
        <x:v>QA</x:v>
      </x:c>
      <x:c r="B34" s="39" t="n">
        <x:f>COUNTA('QA'!$A$7:$A$15)</x:f>
        <x:v>9</x:v>
      </x:c>
      <x:c r="C34" s="39" t="n">
        <x:f>COUNTIFS('QA'!$C$7:$C$15,"Défini")</x:f>
        <x:v>9</x:v>
      </x:c>
      <x:c r="D34" s="39" t="n">
        <x:f>COUNTIFS('QA'!$C$7:$C$15,"Prototype")</x:f>
        <x:v>0</x:v>
      </x:c>
      <x:c r="E34" s="39" t="n">
        <x:f>COUNTIFS('QA'!$C$7:$C$15,"Intégré")</x:f>
        <x:v>0</x:v>
      </x:c>
      <x:c r="F34" s="39" t="n">
        <x:f>COUNTIFS('QA'!$C$7:$C$15,"Validé")</x:f>
        <x:v>0</x:v>
      </x:c>
      <x:c r="G34" s="39" t="n">
        <x:f>COUNTIFS('QA'!$D$7:$D$15,"Établi")</x:f>
        <x:v>0</x:v>
      </x:c>
      <x:c r="H34" s="39" t="n">
        <x:f>COUNTIFS('QA'!$D$7:$D$15,"À vérifier")</x:f>
        <x:v>0</x:v>
      </x:c>
      <x:c r="I34" s="39" t="n">
        <x:f>COUNTIFS('QA'!$D$7:$D$15,"Extrapolation")</x:f>
        <x:v>9</x:v>
      </x:c>
      <x:c r="J34" s="39" t="n">
        <x:f>COUNTIFS('QA'!$D$7:$D$15,"Coupé attesté")</x:f>
        <x:v>0</x:v>
      </x:c>
      <x:c r="K34" s="39" t="n">
        <x:f>COUNTIFS('QA'!$D$7:$D$15,"Concept abandonné")</x:f>
        <x:v>0</x:v>
      </x:c>
      <x:c r="L34" s="39" t="n">
        <x:f>COUNTIFS('QA'!$D$7:$D$15,"Allégation écartée")</x:f>
        <x:v>0</x:v>
      </x:c>
      <x:c r="M34" s="39" t="n">
        <x:f>COUNTIFS('QA'!$E$7:$E$15,"P0")</x:f>
        <x:v>9</x:v>
      </x:c>
    </x:row>
    <x:row r="35" ht="22" customHeight="1">
      <x:c r="A35" s="2" t="str">
        <x:v>Continuité</x:v>
      </x:c>
      <x:c r="B35" s="40" t="n">
        <x:f>COUNTA('Continuite'!$A$7:$A$8)</x:f>
        <x:v>2</x:v>
      </x:c>
      <x:c r="C35" s="40" t="n">
        <x:f>COUNTIFS('Continuite'!$C$7:$C$8,"Défini")</x:f>
        <x:v>2</x:v>
      </x:c>
      <x:c r="D35" s="40" t="n">
        <x:f>COUNTIFS('Continuite'!$C$7:$C$8,"Prototype")</x:f>
        <x:v>0</x:v>
      </x:c>
      <x:c r="E35" s="40" t="n">
        <x:f>COUNTIFS('Continuite'!$C$7:$C$8,"Intégré")</x:f>
        <x:v>0</x:v>
      </x:c>
      <x:c r="F35" s="40" t="n">
        <x:f>COUNTIFS('Continuite'!$C$7:$C$8,"Validé")</x:f>
        <x:v>0</x:v>
      </x:c>
      <x:c r="G35" s="40" t="n">
        <x:f>COUNTIFS('Continuite'!$D$7:$D$8,"Établi")</x:f>
        <x:v>0</x:v>
      </x:c>
      <x:c r="H35" s="40" t="n">
        <x:f>COUNTIFS('Continuite'!$D$7:$D$8,"À vérifier")</x:f>
        <x:v>0</x:v>
      </x:c>
      <x:c r="I35" s="40" t="n">
        <x:f>COUNTIFS('Continuite'!$D$7:$D$8,"Extrapolation")</x:f>
        <x:v>2</x:v>
      </x:c>
      <x:c r="J35" s="40" t="n">
        <x:f>COUNTIFS('Continuite'!$D$7:$D$8,"Coupé attesté")</x:f>
        <x:v>0</x:v>
      </x:c>
      <x:c r="K35" s="40" t="n">
        <x:f>COUNTIFS('Continuite'!$D$7:$D$8,"Concept abandonné")</x:f>
        <x:v>0</x:v>
      </x:c>
      <x:c r="L35" s="40" t="n">
        <x:f>COUNTIFS('Continuite'!$D$7:$D$8,"Allégation écartée")</x:f>
        <x:v>0</x:v>
      </x:c>
      <x:c r="M35" s="40" t="n">
        <x:f>COUNTIFS('Continuite'!$E$7:$E$8,"P0")</x:f>
        <x:v>0</x:v>
      </x:c>
    </x:row>
    <x:row r="36" ht="22" customHeight="1">
      <x:c r="A36" s="2"/>
      <x:c r="B36" s="40"/>
      <x:c r="C36" s="40"/>
      <x:c r="D36" s="40"/>
      <x:c r="E36" s="40"/>
      <x:c r="F36" s="40"/>
      <x:c r="G36" s="40"/>
      <x:c r="H36" s="40"/>
      <x:c r="I36" s="40"/>
      <x:c r="J36" s="40"/>
      <x:c r="K36" s="40"/>
      <x:c r="L36" s="40"/>
      <x:c r="M36" s="40"/>
    </x:row>
    <x:row r="37" ht="28" customHeight="1">
      <x:c r="A37" s="23" t="str">
        <x:v>TOTAL</x:v>
      </x:c>
      <x:c r="B37" s="41" t="n">
        <x:f>SUM(B10:B35)</x:f>
        <x:v>117</x:v>
      </x:c>
      <x:c r="C37" s="41" t="n">
        <x:f>SUM(C10:C35)</x:f>
        <x:v>115</x:v>
      </x:c>
      <x:c r="D37" s="41" t="n">
        <x:f>SUM(D10:D35)</x:f>
        <x:v>2</x:v>
      </x:c>
      <x:c r="E37" s="41" t="n">
        <x:f>SUM(E10:E35)</x:f>
        <x:v>0</x:v>
      </x:c>
      <x:c r="F37" s="41" t="n">
        <x:f>SUM(F10:F35)</x:f>
        <x:v>0</x:v>
      </x:c>
      <x:c r="G37" s="41" t="n">
        <x:f>SUM(G10:G35)</x:f>
        <x:v>15</x:v>
      </x:c>
      <x:c r="H37" s="41" t="n">
        <x:f>SUM(H10:H35)</x:f>
        <x:v>8</x:v>
      </x:c>
      <x:c r="I37" s="41" t="n">
        <x:f>SUM(I10:I35)</x:f>
        <x:v>94</x:v>
      </x:c>
      <x:c r="J37" s="41" t="n">
        <x:f>SUM(J10:J35)</x:f>
        <x:v>0</x:v>
      </x:c>
      <x:c r="K37" s="41" t="n">
        <x:f>SUM(K10:K35)</x:f>
        <x:v>0</x:v>
      </x:c>
      <x:c r="L37" s="41" t="n">
        <x:f>SUM(L10:L35)</x:f>
        <x:v>0</x:v>
      </x:c>
      <x:c r="M37" s="41" t="n">
        <x:f>SUM(M10:M35)</x:f>
        <x:v>19</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2"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Redemption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RED-ACT-LIARA</x:v>
      </x:c>
      <x:c r="B7" s="9" t="str">
        <x:v>Liara T’Soni</x:v>
      </x:c>
      <x:c r="C7" s="15" t="str">
        <x:v>Prototype</x:v>
      </x:c>
      <x:c r="D7" s="16" t="str">
        <x:v>Établi</x:v>
      </x:c>
      <x:c r="E7" s="16" t="str">
        <x:v>P1</x:v>
      </x:c>
      <x:c r="F7" s="9" t="str">
        <x:v>Liara mène la recherche de Shepard.</x:v>
      </x:c>
      <x:c r="G7" s="9" t="str">
        <x:v>Héroïne du duo; maîtrise du terrain et questions d’enquête.</x:v>
      </x:c>
      <x:c r="H7" s="9" t="str">
        <x:v>Rôle narratif; aucune statistique officielle déduite.</x:v>
      </x:c>
      <x:c r="I7" s="9" t="str">
        <x:v>Direction proposée : Peau bleue, crête asari et manteau de terrain simplifié; accents cyan réservés aux actions. Vérifier le costume sur l'édition autorisée avant peinture finale.</x:v>
      </x:c>
      <x:c r="J7" s="9" t="str">
        <x:v>Garde ouverte, poussée des deux bras, lecture d’un terminal, protection du partenaire.</x:v>
      </x:c>
      <x:c r="K7" s="9" t="str">
        <x:v>Interprétation originale; sous-titres attribués au locuteur et aucune reprise des voix du jeu.</x:v>
      </x:c>
      <x:c r="L7" s="9" t="str">
        <x:v>Prototype Chroniques : src/universe-actors.js, src/chronicles.js. Identifiant runtime RED-ACT-LIARA ; contexte d’œuvre/segment et sélection de scène obligatoires.</x:v>
      </x:c>
      <x:c r="M7" s="9" t="str">
        <x:v>Préserver l’absence active de Shepard, la relation Liara/Feron et le raccord vers ME2; les méthodes d’enquête ne changent pas le sort publié des protagonistes.</x:v>
      </x:c>
      <x:c r="N7" s="9" t="str">
        <x:v>Liara T’Soni possède une fiche de référence séparant rôle attesté, silhouette à contrôler et commandes proposées.</x:v>
      </x:c>
      <x:c r="O7" s="9" t="str"/>
      <x:c r="P7" s="9" t="str">
        <x:v>Mass Effect: Redemption, série concernée</x:v>
      </x:c>
      <x:c r="Q7" s="9" t="str">
        <x:v>RED-S-BOOK</x:v>
      </x:c>
      <x:c r="R7" s="20" t="str">
        <x:v>https://www.penguinrandomhouse.com/books/241684/mass-effect-volume-1-redemption-by-mac-walters-various-artists/</x:v>
      </x:c>
      <x:c r="S7" s="20" t="str">
        <x:v>Le rôle dans la source ne prouve ni recrutement jouable ni disponibilité permanente. Prototype partiel disponible dans les Chroniques indépendantes : profil ATB sans portrait, sprite ou moveset complet ; pouvoirs non implémentés signalés. Aucun transfert vers ME1 ni validation 1:1.</x:v>
      </x:c>
    </x:row>
    <x:row r="8" ht="68" customHeight="1">
      <x:c r="A8" s="19" t="str">
        <x:v>RED-ACT-FERON</x:v>
      </x:c>
      <x:c r="B8" s="7" t="str">
        <x:v>Feron</x:v>
      </x:c>
      <x:c r="C8" s="15" t="str">
        <x:v>Prototype</x:v>
      </x:c>
      <x:c r="D8" s="17" t="str">
        <x:v>Établi</x:v>
      </x:c>
      <x:c r="E8" s="17" t="str">
        <x:v>P1</x:v>
      </x:c>
      <x:c r="F8" s="7" t="str">
        <x:v>Feron est le partenaire drell de Liara.</x:v>
      </x:c>
      <x:c r="G8" s="7" t="str">
        <x:v>Soutien furtif; transforme une information en fenêtre de progression.</x:v>
      </x:c>
      <x:c r="H8" s="7" t="str">
        <x:v>Rôle narratif; aucune statistique officielle déduite.</x:v>
      </x:c>
      <x:c r="I8" s="7" t="str">
        <x:v>Direction proposée : Tête reptilienne et col haut, couches de vêtement lisibles; motifs précis à vérifier. Vérifier le costume sur l'édition autorisée avant peinture finale.</x:v>
      </x:c>
      <x:c r="J8" s="7" t="str">
        <x:v>Coup d’œil latéral, geste de passe, accroupissement et manipulation discrète.</x:v>
      </x:c>
      <x:c r="K8" s="7" t="str">
        <x:v>Interprétation originale; sous-titres attribués au locuteur et aucune reprise des voix du jeu.</x:v>
      </x:c>
      <x:c r="L8" s="7" t="str">
        <x:v>Prototype Chroniques : src/universe-actors.js, src/chronicles.js. Identifiant runtime RED-ACT-FERON ; contexte d’œuvre/segment et sélection de scène obligatoires.</x:v>
      </x:c>
      <x:c r="M8" s="7" t="str">
        <x:v>Préserver l’absence active de Shepard, la relation Liara/Feron et le raccord vers ME2; les méthodes d’enquête ne changent pas le sort publié des protagonistes.</x:v>
      </x:c>
      <x:c r="N8" s="7" t="str">
        <x:v>Feron possède une fiche de référence séparant rôle attesté, silhouette à contrôler et commandes proposées.</x:v>
      </x:c>
      <x:c r="O8" s="7" t="str"/>
      <x:c r="P8" s="7" t="str">
        <x:v>Mass Effect: Redemption, série concernée</x:v>
      </x:c>
      <x:c r="Q8" s="7" t="str">
        <x:v>RED-S-COMPLETE</x:v>
      </x:c>
      <x:c r="R8" s="21" t="str">
        <x:v>https://digital.darkhorse.com/books/7bcdbde713b746338287bb0d74350bac/mass-effect-the-complete-comics</x:v>
      </x:c>
      <x:c r="S8" s="21" t="str">
        <x:v>Le rôle dans la source ne prouve ni recrutement jouable ni disponibilité permanente. Prototype partiel disponible dans les Chroniques indépendantes : profil ATB sans portrait, sprite ou moveset complet ; pouvoirs non implémentés signalés. Aucun transfert vers ME1 ni validation 1:1.</x:v>
      </x:c>
    </x:row>
    <x:row r="9" ht="68" customHeight="1">
      <x:c r="A9" s="18" t="str">
        <x:v>RED-ACT-TAZZIK</x:v>
      </x:c>
      <x:c r="B9" s="9" t="str">
        <x:v>Tazzik</x:v>
      </x:c>
      <x:c r="C9" s="15" t="str">
        <x:v>Défini</x:v>
      </x:c>
      <x:c r="D9" s="16" t="str">
        <x:v>À vérifier</x:v>
      </x:c>
      <x:c r="E9" s="16" t="str">
        <x:v>P1</x:v>
      </x:c>
      <x:c r="F9" s="9" t="str">
        <x:v>Tazzik est un exécutant salarian du Courtier.</x:v>
      </x:c>
      <x:c r="G9" s="9" t="str">
        <x:v>Antagoniste identifiable; pression à distance et obstacle à la récupération.</x:v>
      </x:c>
      <x:c r="H9" s="9" t="str">
        <x:v>Rôle narratif; aucune statistique officielle déduite.</x:v>
      </x:c>
      <x:c r="I9" s="9" t="str">
        <x:v>Direction proposée : Silhouette salariane exceptionnellement imposante à contrôler; épaules lisibles, teinte froide. Vérifier le costume sur l'édition autorisée avant peinture finale.</x:v>
      </x:c>
      <x:c r="J9" s="9" t="str">
        <x:v>Visée basse, recul bref, blocage de passage et retournement.</x:v>
      </x:c>
      <x:c r="K9" s="9" t="str">
        <x:v>Interprétation originale; sous-titres attribués au locuteur et aucune reprise des voix du jeu.</x:v>
      </x:c>
      <x:c r="L9" s="9" t="str">
        <x:v>Livrable proposé : spécification RED/characters/act-tazzik; brancher au registre de contenu de l'œuvre seulement après production.</x:v>
      </x:c>
      <x:c r="M9" s="9" t="str">
        <x:v>Préserver l’absence active de Shepard, la relation Liara/Feron et le raccord vers ME2; les méthodes d’enquête ne changent pas le sort publié des protagonistes.</x:v>
      </x:c>
      <x:c r="N9" s="9" t="str">
        <x:v>Tazzik possède une fiche de référence séparant rôle attesté, silhouette à contrôler et commandes proposées.</x:v>
      </x:c>
      <x:c r="O9" s="9" t="str"/>
      <x:c r="P9" s="9" t="str">
        <x:v>Mass Effect: Redemption, série concernée</x:v>
      </x:c>
      <x:c r="Q9" s="9" t="str">
        <x:v>RED-S-TAZZIK</x:v>
      </x:c>
      <x:c r="R9" s="20" t="str">
        <x:v>https://masseffect.fandom.com/wiki/Tazzik</x:v>
      </x:c>
      <x:c r="S9" s="20" t="str">
        <x:v>Le rôle dans la source ne prouve ni recrutement jouable ni disponibilité permanente.</x:v>
      </x:c>
    </x:row>
  </x:sheetData>
  <x:conditionalFormatting sqref="D7:D9">
    <x:cfRule type="cellIs" dxfId="0" priority="1" operator="equal">
      <x:formula>"À vérifier"</x:formula>
    </x:cfRule>
    <x:cfRule type="cellIs" dxfId="1" priority="2" operator="equal">
      <x:formula>"Extrapolation"</x:formula>
    </x:cfRule>
  </x:conditionalFormatting>
  <x:conditionalFormatting sqref="C7:C9">
    <x:cfRule type="cellIs" dxfId="2" priority="3" operator="equal">
      <x:formula>"Validé"</x:formula>
    </x:cfRule>
  </x:conditionalFormatting>
  <x:conditionalFormatting sqref="E7:E9">
    <x:cfRule type="cellIs" dxfId="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4259cc7bd4a84907"/>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Redemption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RED-ACT-MIRANDA</x:v>
      </x:c>
      <x:c r="B7" s="9" t="str">
        <x:v>Miranda Lawson</x:v>
      </x:c>
      <x:c r="C7" s="15" t="str">
        <x:v>Défini</x:v>
      </x:c>
      <x:c r="D7" s="16" t="str">
        <x:v>Établi</x:v>
      </x:c>
      <x:c r="E7" s="16" t="str">
        <x:v>P1</x:v>
      </x:c>
      <x:c r="F7" s="9" t="str">
        <x:v>Miranda intervient dans la relation avec Cerberus.</x:v>
      </x:c>
      <x:c r="G7" s="9" t="str">
        <x:v>Interlocutrice de mission; présenter ses objectifs sans lui donner une omniscience de gameplay.</x:v>
      </x:c>
      <x:c r="H7" s="9" t="str">
        <x:v>Rôle narratif; aucune statistique officielle déduite.</x:v>
      </x:c>
      <x:c r="I7" s="9" t="str">
        <x:v>Direction proposée : Combinaison claire à panneaux sombres, silhouette tenue; costume du numéro à comparer. Vérifier le costume sur l'édition autorisée avant peinture finale.</x:v>
      </x:c>
      <x:c r="J7" s="9" t="str">
        <x:v>Posture droite, main sur interface, demi-tour contrôlé.</x:v>
      </x:c>
      <x:c r="K7" s="9" t="str">
        <x:v>Interprétation originale; sous-titres attribués au locuteur et aucune reprise des voix du jeu.</x:v>
      </x:c>
      <x:c r="L7" s="9" t="str">
        <x:v>Livrable proposé : spécification RED/npcs/act-miranda; brancher au registre de contenu de l'œuvre seulement après production.</x:v>
      </x:c>
      <x:c r="M7" s="9" t="str">
        <x:v>Préserver l’absence active de Shepard, la relation Liara/Feron et le raccord vers ME2; les méthodes d’enquête ne changent pas le sort publié des protagonistes.</x:v>
      </x:c>
      <x:c r="N7" s="9" t="str">
        <x:v>Miranda Lawson possède une fiche de référence séparant rôle attesté, silhouette à contrôler et commandes proposées.</x:v>
      </x:c>
      <x:c r="O7" s="9" t="str"/>
      <x:c r="P7" s="9" t="str">
        <x:v>Mass Effect: Redemption, série concernée</x:v>
      </x:c>
      <x:c r="Q7" s="9" t="str">
        <x:v>RED-S-AUTHOR1</x:v>
      </x:c>
      <x:c r="R7" s="20" t="str">
        <x:v>https://farawaypress.com/comics/masseffectredemption/masseffectredemption1/</x:v>
      </x:c>
      <x:c r="S7" s="20" t="str">
        <x:v>Le rôle dans la source ne prouve ni recrutement jouable ni disponibilité permanente.</x:v>
      </x:c>
    </x:row>
    <x:row r="8" ht="68" customHeight="1">
      <x:c r="A8" s="19" t="str">
        <x:v>RED-ACT-ARIA</x:v>
      </x:c>
      <x:c r="B8" s="7" t="str">
        <x:v>Aria T’Loak</x:v>
      </x:c>
      <x:c r="C8" s="15" t="str">
        <x:v>Défini</x:v>
      </x:c>
      <x:c r="D8" s="17" t="str">
        <x:v>À vérifier</x:v>
      </x:c>
      <x:c r="E8" s="17" t="str">
        <x:v>P1</x:v>
      </x:c>
      <x:c r="F8" s="7" t="str">
        <x:v>Aria fournit une piste sur Omega.</x:v>
      </x:c>
      <x:c r="G8" s="7" t="str">
        <x:v>Négociation brève, accès à une information, autorité locale.</x:v>
      </x:c>
      <x:c r="H8" s="7" t="str">
        <x:v>Rôle narratif; aucune statistique officielle déduite.</x:v>
      </x:c>
      <x:c r="I8" s="7" t="str">
        <x:v>Direction proposée : Silhouette asari angulaire, fauteuil en contre-jour et éclairage violet limité au fond. Vérifier le costume sur l'édition autorisée avant peinture finale.</x:v>
      </x:c>
      <x:c r="J8" s="7" t="str">
        <x:v>Immobilité dominante, inclinaison de tête, geste qui clôt l’entretien.</x:v>
      </x:c>
      <x:c r="K8" s="7" t="str">
        <x:v>Interprétation originale; sous-titres attribués au locuteur et aucune reprise des voix du jeu.</x:v>
      </x:c>
      <x:c r="L8" s="7" t="str">
        <x:v>Livrable proposé : spécification RED/npcs/act-aria; brancher au registre de contenu de l'œuvre seulement après production.</x:v>
      </x:c>
      <x:c r="M8" s="7" t="str">
        <x:v>Préserver l’absence active de Shepard, la relation Liara/Feron et le raccord vers ME2; les méthodes d’enquête ne changent pas le sort publié des protagonistes.</x:v>
      </x:c>
      <x:c r="N8" s="7" t="str">
        <x:v>Aria T’Loak possède une fiche de référence séparant rôle attesté, silhouette à contrôler et commandes proposées.</x:v>
      </x:c>
      <x:c r="O8" s="7" t="str"/>
      <x:c r="P8" s="7" t="str">
        <x:v>Mass Effect: Redemption, série concernée</x:v>
      </x:c>
      <x:c r="Q8" s="7" t="str">
        <x:v>RED-S-FERON</x:v>
      </x:c>
      <x:c r="R8" s="21" t="str">
        <x:v>https://masseffect.fandom.com/wiki/Feron</x:v>
      </x:c>
      <x:c r="S8" s="21" t="str">
        <x:v>Le rôle dans la source ne prouve ni recrutement jouable ni disponibilité permanente.</x:v>
      </x:c>
    </x:row>
    <x:row r="9" ht="68" customHeight="1">
      <x:c r="A9" s="18" t="str">
        <x:v>RED-ACT-TIM</x:v>
      </x:c>
      <x:c r="B9" s="9" t="str">
        <x:v>L’Homme trouble</x:v>
      </x:c>
      <x:c r="C9" s="15" t="str">
        <x:v>Défini</x:v>
      </x:c>
      <x:c r="D9" s="16" t="str">
        <x:v>Établi</x:v>
      </x:c>
      <x:c r="E9" s="16" t="str">
        <x:v>P1</x:v>
      </x:c>
      <x:c r="F9" s="9" t="str">
        <x:v>Une scène avec l’Homme trouble est commentée par le scénariste.</x:v>
      </x:c>
      <x:c r="G9" s="9" t="str">
        <x:v>Communication distante; exposer une proposition sans la valider moralement par l’interface.</x:v>
      </x:c>
      <x:c r="H9" s="9" t="str">
        <x:v>Rôle narratif; aucune statistique officielle déduite.</x:v>
      </x:c>
      <x:c r="I9" s="9" t="str">
        <x:v>Direction proposée : Visage partiellement éclairé dans un cadre holographique sobre. Vérifier le costume sur l'édition autorisée avant peinture finale.</x:v>
      </x:c>
      <x:c r="J9" s="9" t="str">
        <x:v>Regard fixe, déplacement léger de la main, interruption du canal.</x:v>
      </x:c>
      <x:c r="K9" s="9" t="str">
        <x:v>Interprétation originale; sous-titres attribués au locuteur et aucune reprise des voix du jeu.</x:v>
      </x:c>
      <x:c r="L9" s="9" t="str">
        <x:v>Livrable proposé : spécification RED/npcs/act-tim; brancher au registre de contenu de l'œuvre seulement après production.</x:v>
      </x:c>
      <x:c r="M9" s="9" t="str">
        <x:v>Préserver l’absence active de Shepard, la relation Liara/Feron et le raccord vers ME2; les méthodes d’enquête ne changent pas le sort publié des protagonistes.</x:v>
      </x:c>
      <x:c r="N9" s="9" t="str">
        <x:v>L’Homme trouble possède une fiche de référence séparant rôle attesté, silhouette à contrôler et commandes proposées.</x:v>
      </x:c>
      <x:c r="O9" s="9" t="str"/>
      <x:c r="P9" s="9" t="str">
        <x:v>Mass Effect: Redemption, série concernée</x:v>
      </x:c>
      <x:c r="Q9" s="9" t="str">
        <x:v>RED-S-AUTHOR2</x:v>
      </x:c>
      <x:c r="R9" s="20" t="str">
        <x:v>https://farawaypress.com/comics/masseffectredemption/masseffectredemption2/</x:v>
      </x:c>
      <x:c r="S9" s="20" t="str">
        <x:v>Le rôle dans la source ne prouve ni recrutement jouable ni disponibilité permanente.</x:v>
      </x:c>
    </x:row>
    <x:row r="10" ht="68" customHeight="1">
      <x:c r="A10" s="19" t="str">
        <x:v>RED-ACT-BROKER</x:v>
      </x:c>
      <x:c r="B10" s="7" t="str">
        <x:v>Courtier de l’ombre — représentation distante</x:v>
      </x:c>
      <x:c r="C10" s="15" t="str">
        <x:v>Défini</x:v>
      </x:c>
      <x:c r="D10" s="17" t="str">
        <x:v>Établi</x:v>
      </x:c>
      <x:c r="E10" s="17" t="str">
        <x:v>P1</x:v>
      </x:c>
      <x:c r="F10" s="7" t="str">
        <x:v>La recherche vise les opérations du Courtier de l’ombre.</x:v>
      </x:c>
      <x:c r="G10" s="7" t="str">
        <x:v>Présence par relais et informations; ne pas révéler sa forme comme un nouveau combat.</x:v>
      </x:c>
      <x:c r="H10" s="7" t="str">
        <x:v>Rôle narratif; aucune statistique officielle déduite.</x:v>
      </x:c>
      <x:c r="I10" s="7" t="str">
        <x:v>Direction proposée : Écran opaque, contour artificiel et fond sombre; aucune identité visible ajoutée. Vérifier le costume sur l'édition autorisée avant peinture finale.</x:v>
      </x:c>
      <x:c r="J10" s="7" t="str">
        <x:v>Interface active, brouillage puis extinction.</x:v>
      </x:c>
      <x:c r="K10" s="7" t="str">
        <x:v>Interprétation originale; sous-titres attribués au locuteur et aucune reprise des voix du jeu.</x:v>
      </x:c>
      <x:c r="L10" s="7" t="str">
        <x:v>Livrable proposé : spécification RED/npcs/act-broker; brancher au registre de contenu de l'œuvre seulement après production.</x:v>
      </x:c>
      <x:c r="M10" s="7" t="str">
        <x:v>Préserver l’absence active de Shepard, la relation Liara/Feron et le raccord vers ME2; les méthodes d’enquête ne changent pas le sort publié des protagonistes.</x:v>
      </x:c>
      <x:c r="N10" s="7" t="str">
        <x:v>Courtier de l’ombre — représentation distante possède une fiche de référence séparant rôle attesté, silhouette à contrôler et commandes proposées.</x:v>
      </x:c>
      <x:c r="O10" s="7" t="str"/>
      <x:c r="P10" s="7" t="str">
        <x:v>Mass Effect: Redemption, série concernée</x:v>
      </x:c>
      <x:c r="Q10" s="7" t="str">
        <x:v>RED-S-COMPLETE</x:v>
      </x:c>
      <x:c r="R10" s="21" t="str">
        <x:v>https://digital.darkhorse.com/books/7bcdbde713b746338287bb0d74350bac/mass-effect-the-complete-comics</x:v>
      </x:c>
      <x:c r="S10" s="21" t="str">
        <x:v>Le rôle dans la source ne prouve ni recrutement jouable ni disponibilité permanente.</x:v>
      </x:c>
    </x:row>
  </x:sheetData>
  <x:conditionalFormatting sqref="D7:D10">
    <x:cfRule type="cellIs" dxfId="4" priority="1" operator="equal">
      <x:formula>"À vérifier"</x:formula>
    </x:cfRule>
    <x:cfRule type="cellIs" dxfId="5" priority="2" operator="equal">
      <x:formula>"Extrapolation"</x:formula>
    </x:cfRule>
  </x:conditionalFormatting>
  <x:conditionalFormatting sqref="C7:C10">
    <x:cfRule type="cellIs" dxfId="6" priority="3" operator="equal">
      <x:formula>"Validé"</x:formula>
    </x:cfRule>
  </x:conditionalFormatting>
  <x:conditionalFormatting sqref="E7:E10">
    <x:cfRule type="cellIs" dxfId="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e1e09ae5a6054121"/>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2"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Redemption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54" customHeight="1">
      <x:c r="A7" s="18" t="str">
        <x:v>RED-REF-SCOPE</x:v>
      </x:c>
      <x:c r="B7" s="9" t="str">
        <x:v>Série en quatre numéros</x:v>
      </x:c>
      <x:c r="C7" s="15" t="str">
        <x:v>Défini</x:v>
      </x:c>
      <x:c r="D7" s="16" t="str">
        <x:v>Établi</x:v>
      </x:c>
      <x:c r="E7" s="16" t="str">
        <x:v>P0</x:v>
      </x:c>
      <x:c r="F7" s="9" t="str">
        <x:v>Redemption réunit quatre numéros autour de la recherche menée par Liara.</x:v>
      </x:c>
      <x:c r="G7" s="9" t="str">
        <x:v>Conserver cet ancrage dans les données éditoriales; les variantes de jeu restent dans un espace séparé.</x:v>
      </x:c>
      <x:c r="H7" s="9" t="str"/>
      <x:c r="I7" s="9" t="str"/>
      <x:c r="J7" s="9" t="str"/>
      <x:c r="K7" s="9" t="str"/>
      <x:c r="L7" s="9" t="str">
        <x:v>Livrable proposé : spécification RED/lore/ref-scope; brancher au registre de contenu de l'œuvre seulement après production.</x:v>
      </x:c>
      <x:c r="M7" s="9" t="str">
        <x:v>Vérifier toute précision non contenue dans cette notice avant de la déclarer canon.</x:v>
      </x:c>
      <x:c r="N7" s="9" t="str">
        <x:v>Le dossier cite la source BOOK et distingue cette information de toute règle de gameplay.</x:v>
      </x:c>
      <x:c r="O7" s="9" t="str"/>
      <x:c r="P7" s="9" t="str">
        <x:v>Mass Effect: Redemption, série concernée</x:v>
      </x:c>
      <x:c r="Q7" s="9" t="str">
        <x:v>RED-S-BOOK</x:v>
      </x:c>
      <x:c r="R7" s="20" t="str">
        <x:v>https://www.penguinrandomhouse.com/books/241684/mass-effect-volume-1-redemption-by-mac-walters-various-artists/</x:v>
      </x:c>
      <x:c r="S7" s="20" t="str">
        <x:v>Fait résumé brièvement; aucun dialogue ni découpage intégral du comic reproduit.</x:v>
      </x:c>
    </x:row>
    <x:row r="8" ht="54" customHeight="1">
      <x:c r="A8" s="19" t="str">
        <x:v>RED-REF-SHEPARD</x:v>
      </x:c>
      <x:c r="B8" s="7" t="str">
        <x:v>Shepard adaptable</x:v>
      </x:c>
      <x:c r="C8" s="15" t="str">
        <x:v>Défini</x:v>
      </x:c>
      <x:c r="D8" s="17" t="str">
        <x:v>Établi</x:v>
      </x:c>
      <x:c r="E8" s="17" t="str">
        <x:v>P0</x:v>
      </x:c>
      <x:c r="F8" s="7" t="str">
        <x:v>Le scénariste explique avoir préservé la compatibilité avec les décisions du joueur concernant Shepard.</x:v>
      </x:c>
      <x:c r="G8" s="7" t="str">
        <x:v>Importer les paramètres de Shepard uniquement pour mentions et portraits autorisés; ne pas imposer sexe, visage ou romance.</x:v>
      </x:c>
      <x:c r="H8" s="7" t="str"/>
      <x:c r="I8" s="7" t="str"/>
      <x:c r="J8" s="7" t="str"/>
      <x:c r="K8" s="7" t="str"/>
      <x:c r="L8" s="7" t="str">
        <x:v>Livrable proposé : spécification RED/lore/ref-shepard; brancher au registre de contenu de l'œuvre seulement après production.</x:v>
      </x:c>
      <x:c r="M8" s="7" t="str">
        <x:v>Vérifier toute précision non contenue dans cette notice avant de la déclarer canon.</x:v>
      </x:c>
      <x:c r="N8" s="7" t="str">
        <x:v>Le dossier cite la source AUTHOR1 et distingue cette information de toute règle de gameplay.</x:v>
      </x:c>
      <x:c r="O8" s="7" t="str"/>
      <x:c r="P8" s="7" t="str">
        <x:v>Notes de conception de Redemption #1</x:v>
      </x:c>
      <x:c r="Q8" s="7" t="str">
        <x:v>RED-S-AUTHOR1</x:v>
      </x:c>
      <x:c r="R8" s="21" t="str">
        <x:v>https://farawaypress.com/comics/masseffectredemption/masseffectredemption1/</x:v>
      </x:c>
      <x:c r="S8" s="21" t="str">
        <x:v>Fait résumé brièvement; aucun dialogue ni découpage intégral du comic reproduit.</x:v>
      </x:c>
    </x:row>
    <x:row r="9" ht="54" customHeight="1">
      <x:c r="A9" s="18" t="str">
        <x:v>RED-REF-FERON</x:v>
      </x:c>
      <x:c r="B9" s="9" t="str">
        <x:v>Duo de recherche</x:v>
      </x:c>
      <x:c r="C9" s="15" t="str">
        <x:v>Défini</x:v>
      </x:c>
      <x:c r="D9" s="16" t="str">
        <x:v>Établi</x:v>
      </x:c>
      <x:c r="E9" s="16" t="str">
        <x:v>P0</x:v>
      </x:c>
      <x:c r="F9" s="9" t="str">
        <x:v>Liara s’allie au drell Feron pour récupérer le corps de Shepard auprès du Courtier de l’ombre.</x:v>
      </x:c>
      <x:c r="G9" s="9" t="str">
        <x:v>Conserver cet ancrage dans les données éditoriales; les variantes de jeu restent dans un espace séparé.</x:v>
      </x:c>
      <x:c r="H9" s="9" t="str"/>
      <x:c r="I9" s="9" t="str"/>
      <x:c r="J9" s="9" t="str"/>
      <x:c r="K9" s="9" t="str"/>
      <x:c r="L9" s="9" t="str">
        <x:v>Livrable proposé : spécification RED/lore/ref-feron; brancher au registre de contenu de l'œuvre seulement après production.</x:v>
      </x:c>
      <x:c r="M9" s="9" t="str">
        <x:v>Vérifier toute précision non contenue dans cette notice avant de la déclarer canon.</x:v>
      </x:c>
      <x:c r="N9" s="9" t="str">
        <x:v>Le dossier cite la source COMPLETE et distingue cette information de toute règle de gameplay.</x:v>
      </x:c>
      <x:c r="O9" s="9" t="str"/>
      <x:c r="P9" s="9" t="str">
        <x:v>Mass Effect: Redemption, série concernée</x:v>
      </x:c>
      <x:c r="Q9" s="9" t="str">
        <x:v>RED-S-COMPLETE</x:v>
      </x:c>
      <x:c r="R9" s="20" t="str">
        <x:v>https://digital.darkhorse.com/books/7bcdbde713b746338287bb0d74350bac/mass-effect-the-complete-comics</x:v>
      </x:c>
      <x:c r="S9" s="20" t="str">
        <x:v>Fait résumé brièvement; aucun dialogue ni découpage intégral du comic reproduit.</x:v>
      </x:c>
    </x:row>
    <x:row r="10" ht="54" customHeight="1">
      <x:c r="A10" s="19" t="str">
        <x:v>RED-REF-BONUS</x:v>
      </x:c>
      <x:c r="B10" s="7" t="str">
        <x:v>Croquis du recueil</x:v>
      </x:c>
      <x:c r="C10" s="15" t="str">
        <x:v>Défini</x:v>
      </x:c>
      <x:c r="D10" s="17" t="str">
        <x:v>Établi</x:v>
      </x:c>
      <x:c r="E10" s="17" t="str">
        <x:v>P0</x:v>
      </x:c>
      <x:c r="F10" s="7" t="str">
        <x:v>La notice du recueil annonce des croquis et un complément de fabrication.</x:v>
      </x:c>
      <x:c r="G10" s="7" t="str">
        <x:v>Créer un inventaire de références à consulter, sans transformer les croquis en scènes coupées attestées.</x:v>
      </x:c>
      <x:c r="H10" s="7" t="str"/>
      <x:c r="I10" s="7" t="str"/>
      <x:c r="J10" s="7" t="str"/>
      <x:c r="K10" s="7" t="str"/>
      <x:c r="L10" s="7" t="str">
        <x:v>Livrable proposé : spécification RED/lore/ref-bonus; brancher au registre de contenu de l'œuvre seulement après production.</x:v>
      </x:c>
      <x:c r="M10" s="7" t="str">
        <x:v>Vérifier toute précision non contenue dans cette notice avant de la déclarer canon.</x:v>
      </x:c>
      <x:c r="N10" s="7" t="str">
        <x:v>Le dossier cite la source BOOK et distingue cette information de toute règle de gameplay.</x:v>
      </x:c>
      <x:c r="O10" s="7" t="str"/>
      <x:c r="P10" s="7" t="str">
        <x:v>Mass Effect: Redemption, série concernée</x:v>
      </x:c>
      <x:c r="Q10" s="7" t="str">
        <x:v>RED-S-BOOK</x:v>
      </x:c>
      <x:c r="R10" s="21" t="str">
        <x:v>https://www.penguinrandomhouse.com/books/241684/mass-effect-volume-1-redemption-by-mac-walters-various-artists/</x:v>
      </x:c>
      <x:c r="S10" s="21" t="str">
        <x:v>Fait résumé brièvement; aucun dialogue ni découpage intégral du comic reproduit.</x:v>
      </x:c>
    </x:row>
    <x:row r="11" ht="68" customHeight="1">
      <x:c r="A11" s="18" t="str">
        <x:v>RED-SC-CONTACT-REF</x:v>
      </x:c>
      <x:c r="B11" s="9" t="str">
        <x:v>Contact sur Omega</x:v>
      </x:c>
      <x:c r="C11" s="15" t="str">
        <x:v>Défini</x:v>
      </x:c>
      <x:c r="D11" s="16" t="str">
        <x:v>À vérifier</x:v>
      </x:c>
      <x:c r="E11" s="16" t="str">
        <x:v>P1</x:v>
      </x:c>
      <x:c r="F11" s="9" t="str">
        <x:v>Liara et Feron se rencontrent pendant la recherche. </x:v>
      </x:c>
      <x:c r="G11" s="9" t="str">
        <x:v>Ancrage du module; les intitulés de quêtes et options ci-dessous sont des créations de production.</x:v>
      </x:c>
      <x:c r="H11" s="9" t="str"/>
      <x:c r="I11" s="9" t="str"/>
      <x:c r="J11" s="9" t="str"/>
      <x:c r="K11" s="9" t="str"/>
      <x:c r="L11" s="9" t="str">
        <x:v>Livrable proposé : spécification RED/lore/sc-contact-ref; brancher au registre de contenu de l'œuvre seulement après production.</x:v>
      </x:c>
      <x:c r="M11" s="9" t="str">
        <x:v>Préserver l’absence active de Shepard, la relation Liara/Feron et le raccord vers ME2; les méthodes d’enquête ne changent pas le sort publié des protagonistes.</x:v>
      </x:c>
      <x:c r="N11" s="9" t="str">
        <x:v>L’ancrage reste bref et son numéro/segment est identifiable dans les sources; les détails non confirmés portent À vérifier.</x:v>
      </x:c>
      <x:c r="O11" s="9" t="str"/>
      <x:c r="P11" s="9" t="str">
        <x:v>Redemption #1–4, premier contact; pagination à contrôler</x:v>
      </x:c>
      <x:c r="Q11" s="9" t="str">
        <x:v>RED-S-FERON</x:v>
      </x:c>
      <x:c r="R11" s="20" t="str">
        <x:v>https://masseffect.fandom.com/wiki/Feron</x:v>
      </x:c>
      <x:c r="S11" s="20" t="str">
        <x:v>Ne remplace pas la lecture du numéro.</x:v>
      </x:c>
    </x:row>
    <x:row r="12" ht="68" customHeight="1">
      <x:c r="A12" s="19" t="str">
        <x:v>RED-SC-AFTERLIFE-REF</x:v>
      </x:c>
      <x:c r="B12" s="7" t="str">
        <x:v>Entretien à Afterlife</x:v>
      </x:c>
      <x:c r="C12" s="15" t="str">
        <x:v>Défini</x:v>
      </x:c>
      <x:c r="D12" s="17" t="str">
        <x:v>À vérifier</x:v>
      </x:c>
      <x:c r="E12" s="17" t="str">
        <x:v>P1</x:v>
      </x:c>
      <x:c r="F12" s="7" t="str">
        <x:v>Aria intervient dans la recherche du duo. </x:v>
      </x:c>
      <x:c r="G12" s="7" t="str">
        <x:v>Ancrage du module; les intitulés de quêtes et options ci-dessous sont des créations de production.</x:v>
      </x:c>
      <x:c r="H12" s="7" t="str"/>
      <x:c r="I12" s="7" t="str"/>
      <x:c r="J12" s="7" t="str"/>
      <x:c r="K12" s="7" t="str"/>
      <x:c r="L12" s="7" t="str">
        <x:v>Livrable proposé : spécification RED/lore/sc-afterlife-ref; brancher au registre de contenu de l'œuvre seulement après production.</x:v>
      </x:c>
      <x:c r="M12" s="7" t="str">
        <x:v>Préserver l’absence active de Shepard, la relation Liara/Feron et le raccord vers ME2; les méthodes d’enquête ne changent pas le sort publié des protagonistes.</x:v>
      </x:c>
      <x:c r="N12" s="7" t="str">
        <x:v>L’ancrage reste bref et son numéro/segment est identifiable dans les sources; les détails non confirmés portent À vérifier.</x:v>
      </x:c>
      <x:c r="O12" s="7" t="str"/>
      <x:c r="P12" s="7" t="str">
        <x:v>Redemption, recherche sur Omega</x:v>
      </x:c>
      <x:c r="Q12" s="7" t="str">
        <x:v>RED-S-FERON</x:v>
      </x:c>
      <x:c r="R12" s="21" t="str">
        <x:v>https://masseffect.fandom.com/wiki/Feron</x:v>
      </x:c>
      <x:c r="S12" s="21" t="str">
        <x:v>Ne remplace pas la lecture du numéro.</x:v>
      </x:c>
    </x:row>
    <x:row r="13" ht="68" customHeight="1">
      <x:c r="A13" s="18" t="str">
        <x:v>RED-SC-DOCKS-REF</x:v>
      </x:c>
      <x:c r="B13" s="9" t="str">
        <x:v>Docks et transfert</x:v>
      </x:c>
      <x:c r="C13" s="15" t="str">
        <x:v>Défini</x:v>
      </x:c>
      <x:c r="D13" s="16" t="str">
        <x:v>À vérifier</x:v>
      </x:c>
      <x:c r="E13" s="16" t="str">
        <x:v>P1</x:v>
      </x:c>
      <x:c r="F13" s="9" t="str">
        <x:v>Tazzik supervise le transport du corps de Shepard depuis Omega. </x:v>
      </x:c>
      <x:c r="G13" s="9" t="str">
        <x:v>Ancrage du module; les intitulés de quêtes et options ci-dessous sont des créations de production.</x:v>
      </x:c>
      <x:c r="H13" s="9" t="str"/>
      <x:c r="I13" s="9" t="str"/>
      <x:c r="J13" s="9" t="str"/>
      <x:c r="K13" s="9" t="str"/>
      <x:c r="L13" s="9" t="str">
        <x:v>Livrable proposé : spécification RED/lore/sc-docks-ref; brancher au registre de contenu de l'œuvre seulement après production.</x:v>
      </x:c>
      <x:c r="M13" s="9" t="str">
        <x:v>Préserver l’absence active de Shepard, la relation Liara/Feron et le raccord vers ME2; les méthodes d’enquête ne changent pas le sort publié des protagonistes.</x:v>
      </x:c>
      <x:c r="N13" s="9" t="str">
        <x:v>L’ancrage reste bref et son numéro/segment est identifiable dans les sources; les détails non confirmés portent À vérifier.</x:v>
      </x:c>
      <x:c r="O13" s="9" t="str"/>
      <x:c r="P13" s="9" t="str">
        <x:v>Redemption, transfert sur Omega; numéro à contrôler</x:v>
      </x:c>
      <x:c r="Q13" s="9" t="str">
        <x:v>RED-S-TAZZIK</x:v>
      </x:c>
      <x:c r="R13" s="20" t="str">
        <x:v>https://masseffect.fandom.com/wiki/Tazzik</x:v>
      </x:c>
      <x:c r="S13" s="20" t="str">
        <x:v>Ne remplace pas la lecture du numéro.</x:v>
      </x:c>
    </x:row>
    <x:row r="14" ht="68" customHeight="1">
      <x:c r="A14" s="19" t="str">
        <x:v>RED-SC-PURSUIT-REF</x:v>
      </x:c>
      <x:c r="B14" s="7" t="str">
        <x:v>Rejoindre la base</x:v>
      </x:c>
      <x:c r="C14" s="15" t="str">
        <x:v>Défini</x:v>
      </x:c>
      <x:c r="D14" s="17" t="str">
        <x:v>Établi</x:v>
      </x:c>
      <x:c r="E14" s="17" t="str">
        <x:v>P1</x:v>
      </x:c>
      <x:c r="F14" s="7" t="str">
        <x:v>La poursuite du troisième numéro conduit le duo vers la base du Courtier. </x:v>
      </x:c>
      <x:c r="G14" s="7" t="str">
        <x:v>Ancrage du module; les intitulés de quêtes et options ci-dessous sont des créations de production.</x:v>
      </x:c>
      <x:c r="H14" s="7" t="str"/>
      <x:c r="I14" s="7" t="str"/>
      <x:c r="J14" s="7" t="str"/>
      <x:c r="K14" s="7" t="str"/>
      <x:c r="L14" s="7" t="str">
        <x:v>Livrable proposé : spécification RED/lore/sc-pursuit-ref; brancher au registre de contenu de l'œuvre seulement après production.</x:v>
      </x:c>
      <x:c r="M14" s="7" t="str">
        <x:v>Préserver l’absence active de Shepard, la relation Liara/Feron et le raccord vers ME2; les méthodes d’enquête ne changent pas le sort publié des protagonistes.</x:v>
      </x:c>
      <x:c r="N14" s="7" t="str">
        <x:v>L’ancrage reste bref et son numéro/segment est identifiable dans les sources; les détails non confirmés portent À vérifier.</x:v>
      </x:c>
      <x:c r="O14" s="7" t="str"/>
      <x:c r="P14" s="7" t="str">
        <x:v>Redemption #3</x:v>
      </x:c>
      <x:c r="Q14" s="7" t="str">
        <x:v>RED-S-AUTHOR3</x:v>
      </x:c>
      <x:c r="R14" s="21" t="str">
        <x:v>https://farawaypress.com/comics/masseffectredemption/masseffectredemption3/</x:v>
      </x:c>
      <x:c r="S14" s="21" t="str">
        <x:v>Ne remplace pas la lecture du numéro.</x:v>
      </x:c>
    </x:row>
    <x:row r="15" ht="68" customHeight="1">
      <x:c r="A15" s="18" t="str">
        <x:v>RED-SC-ACCESS-REF</x:v>
      </x:c>
      <x:c r="B15" s="9" t="str">
        <x:v>Identité et accès compartimentés</x:v>
      </x:c>
      <x:c r="C15" s="15" t="str">
        <x:v>Défini</x:v>
      </x:c>
      <x:c r="D15" s="16" t="str">
        <x:v>Établi</x:v>
      </x:c>
      <x:c r="E15" s="16" t="str">
        <x:v>P1</x:v>
      </x:c>
      <x:c r="F15" s="9" t="str">
        <x:v>L’auteur relie le cloisonnement de la base aux possibilités d’action de Feron. </x:v>
      </x:c>
      <x:c r="G15" s="9" t="str">
        <x:v>Ancrage du module; les intitulés de quêtes et options ci-dessous sont des créations de production.</x:v>
      </x:c>
      <x:c r="H15" s="9" t="str"/>
      <x:c r="I15" s="9" t="str"/>
      <x:c r="J15" s="9" t="str"/>
      <x:c r="K15" s="9" t="str"/>
      <x:c r="L15" s="9" t="str">
        <x:v>Livrable proposé : spécification RED/lore/sc-access-ref; brancher au registre de contenu de l'œuvre seulement après production.</x:v>
      </x:c>
      <x:c r="M15" s="9" t="str">
        <x:v>Préserver l’absence active de Shepard, la relation Liara/Feron et le raccord vers ME2; les méthodes d’enquête ne changent pas le sort publié des protagonistes.</x:v>
      </x:c>
      <x:c r="N15" s="9" t="str">
        <x:v>L’ancrage reste bref et son numéro/segment est identifiable dans les sources; les détails non confirmés portent À vérifier.</x:v>
      </x:c>
      <x:c r="O15" s="9" t="str"/>
      <x:c r="P15" s="9" t="str">
        <x:v>Redemption #3</x:v>
      </x:c>
      <x:c r="Q15" s="9" t="str">
        <x:v>RED-S-AUTHOR3</x:v>
      </x:c>
      <x:c r="R15" s="20" t="str">
        <x:v>https://farawaypress.com/comics/masseffectredemption/masseffectredemption3/</x:v>
      </x:c>
      <x:c r="S15" s="20" t="str">
        <x:v>Ne remplace pas la lecture du numéro.</x:v>
      </x:c>
    </x:row>
    <x:row r="16" ht="68" customHeight="1">
      <x:c r="A16" s="19" t="str">
        <x:v>RED-SC-RECOVER-REF</x:v>
      </x:c>
      <x:c r="B16" s="7" t="str">
        <x:v>Récupération et séparation</x:v>
      </x:c>
      <x:c r="C16" s="15" t="str">
        <x:v>Défini</x:v>
      </x:c>
      <x:c r="D16" s="17" t="str">
        <x:v>Établi</x:v>
      </x:c>
      <x:c r="E16" s="17" t="str">
        <x:v>P1</x:v>
      </x:c>
      <x:c r="F16" s="7" t="str">
        <x:v>Le dernier numéro révèle le jeu multiple de Feron. </x:v>
      </x:c>
      <x:c r="G16" s="7" t="str">
        <x:v>Ancrage du module; les intitulés de quêtes et options ci-dessous sont des créations de production.</x:v>
      </x:c>
      <x:c r="H16" s="7" t="str"/>
      <x:c r="I16" s="7" t="str"/>
      <x:c r="J16" s="7" t="str"/>
      <x:c r="K16" s="7" t="str"/>
      <x:c r="L16" s="7" t="str">
        <x:v>Livrable proposé : spécification RED/lore/sc-recover-ref; brancher au registre de contenu de l'œuvre seulement après production.</x:v>
      </x:c>
      <x:c r="M16" s="7" t="str">
        <x:v>Préserver l’absence active de Shepard, la relation Liara/Feron et le raccord vers ME2; les méthodes d’enquête ne changent pas le sort publié des protagonistes.</x:v>
      </x:c>
      <x:c r="N16" s="7" t="str">
        <x:v>L’ancrage reste bref et son numéro/segment est identifiable dans les sources; les détails non confirmés portent À vérifier.</x:v>
      </x:c>
      <x:c r="O16" s="7" t="str"/>
      <x:c r="P16" s="7" t="str">
        <x:v>Redemption #4</x:v>
      </x:c>
      <x:c r="Q16" s="7" t="str">
        <x:v>RED-S-AUTHOR4</x:v>
      </x:c>
      <x:c r="R16" s="21" t="str">
        <x:v>https://farawaypress.com/comics/masseffectredemption/masseffectredemption4/</x:v>
      </x:c>
      <x:c r="S16" s="21" t="str">
        <x:v>Ne remplace pas la lecture du numéro.</x:v>
      </x:c>
    </x:row>
  </x:sheetData>
  <x:conditionalFormatting sqref="D7:D16">
    <x:cfRule type="cellIs" dxfId="8" priority="1" operator="equal">
      <x:formula>"À vérifier"</x:formula>
    </x:cfRule>
    <x:cfRule type="cellIs" dxfId="9" priority="2" operator="equal">
      <x:formula>"Extrapolation"</x:formula>
    </x:cfRule>
  </x:conditionalFormatting>
  <x:conditionalFormatting sqref="C7:C16">
    <x:cfRule type="cellIs" dxfId="10" priority="3" operator="equal">
      <x:formula>"Validé"</x:formula>
    </x:cfRule>
  </x:conditionalFormatting>
  <x:conditionalFormatting sqref="E7:E16">
    <x:cfRule type="cellIs" dxfId="1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0a175d9b68c94e03"/>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04"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Redemption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RED-WRL-OMEGA</x:v>
      </x:c>
      <x:c r="B7" s="9" t="str">
        <x:v>Omega</x:v>
      </x:c>
      <x:c r="C7" s="15" t="str">
        <x:v>Défini</x:v>
      </x:c>
      <x:c r="D7" s="16" t="str">
        <x:v>Établi</x:v>
      </x:c>
      <x:c r="E7" s="16" t="str">
        <x:v>P1</x:v>
      </x:c>
      <x:c r="F7" s="9" t="str">
        <x:v>La recherche de Liara traverse Omega.</x:v>
      </x:c>
      <x:c r="G7" s="9" t="str">
        <x:v>Hub de pistes sous tension.</x:v>
      </x:c>
      <x:c r="H7" s="9" t="str"/>
      <x:c r="I7" s="9" t="str">
        <x:v>Métal usé, lumière orange latérale et profondeur industrielle; sol clair sous les sprites.</x:v>
      </x:c>
      <x:c r="J7" s="9" t="str"/>
      <x:c r="K7" s="9" t="str"/>
      <x:c r="L7" s="9" t="str">
        <x:v>Livrable proposé : spécification RED/worlds/wrl-omega; brancher au registre de contenu de l'œuvre seulement après production.</x:v>
      </x:c>
      <x:c r="M7" s="9" t="str">
        <x:v>Préserver l’absence active de Shepard, la relation Liara/Feron et le raccord vers ME2; les méthodes d’enquête ne changent pas le sort publié des protagonistes.</x:v>
      </x:c>
      <x:c r="N7" s="9" t="str">
        <x:v>Le nom Omega et sa fonction sont sourcés; les dimensions, chemins et interactions restent explicitement proposés.</x:v>
      </x:c>
      <x:c r="O7" s="9" t="str"/>
      <x:c r="P7" s="9" t="str">
        <x:v>Mass Effect: Redemption, série concernée</x:v>
      </x:c>
      <x:c r="Q7" s="9" t="str">
        <x:v>RED-S-AUTHOR2</x:v>
      </x:c>
      <x:c r="R7" s="20" t="str">
        <x:v>https://farawaypress.com/comics/masseffectredemption/masseffectredemption2/</x:v>
      </x:c>
      <x:c r="S7" s="20" t="str">
        <x:v>La géométrie jouable ci-dessous est originale et ne prétend pas reconstituer une carte officielle.</x:v>
      </x:c>
    </x:row>
    <x:row r="8" ht="68" customHeight="1">
      <x:c r="A8" s="19" t="str">
        <x:v>RED-WRL-ALINGON</x:v>
      </x:c>
      <x:c r="B8" s="7" t="str">
        <x:v>Alingon / Alignon — graphie à contrôler</x:v>
      </x:c>
      <x:c r="C8" s="15" t="str">
        <x:v>Défini</x:v>
      </x:c>
      <x:c r="D8" s="17" t="str">
        <x:v>Établi</x:v>
      </x:c>
      <x:c r="E8" s="17" t="str">
        <x:v>P1</x:v>
      </x:c>
      <x:c r="F8" s="7" t="str">
        <x:v>Le troisième numéro rejoint une base du Courtier sur un monde perturbant les communications.</x:v>
      </x:c>
      <x:c r="G8" s="7" t="str">
        <x:v>Faire sentir l’isolement informationnel.</x:v>
      </x:c>
      <x:c r="H8" s="7" t="str"/>
      <x:c r="I8" s="7" t="str">
        <x:v>Roche sombre, métal mat et arcs lumineux très discrets; brouillage en bord de cadre.</x:v>
      </x:c>
      <x:c r="J8" s="7" t="str"/>
      <x:c r="K8" s="7" t="str"/>
      <x:c r="L8" s="7" t="str">
        <x:v>Livrable proposé : spécification RED/worlds/wrl-alingon; brancher au registre de contenu de l'œuvre seulement après production.</x:v>
      </x:c>
      <x:c r="M8" s="7" t="str">
        <x:v>Préserver l’absence active de Shepard, la relation Liara/Feron et le raccord vers ME2; les méthodes d’enquête ne changent pas le sort publié des protagonistes.</x:v>
      </x:c>
      <x:c r="N8" s="7" t="str">
        <x:v>Le nom Alingon / Alignon — graphie à contrôler et sa fonction sont sourcés; les dimensions, chemins et interactions restent explicitement proposés.</x:v>
      </x:c>
      <x:c r="O8" s="7" t="str"/>
      <x:c r="P8" s="7" t="str">
        <x:v>Mass Effect: Redemption, série concernée</x:v>
      </x:c>
      <x:c r="Q8" s="7" t="str">
        <x:v>RED-S-AUTHOR3</x:v>
      </x:c>
      <x:c r="R8" s="21" t="str">
        <x:v>https://farawaypress.com/comics/masseffectredemption/masseffectredemption3/</x:v>
      </x:c>
      <x:c r="S8" s="21" t="str">
        <x:v>Faraway Press écrit Alignon; Fandom écrit Alingon. Les deux graphies sont conservées ici uniquement pour contrôle.</x:v>
      </x:c>
    </x:row>
    <x:row r="9" ht="68" customHeight="1">
      <x:c r="A9" s="18" t="str">
        <x:v>RED-WRL-SPACE</x:v>
      </x:c>
      <x:c r="B9" s="9" t="str">
        <x:v>Poursuite dans l’espace</x:v>
      </x:c>
      <x:c r="C9" s="15" t="str">
        <x:v>Défini</x:v>
      </x:c>
      <x:c r="D9" s="16" t="str">
        <x:v>Établi</x:v>
      </x:c>
      <x:c r="E9" s="16" t="str">
        <x:v>P1</x:v>
      </x:c>
      <x:c r="F9" s="9" t="str">
        <x:v>Le troisième numéro quitte Omega pour une poursuite spatiale.</x:v>
      </x:c>
      <x:c r="G9" s="9" t="str">
        <x:v>Intermède de navigation lisible, distinct d’un mode de vol complet.</x:v>
      </x:c>
      <x:c r="H9" s="9" t="str"/>
      <x:c r="I9" s="9" t="str">
        <x:v>Astéroïdes mats et contraste faible du ciel; vaisseau du duo traité en sprite orientable.</x:v>
      </x:c>
      <x:c r="J9" s="9" t="str"/>
      <x:c r="K9" s="9" t="str"/>
      <x:c r="L9" s="9" t="str">
        <x:v>Livrable proposé : spécification RED/worlds/wrl-space; brancher au registre de contenu de l'œuvre seulement après production.</x:v>
      </x:c>
      <x:c r="M9" s="9" t="str">
        <x:v>Préserver l’absence active de Shepard, la relation Liara/Feron et le raccord vers ME2; les méthodes d’enquête ne changent pas le sort publié des protagonistes.</x:v>
      </x:c>
      <x:c r="N9" s="9" t="str">
        <x:v>Le nom Poursuite dans l’espace et sa fonction sont sourcés; les dimensions, chemins et interactions restent explicitement proposés.</x:v>
      </x:c>
      <x:c r="O9" s="9" t="str"/>
      <x:c r="P9" s="9" t="str">
        <x:v>Mass Effect: Redemption, série concernée</x:v>
      </x:c>
      <x:c r="Q9" s="9" t="str">
        <x:v>RED-S-AUTHOR3</x:v>
      </x:c>
      <x:c r="R9" s="20" t="str">
        <x:v>https://farawaypress.com/comics/masseffectredemption/masseffectredemption3/</x:v>
      </x:c>
      <x:c r="S9" s="20" t="str">
        <x:v>La géométrie jouable ci-dessous est originale et ne prétend pas reconstituer une carte officielle.</x:v>
      </x:c>
    </x:row>
  </x:sheetData>
  <x:conditionalFormatting sqref="D7:D9">
    <x:cfRule type="cellIs" dxfId="12" priority="1" operator="equal">
      <x:formula>"À vérifier"</x:formula>
    </x:cfRule>
    <x:cfRule type="cellIs" dxfId="13" priority="2" operator="equal">
      <x:formula>"Extrapolation"</x:formula>
    </x:cfRule>
  </x:conditionalFormatting>
  <x:conditionalFormatting sqref="C7:C9">
    <x:cfRule type="cellIs" dxfId="14" priority="3" operator="equal">
      <x:formula>"Validé"</x:formula>
    </x:cfRule>
  </x:conditionalFormatting>
  <x:conditionalFormatting sqref="E7:E9">
    <x:cfRule type="cellIs" dxfId="1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8e3dcbaaf1bc40d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Redemption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RED-ZONE-OMEGA</x:v>
      </x:c>
      <x:c r="B7" s="9" t="str">
        <x:v>Omega — espace jouable proposé</x:v>
      </x:c>
      <x:c r="C7" s="15" t="str">
        <x:v>Défini</x:v>
      </x:c>
      <x:c r="D7" s="16" t="str">
        <x:v>Extrapolation</x:v>
      </x:c>
      <x:c r="E7" s="16" t="str">
        <x:v>P1</x:v>
      </x:c>
      <x:c r="F7" s="9" t="str">
        <x:v>Boucle courte entre alcôve de contact, passage marchand et accès industriel.</x:v>
      </x:c>
      <x:c r="G7" s="9" t="str">
        <x:v>Hub de pistes sous tension.</x:v>
      </x:c>
      <x:c r="H7" s="9" t="str">
        <x:v>Contrôles de passage évitables par préparation; aucune foule décorative agressive par défaut.</x:v>
      </x:c>
      <x:c r="I7" s="9" t="str">
        <x:v>Métal usé, lumière orange latérale et profondeur industrielle; sol clair sous les sprites.</x:v>
      </x:c>
      <x:c r="J7" s="9" t="str">
        <x:v>Garder les trajectoires de sprites sur le sol navigable; traversées de premier plan traitées par masques.</x:v>
      </x:c>
      <x:c r="K7" s="9" t="str"/>
      <x:c r="L7" s="9" t="str">
        <x:v>Scène 3D prévue red/zones/omega; volumes de navigation, ancrages d'actions et caméras fixes séparés.</x:v>
      </x:c>
      <x:c r="M7" s="9" t="str">
        <x:v>Préserver l’absence active de Shepard, la relation Liara/Feron et le raccord vers ME2; les méthodes d’enquête ne changent pas le sort publié des protagonistes.</x:v>
      </x:c>
      <x:c r="N7" s="9" t="str">
        <x:v>Le blocage de Omega permet un parcours aller-retour sans caméra aveugle; chaque danger annoncé possède une sortie lisible.</x:v>
      </x:c>
      <x:c r="O7" s="9" t="str">
        <x:v>RED-WRL-OMEGA</x:v>
      </x:c>
      <x:c r="P7" s="9" t="str">
        <x:v>Plan original, dimensions à prototyper.</x:v>
      </x:c>
      <x:c r="Q7" s="9" t="str"/>
      <x:c r="R7" s="20" t="str"/>
      <x:c r="S7" s="20" t="str"/>
    </x:row>
    <x:row r="8" ht="68" customHeight="1">
      <x:c r="A8" s="19" t="str">
        <x:v>RED-ZONE-ALINGON</x:v>
      </x:c>
      <x:c r="B8" s="7" t="str">
        <x:v>Alingon / Alignon — graphie à contrôler — espace jouable proposé</x:v>
      </x:c>
      <x:c r="C8" s="15" t="str">
        <x:v>Défini</x:v>
      </x:c>
      <x:c r="D8" s="17" t="str">
        <x:v>Extrapolation</x:v>
      </x:c>
      <x:c r="E8" s="17" t="str">
        <x:v>P1</x:v>
      </x:c>
      <x:c r="F8" s="7" t="str">
        <x:v>Approche extérieure, sas et espace de relais compartimenté; couloirs courts lisibles.</x:v>
      </x:c>
      <x:c r="G8" s="7" t="str">
        <x:v>Faire sentir l’isolement informationnel.</x:v>
      </x:c>
      <x:c r="H8" s="7" t="str">
        <x:v>Une interface ne reçoit un ordre qu’au relais local; le silence radio reste expliqué.</x:v>
      </x:c>
      <x:c r="I8" s="7" t="str">
        <x:v>Roche sombre, métal mat et arcs lumineux très discrets; brouillage en bord de cadre.</x:v>
      </x:c>
      <x:c r="J8" s="7" t="str">
        <x:v>Garder les trajectoires de sprites sur le sol navigable; traversées de premier plan traitées par masques.</x:v>
      </x:c>
      <x:c r="K8" s="7" t="str"/>
      <x:c r="L8" s="7" t="str">
        <x:v>Scène 3D prévue red/zones/alingon; volumes de navigation, ancrages d'actions et caméras fixes séparés.</x:v>
      </x:c>
      <x:c r="M8" s="7" t="str">
        <x:v>Préserver l’absence active de Shepard, la relation Liara/Feron et le raccord vers ME2; les méthodes d’enquête ne changent pas le sort publié des protagonistes.</x:v>
      </x:c>
      <x:c r="N8" s="7" t="str">
        <x:v>Le blocage de Alingon / Alignon — graphie à contrôler permet un parcours aller-retour sans caméra aveugle; chaque danger annoncé possède une sortie lisible.</x:v>
      </x:c>
      <x:c r="O8" s="7" t="str">
        <x:v>RED-WRL-ALINGON</x:v>
      </x:c>
      <x:c r="P8" s="7" t="str">
        <x:v>Plan original, dimensions à prototyper.</x:v>
      </x:c>
      <x:c r="Q8" s="7" t="str"/>
      <x:c r="R8" s="21" t="str"/>
      <x:c r="S8" s="21" t="str"/>
    </x:row>
    <x:row r="9" ht="68" customHeight="1">
      <x:c r="A9" s="18" t="str">
        <x:v>RED-ZONE-SPACE</x:v>
      </x:c>
      <x:c r="B9" s="9" t="str">
        <x:v>Poursuite dans l’espace — espace jouable proposé</x:v>
      </x:c>
      <x:c r="C9" s="15" t="str">
        <x:v>Défini</x:v>
      </x:c>
      <x:c r="D9" s="16" t="str">
        <x:v>Extrapolation</x:v>
      </x:c>
      <x:c r="E9" s="16" t="str">
        <x:v>P1</x:v>
      </x:c>
      <x:c r="F9" s="9" t="str">
        <x:v>Rail visuel à embranchements courts avec fenêtre de manœuvre et écran de cap.</x:v>
      </x:c>
      <x:c r="G9" s="9" t="str">
        <x:v>Intermède de navigation lisible, distinct d’un mode de vol complet.</x:v>
      </x:c>
      <x:c r="H9" s="9" t="str">
        <x:v>Choisir une trajectoire avant la fermeture de sa fenêtre; pause et vitesse lente proposées.</x:v>
      </x:c>
      <x:c r="I9" s="9" t="str">
        <x:v>Astéroïdes mats et contraste faible du ciel; vaisseau du duo traité en sprite orientable.</x:v>
      </x:c>
      <x:c r="J9" s="9" t="str">
        <x:v>Garder les trajectoires de sprites sur le sol navigable; traversées de premier plan traitées par masques.</x:v>
      </x:c>
      <x:c r="K9" s="9" t="str"/>
      <x:c r="L9" s="9" t="str">
        <x:v>Scène 3D prévue red/zones/space; volumes de navigation, ancrages d'actions et caméras fixes séparés.</x:v>
      </x:c>
      <x:c r="M9" s="9" t="str">
        <x:v>Préserver l’absence active de Shepard, la relation Liara/Feron et le raccord vers ME2; les méthodes d’enquête ne changent pas le sort publié des protagonistes.</x:v>
      </x:c>
      <x:c r="N9" s="9" t="str">
        <x:v>Le blocage de Poursuite dans l’espace permet un parcours aller-retour sans caméra aveugle; chaque danger annoncé possède une sortie lisible.</x:v>
      </x:c>
      <x:c r="O9" s="9" t="str">
        <x:v>RED-WRL-SPACE</x:v>
      </x:c>
      <x:c r="P9" s="9" t="str">
        <x:v>Plan original, dimensions à prototyper.</x:v>
      </x:c>
      <x:c r="Q9" s="9" t="str"/>
      <x:c r="R9" s="20" t="str"/>
      <x:c r="S9" s="20" t="str"/>
    </x:row>
  </x:sheetData>
  <x:conditionalFormatting sqref="D7:D9">
    <x:cfRule type="cellIs" dxfId="16" priority="1" operator="equal">
      <x:formula>"À vérifier"</x:formula>
    </x:cfRule>
    <x:cfRule type="cellIs" dxfId="17" priority="2" operator="equal">
      <x:formula>"Extrapolation"</x:formula>
    </x:cfRule>
  </x:conditionalFormatting>
  <x:conditionalFormatting sqref="C7:C9">
    <x:cfRule type="cellIs" dxfId="18" priority="3" operator="equal">
      <x:formula>"Validé"</x:formula>
    </x:cfRule>
  </x:conditionalFormatting>
  <x:conditionalFormatting sqref="E7:E9">
    <x:cfRule type="cellIs" dxfId="19"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cf57c1e559d84471"/>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Redemption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RED-LINK-OMEGA</x:v>
      </x:c>
      <x:c r="B7" s="9" t="str">
        <x:v>Omega — accès et sortie</x:v>
      </x:c>
      <x:c r="C7" s="15" t="str">
        <x:v>Défini</x:v>
      </x:c>
      <x:c r="D7" s="16" t="str">
        <x:v>Extrapolation</x:v>
      </x:c>
      <x:c r="E7" s="16" t="str">
        <x:v>P1</x:v>
      </x:c>
      <x:c r="F7" s="9" t="str">
        <x:v>Raccords internes originaux entre contact, entretien et docks; pas de carte officielle revendiquée.</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RED/OMEGA; sauvegarder zone, point d'entrée et version de chapitre.</x:v>
      </x:c>
      <x:c r="M7" s="9" t="str">
        <x:v>Préserver l’absence active de Shepard, la relation Liara/Feron et le raccord vers ME2; les méthodes d’enquête ne changent pas le sort publié des protagonistes.</x:v>
      </x:c>
      <x:c r="N7" s="9" t="str">
        <x:v>Entrer, ressortir et recharger au seuil restitue le même état du chapitre; aucun accès ne court-circuite sa conclusion fixée.</x:v>
      </x:c>
      <x:c r="O7" s="9" t="str">
        <x:v>RED-ZONE-OMEGA</x:v>
      </x:c>
      <x:c r="P7" s="9" t="str">
        <x:v>Raccord de gameplay original; ordre narratif selon les ancrages sourcés.</x:v>
      </x:c>
      <x:c r="Q7" s="9" t="str"/>
      <x:c r="R7" s="20" t="str"/>
      <x:c r="S7" s="20" t="str"/>
    </x:row>
    <x:row r="8" ht="68" customHeight="1">
      <x:c r="A8" s="19" t="str">
        <x:v>RED-LINK-ALINGON</x:v>
      </x:c>
      <x:c r="B8" s="7" t="str">
        <x:v>Alingon / Alignon — graphie à contrôler — accès et sortie</x:v>
      </x:c>
      <x:c r="C8" s="15" t="str">
        <x:v>Défini</x:v>
      </x:c>
      <x:c r="D8" s="17" t="str">
        <x:v>Extrapolation</x:v>
      </x:c>
      <x:c r="E8" s="17" t="str">
        <x:v>P1</x:v>
      </x:c>
      <x:c r="F8" s="7" t="str">
        <x:v>Passage spatial vers la base puis sortie vers hangar; chaque raccord coupe la communication non autorisée.</x:v>
      </x:c>
      <x:c r="G8" s="7" t="str">
        <x:v>Conserver les raccords nécessaires au parcours sans inventer une route galactique officielle.</x:v>
      </x:c>
      <x:c r="H8" s="7" t="str">
        <x:v>Prévisualiser la destination; déclenchement sur confirmation hors combat; conserver objectifs et objets de mission au retour.</x:v>
      </x:c>
      <x:c r="I8" s="7" t="str">
        <x:v>Marquage de direction doublé d’un nom de destination; pas de code fondé sur une seule couleur.</x:v>
      </x:c>
      <x:c r="J8" s="7" t="str"/>
      <x:c r="K8" s="7" t="str"/>
      <x:c r="L8" s="7" t="str">
        <x:v>Liaison proposée RED/ALINGON; sauvegarder zone, point d'entrée et version de chapitre.</x:v>
      </x:c>
      <x:c r="M8" s="7" t="str">
        <x:v>Préserver l’absence active de Shepard, la relation Liara/Feron et le raccord vers ME2; les méthodes d’enquête ne changent pas le sort publié des protagonistes.</x:v>
      </x:c>
      <x:c r="N8" s="7" t="str">
        <x:v>Entrer, ressortir et recharger au seuil restitue le même état du chapitre; aucun accès ne court-circuite sa conclusion fixée.</x:v>
      </x:c>
      <x:c r="O8" s="7" t="str">
        <x:v>RED-ZONE-ALINGON</x:v>
      </x:c>
      <x:c r="P8" s="7" t="str">
        <x:v>Raccord de gameplay original; ordre narratif selon les ancrages sourcés.</x:v>
      </x:c>
      <x:c r="Q8" s="7" t="str"/>
      <x:c r="R8" s="21" t="str"/>
      <x:c r="S8" s="21" t="str"/>
    </x:row>
    <x:row r="9" ht="68" customHeight="1">
      <x:c r="A9" s="18" t="str">
        <x:v>RED-LINK-SPACE</x:v>
      </x:c>
      <x:c r="B9" s="9" t="str">
        <x:v>Poursuite dans l’espace — accès et sortie</x:v>
      </x:c>
      <x:c r="C9" s="15" t="str">
        <x:v>Défini</x:v>
      </x:c>
      <x:c r="D9" s="16" t="str">
        <x:v>Extrapolation</x:v>
      </x:c>
      <x:c r="E9" s="16" t="str">
        <x:v>P1</x:v>
      </x:c>
      <x:c r="F9" s="9" t="str">
        <x:v>Départ d’Omega, poursuite puis arrivée à la base; parcours tactique original.</x:v>
      </x:c>
      <x:c r="G9" s="9" t="str">
        <x:v>Conserver les raccords nécessaires au parcours sans inventer une route galactique officielle.</x:v>
      </x:c>
      <x:c r="H9" s="9" t="str">
        <x:v>Prévisualiser la destination; déclenchement sur confirmation hors combat; conserver objectifs et objets de mission au retour.</x:v>
      </x:c>
      <x:c r="I9" s="9" t="str">
        <x:v>Marquage de direction doublé d’un nom de destination; pas de code fondé sur une seule couleur.</x:v>
      </x:c>
      <x:c r="J9" s="9" t="str"/>
      <x:c r="K9" s="9" t="str"/>
      <x:c r="L9" s="9" t="str">
        <x:v>Liaison proposée RED/SPACE; sauvegarder zone, point d'entrée et version de chapitre.</x:v>
      </x:c>
      <x:c r="M9" s="9" t="str">
        <x:v>Préserver l’absence active de Shepard, la relation Liara/Feron et le raccord vers ME2; les méthodes d’enquête ne changent pas le sort publié des protagonistes.</x:v>
      </x:c>
      <x:c r="N9" s="9" t="str">
        <x:v>Entrer, ressortir et recharger au seuil restitue le même état du chapitre; aucun accès ne court-circuite sa conclusion fixée.</x:v>
      </x:c>
      <x:c r="O9" s="9" t="str">
        <x:v>RED-ZONE-SPACE</x:v>
      </x:c>
      <x:c r="P9" s="9" t="str">
        <x:v>Raccord de gameplay original; ordre narratif selon les ancrages sourcés.</x:v>
      </x:c>
      <x:c r="Q9" s="9" t="str"/>
      <x:c r="R9" s="20" t="str"/>
      <x:c r="S9" s="20" t="str"/>
    </x:row>
  </x:sheetData>
  <x:conditionalFormatting sqref="D7:D9">
    <x:cfRule type="cellIs" dxfId="20" priority="1" operator="equal">
      <x:formula>"À vérifier"</x:formula>
    </x:cfRule>
    <x:cfRule type="cellIs" dxfId="21" priority="2" operator="equal">
      <x:formula>"Extrapolation"</x:formula>
    </x:cfRule>
  </x:conditionalFormatting>
  <x:conditionalFormatting sqref="C7:C9">
    <x:cfRule type="cellIs" dxfId="22" priority="3" operator="equal">
      <x:formula>"Validé"</x:formula>
    </x:cfRule>
  </x:conditionalFormatting>
  <x:conditionalFormatting sqref="E7:E9">
    <x:cfRule type="cellIs" dxfId="2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caa7490fc681444d"/>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Redemption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RED-SET-OMEGA</x:v>
      </x:c>
      <x:c r="B7" s="9" t="str">
        <x:v>Omega — décor et repère</x:v>
      </x:c>
      <x:c r="C7" s="15" t="str">
        <x:v>Défini</x:v>
      </x:c>
      <x:c r="D7" s="16" t="str">
        <x:v>Extrapolation</x:v>
      </x:c>
      <x:c r="E7" s="16" t="str">
        <x:v>P1</x:v>
      </x:c>
      <x:c r="F7" s="9" t="str">
        <x:v>Une ouverture vers les niveaux inférieurs sert de repère vertical.</x:v>
      </x:c>
      <x:c r="G7" s="9" t="str">
        <x:v>Hub de pistes sous tension.</x:v>
      </x:c>
      <x:c r="H7" s="9" t="str"/>
      <x:c r="I7" s="9" t="str">
        <x:v>Métal usé, lumière orange latérale et profondeur industrielle; sol clair sous les sprites.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red/sets/omega; collisions simples et matériau de repère distinct.</x:v>
      </x:c>
      <x:c r="M7" s="9" t="str">
        <x:v>Préserver l’absence active de Shepard, la relation Liara/Feron et le raccord vers ME2; les méthodes d’enquête ne changent pas le sort publié des protagonistes.</x:v>
      </x:c>
      <x:c r="N7" s="9" t="str">
        <x:v>Le repère décrit reste visible depuis l'entrée et depuis le retour; aucune décoration ne masque un signal d'interaction.</x:v>
      </x:c>
      <x:c r="O7" s="9" t="str">
        <x:v>RED-ZONE-OMEGA</x:v>
      </x:c>
      <x:c r="P7" s="9" t="str">
        <x:v>Direction artistique originale, matériaux à confronter aux planches.</x:v>
      </x:c>
      <x:c r="Q7" s="9" t="str"/>
      <x:c r="R7" s="20" t="str"/>
      <x:c r="S7" s="20" t="str"/>
    </x:row>
    <x:row r="8" ht="82" customHeight="1">
      <x:c r="A8" s="19" t="str">
        <x:v>RED-SET-ALINGON</x:v>
      </x:c>
      <x:c r="B8" s="7" t="str">
        <x:v>Alingon / Alignon — graphie à contrôler — décor et repère</x:v>
      </x:c>
      <x:c r="C8" s="15" t="str">
        <x:v>Défini</x:v>
      </x:c>
      <x:c r="D8" s="17" t="str">
        <x:v>Extrapolation</x:v>
      </x:c>
      <x:c r="E8" s="17" t="str">
        <x:v>P1</x:v>
      </x:c>
      <x:c r="F8" s="7" t="str">
        <x:v>Antenne isolée et écran de contrôle comme points d’orientation.</x:v>
      </x:c>
      <x:c r="G8" s="7" t="str">
        <x:v>Faire sentir l’isolement informationnel.</x:v>
      </x:c>
      <x:c r="H8" s="7" t="str"/>
      <x:c r="I8" s="7" t="str">
        <x:v>Roche sombre, métal mat et arcs lumineux très discrets; brouillage en bord de cadre. Séparer gros volumes, surfaces de parcours et petits accessoires; réserver le contraste maximal aux éléments utilisables.</x:v>
      </x:c>
      <x:c r="J8" s="7" t="str">
        <x:v>Seuls les éléments mobiles nécessaires à la lecture du lieu ont une boucle; les lumières restent stables en mode confort.</x:v>
      </x:c>
      <x:c r="K8" s="7" t="str"/>
      <x:c r="L8" s="7" t="str">
        <x:v>Kit modulaire prévu red/sets/alingon; collisions simples et matériau de repère distinct.</x:v>
      </x:c>
      <x:c r="M8" s="7" t="str">
        <x:v>Préserver l’absence active de Shepard, la relation Liara/Feron et le raccord vers ME2; les méthodes d’enquête ne changent pas le sort publié des protagonistes.</x:v>
      </x:c>
      <x:c r="N8" s="7" t="str">
        <x:v>Le repère décrit reste visible depuis l'entrée et depuis le retour; aucune décoration ne masque un signal d'interaction.</x:v>
      </x:c>
      <x:c r="O8" s="7" t="str">
        <x:v>RED-ZONE-ALINGON</x:v>
      </x:c>
      <x:c r="P8" s="7" t="str">
        <x:v>Direction artistique originale, matériaux à confronter aux planches.</x:v>
      </x:c>
      <x:c r="Q8" s="7" t="str"/>
      <x:c r="R8" s="21" t="str"/>
      <x:c r="S8" s="21" t="str"/>
    </x:row>
    <x:row r="9" ht="82" customHeight="1">
      <x:c r="A9" s="18" t="str">
        <x:v>RED-SET-SPACE</x:v>
      </x:c>
      <x:c r="B9" s="9" t="str">
        <x:v>Poursuite dans l’espace — décor et repère</x:v>
      </x:c>
      <x:c r="C9" s="15" t="str">
        <x:v>Défini</x:v>
      </x:c>
      <x:c r="D9" s="16" t="str">
        <x:v>Extrapolation</x:v>
      </x:c>
      <x:c r="E9" s="16" t="str">
        <x:v>P1</x:v>
      </x:c>
      <x:c r="F9" s="9" t="str">
        <x:v>Balise de destination toujours visible, obstacles en silhouettes.</x:v>
      </x:c>
      <x:c r="G9" s="9" t="str">
        <x:v>Intermède de navigation lisible, distinct d’un mode de vol complet.</x:v>
      </x:c>
      <x:c r="H9" s="9" t="str"/>
      <x:c r="I9" s="9" t="str">
        <x:v>Astéroïdes mats et contraste faible du ciel; vaisseau du duo traité en sprite orientable. Séparer gros volumes, surfaces de parcours et petits accessoires; réserver le contraste maximal aux éléments utilisables.</x:v>
      </x:c>
      <x:c r="J9" s="9" t="str">
        <x:v>Seuls les éléments mobiles nécessaires à la lecture du lieu ont une boucle; les lumières restent stables en mode confort.</x:v>
      </x:c>
      <x:c r="K9" s="9" t="str"/>
      <x:c r="L9" s="9" t="str">
        <x:v>Kit modulaire prévu red/sets/space; collisions simples et matériau de repère distinct.</x:v>
      </x:c>
      <x:c r="M9" s="9" t="str">
        <x:v>Préserver l’absence active de Shepard, la relation Liara/Feron et le raccord vers ME2; les méthodes d’enquête ne changent pas le sort publié des protagonistes.</x:v>
      </x:c>
      <x:c r="N9" s="9" t="str">
        <x:v>Le repère décrit reste visible depuis l'entrée et depuis le retour; aucune décoration ne masque un signal d'interaction.</x:v>
      </x:c>
      <x:c r="O9" s="9" t="str">
        <x:v>RED-ZONE-SPACE</x:v>
      </x:c>
      <x:c r="P9" s="9" t="str">
        <x:v>Direction artistique originale, matériaux à confronter aux planches.</x:v>
      </x:c>
      <x:c r="Q9" s="9" t="str"/>
      <x:c r="R9" s="20" t="str"/>
      <x:c r="S9" s="20" t="str"/>
    </x:row>
  </x:sheetData>
  <x:conditionalFormatting sqref="D7:D9">
    <x:cfRule type="cellIs" dxfId="24" priority="1" operator="equal">
      <x:formula>"À vérifier"</x:formula>
    </x:cfRule>
    <x:cfRule type="cellIs" dxfId="25" priority="2" operator="equal">
      <x:formula>"Extrapolation"</x:formula>
    </x:cfRule>
  </x:conditionalFormatting>
  <x:conditionalFormatting sqref="C7:C9">
    <x:cfRule type="cellIs" dxfId="26" priority="3" operator="equal">
      <x:formula>"Validé"</x:formula>
    </x:cfRule>
  </x:conditionalFormatting>
  <x:conditionalFormatting sqref="E7:E9">
    <x:cfRule type="cellIs" dxfId="27"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16ac2d07a20647cf"/>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Redemption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RED-SC-CONTACT-PROP</x:v>
      </x:c>
      <x:c r="B7" s="9" t="str">
        <x:v>Repère de rendez-vous</x:v>
      </x:c>
      <x:c r="C7" s="15" t="str">
        <x:v>Défini</x:v>
      </x:c>
      <x:c r="D7" s="16" t="str">
        <x:v>Extrapolation</x:v>
      </x:c>
      <x:c r="E7" s="16" t="str">
        <x:v>P1</x:v>
      </x:c>
      <x:c r="F7" s="9" t="str">
        <x:v>Balise de rendez-vous originale.</x:v>
      </x:c>
      <x:c r="G7" s="9" t="str">
        <x:v>Éviter une recherche arbitraire dans toute la station.</x:v>
      </x:c>
      <x:c r="H7" s="9" t="str">
        <x:v>Inspecter la balise révèle un détail de contexte et un chemin, jamais une position omnisciente.</x:v>
      </x:c>
      <x:c r="I7" s="9" t="str">
        <x:v>Plaquette lumineuse usée, symbole simple visible en gros plan.</x:v>
      </x:c>
      <x:c r="J7" s="9" t="str">
        <x:v>État repos, sélection, utilisation et remise en place; l’objet conserve son pivot entre ces états.</x:v>
      </x:c>
      <x:c r="K7" s="9" t="str">
        <x:v>Bruit de manipulation original et confirmation visible.</x:v>
      </x:c>
      <x:c r="L7" s="9" t="str">
        <x:v>Objet proposé RED/CONTACT/prop; composant inspectable distinct du déclencheur narratif.</x:v>
      </x:c>
      <x:c r="M7" s="9" t="str">
        <x:v>Préserver l’absence active de Shepard, la relation Liara/Feron et le raccord vers ME2; les méthodes d’enquête ne changent pas le sort publié des protagonistes.</x:v>
      </x:c>
      <x:c r="N7" s="9" t="str">
        <x:v>L’objet possède un état visible avant et après interaction; il ne peut pas être perdu ni dupliqué par rechargement.</x:v>
      </x:c>
      <x:c r="O7" s="9" t="str">
        <x:v>RED-SC-CONTACT-MAIN</x:v>
      </x:c>
      <x:c r="P7" s="9" t="str">
        <x:v>Accessoire ou interaction de production proposé; ne vaut pas relevé exhaustif de la planche.</x:v>
      </x:c>
      <x:c r="Q7" s="9" t="str"/>
      <x:c r="R7" s="20" t="str"/>
      <x:c r="S7" s="20" t="str"/>
    </x:row>
    <x:row r="8" ht="68" customHeight="1">
      <x:c r="A8" s="19" t="str">
        <x:v>RED-SC-AFTERLIFE-PROP</x:v>
      </x:c>
      <x:c r="B8" s="7" t="str">
        <x:v>Terminal de piste</x:v>
      </x:c>
      <x:c r="C8" s="15" t="str">
        <x:v>Défini</x:v>
      </x:c>
      <x:c r="D8" s="17" t="str">
        <x:v>Extrapolation</x:v>
      </x:c>
      <x:c r="E8" s="17" t="str">
        <x:v>P1</x:v>
      </x:c>
      <x:c r="F8" s="7" t="str">
        <x:v>Fiche de piste originale pour le journal.</x:v>
      </x:c>
      <x:c r="G8" s="7" t="str">
        <x:v>Nommer la destination jouable.</x:v>
      </x:c>
      <x:c r="H8" s="7" t="str">
        <x:v>Consulter à volonté après l’entretien; ne pas exposer les secrets de Feron.</x:v>
      </x:c>
      <x:c r="I8" s="7" t="str">
        <x:v>Écran étroit, zone et objectif en deux lignes.</x:v>
      </x:c>
      <x:c r="J8" s="7" t="str">
        <x:v>État repos, sélection, utilisation et remise en place; l’objet conserve son pivot entre ces états.</x:v>
      </x:c>
      <x:c r="K8" s="7" t="str">
        <x:v>Bruit de manipulation original et confirmation visible.</x:v>
      </x:c>
      <x:c r="L8" s="7" t="str">
        <x:v>Objet proposé RED/AFTERLIFE/prop; composant inspectable distinct du déclencheur narratif.</x:v>
      </x:c>
      <x:c r="M8" s="7" t="str">
        <x:v>Préserver l’absence active de Shepard, la relation Liara/Feron et le raccord vers ME2; les méthodes d’enquête ne changent pas le sort publié des protagonistes.</x:v>
      </x:c>
      <x:c r="N8" s="7" t="str">
        <x:v>L’objet possède un état visible avant et après interaction; il ne peut pas être perdu ni dupliqué par rechargement.</x:v>
      </x:c>
      <x:c r="O8" s="7" t="str">
        <x:v>RED-SC-AFTERLIFE-MAIN</x:v>
      </x:c>
      <x:c r="P8" s="7" t="str">
        <x:v>Accessoire ou interaction de production proposé; ne vaut pas relevé exhaustif de la planche.</x:v>
      </x:c>
      <x:c r="Q8" s="7" t="str"/>
      <x:c r="R8" s="21" t="str"/>
      <x:c r="S8" s="21" t="str"/>
    </x:row>
    <x:row r="9" ht="68" customHeight="1">
      <x:c r="A9" s="18" t="str">
        <x:v>RED-SC-DOCKS-PROP</x:v>
      </x:c>
      <x:c r="B9" s="9" t="str">
        <x:v>Commande de quai</x:v>
      </x:c>
      <x:c r="C9" s="15" t="str">
        <x:v>Défini</x:v>
      </x:c>
      <x:c r="D9" s="16" t="str">
        <x:v>Extrapolation</x:v>
      </x:c>
      <x:c r="E9" s="16" t="str">
        <x:v>P1</x:v>
      </x:c>
      <x:c r="F9" s="9" t="str">
        <x:v>Console originale de verrouillage.</x:v>
      </x:c>
      <x:c r="G9" s="9" t="str">
        <x:v>Créer une interaction tactique sans ajouter de technologie canon.</x:v>
      </x:c>
      <x:c r="H9" s="9" t="str">
        <x:v>Une action ferme un passage secondaire; le levier principal reste accessible.</x:v>
      </x:c>
      <x:c r="I9" s="9" t="str">
        <x:v>Panneau jaune à trois états visibles.</x:v>
      </x:c>
      <x:c r="J9" s="9" t="str">
        <x:v>État repos, sélection, utilisation et remise en place; l’objet conserve son pivot entre ces états.</x:v>
      </x:c>
      <x:c r="K9" s="9" t="str">
        <x:v>Bruit de manipulation original et confirmation visible.</x:v>
      </x:c>
      <x:c r="L9" s="9" t="str">
        <x:v>Objet proposé RED/DOCKS/prop; composant inspectable distinct du déclencheur narratif.</x:v>
      </x:c>
      <x:c r="M9" s="9" t="str">
        <x:v>Préserver l’absence active de Shepard, la relation Liara/Feron et le raccord vers ME2; les méthodes d’enquête ne changent pas le sort publié des protagonistes.</x:v>
      </x:c>
      <x:c r="N9" s="9" t="str">
        <x:v>L’objet possède un état visible avant et après interaction; il ne peut pas être perdu ni dupliqué par rechargement.</x:v>
      </x:c>
      <x:c r="O9" s="9" t="str">
        <x:v>RED-SC-DOCKS-MAIN</x:v>
      </x:c>
      <x:c r="P9" s="9" t="str">
        <x:v>Accessoire ou interaction de production proposé; ne vaut pas relevé exhaustif de la planche.</x:v>
      </x:c>
      <x:c r="Q9" s="9" t="str"/>
      <x:c r="R9" s="20" t="str"/>
      <x:c r="S9" s="20" t="str"/>
    </x:row>
    <x:row r="10" ht="68" customHeight="1">
      <x:c r="A10" s="19" t="str">
        <x:v>RED-SC-PURSUIT-PROP</x:v>
      </x:c>
      <x:c r="B10" s="7" t="str">
        <x:v>Afficheur de trajectoire</x:v>
      </x:c>
      <x:c r="C10" s="15" t="str">
        <x:v>Défini</x:v>
      </x:c>
      <x:c r="D10" s="17" t="str">
        <x:v>Extrapolation</x:v>
      </x:c>
      <x:c r="E10" s="17" t="str">
        <x:v>P1</x:v>
      </x:c>
      <x:c r="F10" s="7" t="str">
        <x:v>Outil de navigation original.</x:v>
      </x:c>
      <x:c r="G10" s="7" t="str">
        <x:v>Donner une lecture des deux approches.</x:v>
      </x:c>
      <x:c r="H10" s="7" t="str">
        <x:v>Prévisualiser un trajet ne dépense aucune action; confirmer l’engage.</x:v>
      </x:c>
      <x:c r="I10" s="7" t="str">
        <x:v>Arc de route plein pour la sélection, pointillé pour la prévision.</x:v>
      </x:c>
      <x:c r="J10" s="7" t="str">
        <x:v>État repos, sélection, utilisation et remise en place; l’objet conserve son pivot entre ces états.</x:v>
      </x:c>
      <x:c r="K10" s="7" t="str">
        <x:v>Bruit de manipulation original et confirmation visible.</x:v>
      </x:c>
      <x:c r="L10" s="7" t="str">
        <x:v>Objet proposé RED/PURSUIT/prop; composant inspectable distinct du déclencheur narratif.</x:v>
      </x:c>
      <x:c r="M10" s="7" t="str">
        <x:v>Préserver l’absence active de Shepard, la relation Liara/Feron et le raccord vers ME2; les méthodes d’enquête ne changent pas le sort publié des protagonistes.</x:v>
      </x:c>
      <x:c r="N10" s="7" t="str">
        <x:v>L’objet possède un état visible avant et après interaction; il ne peut pas être perdu ni dupliqué par rechargement.</x:v>
      </x:c>
      <x:c r="O10" s="7" t="str">
        <x:v>RED-SC-PURSUIT-MAIN</x:v>
      </x:c>
      <x:c r="P10" s="7" t="str">
        <x:v>Accessoire ou interaction de production proposé; ne vaut pas relevé exhaustif de la planche.</x:v>
      </x:c>
      <x:c r="Q10" s="7" t="str"/>
      <x:c r="R10" s="21" t="str"/>
      <x:c r="S10" s="21" t="str"/>
    </x:row>
    <x:row r="11" ht="68" customHeight="1">
      <x:c r="A11" s="18" t="str">
        <x:v>RED-SC-ACCESS-PROP</x:v>
      </x:c>
      <x:c r="B11" s="9" t="str">
        <x:v>Jeton d’accès compartimenté</x:v>
      </x:c>
      <x:c r="C11" s="15" t="str">
        <x:v>Défini</x:v>
      </x:c>
      <x:c r="D11" s="16" t="str">
        <x:v>Extrapolation</x:v>
      </x:c>
      <x:c r="E11" s="16" t="str">
        <x:v>P1</x:v>
      </x:c>
      <x:c r="F11" s="9" t="str">
        <x:v>Objet de gameplay original à portée limitée.</x:v>
      </x:c>
      <x:c r="G11" s="9" t="str">
        <x:v>Représenter un droit d’accès sans le confondre avec une clé universelle.</x:v>
      </x:c>
      <x:c r="H11" s="9" t="str">
        <x:v>Le jeton n’ouvre que le sas nommé; l’interface annonce cette portée.</x:v>
      </x:c>
      <x:c r="I11" s="9" t="str">
        <x:v>Plaquette avec pictogramme du secteur.</x:v>
      </x:c>
      <x:c r="J11" s="9" t="str">
        <x:v>État repos, sélection, utilisation et remise en place; l’objet conserve son pivot entre ces états.</x:v>
      </x:c>
      <x:c r="K11" s="9" t="str">
        <x:v>Bruit de manipulation original et confirmation visible.</x:v>
      </x:c>
      <x:c r="L11" s="9" t="str">
        <x:v>Objet proposé RED/ACCESS/prop; composant inspectable distinct du déclencheur narratif.</x:v>
      </x:c>
      <x:c r="M11" s="9" t="str">
        <x:v>Préserver l’absence active de Shepard, la relation Liara/Feron et le raccord vers ME2; les méthodes d’enquête ne changent pas le sort publié des protagonistes.</x:v>
      </x:c>
      <x:c r="N11" s="9" t="str">
        <x:v>L’objet possède un état visible avant et après interaction; il ne peut pas être perdu ni dupliqué par rechargement.</x:v>
      </x:c>
      <x:c r="O11" s="9" t="str">
        <x:v>RED-SC-ACCESS-MAIN</x:v>
      </x:c>
      <x:c r="P11" s="9" t="str">
        <x:v>Accessoire ou interaction de production proposé; ne vaut pas relevé exhaustif de la planche.</x:v>
      </x:c>
      <x:c r="Q11" s="9" t="str"/>
      <x:c r="R11" s="20" t="str"/>
      <x:c r="S11" s="20" t="str"/>
    </x:row>
    <x:row r="12" ht="68" customHeight="1">
      <x:c r="A12" s="19" t="str">
        <x:v>RED-SC-RECOVER-PROP</x:v>
      </x:c>
      <x:c r="B12" s="7" t="str">
        <x:v>Support de transfert</x:v>
      </x:c>
      <x:c r="C12" s="15" t="str">
        <x:v>Défini</x:v>
      </x:c>
      <x:c r="D12" s="17" t="str">
        <x:v>Extrapolation</x:v>
      </x:c>
      <x:c r="E12" s="17" t="str">
        <x:v>P1</x:v>
      </x:c>
      <x:c r="F12" s="7" t="str">
        <x:v>Support de transport proposé, sans représentation imposée du visage de Shepard.</x:v>
      </x:c>
      <x:c r="G12" s="7" t="str">
        <x:v>Rendre la priorité de mission lisible.</x:v>
      </x:c>
      <x:c r="H12" s="7" t="str">
        <x:v>L’objet reste attaché au flux narratif, non vendable et non équipable.</x:v>
      </x:c>
      <x:c r="I12" s="7" t="str">
        <x:v>Volume fermé, marquage neutre et témoin d’intégrité abstrait.</x:v>
      </x:c>
      <x:c r="J12" s="7" t="str">
        <x:v>État repos, sélection, utilisation et remise en place; l’objet conserve son pivot entre ces états.</x:v>
      </x:c>
      <x:c r="K12" s="7" t="str">
        <x:v>Bruit de manipulation original et confirmation visible.</x:v>
      </x:c>
      <x:c r="L12" s="7" t="str">
        <x:v>Objet proposé RED/RECOVER/prop; composant inspectable distinct du déclencheur narratif.</x:v>
      </x:c>
      <x:c r="M12" s="7" t="str">
        <x:v>Préserver l’absence active de Shepard, la relation Liara/Feron et le raccord vers ME2; les méthodes d’enquête ne changent pas le sort publié des protagonistes.</x:v>
      </x:c>
      <x:c r="N12" s="7" t="str">
        <x:v>L’objet possède un état visible avant et après interaction; il ne peut pas être perdu ni dupliqué par rechargement.</x:v>
      </x:c>
      <x:c r="O12" s="7" t="str">
        <x:v>RED-SC-RECOVER-MAIN</x:v>
      </x:c>
      <x:c r="P12" s="7" t="str">
        <x:v>Accessoire ou interaction de production proposé; ne vaut pas relevé exhaustif de la planche.</x:v>
      </x:c>
      <x:c r="Q12" s="7" t="str"/>
      <x:c r="R12" s="21" t="str"/>
      <x:c r="S12" s="21" t="str"/>
    </x:row>
  </x:sheetData>
  <x:conditionalFormatting sqref="D7:D12">
    <x:cfRule type="cellIs" dxfId="28" priority="1" operator="equal">
      <x:formula>"À vérifier"</x:formula>
    </x:cfRule>
    <x:cfRule type="cellIs" dxfId="29" priority="2" operator="equal">
      <x:formula>"Extrapolation"</x:formula>
    </x:cfRule>
  </x:conditionalFormatting>
  <x:conditionalFormatting sqref="C7:C12">
    <x:cfRule type="cellIs" dxfId="30" priority="3" operator="equal">
      <x:formula>"Validé"</x:formula>
    </x:cfRule>
  </x:conditionalFormatting>
  <x:conditionalFormatting sqref="E7:E12">
    <x:cfRule type="cellIs" dxfId="3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dcaf8d7a311f4f9c"/>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Redemption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RED-EN-SUNS</x:v>
      </x:c>
      <x:c r="B7" s="9" t="str">
        <x:v>Blue Suns</x:v>
      </x:c>
      <x:c r="C7" s="15" t="str">
        <x:v>Défini</x:v>
      </x:c>
      <x:c r="D7" s="16" t="str">
        <x:v>À vérifier</x:v>
      </x:c>
      <x:c r="E7" s="16" t="str">
        <x:v>P1</x:v>
      </x:c>
      <x:c r="F7" s="9" t="str">
        <x:v>Les Blue Suns interviennent contre le duo.</x:v>
      </x:c>
      <x:c r="G7" s="9" t="str">
        <x:v>Pression armée et contrôle du quai.</x:v>
      </x:c>
      <x:c r="H7" s="9" t="str">
        <x:v>Profil proposé : Alternance fixation et déplacement; contourner un tireur rend sa couverture inutile.</x:v>
      </x:c>
      <x:c r="I7" s="9" t="str">
        <x:v>Silhouette proposée : Armures lourdes bleues à vérifier; casque distinct du personnel neutre.</x:v>
      </x:c>
      <x:c r="J7" s="9" t="str">
        <x:v>Mise en joue, maintien et recul lisible.</x:v>
      </x:c>
      <x:c r="K7" s="9" t="str">
        <x:v>Salves sèches et annonce radio inventée.</x:v>
      </x:c>
      <x:c r="L7" s="9" t="str">
        <x:v>Livrable proposé : spécification RED/enemies/en-suns; brancher au registre de contenu de l'œuvre seulement après production.</x:v>
      </x:c>
      <x:c r="M7" s="9" t="str">
        <x:v>Préserver l’absence active de Shepard, la relation Liara/Feron et le raccord vers ME2; les méthodes d’enquête ne changent pas le sort publié des protagonistes.</x:v>
      </x:c>
      <x:c r="N7" s="9" t="str">
        <x:v>Blue Suns a une silhouette distincte, un comportement télégraphié et une contre-mesure documentée; aucune valeur n'est annoncée comme statistique officielle.</x:v>
      </x:c>
      <x:c r="O7" s="9" t="str"/>
      <x:c r="P7" s="9" t="str">
        <x:v>Mass Effect: Redemption, série concernée</x:v>
      </x:c>
      <x:c r="Q7" s="9" t="str">
        <x:v>RED-S-FERON</x:v>
      </x:c>
      <x:c r="R7" s="20" t="str">
        <x:v>https://masseffect.fandom.com/wiki/Feron</x:v>
      </x:c>
      <x:c r="S7" s="20" t="str">
        <x:v>L’adversaire ou groupe est attesté selon la source; le combat ATB et ses réglages sont entièrement proposés.</x:v>
      </x:c>
    </x:row>
    <x:row r="8" ht="68" customHeight="1">
      <x:c r="A8" s="19" t="str">
        <x:v>RED-EN-SENTRY</x:v>
      </x:c>
      <x:c r="B8" s="7" t="str">
        <x:v>Sentries de poursuite</x:v>
      </x:c>
      <x:c r="C8" s="15" t="str">
        <x:v>Défini</x:v>
      </x:c>
      <x:c r="D8" s="17" t="str">
        <x:v>À vérifier</x:v>
      </x:c>
      <x:c r="E8" s="17" t="str">
        <x:v>P1</x:v>
      </x:c>
      <x:c r="F8" s="7" t="str">
        <x:v>Le wiki décrit des sentries lors de l’approche de la base.</x:v>
      </x:c>
      <x:c r="G8" s="7" t="str">
        <x:v>Menace de navigation proposée, à vérifier dans l’édition.</x:v>
      </x:c>
      <x:c r="H8" s="7" t="str">
        <x:v>Profil proposé : Préparer une passe puis exposer leur trajectoire; éviter le contact vaut progression.</x:v>
      </x:c>
      <x:c r="I8" s="7" t="str">
        <x:v>Silhouette proposée : Petites silhouettes mécaniques différenciées du vaisseau allié.</x:v>
      </x:c>
      <x:c r="J8" s="7" t="str">
        <x:v>Virage anticipé et ligne droite de poursuite.</x:v>
      </x:c>
      <x:c r="K8" s="7" t="str">
        <x:v>Alerte brève visible dans l’afficheur.</x:v>
      </x:c>
      <x:c r="L8" s="7" t="str">
        <x:v>Livrable proposé : spécification RED/enemies/en-sentry; brancher au registre de contenu de l'œuvre seulement après production.</x:v>
      </x:c>
      <x:c r="M8" s="7" t="str">
        <x:v>Préserver l’absence active de Shepard, la relation Liara/Feron et le raccord vers ME2; les méthodes d’enquête ne changent pas le sort publié des protagonistes.</x:v>
      </x:c>
      <x:c r="N8" s="7" t="str">
        <x:v>Sentries de poursuite a une silhouette distincte, un comportement télégraphié et une contre-mesure documentée; aucune valeur n'est annoncée comme statistique officielle.</x:v>
      </x:c>
      <x:c r="O8" s="7" t="str"/>
      <x:c r="P8" s="7" t="str">
        <x:v>Mass Effect: Redemption, série concernée</x:v>
      </x:c>
      <x:c r="Q8" s="7" t="str">
        <x:v>RED-S-STORYII</x:v>
      </x:c>
      <x:c r="R8" s="21" t="str">
        <x:v>https://masseffect.fandom.com/wiki/Storyline_II</x:v>
      </x:c>
      <x:c r="S8" s="21" t="str">
        <x:v>L’adversaire ou groupe est attesté selon la source; le combat ATB et ses réglages sont entièrement proposés.</x:v>
      </x:c>
    </x:row>
    <x:row r="9" ht="68" customHeight="1">
      <x:c r="A9" s="18" t="str">
        <x:v>RED-EN-GUARDS</x:v>
      </x:c>
      <x:c r="B9" s="9" t="str">
        <x:v>Gardes de la base</x:v>
      </x:c>
      <x:c r="C9" s="15" t="str">
        <x:v>Défini</x:v>
      </x:c>
      <x:c r="D9" s="16" t="str">
        <x:v>À vérifier</x:v>
      </x:c>
      <x:c r="E9" s="16" t="str">
        <x:v>P1</x:v>
      </x:c>
      <x:c r="F9" s="9" t="str">
        <x:v>Feron et Liara rencontrent les gardes du Courtier.</x:v>
      </x:c>
      <x:c r="G9" s="9" t="str">
        <x:v>Obstacle de furtivité avant combat.</x:v>
      </x:c>
      <x:c r="H9" s="9" t="str">
        <x:v>Profil proposé : Une alerte locale ne propage pas une information impossible sous brouillage.</x:v>
      </x:c>
      <x:c r="I9" s="9" t="str">
        <x:v>Silhouette proposée : Silhouettes armées compactes et contraste froid.</x:v>
      </x:c>
      <x:c r="J9" s="9" t="str">
        <x:v>Contrôle de badge puis pivot de surveillance.</x:v>
      </x:c>
      <x:c r="K9" s="9" t="str">
        <x:v>Interphone et signal d’alerte sectoriel.</x:v>
      </x:c>
      <x:c r="L9" s="9" t="str">
        <x:v>Livrable proposé : spécification RED/enemies/en-guards; brancher au registre de contenu de l'œuvre seulement après production.</x:v>
      </x:c>
      <x:c r="M9" s="9" t="str">
        <x:v>Préserver l’absence active de Shepard, la relation Liara/Feron et le raccord vers ME2; les méthodes d’enquête ne changent pas le sort publié des protagonistes.</x:v>
      </x:c>
      <x:c r="N9" s="9" t="str">
        <x:v>Gardes de la base a une silhouette distincte, un comportement télégraphié et une contre-mesure documentée; aucune valeur n'est annoncée comme statistique officielle.</x:v>
      </x:c>
      <x:c r="O9" s="9" t="str"/>
      <x:c r="P9" s="9" t="str">
        <x:v>Mass Effect: Redemption, série concernée</x:v>
      </x:c>
      <x:c r="Q9" s="9" t="str">
        <x:v>RED-S-FERON</x:v>
      </x:c>
      <x:c r="R9" s="20" t="str">
        <x:v>https://masseffect.fandom.com/wiki/Feron</x:v>
      </x:c>
      <x:c r="S9" s="20" t="str">
        <x:v>L’adversaire ou groupe est attesté selon la source; le combat ATB et ses réglages sont entièrement proposés.</x:v>
      </x:c>
    </x:row>
  </x:sheetData>
  <x:conditionalFormatting sqref="D7:D9">
    <x:cfRule type="cellIs" dxfId="32" priority="1" operator="equal">
      <x:formula>"À vérifier"</x:formula>
    </x:cfRule>
    <x:cfRule type="cellIs" dxfId="33" priority="2" operator="equal">
      <x:formula>"Extrapolation"</x:formula>
    </x:cfRule>
  </x:conditionalFormatting>
  <x:conditionalFormatting sqref="C7:C9">
    <x:cfRule type="cellIs" dxfId="34" priority="3" operator="equal">
      <x:formula>"Validé"</x:formula>
    </x:cfRule>
  </x:conditionalFormatting>
  <x:conditionalFormatting sqref="E7:E9">
    <x:cfRule type="cellIs" dxfId="3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9b7109585e194412"/>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Redemption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RED-SC-CONTACT-MAIN</x:v>
      </x:c>
      <x:c r="B7" s="9" t="str">
        <x:v>Contact sur Omega — objectif jouable</x:v>
      </x:c>
      <x:c r="C7" s="15" t="str">
        <x:v>Défini</x:v>
      </x:c>
      <x:c r="D7" s="16" t="str">
        <x:v>Extrapolation</x:v>
      </x:c>
      <x:c r="E7" s="16" t="str">
        <x:v>P0</x:v>
      </x:c>
      <x:c r="F7" s="9" t="str">
        <x:v>Identifier le bon intermédiaire et atteindre une sortie de quartier.</x:v>
      </x:c>
      <x:c r="G7" s="9" t="str">
        <x:v>Observation → questions → découverte d’un passage → sortie du duo.</x:v>
      </x:c>
      <x:c r="H7" s="9" t="str">
        <x:v>Trois indices locaux proposés renseignent identité, accès et risque; deux suffisent pour avancer, le troisième précise le journal.</x:v>
      </x:c>
      <x:c r="I7" s="9" t="str">
        <x:v>Alcôve latérale et contre-jour industriel; un ruban lumineux guide la sortie.</x:v>
      </x:c>
      <x:c r="J7" s="9" t="str">
        <x:v>Entrée prudente, geste d'inspection et retour au contrôle pour « Contact sur Omega »; poser les sprites avant tout changement de caméra.</x:v>
      </x:c>
      <x:c r="K7" s="9" t="str">
        <x:v>Brouhaha bas et motif de deux notes dissonantes.</x:v>
      </x:c>
      <x:c r="L7" s="9" t="str">
        <x:v>Graphe proposé RED/quests/CONTACT: entrée → objectif actif → résolution → raccord; conditions terminales séparées des points facultatifs.</x:v>
      </x:c>
      <x:c r="M7" s="9" t="str">
        <x:v>Préserver l’absence active de Shepard, la relation Liara/Feron et le raccord vers ME2; les méthodes d’enquête ne changent pas le sort publié des protagonistes.</x:v>
      </x:c>
      <x:c r="N7" s="9" t="str">
        <x:v>L'objectif « Contact sur Omega » atteint son raccord annoncé après chaque méthode; sauvegarde, rechargement et saut de scène n'en changent ni le groupe ni les informations acquises.</x:v>
      </x:c>
      <x:c r="O7" s="9" t="str">
        <x:v>RED-SC-CONTACT-REF</x:v>
      </x:c>
      <x:c r="P7" s="9" t="str">
        <x:v>Conception originale rattachée à Redemption #1–4, premier contact; pagination à contrôler</x:v>
      </x:c>
      <x:c r="Q7" s="9" t="str"/>
      <x:c r="R7" s="20" t="str"/>
      <x:c r="S7" s="20" t="str"/>
    </x:row>
    <x:row r="8" ht="68" customHeight="1">
      <x:c r="A8" s="19" t="str">
        <x:v>RED-SC-AFTERLIFE-MAIN</x:v>
      </x:c>
      <x:c r="B8" s="7" t="str">
        <x:v>Entretien à Afterlife — objectif jouable</x:v>
      </x:c>
      <x:c r="C8" s="15" t="str">
        <x:v>Défini</x:v>
      </x:c>
      <x:c r="D8" s="17" t="str">
        <x:v>Extrapolation</x:v>
      </x:c>
      <x:c r="E8" s="17" t="str">
        <x:v>P0</x:v>
      </x:c>
      <x:c r="F8" s="7" t="str">
        <x:v>Obtenir une piste sans transformer l’entretien en recrutement.</x:v>
      </x:c>
      <x:c r="G8" s="7" t="str">
        <x:v>Antichambre → présentation → question ciblée → validation de la piste.</x:v>
      </x:c>
      <x:c r="H8" s="7" t="str">
        <x:v>Le joueur choisit l’ordre des questions; les réponses essentielles restent accessibles sans jauge morale universelle.</x:v>
      </x:c>
      <x:c r="I8" s="7" t="str">
        <x:v>Fauteuil au fond, foule réduite en silhouettes et trajet libre entre les deux.</x:v>
      </x:c>
      <x:c r="J8" s="7" t="str">
        <x:v>Entrée prudente, geste d'inspection et retour au contrôle pour « Entretien à Afterlife »; poser les sprites avant tout changement de caméra.</x:v>
      </x:c>
      <x:c r="K8" s="7" t="str">
        <x:v>Musique de club originale filtrée durant la conversation.</x:v>
      </x:c>
      <x:c r="L8" s="7" t="str">
        <x:v>Graphe proposé RED/quests/AFTERLIFE: entrée → objectif actif → résolution → raccord; conditions terminales séparées des points facultatifs.</x:v>
      </x:c>
      <x:c r="M8" s="7" t="str">
        <x:v>Préserver l’absence active de Shepard, la relation Liara/Feron et le raccord vers ME2; les méthodes d’enquête ne changent pas le sort publié des protagonistes.</x:v>
      </x:c>
      <x:c r="N8" s="7" t="str">
        <x:v>L'objectif « Entretien à Afterlife » atteint son raccord annoncé après chaque méthode; sauvegarde, rechargement et saut de scène n'en changent ni le groupe ni les informations acquises.</x:v>
      </x:c>
      <x:c r="O8" s="7" t="str">
        <x:v>RED-SC-AFTERLIFE-REF</x:v>
      </x:c>
      <x:c r="P8" s="7" t="str">
        <x:v>Conception originale rattachée à Redemption, recherche sur Omega</x:v>
      </x:c>
      <x:c r="Q8" s="7" t="str"/>
      <x:c r="R8" s="21" t="str"/>
      <x:c r="S8" s="21" t="str"/>
    </x:row>
    <x:row r="9" ht="68" customHeight="1">
      <x:c r="A9" s="18" t="str">
        <x:v>RED-SC-DOCKS-MAIN</x:v>
      </x:c>
      <x:c r="B9" s="9" t="str">
        <x:v>Docks et transfert — objectif jouable</x:v>
      </x:c>
      <x:c r="C9" s="15" t="str">
        <x:v>Défini</x:v>
      </x:c>
      <x:c r="D9" s="16" t="str">
        <x:v>Extrapolation</x:v>
      </x:c>
      <x:c r="E9" s="16" t="str">
        <x:v>P0</x:v>
      </x:c>
      <x:c r="F9" s="9" t="str">
        <x:v>Traverser une aire de chargement avant la fermeture des accès.</x:v>
      </x:c>
      <x:c r="G9" s="9" t="str">
        <x:v>Repérage des lignes de vue → déplacement couvert → tentative d’interception → poursuite.</x:v>
      </x:c>
      <x:c r="H9" s="9" t="str">
        <x:v>Les caisses fournissent des masques de tir; tirer sur une commande de porte est une option proposée, pas une scène canon.</x:v>
      </x:c>
      <x:c r="I9" s="9" t="str">
        <x:v>Poutres, caisses distinctes du couvert et rampe diagonale.</x:v>
      </x:c>
      <x:c r="J9" s="9" t="str">
        <x:v>Entrée prudente, geste d'inspection et retour au contrôle pour « Docks et transfert »; poser les sprites avant tout changement de caméra.</x:v>
      </x:c>
      <x:c r="K9" s="9" t="str">
        <x:v>Grue, verrou de sas et poussée de moteur.</x:v>
      </x:c>
      <x:c r="L9" s="9" t="str">
        <x:v>Graphe proposé RED/quests/DOCKS: entrée → objectif actif → résolution → raccord; conditions terminales séparées des points facultatifs.</x:v>
      </x:c>
      <x:c r="M9" s="9" t="str">
        <x:v>Préserver l’absence active de Shepard, la relation Liara/Feron et le raccord vers ME2; les méthodes d’enquête ne changent pas le sort publié des protagonistes.</x:v>
      </x:c>
      <x:c r="N9" s="9" t="str">
        <x:v>L'objectif « Docks et transfert » atteint son raccord annoncé après chaque méthode; sauvegarde, rechargement et saut de scène n'en changent ni le groupe ni les informations acquises.</x:v>
      </x:c>
      <x:c r="O9" s="9" t="str">
        <x:v>RED-SC-DOCKS-REF</x:v>
      </x:c>
      <x:c r="P9" s="9" t="str">
        <x:v>Conception originale rattachée à Redemption, transfert sur Omega; numéro à contrôler</x:v>
      </x:c>
      <x:c r="Q9" s="9" t="str"/>
      <x:c r="R9" s="20" t="str"/>
      <x:c r="S9" s="20" t="str"/>
    </x:row>
    <x:row r="10" ht="68" customHeight="1">
      <x:c r="A10" s="19" t="str">
        <x:v>RED-SC-PURSUIT-MAIN</x:v>
      </x:c>
      <x:c r="B10" s="7" t="str">
        <x:v>Rejoindre la base — objectif jouable</x:v>
      </x:c>
      <x:c r="C10" s="15" t="str">
        <x:v>Défini</x:v>
      </x:c>
      <x:c r="D10" s="17" t="str">
        <x:v>Extrapolation</x:v>
      </x:c>
      <x:c r="E10" s="17" t="str">
        <x:v>P0</x:v>
      </x:c>
      <x:c r="F10" s="7" t="str">
        <x:v>Choisir une approche compatible avec les contraintes de communication.</x:v>
      </x:c>
      <x:c r="G10" s="7" t="str">
        <x:v>Départ → manœuvres proposées → identification du relais → arrivée.</x:v>
      </x:c>
      <x:c r="H10" s="7" t="str">
        <x:v>Les commandes de route occupent des fenêtres ATB; la prévisualisation montre collision et exposition avant validation.</x:v>
      </x:c>
      <x:c r="I10" s="7" t="str">
        <x:v>Repères de navigation espacés et point de destination fixe.</x:v>
      </x:c>
      <x:c r="J10" s="7" t="str">
        <x:v>Entrée prudente, geste d'inspection et retour au contrôle pour « Rejoindre la base »; poser les sprites avant tout changement de caméra.</x:v>
      </x:c>
      <x:c r="K10" s="7" t="str">
        <x:v>Bourdonnement de coque puis silence radio annoncé.</x:v>
      </x:c>
      <x:c r="L10" s="7" t="str">
        <x:v>Graphe proposé RED/quests/PURSUIT: entrée → objectif actif → résolution → raccord; conditions terminales séparées des points facultatifs.</x:v>
      </x:c>
      <x:c r="M10" s="7" t="str">
        <x:v>Préserver l’absence active de Shepard, la relation Liara/Feron et le raccord vers ME2; les méthodes d’enquête ne changent pas le sort publié des protagonistes.</x:v>
      </x:c>
      <x:c r="N10" s="7" t="str">
        <x:v>L'objectif « Rejoindre la base » atteint son raccord annoncé après chaque méthode; sauvegarde, rechargement et saut de scène n'en changent ni le groupe ni les informations acquises.</x:v>
      </x:c>
      <x:c r="O10" s="7" t="str">
        <x:v>RED-SC-PURSUIT-REF</x:v>
      </x:c>
      <x:c r="P10" s="7" t="str">
        <x:v>Conception originale rattachée à Redemption #3</x:v>
      </x:c>
      <x:c r="Q10" s="7" t="str"/>
      <x:c r="R10" s="21" t="str"/>
      <x:c r="S10" s="21" t="str"/>
    </x:row>
    <x:row r="11" ht="68" customHeight="1">
      <x:c r="A11" s="18" t="str">
        <x:v>RED-SC-ACCESS-MAIN</x:v>
      </x:c>
      <x:c r="B11" s="9" t="str">
        <x:v>Identité et accès compartimentés — objectif jouable</x:v>
      </x:c>
      <x:c r="C11" s="15" t="str">
        <x:v>Défini</x:v>
      </x:c>
      <x:c r="D11" s="16" t="str">
        <x:v>Extrapolation</x:v>
      </x:c>
      <x:c r="E11" s="16" t="str">
        <x:v>P0</x:v>
      </x:c>
      <x:c r="F11" s="9" t="str">
        <x:v>Franchir deux contrôles locaux sans fournir une carte complète du réseau.</x:v>
      </x:c>
      <x:c r="G11" s="9" t="str">
        <x:v>Sas → contrôle d’identité → relais local → accès au secteur suivant.</x:v>
      </x:c>
      <x:c r="H11" s="9" t="str">
        <x:v>Chaque contrôle demande un type d’information différent; une identité acceptée ne vaut pas accès universel.</x:v>
      </x:c>
      <x:c r="I11" s="9" t="str">
        <x:v>Cloisons opaques, câbles de relais et panneaux d’accès individualisés.</x:v>
      </x:c>
      <x:c r="J11" s="9" t="str">
        <x:v>Entrée prudente, geste d'inspection et retour au contrôle pour « Identité et accès compartimentés »; poser les sprites avant tout changement de caméra.</x:v>
      </x:c>
      <x:c r="K11" s="9" t="str">
        <x:v>Interphone étouffé et clics d’autorisation.</x:v>
      </x:c>
      <x:c r="L11" s="9" t="str">
        <x:v>Graphe proposé RED/quests/ACCESS: entrée → objectif actif → résolution → raccord; conditions terminales séparées des points facultatifs.</x:v>
      </x:c>
      <x:c r="M11" s="9" t="str">
        <x:v>Préserver l’absence active de Shepard, la relation Liara/Feron et le raccord vers ME2; les méthodes d’enquête ne changent pas le sort publié des protagonistes.</x:v>
      </x:c>
      <x:c r="N11" s="9" t="str">
        <x:v>L'objectif « Identité et accès compartimentés » atteint son raccord annoncé après chaque méthode; sauvegarde, rechargement et saut de scène n'en changent ni le groupe ni les informations acquises.</x:v>
      </x:c>
      <x:c r="O11" s="9" t="str">
        <x:v>RED-SC-ACCESS-REF</x:v>
      </x:c>
      <x:c r="P11" s="9" t="str">
        <x:v>Conception originale rattachée à Redemption #3</x:v>
      </x:c>
      <x:c r="Q11" s="9" t="str"/>
      <x:c r="R11" s="20" t="str"/>
      <x:c r="S11" s="20" t="str"/>
    </x:row>
    <x:row r="12" ht="68" customHeight="1">
      <x:c r="A12" s="19" t="str">
        <x:v>RED-SC-RECOVER-MAIN</x:v>
      </x:c>
      <x:c r="B12" s="7" t="str">
        <x:v>Récupération et séparation — objectif jouable</x:v>
      </x:c>
      <x:c r="C12" s="15" t="str">
        <x:v>Défini</x:v>
      </x:c>
      <x:c r="D12" s="17" t="str">
        <x:v>Extrapolation</x:v>
      </x:c>
      <x:c r="E12" s="17" t="str">
        <x:v>P0</x:v>
      </x:c>
      <x:c r="F12" s="7" t="str">
        <x:v>Assurer la récupération dans un espace de sortie sous pression.</x:v>
      </x:c>
      <x:c r="G12" s="7" t="str">
        <x:v>Préparation du duo → fenêtre de transfert → sortie de Liara → raccord narratif.</x:v>
      </x:c>
      <x:c r="H12" s="7" t="str">
        <x:v>La réussite dépend de la synchronisation protection/accès; l’échec propose une reprise locale, pas une fin alternative canon.</x:v>
      </x:c>
      <x:c r="I12" s="7" t="str">
        <x:v>Rampe lumineuse, silhouette du partenaire à distance, conteneur sans visage imposé de Shepard.</x:v>
      </x:c>
      <x:c r="J12" s="7" t="str">
        <x:v>Entrée prudente, geste d'inspection et retour au contrôle pour « Récupération et séparation »; poser les sprites avant tout changement de caméra.</x:v>
      </x:c>
      <x:c r="K12" s="7" t="str">
        <x:v>Moteur croissant, communication coupée puis thème inachevé original.</x:v>
      </x:c>
      <x:c r="L12" s="7" t="str">
        <x:v>Graphe proposé RED/quests/RECOVER: entrée → objectif actif → résolution → raccord; conditions terminales séparées des points facultatifs.</x:v>
      </x:c>
      <x:c r="M12" s="7" t="str">
        <x:v>Préserver l’absence active de Shepard, la relation Liara/Feron et le raccord vers ME2; les méthodes d’enquête ne changent pas le sort publié des protagonistes.</x:v>
      </x:c>
      <x:c r="N12" s="7" t="str">
        <x:v>L'objectif « Récupération et séparation » atteint son raccord annoncé après chaque méthode; sauvegarde, rechargement et saut de scène n'en changent ni le groupe ni les informations acquises.</x:v>
      </x:c>
      <x:c r="O12" s="7" t="str">
        <x:v>RED-SC-RECOVER-REF</x:v>
      </x:c>
      <x:c r="P12" s="7" t="str">
        <x:v>Conception originale rattachée à Redemption #4</x:v>
      </x:c>
      <x:c r="Q12" s="7" t="str"/>
      <x:c r="R12" s="21" t="str"/>
      <x:c r="S12" s="21" t="str"/>
    </x:row>
  </x:sheetData>
  <x:conditionalFormatting sqref="D7:D12">
    <x:cfRule type="cellIs" dxfId="36" priority="1" operator="equal">
      <x:formula>"À vérifier"</x:formula>
    </x:cfRule>
    <x:cfRule type="cellIs" dxfId="37" priority="2" operator="equal">
      <x:formula>"Extrapolation"</x:formula>
    </x:cfRule>
  </x:conditionalFormatting>
  <x:conditionalFormatting sqref="C7:C12">
    <x:cfRule type="cellIs" dxfId="38" priority="3" operator="equal">
      <x:formula>"Validé"</x:formula>
    </x:cfRule>
  </x:conditionalFormatting>
  <x:conditionalFormatting sqref="E7:E12">
    <x:cfRule type="cellIs" dxfId="39"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6c5a80d0f07a488e"/>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Redemption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RED-SC-CONTACT-SIDE</x:v>
      </x:c>
      <x:c r="B7" s="9" t="str">
        <x:v>Vérifier une seconde sortie</x:v>
      </x:c>
      <x:c r="C7" s="15" t="str">
        <x:v>Défini</x:v>
      </x:c>
      <x:c r="D7" s="16" t="str">
        <x:v>Extrapolation</x:v>
      </x:c>
      <x:c r="E7" s="16" t="str">
        <x:v>P2</x:v>
      </x:c>
      <x:c r="F7" s="9" t="str">
        <x:v>Cartographier un accès secondaire proposé.</x:v>
      </x:c>
      <x:c r="G7" s="9" t="str">
        <x:v>Introduire le rôle prudent de Feron.</x:v>
      </x:c>
      <x:c r="H7" s="9" t="str">
        <x:v>Réduit un contrôle local; aucune récompense de lore canon inventée.</x:v>
      </x:c>
      <x:c r="I7" s="9" t="str">
        <x:v>Alcôve latérale et contre-jour industriel; un ruban lumineux guide la sortie.</x:v>
      </x:c>
      <x:c r="J7" s="9" t="str">
        <x:v>Inspection, interaction courte, confirmation; permettre de renoncer sans bloquer le chemin principal.</x:v>
      </x:c>
      <x:c r="K7" s="9" t="str">
        <x:v>Confirmation discrète; aucune réplique source réemployée.</x:v>
      </x:c>
      <x:c r="L7" s="9" t="str">
        <x:v>Objectif facultatif RED/CONTACT/optional; récompense locale de contexte, pas de modification de la fin.</x:v>
      </x:c>
      <x:c r="M7" s="9" t="str">
        <x:v>Préserver l’absence active de Shepard, la relation Liara/Feron et le raccord vers ME2; les méthodes d’enquête ne changent pas le sort publié des protagonistes.</x:v>
      </x:c>
      <x:c r="N7" s="9" t="str">
        <x:v>Terminer, ignorer ou abandonner cette tâche laisse le récit principal accessible et conserve correctement l’état en sauvegarde.</x:v>
      </x:c>
      <x:c r="O7" s="9" t="str">
        <x:v>RED-SC-CONTACT-MAIN</x:v>
      </x:c>
      <x:c r="P7" s="9" t="str">
        <x:v>Ajout original; cette tâche n’est pas attestée dans le comic.</x:v>
      </x:c>
      <x:c r="Q7" s="9" t="str"/>
      <x:c r="R7" s="20" t="str"/>
      <x:c r="S7" s="20" t="str"/>
    </x:row>
    <x:row r="8" ht="68" customHeight="1">
      <x:c r="A8" s="19" t="str">
        <x:v>RED-SC-AFTERLIFE-SIDE</x:v>
      </x:c>
      <x:c r="B8" s="7" t="str">
        <x:v>Écouter le quartier</x:v>
      </x:c>
      <x:c r="C8" s="15" t="str">
        <x:v>Défini</x:v>
      </x:c>
      <x:c r="D8" s="17" t="str">
        <x:v>Extrapolation</x:v>
      </x:c>
      <x:c r="E8" s="17" t="str">
        <x:v>P2</x:v>
      </x:c>
      <x:c r="F8" s="7" t="str">
        <x:v>Recueillir deux observations ambiantes originales.</x:v>
      </x:c>
      <x:c r="G8" s="7" t="str">
        <x:v>Donner du contexte à la station.</x:v>
      </x:c>
      <x:c r="H8" s="7" t="str">
        <x:v>Contenu facultatif sans allégation nouvelle sur Aria.</x:v>
      </x:c>
      <x:c r="I8" s="7" t="str">
        <x:v>Fauteuil au fond, foule réduite en silhouettes et trajet libre entre les deux.</x:v>
      </x:c>
      <x:c r="J8" s="7" t="str">
        <x:v>Inspection, interaction courte, confirmation; permettre de renoncer sans bloquer le chemin principal.</x:v>
      </x:c>
      <x:c r="K8" s="7" t="str">
        <x:v>Confirmation discrète; aucune réplique source réemployée.</x:v>
      </x:c>
      <x:c r="L8" s="7" t="str">
        <x:v>Objectif facultatif RED/AFTERLIFE/optional; récompense locale de contexte, pas de modification de la fin.</x:v>
      </x:c>
      <x:c r="M8" s="7" t="str">
        <x:v>Préserver l’absence active de Shepard, la relation Liara/Feron et le raccord vers ME2; les méthodes d’enquête ne changent pas le sort publié des protagonistes.</x:v>
      </x:c>
      <x:c r="N8" s="7" t="str">
        <x:v>Terminer, ignorer ou abandonner cette tâche laisse le récit principal accessible et conserve correctement l’état en sauvegarde.</x:v>
      </x:c>
      <x:c r="O8" s="7" t="str">
        <x:v>RED-SC-AFTERLIFE-MAIN</x:v>
      </x:c>
      <x:c r="P8" s="7" t="str">
        <x:v>Ajout original; cette tâche n’est pas attestée dans le comic.</x:v>
      </x:c>
      <x:c r="Q8" s="7" t="str"/>
      <x:c r="R8" s="21" t="str"/>
      <x:c r="S8" s="21" t="str"/>
    </x:row>
    <x:row r="9" ht="68" customHeight="1">
      <x:c r="A9" s="18" t="str">
        <x:v>RED-SC-DOCKS-SIDE</x:v>
      </x:c>
      <x:c r="B9" s="9" t="str">
        <x:v>Relever la route du cargo</x:v>
      </x:c>
      <x:c r="C9" s="15" t="str">
        <x:v>Défini</x:v>
      </x:c>
      <x:c r="D9" s="16" t="str">
        <x:v>Extrapolation</x:v>
      </x:c>
      <x:c r="E9" s="16" t="str">
        <x:v>P2</x:v>
      </x:c>
      <x:c r="F9" s="9" t="str">
        <x:v>Inspecter un afficheur de départ proposé.</x:v>
      </x:c>
      <x:c r="G9" s="9" t="str">
        <x:v>Offrir une aide de navigation pour la scène suivante.</x:v>
      </x:c>
      <x:c r="H9" s="9" t="str">
        <x:v>Ajoute un repère visuel, jamais une révélation supplémentaire sur le Courtier.</x:v>
      </x:c>
      <x:c r="I9" s="9" t="str">
        <x:v>Poutres, caisses distinctes du couvert et rampe diagonale.</x:v>
      </x:c>
      <x:c r="J9" s="9" t="str">
        <x:v>Inspection, interaction courte, confirmation; permettre de renoncer sans bloquer le chemin principal.</x:v>
      </x:c>
      <x:c r="K9" s="9" t="str">
        <x:v>Confirmation discrète; aucune réplique source réemployée.</x:v>
      </x:c>
      <x:c r="L9" s="9" t="str">
        <x:v>Objectif facultatif RED/DOCKS/optional; récompense locale de contexte, pas de modification de la fin.</x:v>
      </x:c>
      <x:c r="M9" s="9" t="str">
        <x:v>Préserver l’absence active de Shepard, la relation Liara/Feron et le raccord vers ME2; les méthodes d’enquête ne changent pas le sort publié des protagonistes.</x:v>
      </x:c>
      <x:c r="N9" s="9" t="str">
        <x:v>Terminer, ignorer ou abandonner cette tâche laisse le récit principal accessible et conserve correctement l’état en sauvegarde.</x:v>
      </x:c>
      <x:c r="O9" s="9" t="str">
        <x:v>RED-SC-DOCKS-MAIN</x:v>
      </x:c>
      <x:c r="P9" s="9" t="str">
        <x:v>Ajout original; cette tâche n’est pas attestée dans le comic.</x:v>
      </x:c>
      <x:c r="Q9" s="9" t="str"/>
      <x:c r="R9" s="20" t="str"/>
      <x:c r="S9" s="20" t="str"/>
    </x:row>
    <x:row r="10" ht="68" customHeight="1">
      <x:c r="A10" s="19" t="str">
        <x:v>RED-SC-PURSUIT-SIDE</x:v>
      </x:c>
      <x:c r="B10" s="7" t="str">
        <x:v>Calibrer le filtre radio</x:v>
      </x:c>
      <x:c r="C10" s="15" t="str">
        <x:v>Défini</x:v>
      </x:c>
      <x:c r="D10" s="17" t="str">
        <x:v>Extrapolation</x:v>
      </x:c>
      <x:c r="E10" s="17" t="str">
        <x:v>P2</x:v>
      </x:c>
      <x:c r="F10" s="7" t="str">
        <x:v>Réglage facultatif de trois marqueurs proposés.</x:v>
      </x:c>
      <x:c r="G10" s="7" t="str">
        <x:v>Aider la lecture des signaux faibles.</x:v>
      </x:c>
      <x:c r="H10" s="7" t="str">
        <x:v>Réduit le bruit de l’interface; ne supprime pas la contrainte narrative d’isolement.</x:v>
      </x:c>
      <x:c r="I10" s="7" t="str">
        <x:v>Repères de navigation espacés et point de destination fixe.</x:v>
      </x:c>
      <x:c r="J10" s="7" t="str">
        <x:v>Inspection, interaction courte, confirmation; permettre de renoncer sans bloquer le chemin principal.</x:v>
      </x:c>
      <x:c r="K10" s="7" t="str">
        <x:v>Confirmation discrète; aucune réplique source réemployée.</x:v>
      </x:c>
      <x:c r="L10" s="7" t="str">
        <x:v>Objectif facultatif RED/PURSUIT/optional; récompense locale de contexte, pas de modification de la fin.</x:v>
      </x:c>
      <x:c r="M10" s="7" t="str">
        <x:v>Préserver l’absence active de Shepard, la relation Liara/Feron et le raccord vers ME2; les méthodes d’enquête ne changent pas le sort publié des protagonistes.</x:v>
      </x:c>
      <x:c r="N10" s="7" t="str">
        <x:v>Terminer, ignorer ou abandonner cette tâche laisse le récit principal accessible et conserve correctement l’état en sauvegarde.</x:v>
      </x:c>
      <x:c r="O10" s="7" t="str">
        <x:v>RED-SC-PURSUIT-MAIN</x:v>
      </x:c>
      <x:c r="P10" s="7" t="str">
        <x:v>Ajout original; cette tâche n’est pas attestée dans le comic.</x:v>
      </x:c>
      <x:c r="Q10" s="7" t="str"/>
      <x:c r="R10" s="21" t="str"/>
      <x:c r="S10" s="21" t="str"/>
    </x:row>
    <x:row r="11" ht="68" customHeight="1">
      <x:c r="A11" s="18" t="str">
        <x:v>RED-SC-ACCESS-SIDE</x:v>
      </x:c>
      <x:c r="B11" s="9" t="str">
        <x:v>Relever une anomalie de relais</x:v>
      </x:c>
      <x:c r="C11" s="15" t="str">
        <x:v>Défini</x:v>
      </x:c>
      <x:c r="D11" s="16" t="str">
        <x:v>Extrapolation</x:v>
      </x:c>
      <x:c r="E11" s="16" t="str">
        <x:v>P2</x:v>
      </x:c>
      <x:c r="F11" s="9" t="str">
        <x:v>Comparer deux journaux de connexion proposés.</x:v>
      </x:c>
      <x:c r="G11" s="9" t="str">
        <x:v>Montrer les limites du réseau.</x:v>
      </x:c>
      <x:c r="H11" s="9" t="str">
        <x:v>Révèle un raccourci local, sans exposer toute l’organisation.</x:v>
      </x:c>
      <x:c r="I11" s="9" t="str">
        <x:v>Cloisons opaques, câbles de relais et panneaux d’accès individualisés.</x:v>
      </x:c>
      <x:c r="J11" s="9" t="str">
        <x:v>Inspection, interaction courte, confirmation; permettre de renoncer sans bloquer le chemin principal.</x:v>
      </x:c>
      <x:c r="K11" s="9" t="str">
        <x:v>Confirmation discrète; aucune réplique source réemployée.</x:v>
      </x:c>
      <x:c r="L11" s="9" t="str">
        <x:v>Objectif facultatif RED/ACCESS/optional; récompense locale de contexte, pas de modification de la fin.</x:v>
      </x:c>
      <x:c r="M11" s="9" t="str">
        <x:v>Préserver l’absence active de Shepard, la relation Liara/Feron et le raccord vers ME2; les méthodes d’enquête ne changent pas le sort publié des protagonistes.</x:v>
      </x:c>
      <x:c r="N11" s="9" t="str">
        <x:v>Terminer, ignorer ou abandonner cette tâche laisse le récit principal accessible et conserve correctement l’état en sauvegarde.</x:v>
      </x:c>
      <x:c r="O11" s="9" t="str">
        <x:v>RED-SC-ACCESS-MAIN</x:v>
      </x:c>
      <x:c r="P11" s="9" t="str">
        <x:v>Ajout original; cette tâche n’est pas attestée dans le comic.</x:v>
      </x:c>
      <x:c r="Q11" s="9" t="str"/>
      <x:c r="R11" s="20" t="str"/>
      <x:c r="S11" s="20" t="str"/>
    </x:row>
    <x:row r="12" ht="68" customHeight="1">
      <x:c r="A12" s="19" t="str">
        <x:v>RED-SC-RECOVER-SIDE</x:v>
      </x:c>
      <x:c r="B12" s="7" t="str">
        <x:v>Préparer une issue de secours</x:v>
      </x:c>
      <x:c r="C12" s="15" t="str">
        <x:v>Défini</x:v>
      </x:c>
      <x:c r="D12" s="17" t="str">
        <x:v>Extrapolation</x:v>
      </x:c>
      <x:c r="E12" s="17" t="str">
        <x:v>P2</x:v>
      </x:c>
      <x:c r="F12" s="7" t="str">
        <x:v>Déverrouiller une sortie secondaire proposée avant le transfert.</x:v>
      </x:c>
      <x:c r="G12" s="7" t="str">
        <x:v>Récompenser l’anticipation sans changer la séparation.</x:v>
      </x:c>
      <x:c r="H12" s="7" t="str">
        <x:v>Diminue le risque du trajet final; pas de sauvetage canon supplémentaire.</x:v>
      </x:c>
      <x:c r="I12" s="7" t="str">
        <x:v>Rampe lumineuse, silhouette du partenaire à distance, conteneur sans visage imposé de Shepard.</x:v>
      </x:c>
      <x:c r="J12" s="7" t="str">
        <x:v>Inspection, interaction courte, confirmation; permettre de renoncer sans bloquer le chemin principal.</x:v>
      </x:c>
      <x:c r="K12" s="7" t="str">
        <x:v>Confirmation discrète; aucune réplique source réemployée.</x:v>
      </x:c>
      <x:c r="L12" s="7" t="str">
        <x:v>Objectif facultatif RED/RECOVER/optional; récompense locale de contexte, pas de modification de la fin.</x:v>
      </x:c>
      <x:c r="M12" s="7" t="str">
        <x:v>Préserver l’absence active de Shepard, la relation Liara/Feron et le raccord vers ME2; les méthodes d’enquête ne changent pas le sort publié des protagonistes.</x:v>
      </x:c>
      <x:c r="N12" s="7" t="str">
        <x:v>Terminer, ignorer ou abandonner cette tâche laisse le récit principal accessible et conserve correctement l’état en sauvegarde.</x:v>
      </x:c>
      <x:c r="O12" s="7" t="str">
        <x:v>RED-SC-RECOVER-MAIN</x:v>
      </x:c>
      <x:c r="P12" s="7" t="str">
        <x:v>Ajout original; cette tâche n’est pas attestée dans le comic.</x:v>
      </x:c>
      <x:c r="Q12" s="7" t="str"/>
      <x:c r="R12" s="21" t="str"/>
      <x:c r="S12" s="21" t="str"/>
    </x:row>
  </x:sheetData>
  <x:conditionalFormatting sqref="D7:D12">
    <x:cfRule type="cellIs" dxfId="40" priority="1" operator="equal">
      <x:formula>"À vérifier"</x:formula>
    </x:cfRule>
    <x:cfRule type="cellIs" dxfId="41" priority="2" operator="equal">
      <x:formula>"Extrapolation"</x:formula>
    </x:cfRule>
  </x:conditionalFormatting>
  <x:conditionalFormatting sqref="C7:C12">
    <x:cfRule type="cellIs" dxfId="42" priority="3" operator="equal">
      <x:formula>"Validé"</x:formula>
    </x:cfRule>
  </x:conditionalFormatting>
  <x:conditionalFormatting sqref="E7:E12">
    <x:cfRule type="cellIs" dxfId="43"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6baa583b7ba146ac"/>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Redemption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RED-SC-CONTACT-CHOICE</x:v>
      </x:c>
      <x:c r="B7" s="9" t="str">
        <x:v>Contact sur Omega — stratégie locale</x:v>
      </x:c>
      <x:c r="C7" s="15" t="str">
        <x:v>Défini</x:v>
      </x:c>
      <x:c r="D7" s="16" t="str">
        <x:v>Extrapolation</x:v>
      </x:c>
      <x:c r="E7" s="16" t="str">
        <x:v>P1</x:v>
      </x:c>
      <x:c r="F7" s="9" t="str">
        <x:v>Questionner publiquement ou vérifier discrètement un itinéraire.</x:v>
      </x:c>
      <x:c r="G7" s="9" t="str">
        <x:v>Choix de méthode dans une adaptation; aucun embranchement alternatif n’est déclaré officiel.</x:v>
      </x:c>
      <x:c r="H7" s="9" t="str">
        <x:v>La voie publique réduit la recherche mais augmente les contrôles; la discrétion consomme du temps sans perdre de fait essentiel.</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RED/CONTACT; stocker la méthode choisie et les conséquences temporaires, puis rejoindre le point de raccord.</x:v>
      </x:c>
      <x:c r="M7" s="9" t="str">
        <x:v>Préserver l’absence active de Shepard, la relation Liara/Feron et le raccord vers ME2; les méthodes d’enquête ne changent pas le sort publié des protagonistes.</x:v>
      </x:c>
      <x:c r="N7" s="9" t="str">
        <x:v>Les deux méthodes peuvent être comprises avant sélection; chacune rejoint le même ancrage canon sans supprimer un personnage nécessaire.</x:v>
      </x:c>
      <x:c r="O7" s="9" t="str">
        <x:v>RED-SC-CONTACT-MAIN</x:v>
      </x:c>
      <x:c r="P7" s="9" t="str">
        <x:v>Bifurcation de gameplay originale, pas un choix présent dans l’œuvre.</x:v>
      </x:c>
      <x:c r="Q7" s="9" t="str"/>
      <x:c r="R7" s="20" t="str"/>
      <x:c r="S7" s="20" t="str"/>
    </x:row>
    <x:row r="8" ht="68" customHeight="1">
      <x:c r="A8" s="19" t="str">
        <x:v>RED-SC-AFTERLIFE-CHOICE</x:v>
      </x:c>
      <x:c r="B8" s="7" t="str">
        <x:v>Entretien à Afterlife — stratégie locale</x:v>
      </x:c>
      <x:c r="C8" s="15" t="str">
        <x:v>Défini</x:v>
      </x:c>
      <x:c r="D8" s="17" t="str">
        <x:v>Extrapolation</x:v>
      </x:c>
      <x:c r="E8" s="17" t="str">
        <x:v>P1</x:v>
      </x:c>
      <x:c r="F8" s="7" t="str">
        <x:v>Insister sur l’urgence ou demander d’abord les limites de l’aide.</x:v>
      </x:c>
      <x:c r="G8" s="7" t="str">
        <x:v>Choix de méthode dans une adaptation; aucun embranchement alternatif n’est déclaré officiel.</x:v>
      </x:c>
      <x:c r="H8" s="7" t="str">
        <x:v>Change le ton et un commentaire local; même piste finale.</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RED/AFTERLIFE; stocker la méthode choisie et les conséquences temporaires, puis rejoindre le point de raccord.</x:v>
      </x:c>
      <x:c r="M8" s="7" t="str">
        <x:v>Préserver l’absence active de Shepard, la relation Liara/Feron et le raccord vers ME2; les méthodes d’enquête ne changent pas le sort publié des protagonistes.</x:v>
      </x:c>
      <x:c r="N8" s="7" t="str">
        <x:v>Les deux méthodes peuvent être comprises avant sélection; chacune rejoint le même ancrage canon sans supprimer un personnage nécessaire.</x:v>
      </x:c>
      <x:c r="O8" s="7" t="str">
        <x:v>RED-SC-AFTERLIFE-MAIN</x:v>
      </x:c>
      <x:c r="P8" s="7" t="str">
        <x:v>Bifurcation de gameplay originale, pas un choix présent dans l’œuvre.</x:v>
      </x:c>
      <x:c r="Q8" s="7" t="str"/>
      <x:c r="R8" s="21" t="str"/>
      <x:c r="S8" s="21" t="str"/>
    </x:row>
    <x:row r="9" ht="68" customHeight="1">
      <x:c r="A9" s="18" t="str">
        <x:v>RED-SC-DOCKS-CHOICE</x:v>
      </x:c>
      <x:c r="B9" s="9" t="str">
        <x:v>Docks et transfert — stratégie locale</x:v>
      </x:c>
      <x:c r="C9" s="15" t="str">
        <x:v>Défini</x:v>
      </x:c>
      <x:c r="D9" s="16" t="str">
        <x:v>Extrapolation</x:v>
      </x:c>
      <x:c r="E9" s="16" t="str">
        <x:v>P1</x:v>
      </x:c>
      <x:c r="F9" s="9" t="str">
        <x:v>Sécuriser le passage du duo ou concentrer les actions sur le contrôle du quai.</x:v>
      </x:c>
      <x:c r="G9" s="9" t="str">
        <x:v>Choix de méthode dans une adaptation; aucun embranchement alternatif n’est déclaré officiel.</x:v>
      </x:c>
      <x:c r="H9" s="9" t="str">
        <x:v>L’une protège le groupe, l’autre raccourcit le trajet; le départ narratif reste fixé.</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RED/DOCKS; stocker la méthode choisie et les conséquences temporaires, puis rejoindre le point de raccord.</x:v>
      </x:c>
      <x:c r="M9" s="9" t="str">
        <x:v>Préserver l’absence active de Shepard, la relation Liara/Feron et le raccord vers ME2; les méthodes d’enquête ne changent pas le sort publié des protagonistes.</x:v>
      </x:c>
      <x:c r="N9" s="9" t="str">
        <x:v>Les deux méthodes peuvent être comprises avant sélection; chacune rejoint le même ancrage canon sans supprimer un personnage nécessaire.</x:v>
      </x:c>
      <x:c r="O9" s="9" t="str">
        <x:v>RED-SC-DOCKS-MAIN</x:v>
      </x:c>
      <x:c r="P9" s="9" t="str">
        <x:v>Bifurcation de gameplay originale, pas un choix présent dans l’œuvre.</x:v>
      </x:c>
      <x:c r="Q9" s="9" t="str"/>
      <x:c r="R9" s="20" t="str"/>
      <x:c r="S9" s="20" t="str"/>
    </x:row>
    <x:row r="10" ht="68" customHeight="1">
      <x:c r="A10" s="19" t="str">
        <x:v>RED-SC-PURSUIT-CHOICE</x:v>
      </x:c>
      <x:c r="B10" s="7" t="str">
        <x:v>Rejoindre la base — stratégie locale</x:v>
      </x:c>
      <x:c r="C10" s="15" t="str">
        <x:v>Défini</x:v>
      </x:c>
      <x:c r="D10" s="17" t="str">
        <x:v>Extrapolation</x:v>
      </x:c>
      <x:c r="E10" s="17" t="str">
        <x:v>P1</x:v>
      </x:c>
      <x:c r="F10" s="7" t="str">
        <x:v>Trajectoire courte exposée ou détour abrité.</x:v>
      </x:c>
      <x:c r="G10" s="7" t="str">
        <x:v>Choix de méthode dans une adaptation; aucun embranchement alternatif n’est déclaré officiel.</x:v>
      </x:c>
      <x:c r="H10" s="7" t="str">
        <x:v>Différence de ressources locales; aucune branche vers une autre planète.</x:v>
      </x:c>
      <x:c r="I10" s="7" t="str">
        <x:v>Deux options nommées avec leur conséquence immédiate; coût affiché avant engagement.</x:v>
      </x:c>
      <x:c r="J10" s="7" t="str">
        <x:v>Geler les poses de dialogue pendant le choix; ne pas consommer une action en quittant le menu.</x:v>
      </x:c>
      <x:c r="K10" s="7" t="str">
        <x:v>Retour de sélection sobre; confirmation distincte d’une simple navigation.</x:v>
      </x:c>
      <x:c r="L10" s="7" t="str">
        <x:v>Décision locale RED/PURSUIT; stocker la méthode choisie et les conséquences temporaires, puis rejoindre le point de raccord.</x:v>
      </x:c>
      <x:c r="M10" s="7" t="str">
        <x:v>Préserver l’absence active de Shepard, la relation Liara/Feron et le raccord vers ME2; les méthodes d’enquête ne changent pas le sort publié des protagonistes.</x:v>
      </x:c>
      <x:c r="N10" s="7" t="str">
        <x:v>Les deux méthodes peuvent être comprises avant sélection; chacune rejoint le même ancrage canon sans supprimer un personnage nécessaire.</x:v>
      </x:c>
      <x:c r="O10" s="7" t="str">
        <x:v>RED-SC-PURSUIT-MAIN</x:v>
      </x:c>
      <x:c r="P10" s="7" t="str">
        <x:v>Bifurcation de gameplay originale, pas un choix présent dans l’œuvre.</x:v>
      </x:c>
      <x:c r="Q10" s="7" t="str"/>
      <x:c r="R10" s="21" t="str"/>
      <x:c r="S10" s="21" t="str"/>
    </x:row>
    <x:row r="11" ht="68" customHeight="1">
      <x:c r="A11" s="18" t="str">
        <x:v>RED-SC-ACCESS-CHOICE</x:v>
      </x:c>
      <x:c r="B11" s="9" t="str">
        <x:v>Identité et accès compartimentés — stratégie locale</x:v>
      </x:c>
      <x:c r="C11" s="15" t="str">
        <x:v>Défini</x:v>
      </x:c>
      <x:c r="D11" s="16" t="str">
        <x:v>Extrapolation</x:v>
      </x:c>
      <x:c r="E11" s="16" t="str">
        <x:v>P1</x:v>
      </x:c>
      <x:c r="F11" s="9" t="str">
        <x:v>Employer la couverture préparée ou détourner l’attention par une panne locale.</x:v>
      </x:c>
      <x:c r="G11" s="9" t="str">
        <x:v>Choix de méthode dans une adaptation; aucun embranchement alternatif n’est déclaré officiel.</x:v>
      </x:c>
      <x:c r="H11" s="9" t="str">
        <x:v>La couverture conserve l’alerte; la panne ouvre une fenêtre plus courte et attire une patrouille.</x:v>
      </x:c>
      <x:c r="I11" s="9" t="str">
        <x:v>Deux options nommées avec leur conséquence immédiate; coût affiché avant engagement.</x:v>
      </x:c>
      <x:c r="J11" s="9" t="str">
        <x:v>Geler les poses de dialogue pendant le choix; ne pas consommer une action en quittant le menu.</x:v>
      </x:c>
      <x:c r="K11" s="9" t="str">
        <x:v>Retour de sélection sobre; confirmation distincte d’une simple navigation.</x:v>
      </x:c>
      <x:c r="L11" s="9" t="str">
        <x:v>Décision locale RED/ACCESS; stocker la méthode choisie et les conséquences temporaires, puis rejoindre le point de raccord.</x:v>
      </x:c>
      <x:c r="M11" s="9" t="str">
        <x:v>Préserver l’absence active de Shepard, la relation Liara/Feron et le raccord vers ME2; les méthodes d’enquête ne changent pas le sort publié des protagonistes.</x:v>
      </x:c>
      <x:c r="N11" s="9" t="str">
        <x:v>Les deux méthodes peuvent être comprises avant sélection; chacune rejoint le même ancrage canon sans supprimer un personnage nécessaire.</x:v>
      </x:c>
      <x:c r="O11" s="9" t="str">
        <x:v>RED-SC-ACCESS-MAIN</x:v>
      </x:c>
      <x:c r="P11" s="9" t="str">
        <x:v>Bifurcation de gameplay originale, pas un choix présent dans l’œuvre.</x:v>
      </x:c>
      <x:c r="Q11" s="9" t="str"/>
      <x:c r="R11" s="20" t="str"/>
      <x:c r="S11" s="20" t="str"/>
    </x:row>
    <x:row r="12" ht="68" customHeight="1">
      <x:c r="A12" s="19" t="str">
        <x:v>RED-SC-RECOVER-CHOICE</x:v>
      </x:c>
      <x:c r="B12" s="7" t="str">
        <x:v>Récupération et séparation — stratégie locale</x:v>
      </x:c>
      <x:c r="C12" s="15" t="str">
        <x:v>Défini</x:v>
      </x:c>
      <x:c r="D12" s="17" t="str">
        <x:v>Extrapolation</x:v>
      </x:c>
      <x:c r="E12" s="17" t="str">
        <x:v>P1</x:v>
      </x:c>
      <x:c r="F12" s="7" t="str">
        <x:v>Réserver une action de protection ou neutraliser d’abord un contrôle de quai.</x:v>
      </x:c>
      <x:c r="G12" s="7" t="str">
        <x:v>Choix de méthode dans une adaptation; aucun embranchement alternatif n’est déclaré officiel.</x:v>
      </x:c>
      <x:c r="H12" s="7" t="str">
        <x:v>Change la difficulté de la dernière traversée; la séparation publiée reste un raccord fixe.</x:v>
      </x:c>
      <x:c r="I12" s="7" t="str">
        <x:v>Deux options nommées avec leur conséquence immédiate; coût affiché avant engagement.</x:v>
      </x:c>
      <x:c r="J12" s="7" t="str">
        <x:v>Geler les poses de dialogue pendant le choix; ne pas consommer une action en quittant le menu.</x:v>
      </x:c>
      <x:c r="K12" s="7" t="str">
        <x:v>Retour de sélection sobre; confirmation distincte d’une simple navigation.</x:v>
      </x:c>
      <x:c r="L12" s="7" t="str">
        <x:v>Décision locale RED/RECOVER; stocker la méthode choisie et les conséquences temporaires, puis rejoindre le point de raccord.</x:v>
      </x:c>
      <x:c r="M12" s="7" t="str">
        <x:v>Préserver l’absence active de Shepard, la relation Liara/Feron et le raccord vers ME2; les méthodes d’enquête ne changent pas le sort publié des protagonistes.</x:v>
      </x:c>
      <x:c r="N12" s="7" t="str">
        <x:v>Les deux méthodes peuvent être comprises avant sélection; chacune rejoint le même ancrage canon sans supprimer un personnage nécessaire.</x:v>
      </x:c>
      <x:c r="O12" s="7" t="str">
        <x:v>RED-SC-RECOVER-MAIN</x:v>
      </x:c>
      <x:c r="P12" s="7" t="str">
        <x:v>Bifurcation de gameplay originale, pas un choix présent dans l’œuvre.</x:v>
      </x:c>
      <x:c r="Q12" s="7" t="str"/>
      <x:c r="R12" s="21" t="str"/>
      <x:c r="S12" s="21" t="str"/>
    </x:row>
  </x:sheetData>
  <x:conditionalFormatting sqref="D7:D12">
    <x:cfRule type="cellIs" dxfId="44" priority="1" operator="equal">
      <x:formula>"À vérifier"</x:formula>
    </x:cfRule>
    <x:cfRule type="cellIs" dxfId="45" priority="2" operator="equal">
      <x:formula>"Extrapolation"</x:formula>
    </x:cfRule>
  </x:conditionalFormatting>
  <x:conditionalFormatting sqref="C7:C12">
    <x:cfRule type="cellIs" dxfId="46" priority="3" operator="equal">
      <x:formula>"Validé"</x:formula>
    </x:cfRule>
  </x:conditionalFormatting>
  <x:conditionalFormatting sqref="E7:E12">
    <x:cfRule type="cellIs" dxfId="4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ef094c4b828406e"/>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Redemption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RED-SC-CONTACT-DIA</x:v>
      </x:c>
      <x:c r="B7" s="9" t="str">
        <x:v>Contact sur Omega — intentions de conversation</x:v>
      </x:c>
      <x:c r="C7" s="15" t="str">
        <x:v>Défini</x:v>
      </x:c>
      <x:c r="D7" s="16" t="str">
        <x:v>Extrapolation</x:v>
      </x:c>
      <x:c r="E7" s="16" t="str">
        <x:v>P1</x:v>
      </x:c>
      <x:c r="F7" s="9" t="str">
        <x:v>Liara exprime son urgence; Feron évalue ce qu’il peut révéler.</x:v>
      </x:c>
      <x:c r="G7" s="9" t="str">
        <x:v>Préserver le thème « confiance sous pression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Contact sur Omega »; poser les sprites avant tout changement de caméra.</x:v>
      </x:c>
      <x:c r="K7" s="9" t="str">
        <x:v>Dialogue original à écrire; texte intégral accessible, avance manuelle et rappel des locuteurs.</x:v>
      </x:c>
      <x:c r="L7" s="9" t="str">
        <x:v>Arbre proposé RED/CONTACT/dialogue; séparer ce qui est su, ce qui est affirmé et ce qui reste caché au joueur.</x:v>
      </x:c>
      <x:c r="M7" s="9" t="str">
        <x:v>Préserver l’absence active de Shepard, la relation Liara/Feron et le raccord vers ME2; les méthodes d’enquête ne changent pas le sort publié des protagonistes.</x:v>
      </x:c>
      <x:c r="N7" s="9" t="str">
        <x:v>Le lecteur peut identifier le locuteur, son but et le niveau de certitude; aucune phrase du comic n’est reproduite comme dialogue final.</x:v>
      </x:c>
      <x:c r="O7" s="9" t="str">
        <x:v>RED-SC-CONTACT-MAIN</x:v>
      </x:c>
      <x:c r="P7" s="9" t="str">
        <x:v>Écriture originale à partir des thèmes, sans transcrire les bulles.</x:v>
      </x:c>
      <x:c r="Q7" s="9" t="str"/>
      <x:c r="R7" s="20" t="str"/>
      <x:c r="S7" s="20" t="str"/>
    </x:row>
    <x:row r="8" ht="68" customHeight="1">
      <x:c r="A8" s="19" t="str">
        <x:v>RED-SC-AFTERLIFE-DIA</x:v>
      </x:c>
      <x:c r="B8" s="7" t="str">
        <x:v>Entretien à Afterlife — intentions de conversation</x:v>
      </x:c>
      <x:c r="C8" s="15" t="str">
        <x:v>Défini</x:v>
      </x:c>
      <x:c r="D8" s="17" t="str">
        <x:v>Extrapolation</x:v>
      </x:c>
      <x:c r="E8" s="17" t="str">
        <x:v>P1</x:v>
      </x:c>
      <x:c r="F8" s="7" t="str">
        <x:v>Autorité d’Aria, prudence de Feron et volonté de Liara; conserver les intentions sans reprendre les répliques.</x:v>
      </x:c>
      <x:c r="G8" s="7" t="str">
        <x:v>Préserver le thème « information conditionnelle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Entretien à Afterlife »; poser les sprites avant tout changement de caméra.</x:v>
      </x:c>
      <x:c r="K8" s="7" t="str">
        <x:v>Dialogue original à écrire; texte intégral accessible, avance manuelle et rappel des locuteurs.</x:v>
      </x:c>
      <x:c r="L8" s="7" t="str">
        <x:v>Arbre proposé RED/AFTERLIFE/dialogue; séparer ce qui est su, ce qui est affirmé et ce qui reste caché au joueur.</x:v>
      </x:c>
      <x:c r="M8" s="7" t="str">
        <x:v>Préserver l’absence active de Shepard, la relation Liara/Feron et le raccord vers ME2; les méthodes d’enquête ne changent pas le sort publié des protagonistes.</x:v>
      </x:c>
      <x:c r="N8" s="7" t="str">
        <x:v>Le lecteur peut identifier le locuteur, son but et le niveau de certitude; aucune phrase du comic n’est reproduite comme dialogue final.</x:v>
      </x:c>
      <x:c r="O8" s="7" t="str">
        <x:v>RED-SC-AFTERLIFE-MAIN</x:v>
      </x:c>
      <x:c r="P8" s="7" t="str">
        <x:v>Écriture originale à partir des thèmes, sans transcrire les bulles.</x:v>
      </x:c>
      <x:c r="Q8" s="7" t="str"/>
      <x:c r="R8" s="21" t="str"/>
      <x:c r="S8" s="21" t="str"/>
    </x:row>
    <x:row r="9" ht="68" customHeight="1">
      <x:c r="A9" s="18" t="str">
        <x:v>RED-SC-DOCKS-DIA</x:v>
      </x:c>
      <x:c r="B9" s="9" t="str">
        <x:v>Docks et transfert — intentions de conversation</x:v>
      </x:c>
      <x:c r="C9" s="15" t="str">
        <x:v>Défini</x:v>
      </x:c>
      <x:c r="D9" s="16" t="str">
        <x:v>Extrapolation</x:v>
      </x:c>
      <x:c r="E9" s="16" t="str">
        <x:v>P1</x:v>
      </x:c>
      <x:c r="F9" s="9" t="str">
        <x:v>Échanger des instructions courtes tout en gardant l’identité des différents employeurs incertaine.</x:v>
      </x:c>
      <x:c r="G9" s="9" t="str">
        <x:v>Préserver le thème « urgence et méfiance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Docks et transfert »; poser les sprites avant tout changement de caméra.</x:v>
      </x:c>
      <x:c r="K9" s="9" t="str">
        <x:v>Dialogue original à écrire; texte intégral accessible, avance manuelle et rappel des locuteurs.</x:v>
      </x:c>
      <x:c r="L9" s="9" t="str">
        <x:v>Arbre proposé RED/DOCKS/dialogue; séparer ce qui est su, ce qui est affirmé et ce qui reste caché au joueur.</x:v>
      </x:c>
      <x:c r="M9" s="9" t="str">
        <x:v>Préserver l’absence active de Shepard, la relation Liara/Feron et le raccord vers ME2; les méthodes d’enquête ne changent pas le sort publié des protagonistes.</x:v>
      </x:c>
      <x:c r="N9" s="9" t="str">
        <x:v>Le lecteur peut identifier le locuteur, son but et le niveau de certitude; aucune phrase du comic n’est reproduite comme dialogue final.</x:v>
      </x:c>
      <x:c r="O9" s="9" t="str">
        <x:v>RED-SC-DOCKS-MAIN</x:v>
      </x:c>
      <x:c r="P9" s="9" t="str">
        <x:v>Écriture originale à partir des thèmes, sans transcrire les bulles.</x:v>
      </x:c>
      <x:c r="Q9" s="9" t="str"/>
      <x:c r="R9" s="20" t="str"/>
      <x:c r="S9" s="20" t="str"/>
    </x:row>
    <x:row r="10" ht="68" customHeight="1">
      <x:c r="A10" s="19" t="str">
        <x:v>RED-SC-PURSUIT-DIA</x:v>
      </x:c>
      <x:c r="B10" s="7" t="str">
        <x:v>Rejoindre la base — intentions de conversation</x:v>
      </x:c>
      <x:c r="C10" s="15" t="str">
        <x:v>Défini</x:v>
      </x:c>
      <x:c r="D10" s="17" t="str">
        <x:v>Extrapolation</x:v>
      </x:c>
      <x:c r="E10" s="17" t="str">
        <x:v>P1</x:v>
      </x:c>
      <x:c r="F10" s="7" t="str">
        <x:v>Discuter des risques et de ce que Feron sait du réseau adverse.</x:v>
      </x:c>
      <x:c r="G10" s="7" t="str">
        <x:v>Préserver le thème « dépendance mutuelle »; échanges nouveaux, sans recopier les bulles.</x:v>
      </x:c>
      <x:c r="H10" s="7" t="str">
        <x:v>Proposer questions de contexte, reformulation et fin de conversation; les informations nécessaires restent accessibles après une réponse sceptique.</x:v>
      </x:c>
      <x:c r="I10" s="7" t="str">
        <x:v>Portraits sobres avec locuteur et destinataire; encart distinct si l’information est un soupçon.</x:v>
      </x:c>
      <x:c r="J10" s="7" t="str">
        <x:v>Entrée prudente, geste d'inspection et retour au contrôle pour « Rejoindre la base »; poser les sprites avant tout changement de caméra.</x:v>
      </x:c>
      <x:c r="K10" s="7" t="str">
        <x:v>Dialogue original à écrire; texte intégral accessible, avance manuelle et rappel des locuteurs.</x:v>
      </x:c>
      <x:c r="L10" s="7" t="str">
        <x:v>Arbre proposé RED/PURSUIT/dialogue; séparer ce qui est su, ce qui est affirmé et ce qui reste caché au joueur.</x:v>
      </x:c>
      <x:c r="M10" s="7" t="str">
        <x:v>Préserver l’absence active de Shepard, la relation Liara/Feron et le raccord vers ME2; les méthodes d’enquête ne changent pas le sort publié des protagonistes.</x:v>
      </x:c>
      <x:c r="N10" s="7" t="str">
        <x:v>Le lecteur peut identifier le locuteur, son but et le niveau de certitude; aucune phrase du comic n’est reproduite comme dialogue final.</x:v>
      </x:c>
      <x:c r="O10" s="7" t="str">
        <x:v>RED-SC-PURSUIT-MAIN</x:v>
      </x:c>
      <x:c r="P10" s="7" t="str">
        <x:v>Écriture originale à partir des thèmes, sans transcrire les bulles.</x:v>
      </x:c>
      <x:c r="Q10" s="7" t="str"/>
      <x:c r="R10" s="21" t="str"/>
      <x:c r="S10" s="21" t="str"/>
    </x:row>
    <x:row r="11" ht="68" customHeight="1">
      <x:c r="A11" s="18" t="str">
        <x:v>RED-SC-ACCESS-DIA</x:v>
      </x:c>
      <x:c r="B11" s="9" t="str">
        <x:v>Identité et accès compartimentés — intentions de conversation</x:v>
      </x:c>
      <x:c r="C11" s="15" t="str">
        <x:v>Défini</x:v>
      </x:c>
      <x:c r="D11" s="16" t="str">
        <x:v>Extrapolation</x:v>
      </x:c>
      <x:c r="E11" s="16" t="str">
        <x:v>P1</x:v>
      </x:c>
      <x:c r="F11" s="9" t="str">
        <x:v>Feron entretient une apparence crédible; Liara doit limiter ses questions au bon moment.</x:v>
      </x:c>
      <x:c r="G11" s="9" t="str">
        <x:v>Préserver le thème « apparences et informations »; échanges nouveaux, sans recopier les bulles.</x:v>
      </x:c>
      <x:c r="H11" s="9" t="str">
        <x:v>Proposer questions de contexte, reformulation et fin de conversation; les informations nécessaires restent accessibles après une réponse sceptique.</x:v>
      </x:c>
      <x:c r="I11" s="9" t="str">
        <x:v>Portraits sobres avec locuteur et destinataire; encart distinct si l’information est un soupçon.</x:v>
      </x:c>
      <x:c r="J11" s="9" t="str">
        <x:v>Entrée prudente, geste d'inspection et retour au contrôle pour « Identité et accès compartimentés »; poser les sprites avant tout changement de caméra.</x:v>
      </x:c>
      <x:c r="K11" s="9" t="str">
        <x:v>Dialogue original à écrire; texte intégral accessible, avance manuelle et rappel des locuteurs.</x:v>
      </x:c>
      <x:c r="L11" s="9" t="str">
        <x:v>Arbre proposé RED/ACCESS/dialogue; séparer ce qui est su, ce qui est affirmé et ce qui reste caché au joueur.</x:v>
      </x:c>
      <x:c r="M11" s="9" t="str">
        <x:v>Préserver l’absence active de Shepard, la relation Liara/Feron et le raccord vers ME2; les méthodes d’enquête ne changent pas le sort publié des protagonistes.</x:v>
      </x:c>
      <x:c r="N11" s="9" t="str">
        <x:v>Le lecteur peut identifier le locuteur, son but et le niveau de certitude; aucune phrase du comic n’est reproduite comme dialogue final.</x:v>
      </x:c>
      <x:c r="O11" s="9" t="str">
        <x:v>RED-SC-ACCESS-MAIN</x:v>
      </x:c>
      <x:c r="P11" s="9" t="str">
        <x:v>Écriture originale à partir des thèmes, sans transcrire les bulles.</x:v>
      </x:c>
      <x:c r="Q11" s="9" t="str"/>
      <x:c r="R11" s="20" t="str"/>
      <x:c r="S11" s="20" t="str"/>
    </x:row>
    <x:row r="12" ht="68" customHeight="1">
      <x:c r="A12" s="19" t="str">
        <x:v>RED-SC-RECOVER-DIA</x:v>
      </x:c>
      <x:c r="B12" s="7" t="str">
        <x:v>Récupération et séparation — intentions de conversation</x:v>
      </x:c>
      <x:c r="C12" s="15" t="str">
        <x:v>Défini</x:v>
      </x:c>
      <x:c r="D12" s="17" t="str">
        <x:v>Extrapolation</x:v>
      </x:c>
      <x:c r="E12" s="17" t="str">
        <x:v>P1</x:v>
      </x:c>
      <x:c r="F12" s="7" t="str">
        <x:v>Faire comprendre par actions l’écart entre les paroles et les loyautés de Feron.</x:v>
      </x:c>
      <x:c r="G12" s="7" t="str">
        <x:v>Préserver le thème « actes et confiance »; échanges nouveaux, sans recopier les bulles.</x:v>
      </x:c>
      <x:c r="H12" s="7" t="str">
        <x:v>Proposer questions de contexte, reformulation et fin de conversation; les informations nécessaires restent accessibles après une réponse sceptique.</x:v>
      </x:c>
      <x:c r="I12" s="7" t="str">
        <x:v>Portraits sobres avec locuteur et destinataire; encart distinct si l’information est un soupçon.</x:v>
      </x:c>
      <x:c r="J12" s="7" t="str">
        <x:v>Entrée prudente, geste d'inspection et retour au contrôle pour « Récupération et séparation »; poser les sprites avant tout changement de caméra.</x:v>
      </x:c>
      <x:c r="K12" s="7" t="str">
        <x:v>Dialogue original à écrire; texte intégral accessible, avance manuelle et rappel des locuteurs.</x:v>
      </x:c>
      <x:c r="L12" s="7" t="str">
        <x:v>Arbre proposé RED/RECOVER/dialogue; séparer ce qui est su, ce qui est affirmé et ce qui reste caché au joueur.</x:v>
      </x:c>
      <x:c r="M12" s="7" t="str">
        <x:v>Préserver l’absence active de Shepard, la relation Liara/Feron et le raccord vers ME2; les méthodes d’enquête ne changent pas le sort publié des protagonistes.</x:v>
      </x:c>
      <x:c r="N12" s="7" t="str">
        <x:v>Le lecteur peut identifier le locuteur, son but et le niveau de certitude; aucune phrase du comic n’est reproduite comme dialogue final.</x:v>
      </x:c>
      <x:c r="O12" s="7" t="str">
        <x:v>RED-SC-RECOVER-MAIN</x:v>
      </x:c>
      <x:c r="P12" s="7" t="str">
        <x:v>Écriture originale à partir des thèmes, sans transcrire les bulles.</x:v>
      </x:c>
      <x:c r="Q12" s="7" t="str"/>
      <x:c r="R12" s="21" t="str"/>
      <x:c r="S12" s="21" t="str"/>
    </x:row>
  </x:sheetData>
  <x:conditionalFormatting sqref="D7:D12">
    <x:cfRule type="cellIs" dxfId="48" priority="1" operator="equal">
      <x:formula>"À vérifier"</x:formula>
    </x:cfRule>
    <x:cfRule type="cellIs" dxfId="49" priority="2" operator="equal">
      <x:formula>"Extrapolation"</x:formula>
    </x:cfRule>
  </x:conditionalFormatting>
  <x:conditionalFormatting sqref="C7:C12">
    <x:cfRule type="cellIs" dxfId="50" priority="3" operator="equal">
      <x:formula>"Validé"</x:formula>
    </x:cfRule>
  </x:conditionalFormatting>
  <x:conditionalFormatting sqref="E7:E12">
    <x:cfRule type="cellIs" dxfId="5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adf0f8fdb2804b06"/>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Redemption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RED-SC-CONTACT-CINE</x:v>
      </x:c>
      <x:c r="B7" s="9" t="str">
        <x:v>Contact sur Omega — raccord mis en scène</x:v>
      </x:c>
      <x:c r="C7" s="15" t="str">
        <x:v>Défini</x:v>
      </x:c>
      <x:c r="D7" s="16" t="str">
        <x:v>Extrapolation</x:v>
      </x:c>
      <x:c r="E7" s="16" t="str">
        <x:v>P1</x:v>
      </x:c>
      <x:c r="F7" s="9" t="str">
        <x:v>Plan d’ensemble du carrefour puis champ rapproché sur les deux silhouettes, sans reproduire les cases.</x:v>
      </x:c>
      <x:c r="G7" s="9" t="str">
        <x:v>Observation → questions → découverte d’un passage → sortie du duo.</x:v>
      </x:c>
      <x:c r="H7" s="9" t="str"/>
      <x:c r="I7" s="9" t="str">
        <x:v>Alcôve latérale et contre-jour industriel; un ruban lumineux guide la sortie.</x:v>
      </x:c>
      <x:c r="J7" s="9" t="str">
        <x:v>Entrée prudente, geste d'inspection et retour au contrôle pour « Contact sur Omega »; poser les sprites avant tout changement de caméra.</x:v>
      </x:c>
      <x:c r="K7" s="9" t="str">
        <x:v>Brouhaha bas et motif de deux notes dissonantes.</x:v>
      </x:c>
      <x:c r="L7" s="9" t="str">
        <x:v>Séquence proposée RED/CONTACT/cinematic; mise à jour des états avant restitution du contrôle; bouton passer et relecture séparés.</x:v>
      </x:c>
      <x:c r="M7" s="9" t="str">
        <x:v>Préserver l’absence active de Shepard, la relation Liara/Feron et le raccord vers ME2; les méthodes d’enquête ne changent pas le sort publié des protagonistes.</x:v>
      </x:c>
      <x:c r="N7" s="9" t="str">
        <x:v>La version passée et la version regardée aboutissent au même placement, inventaire et objectif; les sous-titres ne sont pas coupés.</x:v>
      </x:c>
      <x:c r="O7" s="9" t="str">
        <x:v>RED-SC-CONTACT-MAIN</x:v>
      </x:c>
      <x:c r="P7" s="9" t="str">
        <x:v>Découpage original pour sprites 2D sur décor 3D.</x:v>
      </x:c>
      <x:c r="Q7" s="9" t="str"/>
      <x:c r="R7" s="20" t="str"/>
      <x:c r="S7" s="20" t="str"/>
    </x:row>
    <x:row r="8" ht="68" customHeight="1">
      <x:c r="A8" s="19" t="str">
        <x:v>RED-SC-AFTERLIFE-CINE</x:v>
      </x:c>
      <x:c r="B8" s="7" t="str">
        <x:v>Entretien à Afterlife — raccord mis en scène</x:v>
      </x:c>
      <x:c r="C8" s="15" t="str">
        <x:v>Défini</x:v>
      </x:c>
      <x:c r="D8" s="17" t="str">
        <x:v>Extrapolation</x:v>
      </x:c>
      <x:c r="E8" s="17" t="str">
        <x:v>P1</x:v>
      </x:c>
      <x:c r="F8" s="7" t="str">
        <x:v>Aria domine le cadre en hauteur; le duo occupe le bas, puis la sortie reprend une caméra jouable.</x:v>
      </x:c>
      <x:c r="G8" s="7" t="str">
        <x:v>Antichambre → présentation → question ciblée → validation de la piste.</x:v>
      </x:c>
      <x:c r="H8" s="7" t="str"/>
      <x:c r="I8" s="7" t="str">
        <x:v>Fauteuil au fond, foule réduite en silhouettes et trajet libre entre les deux.</x:v>
      </x:c>
      <x:c r="J8" s="7" t="str">
        <x:v>Entrée prudente, geste d'inspection et retour au contrôle pour « Entretien à Afterlife »; poser les sprites avant tout changement de caméra.</x:v>
      </x:c>
      <x:c r="K8" s="7" t="str">
        <x:v>Musique de club originale filtrée durant la conversation.</x:v>
      </x:c>
      <x:c r="L8" s="7" t="str">
        <x:v>Séquence proposée RED/AFTERLIFE/cinematic; mise à jour des états avant restitution du contrôle; bouton passer et relecture séparés.</x:v>
      </x:c>
      <x:c r="M8" s="7" t="str">
        <x:v>Préserver l’absence active de Shepard, la relation Liara/Feron et le raccord vers ME2; les méthodes d’enquête ne changent pas le sort publié des protagonistes.</x:v>
      </x:c>
      <x:c r="N8" s="7" t="str">
        <x:v>La version passée et la version regardée aboutissent au même placement, inventaire et objectif; les sous-titres ne sont pas coupés.</x:v>
      </x:c>
      <x:c r="O8" s="7" t="str">
        <x:v>RED-SC-AFTERLIFE-MAIN</x:v>
      </x:c>
      <x:c r="P8" s="7" t="str">
        <x:v>Découpage original pour sprites 2D sur décor 3D.</x:v>
      </x:c>
      <x:c r="Q8" s="7" t="str"/>
      <x:c r="R8" s="21" t="str"/>
      <x:c r="S8" s="21" t="str"/>
    </x:row>
    <x:row r="9" ht="68" customHeight="1">
      <x:c r="A9" s="18" t="str">
        <x:v>RED-SC-DOCKS-CINE</x:v>
      </x:c>
      <x:c r="B9" s="9" t="str">
        <x:v>Docks et transfert — raccord mis en scène</x:v>
      </x:c>
      <x:c r="C9" s="15" t="str">
        <x:v>Défini</x:v>
      </x:c>
      <x:c r="D9" s="16" t="str">
        <x:v>Extrapolation</x:v>
      </x:c>
      <x:c r="E9" s="16" t="str">
        <x:v>P1</x:v>
      </x:c>
      <x:c r="F9" s="9" t="str">
        <x:v>Glissement latéral révélant le vaisseau; la caméra ne suit pas un projectile hors écran.</x:v>
      </x:c>
      <x:c r="G9" s="9" t="str">
        <x:v>Repérage des lignes de vue → déplacement couvert → tentative d’interception → poursuite.</x:v>
      </x:c>
      <x:c r="H9" s="9" t="str"/>
      <x:c r="I9" s="9" t="str">
        <x:v>Poutres, caisses distinctes du couvert et rampe diagonale.</x:v>
      </x:c>
      <x:c r="J9" s="9" t="str">
        <x:v>Entrée prudente, geste d'inspection et retour au contrôle pour « Docks et transfert »; poser les sprites avant tout changement de caméra.</x:v>
      </x:c>
      <x:c r="K9" s="9" t="str">
        <x:v>Grue, verrou de sas et poussée de moteur.</x:v>
      </x:c>
      <x:c r="L9" s="9" t="str">
        <x:v>Séquence proposée RED/DOCKS/cinematic; mise à jour des états avant restitution du contrôle; bouton passer et relecture séparés.</x:v>
      </x:c>
      <x:c r="M9" s="9" t="str">
        <x:v>Préserver l’absence active de Shepard, la relation Liara/Feron et le raccord vers ME2; les méthodes d’enquête ne changent pas le sort publié des protagonistes.</x:v>
      </x:c>
      <x:c r="N9" s="9" t="str">
        <x:v>La version passée et la version regardée aboutissent au même placement, inventaire et objectif; les sous-titres ne sont pas coupés.</x:v>
      </x:c>
      <x:c r="O9" s="9" t="str">
        <x:v>RED-SC-DOCKS-MAIN</x:v>
      </x:c>
      <x:c r="P9" s="9" t="str">
        <x:v>Découpage original pour sprites 2D sur décor 3D.</x:v>
      </x:c>
      <x:c r="Q9" s="9" t="str"/>
      <x:c r="R9" s="20" t="str"/>
      <x:c r="S9" s="20" t="str"/>
    </x:row>
    <x:row r="10" ht="68" customHeight="1">
      <x:c r="A10" s="19" t="str">
        <x:v>RED-SC-PURSUIT-CINE</x:v>
      </x:c>
      <x:c r="B10" s="7" t="str">
        <x:v>Rejoindre la base — raccord mis en scène</x:v>
      </x:c>
      <x:c r="C10" s="15" t="str">
        <x:v>Défini</x:v>
      </x:c>
      <x:c r="D10" s="17" t="str">
        <x:v>Extrapolation</x:v>
      </x:c>
      <x:c r="E10" s="17" t="str">
        <x:v>P1</x:v>
      </x:c>
      <x:c r="F10" s="7" t="str">
        <x:v>Vue de cockpit simplifiée alternant avec une vue extérieure d’orientation.</x:v>
      </x:c>
      <x:c r="G10" s="7" t="str">
        <x:v>Départ → manœuvres proposées → identification du relais → arrivée.</x:v>
      </x:c>
      <x:c r="H10" s="7" t="str"/>
      <x:c r="I10" s="7" t="str">
        <x:v>Repères de navigation espacés et point de destination fixe.</x:v>
      </x:c>
      <x:c r="J10" s="7" t="str">
        <x:v>Entrée prudente, geste d'inspection et retour au contrôle pour « Rejoindre la base »; poser les sprites avant tout changement de caméra.</x:v>
      </x:c>
      <x:c r="K10" s="7" t="str">
        <x:v>Bourdonnement de coque puis silence radio annoncé.</x:v>
      </x:c>
      <x:c r="L10" s="7" t="str">
        <x:v>Séquence proposée RED/PURSUIT/cinematic; mise à jour des états avant restitution du contrôle; bouton passer et relecture séparés.</x:v>
      </x:c>
      <x:c r="M10" s="7" t="str">
        <x:v>Préserver l’absence active de Shepard, la relation Liara/Feron et le raccord vers ME2; les méthodes d’enquête ne changent pas le sort publié des protagonistes.</x:v>
      </x:c>
      <x:c r="N10" s="7" t="str">
        <x:v>La version passée et la version regardée aboutissent au même placement, inventaire et objectif; les sous-titres ne sont pas coupés.</x:v>
      </x:c>
      <x:c r="O10" s="7" t="str">
        <x:v>RED-SC-PURSUIT-MAIN</x:v>
      </x:c>
      <x:c r="P10" s="7" t="str">
        <x:v>Découpage original pour sprites 2D sur décor 3D.</x:v>
      </x:c>
      <x:c r="Q10" s="7" t="str"/>
      <x:c r="R10" s="21" t="str"/>
      <x:c r="S10" s="21" t="str"/>
    </x:row>
    <x:row r="11" ht="68" customHeight="1">
      <x:c r="A11" s="18" t="str">
        <x:v>RED-SC-ACCESS-CINE</x:v>
      </x:c>
      <x:c r="B11" s="9" t="str">
        <x:v>Identité et accès compartimentés — raccord mis en scène</x:v>
      </x:c>
      <x:c r="C11" s="15" t="str">
        <x:v>Défini</x:v>
      </x:c>
      <x:c r="D11" s="16" t="str">
        <x:v>Extrapolation</x:v>
      </x:c>
      <x:c r="E11" s="16" t="str">
        <x:v>P1</x:v>
      </x:c>
      <x:c r="F11" s="9" t="str">
        <x:v>Cadres fixes derrière les contrôles, visibilité de la sortie maintenue.</x:v>
      </x:c>
      <x:c r="G11" s="9" t="str">
        <x:v>Sas → contrôle d’identité → relais local → accès au secteur suivant.</x:v>
      </x:c>
      <x:c r="H11" s="9" t="str"/>
      <x:c r="I11" s="9" t="str">
        <x:v>Cloisons opaques, câbles de relais et panneaux d’accès individualisés.</x:v>
      </x:c>
      <x:c r="J11" s="9" t="str">
        <x:v>Entrée prudente, geste d'inspection et retour au contrôle pour « Identité et accès compartimentés »; poser les sprites avant tout changement de caméra.</x:v>
      </x:c>
      <x:c r="K11" s="9" t="str">
        <x:v>Interphone étouffé et clics d’autorisation.</x:v>
      </x:c>
      <x:c r="L11" s="9" t="str">
        <x:v>Séquence proposée RED/ACCESS/cinematic; mise à jour des états avant restitution du contrôle; bouton passer et relecture séparés.</x:v>
      </x:c>
      <x:c r="M11" s="9" t="str">
        <x:v>Préserver l’absence active de Shepard, la relation Liara/Feron et le raccord vers ME2; les méthodes d’enquête ne changent pas le sort publié des protagonistes.</x:v>
      </x:c>
      <x:c r="N11" s="9" t="str">
        <x:v>La version passée et la version regardée aboutissent au même placement, inventaire et objectif; les sous-titres ne sont pas coupés.</x:v>
      </x:c>
      <x:c r="O11" s="9" t="str">
        <x:v>RED-SC-ACCESS-MAIN</x:v>
      </x:c>
      <x:c r="P11" s="9" t="str">
        <x:v>Découpage original pour sprites 2D sur décor 3D.</x:v>
      </x:c>
      <x:c r="Q11" s="9" t="str"/>
      <x:c r="R11" s="20" t="str"/>
      <x:c r="S11" s="20" t="str"/>
    </x:row>
    <x:row r="12" ht="68" customHeight="1">
      <x:c r="A12" s="19" t="str">
        <x:v>RED-SC-RECOVER-CINE</x:v>
      </x:c>
      <x:c r="B12" s="7" t="str">
        <x:v>Récupération et séparation — raccord mis en scène</x:v>
      </x:c>
      <x:c r="C12" s="15" t="str">
        <x:v>Défini</x:v>
      </x:c>
      <x:c r="D12" s="17" t="str">
        <x:v>Extrapolation</x:v>
      </x:c>
      <x:c r="E12" s="17" t="str">
        <x:v>P1</x:v>
      </x:c>
      <x:c r="F12" s="7" t="str">
        <x:v>Plan large du hangar, séparation spatiale du duo puis fermeture lente du cadre.</x:v>
      </x:c>
      <x:c r="G12" s="7" t="str">
        <x:v>Préparation du duo → fenêtre de transfert → sortie de Liara → raccord narratif.</x:v>
      </x:c>
      <x:c r="H12" s="7" t="str"/>
      <x:c r="I12" s="7" t="str">
        <x:v>Rampe lumineuse, silhouette du partenaire à distance, conteneur sans visage imposé de Shepard.</x:v>
      </x:c>
      <x:c r="J12" s="7" t="str">
        <x:v>Entrée prudente, geste d'inspection et retour au contrôle pour « Récupération et séparation »; poser les sprites avant tout changement de caméra.</x:v>
      </x:c>
      <x:c r="K12" s="7" t="str">
        <x:v>Moteur croissant, communication coupée puis thème inachevé original.</x:v>
      </x:c>
      <x:c r="L12" s="7" t="str">
        <x:v>Séquence proposée RED/RECOVER/cinematic; mise à jour des états avant restitution du contrôle; bouton passer et relecture séparés.</x:v>
      </x:c>
      <x:c r="M12" s="7" t="str">
        <x:v>Préserver l’absence active de Shepard, la relation Liara/Feron et le raccord vers ME2; les méthodes d’enquête ne changent pas le sort publié des protagonistes.</x:v>
      </x:c>
      <x:c r="N12" s="7" t="str">
        <x:v>La version passée et la version regardée aboutissent au même placement, inventaire et objectif; les sous-titres ne sont pas coupés.</x:v>
      </x:c>
      <x:c r="O12" s="7" t="str">
        <x:v>RED-SC-RECOVER-MAIN</x:v>
      </x:c>
      <x:c r="P12" s="7" t="str">
        <x:v>Découpage original pour sprites 2D sur décor 3D.</x:v>
      </x:c>
      <x:c r="Q12" s="7" t="str"/>
      <x:c r="R12" s="21" t="str"/>
      <x:c r="S12" s="21" t="str"/>
    </x:row>
  </x:sheetData>
  <x:conditionalFormatting sqref="D7:D12">
    <x:cfRule type="cellIs" dxfId="52" priority="1" operator="equal">
      <x:formula>"À vérifier"</x:formula>
    </x:cfRule>
    <x:cfRule type="cellIs" dxfId="53" priority="2" operator="equal">
      <x:formula>"Extrapolation"</x:formula>
    </x:cfRule>
  </x:conditionalFormatting>
  <x:conditionalFormatting sqref="C7:C12">
    <x:cfRule type="cellIs" dxfId="54" priority="3" operator="equal">
      <x:formula>"Validé"</x:formula>
    </x:cfRule>
  </x:conditionalFormatting>
  <x:conditionalFormatting sqref="E7:E12">
    <x:cfRule type="cellIs" dxfId="5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a45f6e14cb8646d9"/>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Redemption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RED-KIT-SIDEARM</x:v>
      </x:c>
      <x:c r="B7" s="9" t="str">
        <x:v>Arme de poing de production</x:v>
      </x:c>
      <x:c r="C7" s="15" t="str">
        <x:v>Défini</x:v>
      </x:c>
      <x:c r="D7" s="16" t="str">
        <x:v>Extrapolation</x:v>
      </x:c>
      <x:c r="E7" s="16" t="str">
        <x:v>P1</x:v>
      </x:c>
      <x:c r="F7" s="9" t="str">
        <x:v>Profil léger proposé pour les confrontations du duo.</x:v>
      </x:c>
      <x:c r="G7" s="9" t="str">
        <x:v>Ne pas attribuer un modèle précis sans inspection des cases.</x:v>
      </x:c>
      <x:c r="H7" s="9" t="str">
        <x:v>Tir court, précision stable, coût ATB annoncé; couverture réduit la ligne de tir.</x:v>
      </x:c>
      <x:c r="I7" s="9" t="str">
        <x:v>Silhouette compacte, canon lisible, palette neutre.</x:v>
      </x:c>
      <x:c r="J7" s="9" t="str">
        <x:v>Sortie du holster, visée, recul et rangement.</x:v>
      </x:c>
      <x:c r="K7" s="9" t="str">
        <x:v>Confirmation audiovisuelle originale, doublée d’un libellé.</x:v>
      </x:c>
      <x:c r="L7" s="9" t="str">
        <x:v>Spécification de ressource RED/kit/SIDEARM; données séparées du moteur, interface de coût et états d'épuisement prévus.</x:v>
      </x:c>
      <x:c r="M7" s="9" t="str">
        <x:v>Préserver l’absence active de Shepard, la relation Liara/Feron et le raccord vers ME2; les méthodes d’enquête ne changent pas le sort publié des protagonistes.</x:v>
      </x:c>
      <x:c r="N7" s="9" t="str">
        <x:v>Le sprite d’arme suit la main et le tir ne traverse pas le couvert.</x:v>
      </x:c>
      <x:c r="O7" s="9" t="str"/>
      <x:c r="P7" s="9" t="str">
        <x:v>Création de gameplay et direction visuelle originales; modèle exact à vérifier si une arme source est évoquée.</x:v>
      </x:c>
      <x:c r="Q7" s="9" t="str"/>
      <x:c r="R7" s="20" t="str"/>
      <x:c r="S7" s="20" t="str"/>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3baa67b2cd7b47a2"/>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Redemption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RED-KIT-ACCESS</x:v>
      </x:c>
      <x:c r="B7" s="9" t="str">
        <x:v>Kit de couverture de Feron</x:v>
      </x:c>
      <x:c r="C7" s="15" t="str">
        <x:v>Défini</x:v>
      </x:c>
      <x:c r="D7" s="16" t="str">
        <x:v>Extrapolation</x:v>
      </x:c>
      <x:c r="E7" s="16" t="str">
        <x:v>P1</x:v>
      </x:c>
      <x:c r="F7" s="9" t="str">
        <x:v>Ressource locale originale pour préparer un contrôle.</x:v>
      </x:c>
      <x:c r="G7" s="9" t="str">
        <x:v>Matérialiser la préparation d’identité.</x:v>
      </x:c>
      <x:c r="H7" s="9" t="str">
        <x:v>Usage limité au secteur préparé; vérifier le coût avant validation.</x:v>
      </x:c>
      <x:c r="I7" s="9" t="str">
        <x:v>Petite carte, affichage du secteur en texte.</x:v>
      </x:c>
      <x:c r="J7" s="9" t="str">
        <x:v>Inspection à une main et remise en poche.</x:v>
      </x:c>
      <x:c r="K7" s="9" t="str">
        <x:v>Confirmation audiovisuelle originale, doublée d’un libellé.</x:v>
      </x:c>
      <x:c r="L7" s="9" t="str">
        <x:v>Spécification de ressource RED/kit/ACCESS; données séparées du moteur, interface de coût et états d'épuisement prévus.</x:v>
      </x:c>
      <x:c r="M7" s="9" t="str">
        <x:v>Préserver l’absence active de Shepard, la relation Liara/Feron et le raccord vers ME2; les méthodes d’enquête ne changent pas le sort publié des protagonistes.</x:v>
      </x:c>
      <x:c r="N7" s="9" t="str">
        <x:v>Impossible d’ouvrir un accès qui n’a pas été préparé.</x:v>
      </x:c>
      <x:c r="O7" s="9" t="str"/>
      <x:c r="P7" s="9" t="str">
        <x:v>Création de gameplay et direction visuelle originales; modèle exact à vérifier si une arme source est évoquée.</x:v>
      </x:c>
      <x:c r="Q7" s="9" t="str"/>
      <x:c r="R7" s="20" t="str"/>
      <x:c r="S7" s="20" t="str"/>
    </x:row>
  </x:sheetData>
  <x:conditionalFormatting sqref="D7:D7">
    <x:cfRule type="cellIs" dxfId="60" priority="1" operator="equal">
      <x:formula>"À vérifier"</x:formula>
    </x:cfRule>
    <x:cfRule type="cellIs" dxfId="61" priority="2" operator="equal">
      <x:formula>"Extrapolation"</x:formula>
    </x:cfRule>
  </x:conditionalFormatting>
  <x:conditionalFormatting sqref="C7:C7">
    <x:cfRule type="cellIs" dxfId="62" priority="3" operator="equal">
      <x:formula>"Validé"</x:formula>
    </x:cfRule>
  </x:conditionalFormatting>
  <x:conditionalFormatting sqref="E7:E7">
    <x:cfRule type="cellIs" dxfId="6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59e161686ea94c63"/>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Redemption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RED-KIT-BIOTIC</x:v>
      </x:c>
      <x:c r="B7" s="9" t="str">
        <x:v>Déplacement biotique proposé</x:v>
      </x:c>
      <x:c r="C7" s="15" t="str">
        <x:v>Défini</x:v>
      </x:c>
      <x:c r="D7" s="16" t="str">
        <x:v>Extrapolation</x:v>
      </x:c>
      <x:c r="E7" s="16" t="str">
        <x:v>P1</x:v>
      </x:c>
      <x:c r="F7" s="9" t="str">
        <x:v>Pouvoir tactique original inspiré du rôle de Liara, sans valeur canon.</x:v>
      </x:c>
      <x:c r="G7" s="9" t="str">
        <x:v>Créer des fenêtres de traversée.</x:v>
      </x:c>
      <x:c r="H7" s="9" t="str">
        <x:v>Sélectionner un objet léger ou une cible compatible; obstacles fixes exclus; coût visible.</x:v>
      </x:c>
      <x:c r="I7" s="9" t="str">
        <x:v>Contour cyan et destination marquée.</x:v>
      </x:c>
      <x:c r="J7" s="9" t="str">
        <x:v>Bras écartés puis relâchement.</x:v>
      </x:c>
      <x:c r="K7" s="9" t="str">
        <x:v>Confirmation audiovisuelle originale, doublée d’un libellé.</x:v>
      </x:c>
      <x:c r="L7" s="9" t="str">
        <x:v>Spécification de ressource RED/kit/BIOTIC; données séparées du moteur, interface de coût et états d'épuisement prévus.</x:v>
      </x:c>
      <x:c r="M7" s="9" t="str">
        <x:v>Préserver l’absence active de Shepard, la relation Liara/Feron et le raccord vers ME2; les méthodes d’enquête ne changent pas le sort publié des protagonistes.</x:v>
      </x:c>
      <x:c r="N7" s="9" t="str">
        <x:v>La prévisualisation correspond au résultat et ne déplace pas un objet narratif verrouillé.</x:v>
      </x:c>
      <x:c r="O7" s="9" t="str"/>
      <x:c r="P7" s="9" t="str">
        <x:v>Création de gameplay et direction visuelle originales; modèle exact à vérifier si une arme source est évoquée.</x:v>
      </x:c>
      <x:c r="Q7" s="9" t="str"/>
      <x:c r="R7" s="20" t="str"/>
      <x:c r="S7" s="20"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346be3b2a7694e6c"/>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Redemption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RED-ALLY-LIARA</x:v>
      </x:c>
      <x:c r="B7" s="9" t="str">
        <x:v>Écran de passage</x:v>
      </x:c>
      <x:c r="C7" s="15" t="str">
        <x:v>Défini</x:v>
      </x:c>
      <x:c r="D7" s="16" t="str">
        <x:v>Extrapolation</x:v>
      </x:c>
      <x:c r="E7" s="16" t="str">
        <x:v>P1</x:v>
      </x:c>
      <x:c r="F7" s="9" t="str">
        <x:v>Action de groupe originale pour Liara T’Soni.</x:v>
      </x:c>
      <x:c r="G7" s="9" t="str">
        <x:v>Héroïne du duo; maîtrise du terrain et questions d’enquête.</x:v>
      </x:c>
      <x:c r="H7" s="9" t="str">
        <x:v>Proposition : dépenser une action pour déplacer un obstacle léger et ouvrir un passage au partenaire; inutile contre une structure fixe.</x:v>
      </x:c>
      <x:c r="I7" s="9" t="str">
        <x:v>Contour cyan de l’obstacle et flèche vers la case d’arrivée.</x:v>
      </x:c>
      <x:c r="J7" s="9" t="str">
        <x:v>Garde ouverte, poussée des deux bras, lecture d’un terminal, protection du partenaire.</x:v>
      </x:c>
      <x:c r="K7" s="9" t="str">
        <x:v>Confirmation courte doublée d’un pictogramme; événement silencieux visible dans le journal de combat.</x:v>
      </x:c>
      <x:c r="L7" s="9" t="str">
        <x:v>Commande ATB proposée RED/LIARA/assist; résoudre cible, coût proposé, contre-mesure et annulation avant les dégâts.</x:v>
      </x:c>
      <x:c r="M7" s="9" t="str">
        <x:v>Préserver l’absence active de Shepard, la relation Liara/Feron et le raccord vers ME2; les méthodes d’enquête ne changent pas le sort publié des protagonistes.</x:v>
      </x:c>
      <x:c r="N7" s="9" t="str">
        <x:v>La commande indique son coût avant validation, échoue proprement si la cible devient invalide et ne déclenche pas une action canon supplémentaire.</x:v>
      </x:c>
      <x:c r="O7" s="9" t="str">
        <x:v>RED-ACT-LIARA, RED-ANI-LIARA</x:v>
      </x:c>
      <x:c r="P7" s="9" t="str">
        <x:v>Adaptation originale du rôle; pas un pouvoir officiel du comic.</x:v>
      </x:c>
      <x:c r="Q7" s="9" t="str"/>
      <x:c r="R7" s="20" t="str"/>
      <x:c r="S7" s="20" t="str"/>
    </x:row>
    <x:row r="8" ht="68" customHeight="1">
      <x:c r="A8" s="19" t="str">
        <x:v>RED-ALLY-FERON</x:v>
      </x:c>
      <x:c r="B8" s="7" t="str">
        <x:v>Couverture d’identité</x:v>
      </x:c>
      <x:c r="C8" s="15" t="str">
        <x:v>Défini</x:v>
      </x:c>
      <x:c r="D8" s="17" t="str">
        <x:v>Extrapolation</x:v>
      </x:c>
      <x:c r="E8" s="17" t="str">
        <x:v>P1</x:v>
      </x:c>
      <x:c r="F8" s="7" t="str">
        <x:v>Action de groupe originale pour Feron.</x:v>
      </x:c>
      <x:c r="G8" s="7" t="str">
        <x:v>Soutien furtif; transforme une information en fenêtre de progression.</x:v>
      </x:c>
      <x:c r="H8" s="7" t="str">
        <x:v>Préparer une justification avant un contrôle; consommer cette préparation sur un seul accès, sans rendre tous les gardes passifs.</x:v>
      </x:c>
      <x:c r="I8" s="7" t="str">
        <x:v>Icône de laissez-passer barrée dès utilisation.</x:v>
      </x:c>
      <x:c r="J8" s="7" t="str">
        <x:v>Coup d’œil latéral, geste de passe, accroupissement et manipulation discrète.</x:v>
      </x:c>
      <x:c r="K8" s="7" t="str">
        <x:v>Confirmation courte doublée d’un pictogramme; événement silencieux visible dans le journal de combat.</x:v>
      </x:c>
      <x:c r="L8" s="7" t="str">
        <x:v>Commande ATB proposée RED/FERON/assist; résoudre cible, coût proposé, contre-mesure et annulation avant les dégâts.</x:v>
      </x:c>
      <x:c r="M8" s="7" t="str">
        <x:v>Préserver l’absence active de Shepard, la relation Liara/Feron et le raccord vers ME2; les méthodes d’enquête ne changent pas le sort publié des protagonistes.</x:v>
      </x:c>
      <x:c r="N8" s="7" t="str">
        <x:v>La commande indique son coût avant validation, échoue proprement si la cible devient invalide et ne déclenche pas une action canon supplémentaire.</x:v>
      </x:c>
      <x:c r="O8" s="7" t="str">
        <x:v>RED-ACT-FERON, RED-ANI-FERON</x:v>
      </x:c>
      <x:c r="P8" s="7" t="str">
        <x:v>Adaptation originale du rôle; pas un pouvoir officiel du comic.</x:v>
      </x:c>
      <x:c r="Q8" s="7" t="str"/>
      <x:c r="R8" s="21" t="str"/>
      <x:c r="S8" s="21" t="str"/>
    </x:row>
  </x:sheetData>
  <x:conditionalFormatting sqref="D7:D8">
    <x:cfRule type="cellIs" dxfId="68" priority="1" operator="equal">
      <x:formula>"À vérifier"</x:formula>
    </x:cfRule>
    <x:cfRule type="cellIs" dxfId="69" priority="2" operator="equal">
      <x:formula>"Extrapolation"</x:formula>
    </x:cfRule>
  </x:conditionalFormatting>
  <x:conditionalFormatting sqref="C7:C8">
    <x:cfRule type="cellIs" dxfId="70" priority="3" operator="equal">
      <x:formula>"Validé"</x:formula>
    </x:cfRule>
  </x:conditionalFormatting>
  <x:conditionalFormatting sqref="E7:E8">
    <x:cfRule type="cellIs" dxfId="71"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34735bd250ab4428"/>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Redemption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RED-EN-SUNS-M1</x:v>
      </x:c>
      <x:c r="B7" s="9" t="str">
        <x:v>Fixation de quai</x:v>
      </x:c>
      <x:c r="C7" s="15" t="str">
        <x:v>Défini</x:v>
      </x:c>
      <x:c r="D7" s="16" t="str">
        <x:v>Extrapolation</x:v>
      </x:c>
      <x:c r="E7" s="16" t="str">
        <x:v>P1</x:v>
      </x:c>
      <x:c r="F7" s="9" t="str">
        <x:v>Pattern original de tir soutenu.</x:v>
      </x:c>
      <x:c r="G7" s="9" t="str">
        <x:v>Pression armée et contrôle du quai.</x:v>
      </x:c>
      <x:c r="H7" s="9" t="str">
        <x:v>Annoncer la ligne de tir; le couvert l’interrompt, déplacement latéral la quitte.</x:v>
      </x:c>
      <x:c r="I7" s="9" t="str">
        <x:v>Ligne hachurée au sol.</x:v>
      </x:c>
      <x:c r="J7" s="9" t="str">
        <x:v>Mise en joue, maintien et recul lisible.</x:v>
      </x:c>
      <x:c r="K7" s="9" t="str">
        <x:v>Salves sèches et annonce radio inventée.</x:v>
      </x:c>
      <x:c r="L7" s="9" t="str">
        <x:v>Action proposée RED/SUNS/1; étapes annonce → attente ATB → validation cible → résolution; annulation explicite si neutralisé.</x:v>
      </x:c>
      <x:c r="M7" s="9" t="str">
        <x:v>Préserver l’absence active de Shepard, la relation Liara/Feron et le raccord vers ME2; les méthodes d’enquête ne changent pas le sort publié des protagonistes.</x:v>
      </x:c>
      <x:c r="N7" s="9" t="str">
        <x:v>Le joueur peut reconnaître la préparation et employer la contre-mesure avant la résolution; aucune attaque invisible ou imparable hors séquence annoncée.</x:v>
      </x:c>
      <x:c r="O7" s="9" t="str">
        <x:v>RED-EN-SUNS</x:v>
      </x:c>
      <x:c r="P7" s="9" t="str">
        <x:v>Pattern original; pas de valeur numérique canon.</x:v>
      </x:c>
      <x:c r="Q7" s="9" t="str"/>
      <x:c r="R7" s="20" t="str"/>
      <x:c r="S7" s="20" t="str"/>
    </x:row>
    <x:row r="8" ht="68" customHeight="1">
      <x:c r="A8" s="19" t="str">
        <x:v>RED-EN-SUNS-M2</x:v>
      </x:c>
      <x:c r="B8" s="7" t="str">
        <x:v>Verrou de passage</x:v>
      </x:c>
      <x:c r="C8" s="15" t="str">
        <x:v>Défini</x:v>
      </x:c>
      <x:c r="D8" s="17" t="str">
        <x:v>Extrapolation</x:v>
      </x:c>
      <x:c r="E8" s="17" t="str">
        <x:v>P1</x:v>
      </x:c>
      <x:c r="F8" s="7" t="str">
        <x:v>Pattern original de contrôle de terrain.</x:v>
      </x:c>
      <x:c r="G8" s="7" t="str">
        <x:v>Pression armée et contrôle du quai.</x:v>
      </x:c>
      <x:c r="H8" s="7" t="str">
        <x:v>Le mercenaire ferme un accès après préparation; interrompre sa commande ou emprunter l’accès secondaire.</x:v>
      </x:c>
      <x:c r="I8" s="7" t="str">
        <x:v>Icône de verrou sur la porte et geste vers le panneau.</x:v>
      </x:c>
      <x:c r="J8" s="7" t="str">
        <x:v>Mise en joue, maintien et recul lisible.</x:v>
      </x:c>
      <x:c r="K8" s="7" t="str">
        <x:v>Salves sèches et annonce radio inventée.</x:v>
      </x:c>
      <x:c r="L8" s="7" t="str">
        <x:v>Action proposée RED/SUNS/2; étapes annonce → attente ATB → validation cible → résolution; annulation explicite si neutralisé.</x:v>
      </x:c>
      <x:c r="M8" s="7" t="str">
        <x:v>Préserver l’absence active de Shepard, la relation Liara/Feron et le raccord vers ME2; les méthodes d’enquête ne changent pas le sort publié des protagonistes.</x:v>
      </x:c>
      <x:c r="N8" s="7" t="str">
        <x:v>Le joueur peut reconnaître la préparation et employer la contre-mesure avant la résolution; aucune attaque invisible ou imparable hors séquence annoncée.</x:v>
      </x:c>
      <x:c r="O8" s="7" t="str">
        <x:v>RED-EN-SUNS</x:v>
      </x:c>
      <x:c r="P8" s="7" t="str">
        <x:v>Pattern original; pas de valeur numérique canon.</x:v>
      </x:c>
      <x:c r="Q8" s="7" t="str"/>
      <x:c r="R8" s="21" t="str"/>
      <x:c r="S8" s="21" t="str"/>
    </x:row>
    <x:row r="9" ht="68" customHeight="1">
      <x:c r="A9" s="18" t="str">
        <x:v>RED-EN-SENTRY-M1</x:v>
      </x:c>
      <x:c r="B9" s="9" t="str">
        <x:v>Passe de contrôle</x:v>
      </x:c>
      <x:c r="C9" s="15" t="str">
        <x:v>Défini</x:v>
      </x:c>
      <x:c r="D9" s="16" t="str">
        <x:v>Extrapolation</x:v>
      </x:c>
      <x:c r="E9" s="16" t="str">
        <x:v>P1</x:v>
      </x:c>
      <x:c r="F9" s="9" t="str">
        <x:v>Manœuvre de poursuite originale.</x:v>
      </x:c>
      <x:c r="G9" s="9" t="str">
        <x:v>Menace de navigation proposée, à vérifier dans l’édition.</x:v>
      </x:c>
      <x:c r="H9" s="9" t="str">
        <x:v>Choisir un couloir abrité avant la résolution; aucun tir automatique hors écran.</x:v>
      </x:c>
      <x:c r="I9" s="9" t="str">
        <x:v>Arc de balayage.</x:v>
      </x:c>
      <x:c r="J9" s="9" t="str">
        <x:v>Virage anticipé et ligne droite de poursuite.</x:v>
      </x:c>
      <x:c r="K9" s="9" t="str">
        <x:v>Alerte brève visible dans l’afficheur.</x:v>
      </x:c>
      <x:c r="L9" s="9" t="str">
        <x:v>Action proposée RED/SENTRY/1; étapes annonce → attente ATB → validation cible → résolution; annulation explicite si neutralisé.</x:v>
      </x:c>
      <x:c r="M9" s="9" t="str">
        <x:v>Préserver l’absence active de Shepard, la relation Liara/Feron et le raccord vers ME2; les méthodes d’enquête ne changent pas le sort publié des protagonistes.</x:v>
      </x:c>
      <x:c r="N9" s="9" t="str">
        <x:v>Le joueur peut reconnaître la préparation et employer la contre-mesure avant la résolution; aucune attaque invisible ou imparable hors séquence annoncée.</x:v>
      </x:c>
      <x:c r="O9" s="9" t="str">
        <x:v>RED-EN-SENTRY</x:v>
      </x:c>
      <x:c r="P9" s="9" t="str">
        <x:v>Pattern original; pas de valeur numérique canon.</x:v>
      </x:c>
      <x:c r="Q9" s="9" t="str"/>
      <x:c r="R9" s="20" t="str"/>
      <x:c r="S9" s="20" t="str"/>
    </x:row>
    <x:row r="10" ht="68" customHeight="1">
      <x:c r="A10" s="19" t="str">
        <x:v>RED-EN-SENTRY-M2</x:v>
      </x:c>
      <x:c r="B10" s="7" t="str">
        <x:v>Interception de route</x:v>
      </x:c>
      <x:c r="C10" s="15" t="str">
        <x:v>Défini</x:v>
      </x:c>
      <x:c r="D10" s="17" t="str">
        <x:v>Extrapolation</x:v>
      </x:c>
      <x:c r="E10" s="17" t="str">
        <x:v>P1</x:v>
      </x:c>
      <x:c r="F10" s="7" t="str">
        <x:v>Verrouillage original d’une voie.</x:v>
      </x:c>
      <x:c r="G10" s="7" t="str">
        <x:v>Menace de navigation proposée, à vérifier dans l’édition.</x:v>
      </x:c>
      <x:c r="H10" s="7" t="str">
        <x:v>Changer de trajectoire pendant la préparation; conserver toujours une issue.</x:v>
      </x:c>
      <x:c r="I10" s="7" t="str">
        <x:v>Segment barré avec durée proposée visible.</x:v>
      </x:c>
      <x:c r="J10" s="7" t="str">
        <x:v>Virage anticipé et ligne droite de poursuite.</x:v>
      </x:c>
      <x:c r="K10" s="7" t="str">
        <x:v>Alerte brève visible dans l’afficheur.</x:v>
      </x:c>
      <x:c r="L10" s="7" t="str">
        <x:v>Action proposée RED/SENTRY/2; étapes annonce → attente ATB → validation cible → résolution; annulation explicite si neutralisé.</x:v>
      </x:c>
      <x:c r="M10" s="7" t="str">
        <x:v>Préserver l’absence active de Shepard, la relation Liara/Feron et le raccord vers ME2; les méthodes d’enquête ne changent pas le sort publié des protagonistes.</x:v>
      </x:c>
      <x:c r="N10" s="7" t="str">
        <x:v>Le joueur peut reconnaître la préparation et employer la contre-mesure avant la résolution; aucune attaque invisible ou imparable hors séquence annoncée.</x:v>
      </x:c>
      <x:c r="O10" s="7" t="str">
        <x:v>RED-EN-SENTRY</x:v>
      </x:c>
      <x:c r="P10" s="7" t="str">
        <x:v>Pattern original; pas de valeur numérique canon.</x:v>
      </x:c>
      <x:c r="Q10" s="7" t="str"/>
      <x:c r="R10" s="21" t="str"/>
      <x:c r="S10" s="21" t="str"/>
    </x:row>
    <x:row r="11" ht="68" customHeight="1">
      <x:c r="A11" s="18" t="str">
        <x:v>RED-EN-GUARDS-M1</x:v>
      </x:c>
      <x:c r="B11" s="9" t="str">
        <x:v>Contrôle rapproché</x:v>
      </x:c>
      <x:c r="C11" s="15" t="str">
        <x:v>Défini</x:v>
      </x:c>
      <x:c r="D11" s="16" t="str">
        <x:v>Extrapolation</x:v>
      </x:c>
      <x:c r="E11" s="16" t="str">
        <x:v>P1</x:v>
      </x:c>
      <x:c r="F11" s="9" t="str">
        <x:v>Inspection originale de couverture.</x:v>
      </x:c>
      <x:c r="G11" s="9" t="str">
        <x:v>Obstacle de furtivité avant combat.</x:v>
      </x:c>
      <x:c r="H11" s="9" t="str">
        <x:v>Présenter un droit adapté ou quitter la zone de contrôle avant son verrouillage.</x:v>
      </x:c>
      <x:c r="I11" s="9" t="str">
        <x:v>Cône de question plutôt que viseur mortel.</x:v>
      </x:c>
      <x:c r="J11" s="9" t="str">
        <x:v>Contrôle de badge puis pivot de surveillance.</x:v>
      </x:c>
      <x:c r="K11" s="9" t="str">
        <x:v>Interphone et signal d’alerte sectoriel.</x:v>
      </x:c>
      <x:c r="L11" s="9" t="str">
        <x:v>Action proposée RED/GUARDS/1; étapes annonce → attente ATB → validation cible → résolution; annulation explicite si neutralisé.</x:v>
      </x:c>
      <x:c r="M11" s="9" t="str">
        <x:v>Préserver l’absence active de Shepard, la relation Liara/Feron et le raccord vers ME2; les méthodes d’enquête ne changent pas le sort publié des protagonistes.</x:v>
      </x:c>
      <x:c r="N11" s="9" t="str">
        <x:v>Le joueur peut reconnaître la préparation et employer la contre-mesure avant la résolution; aucune attaque invisible ou imparable hors séquence annoncée.</x:v>
      </x:c>
      <x:c r="O11" s="9" t="str">
        <x:v>RED-EN-GUARDS</x:v>
      </x:c>
      <x:c r="P11" s="9" t="str">
        <x:v>Pattern original; pas de valeur numérique canon.</x:v>
      </x:c>
      <x:c r="Q11" s="9" t="str"/>
      <x:c r="R11" s="20" t="str"/>
      <x:c r="S11" s="20" t="str"/>
    </x:row>
    <x:row r="12" ht="68" customHeight="1">
      <x:c r="A12" s="19" t="str">
        <x:v>RED-EN-GUARDS-M2</x:v>
      </x:c>
      <x:c r="B12" s="7" t="str">
        <x:v>Alerte compartimentée</x:v>
      </x:c>
      <x:c r="C12" s="15" t="str">
        <x:v>Défini</x:v>
      </x:c>
      <x:c r="D12" s="17" t="str">
        <x:v>Extrapolation</x:v>
      </x:c>
      <x:c r="E12" s="17" t="str">
        <x:v>P1</x:v>
      </x:c>
      <x:c r="F12" s="7" t="str">
        <x:v>Renfort original limité au secteur.</x:v>
      </x:c>
      <x:c r="G12" s="7" t="str">
        <x:v>Obstacle de furtivité avant combat.</x:v>
      </x:c>
      <x:c r="H12" s="7" t="str">
        <x:v>Interrompre le relais local; aucun renfort n’apparaît sans entrée visible.</x:v>
      </x:c>
      <x:c r="I12" s="7" t="str">
        <x:v>Relais clignotant avec symbole d’appel.</x:v>
      </x:c>
      <x:c r="J12" s="7" t="str">
        <x:v>Contrôle de badge puis pivot de surveillance.</x:v>
      </x:c>
      <x:c r="K12" s="7" t="str">
        <x:v>Interphone et signal d’alerte sectoriel.</x:v>
      </x:c>
      <x:c r="L12" s="7" t="str">
        <x:v>Action proposée RED/GUARDS/2; étapes annonce → attente ATB → validation cible → résolution; annulation explicite si neutralisé.</x:v>
      </x:c>
      <x:c r="M12" s="7" t="str">
        <x:v>Préserver l’absence active de Shepard, la relation Liara/Feron et le raccord vers ME2; les méthodes d’enquête ne changent pas le sort publié des protagonistes.</x:v>
      </x:c>
      <x:c r="N12" s="7" t="str">
        <x:v>Le joueur peut reconnaître la préparation et employer la contre-mesure avant la résolution; aucune attaque invisible ou imparable hors séquence annoncée.</x:v>
      </x:c>
      <x:c r="O12" s="7" t="str">
        <x:v>RED-EN-GUARDS</x:v>
      </x:c>
      <x:c r="P12" s="7" t="str">
        <x:v>Pattern original; pas de valeur numérique canon.</x:v>
      </x:c>
      <x:c r="Q12" s="7" t="str"/>
      <x:c r="R12" s="21" t="str"/>
      <x:c r="S12" s="21" t="str"/>
    </x:row>
  </x:sheetData>
  <x:conditionalFormatting sqref="D7:D12">
    <x:cfRule type="cellIs" dxfId="72" priority="1" operator="equal">
      <x:formula>"À vérifier"</x:formula>
    </x:cfRule>
    <x:cfRule type="cellIs" dxfId="73" priority="2" operator="equal">
      <x:formula>"Extrapolation"</x:formula>
    </x:cfRule>
  </x:conditionalFormatting>
  <x:conditionalFormatting sqref="C7:C12">
    <x:cfRule type="cellIs" dxfId="74" priority="3" operator="equal">
      <x:formula>"Validé"</x:formula>
    </x:cfRule>
  </x:conditionalFormatting>
  <x:conditionalFormatting sqref="E7:E12">
    <x:cfRule type="cellIs" dxfId="7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813dca00e7342a3"/>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Redemption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82" customHeight="1">
      <x:c r="A7" s="18" t="str">
        <x:v>RED-ANI-LIARA</x:v>
      </x:c>
      <x:c r="B7" s="9" t="str">
        <x:v>Liara T’Soni — jeu de poses</x:v>
      </x:c>
      <x:c r="C7" s="15" t="str">
        <x:v>Défini</x:v>
      </x:c>
      <x:c r="D7" s="16" t="str">
        <x:v>Extrapolation</x:v>
      </x:c>
      <x:c r="E7" s="16" t="str">
        <x:v>P1</x:v>
      </x:c>
      <x:c r="F7" s="9" t="str">
        <x:v>Définir les transitions propres au rôle de Liara T’Soni.</x:v>
      </x:c>
      <x:c r="G7" s="9" t="str">
        <x:v>Héroïne du duo; maîtrise du terrain et questions d’enquête.</x:v>
      </x:c>
      <x:c r="H7" s="9" t="str"/>
      <x:c r="I7" s="9" t="str">
        <x:v>Peau bleue, crête asari et manteau de terrain simplifié; accents cyan réservés aux actions.</x:v>
      </x:c>
      <x:c r="J7" s="9" t="str">
        <x:v>Garde ouverte, poussée des deux bras, lecture d’un terminal, protection du partenaire.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RED/LIARA; paramètres direction, locomotion, accessoire et interruption.</x:v>
      </x:c>
      <x:c r="M7" s="9" t="str">
        <x:v>Préserver l’absence active de Shepard, la relation Liara/Feron et le raccord vers ME2; les méthodes d’enquête ne changent pas le sort publié des protagonistes.</x:v>
      </x:c>
      <x:c r="N7" s="9" t="str">
        <x:v>Un enchaînement déplacement → interaction → interruption → reprise conserve le pivot et les accessoires de Liara T’Soni.</x:v>
      </x:c>
      <x:c r="O7" s="9" t="str">
        <x:v>RED-ACT-LIARA, RED-SPR-LIARA</x:v>
      </x:c>
      <x:c r="P7" s="9" t="str">
        <x:v>Conception originale, aucune cadence extraite du comic.</x:v>
      </x:c>
      <x:c r="Q7" s="9" t="str"/>
      <x:c r="R7" s="20" t="str"/>
      <x:c r="S7" s="20" t="str"/>
    </x:row>
    <x:row r="8" ht="82" customHeight="1">
      <x:c r="A8" s="19" t="str">
        <x:v>RED-ANI-FERON</x:v>
      </x:c>
      <x:c r="B8" s="7" t="str">
        <x:v>Feron — jeu de poses</x:v>
      </x:c>
      <x:c r="C8" s="15" t="str">
        <x:v>Défini</x:v>
      </x:c>
      <x:c r="D8" s="17" t="str">
        <x:v>Extrapolation</x:v>
      </x:c>
      <x:c r="E8" s="17" t="str">
        <x:v>P1</x:v>
      </x:c>
      <x:c r="F8" s="7" t="str">
        <x:v>Définir les transitions propres au rôle de Feron.</x:v>
      </x:c>
      <x:c r="G8" s="7" t="str">
        <x:v>Soutien furtif; transforme une information en fenêtre de progression.</x:v>
      </x:c>
      <x:c r="H8" s="7" t="str"/>
      <x:c r="I8" s="7" t="str">
        <x:v>Tête reptilienne et col haut, couches de vêtement lisibles; motifs précis à vérifier.</x:v>
      </x:c>
      <x:c r="J8" s="7" t="str">
        <x:v>Coup d’œil latéral, geste de passe, accroupissement et manipulation discrète.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RED/FERON; paramètres direction, locomotion, accessoire et interruption.</x:v>
      </x:c>
      <x:c r="M8" s="7" t="str">
        <x:v>Préserver l’absence active de Shepard, la relation Liara/Feron et le raccord vers ME2; les méthodes d’enquête ne changent pas le sort publié des protagonistes.</x:v>
      </x:c>
      <x:c r="N8" s="7" t="str">
        <x:v>Un enchaînement déplacement → interaction → interruption → reprise conserve le pivot et les accessoires de Feron.</x:v>
      </x:c>
      <x:c r="O8" s="7" t="str">
        <x:v>RED-ACT-FERON, RED-SPR-FERON</x:v>
      </x:c>
      <x:c r="P8" s="7" t="str">
        <x:v>Conception originale, aucune cadence extraite du comic.</x:v>
      </x:c>
      <x:c r="Q8" s="7" t="str"/>
      <x:c r="R8" s="21" t="str"/>
      <x:c r="S8" s="21" t="str"/>
    </x:row>
    <x:row r="9" ht="68" customHeight="1">
      <x:c r="A9" s="18" t="str">
        <x:v>RED-ANI-MIRANDA</x:v>
      </x:c>
      <x:c r="B9" s="9" t="str">
        <x:v>Miranda Lawson — jeu de poses</x:v>
      </x:c>
      <x:c r="C9" s="15" t="str">
        <x:v>Défini</x:v>
      </x:c>
      <x:c r="D9" s="16" t="str">
        <x:v>Extrapolation</x:v>
      </x:c>
      <x:c r="E9" s="16" t="str">
        <x:v>P1</x:v>
      </x:c>
      <x:c r="F9" s="9" t="str">
        <x:v>Définir les transitions propres au rôle de Miranda Lawson.</x:v>
      </x:c>
      <x:c r="G9" s="9" t="str">
        <x:v>Interlocutrice de mission; présenter ses objectifs sans lui donner une omniscience de gameplay.</x:v>
      </x:c>
      <x:c r="H9" s="9" t="str"/>
      <x:c r="I9" s="9" t="str">
        <x:v>Combinaison claire à panneaux sombres, silhouette tenue; costume du numéro à comparer.</x:v>
      </x:c>
      <x:c r="J9" s="9" t="str">
        <x:v>Posture droite, main sur interface, demi-tour contrôlé. Décomposer anticipation, action, retour et interruption; garder un état neutre utilisable après une cinématique sautée.</x:v>
      </x:c>
      <x:c r="K9" s="9" t="str">
        <x:v>Associer les contacts de sol ou de siège à des événements; éviter le bruitage répété sur une pose tenue.</x:v>
      </x:c>
      <x:c r="L9" s="9" t="str">
        <x:v>Table d'animation prévue RED/MIRANDA; paramètres direction, locomotion, accessoire et interruption.</x:v>
      </x:c>
      <x:c r="M9" s="9" t="str">
        <x:v>Préserver l’absence active de Shepard, la relation Liara/Feron et le raccord vers ME2; les méthodes d’enquête ne changent pas le sort publié des protagonistes.</x:v>
      </x:c>
      <x:c r="N9" s="9" t="str">
        <x:v>Un enchaînement déplacement → interaction → interruption → reprise conserve le pivot et les accessoires de Miranda Lawson.</x:v>
      </x:c>
      <x:c r="O9" s="9" t="str">
        <x:v>RED-ACT-MIRANDA, RED-SPR-MIRANDA</x:v>
      </x:c>
      <x:c r="P9" s="9" t="str">
        <x:v>Conception originale, aucune cadence extraite du comic.</x:v>
      </x:c>
      <x:c r="Q9" s="9" t="str"/>
      <x:c r="R9" s="20" t="str"/>
      <x:c r="S9" s="20" t="str"/>
    </x:row>
    <x:row r="10" ht="68" customHeight="1">
      <x:c r="A10" s="19" t="str">
        <x:v>RED-ANI-ARIA</x:v>
      </x:c>
      <x:c r="B10" s="7" t="str">
        <x:v>Aria T’Loak — jeu de poses</x:v>
      </x:c>
      <x:c r="C10" s="15" t="str">
        <x:v>Défini</x:v>
      </x:c>
      <x:c r="D10" s="17" t="str">
        <x:v>Extrapolation</x:v>
      </x:c>
      <x:c r="E10" s="17" t="str">
        <x:v>P1</x:v>
      </x:c>
      <x:c r="F10" s="7" t="str">
        <x:v>Définir les transitions propres au rôle de Aria T’Loak.</x:v>
      </x:c>
      <x:c r="G10" s="7" t="str">
        <x:v>Négociation brève, accès à une information, autorité locale.</x:v>
      </x:c>
      <x:c r="H10" s="7" t="str"/>
      <x:c r="I10" s="7" t="str">
        <x:v>Silhouette asari angulaire, fauteuil en contre-jour et éclairage violet limité au fond.</x:v>
      </x:c>
      <x:c r="J10" s="7" t="str">
        <x:v>Immobilité dominante, inclinaison de tête, geste qui clôt l’entretien. Décomposer anticipation, action, retour et interruption; garder un état neutre utilisable après une cinématique sautée.</x:v>
      </x:c>
      <x:c r="K10" s="7" t="str">
        <x:v>Associer les contacts de sol ou de siège à des événements; éviter le bruitage répété sur une pose tenue.</x:v>
      </x:c>
      <x:c r="L10" s="7" t="str">
        <x:v>Table d'animation prévue RED/ARIA; paramètres direction, locomotion, accessoire et interruption.</x:v>
      </x:c>
      <x:c r="M10" s="7" t="str">
        <x:v>Préserver l’absence active de Shepard, la relation Liara/Feron et le raccord vers ME2; les méthodes d’enquête ne changent pas le sort publié des protagonistes.</x:v>
      </x:c>
      <x:c r="N10" s="7" t="str">
        <x:v>Un enchaînement déplacement → interaction → interruption → reprise conserve le pivot et les accessoires de Aria T’Loak.</x:v>
      </x:c>
      <x:c r="O10" s="7" t="str">
        <x:v>RED-ACT-ARIA, RED-SPR-ARIA</x:v>
      </x:c>
      <x:c r="P10" s="7" t="str">
        <x:v>Conception originale, aucune cadence extraite du comic.</x:v>
      </x:c>
      <x:c r="Q10" s="7" t="str"/>
      <x:c r="R10" s="21" t="str"/>
      <x:c r="S10" s="21" t="str"/>
    </x:row>
    <x:row r="11" ht="68" customHeight="1">
      <x:c r="A11" s="18" t="str">
        <x:v>RED-ANI-TIM</x:v>
      </x:c>
      <x:c r="B11" s="9" t="str">
        <x:v>L’Homme trouble — jeu de poses</x:v>
      </x:c>
      <x:c r="C11" s="15" t="str">
        <x:v>Défini</x:v>
      </x:c>
      <x:c r="D11" s="16" t="str">
        <x:v>Extrapolation</x:v>
      </x:c>
      <x:c r="E11" s="16" t="str">
        <x:v>P1</x:v>
      </x:c>
      <x:c r="F11" s="9" t="str">
        <x:v>Définir les transitions propres au rôle de L’Homme trouble.</x:v>
      </x:c>
      <x:c r="G11" s="9" t="str">
        <x:v>Communication distante; exposer une proposition sans la valider moralement par l’interface.</x:v>
      </x:c>
      <x:c r="H11" s="9" t="str"/>
      <x:c r="I11" s="9" t="str">
        <x:v>Visage partiellement éclairé dans un cadre holographique sobre.</x:v>
      </x:c>
      <x:c r="J11" s="9" t="str">
        <x:v>Regard fixe, déplacement léger de la main, interruption du canal. Décomposer anticipation, action, retour et interruption; garder un état neutre utilisable après une cinématique sautée.</x:v>
      </x:c>
      <x:c r="K11" s="9" t="str">
        <x:v>Associer les contacts de sol ou de siège à des événements; éviter le bruitage répété sur une pose tenue.</x:v>
      </x:c>
      <x:c r="L11" s="9" t="str">
        <x:v>Table d'animation prévue RED/TIM; paramètres direction, locomotion, accessoire et interruption.</x:v>
      </x:c>
      <x:c r="M11" s="9" t="str">
        <x:v>Préserver l’absence active de Shepard, la relation Liara/Feron et le raccord vers ME2; les méthodes d’enquête ne changent pas le sort publié des protagonistes.</x:v>
      </x:c>
      <x:c r="N11" s="9" t="str">
        <x:v>Un enchaînement déplacement → interaction → interruption → reprise conserve le pivot et les accessoires de L’Homme trouble.</x:v>
      </x:c>
      <x:c r="O11" s="9" t="str">
        <x:v>RED-ACT-TIM, RED-SPR-TIM</x:v>
      </x:c>
      <x:c r="P11" s="9" t="str">
        <x:v>Conception originale, aucune cadence extraite du comic.</x:v>
      </x:c>
      <x:c r="Q11" s="9" t="str"/>
      <x:c r="R11" s="20" t="str"/>
      <x:c r="S11" s="20" t="str"/>
    </x:row>
    <x:row r="12" ht="68" customHeight="1">
      <x:c r="A12" s="19" t="str">
        <x:v>RED-ANI-TAZZIK</x:v>
      </x:c>
      <x:c r="B12" s="7" t="str">
        <x:v>Tazzik — jeu de poses</x:v>
      </x:c>
      <x:c r="C12" s="15" t="str">
        <x:v>Défini</x:v>
      </x:c>
      <x:c r="D12" s="17" t="str">
        <x:v>Extrapolation</x:v>
      </x:c>
      <x:c r="E12" s="17" t="str">
        <x:v>P1</x:v>
      </x:c>
      <x:c r="F12" s="7" t="str">
        <x:v>Définir les transitions propres au rôle de Tazzik.</x:v>
      </x:c>
      <x:c r="G12" s="7" t="str">
        <x:v>Antagoniste identifiable; pression à distance et obstacle à la récupération.</x:v>
      </x:c>
      <x:c r="H12" s="7" t="str"/>
      <x:c r="I12" s="7" t="str">
        <x:v>Silhouette salariane exceptionnellement imposante à contrôler; épaules lisibles, teinte froide.</x:v>
      </x:c>
      <x:c r="J12" s="7" t="str">
        <x:v>Visée basse, recul bref, blocage de passage et retournement. Décomposer anticipation, action, retour et interruption; garder un état neutre utilisable après une cinématique sautée.</x:v>
      </x:c>
      <x:c r="K12" s="7" t="str">
        <x:v>Associer les contacts de sol ou de siège à des événements; éviter le bruitage répété sur une pose tenue.</x:v>
      </x:c>
      <x:c r="L12" s="7" t="str">
        <x:v>Table d'animation prévue RED/TAZZIK; paramètres direction, locomotion, accessoire et interruption.</x:v>
      </x:c>
      <x:c r="M12" s="7" t="str">
        <x:v>Préserver l’absence active de Shepard, la relation Liara/Feron et le raccord vers ME2; les méthodes d’enquête ne changent pas le sort publié des protagonistes.</x:v>
      </x:c>
      <x:c r="N12" s="7" t="str">
        <x:v>Un enchaînement déplacement → interaction → interruption → reprise conserve le pivot et les accessoires de Tazzik.</x:v>
      </x:c>
      <x:c r="O12" s="7" t="str">
        <x:v>RED-ACT-TAZZIK, RED-SPR-TAZZIK</x:v>
      </x:c>
      <x:c r="P12" s="7" t="str">
        <x:v>Conception originale, aucune cadence extraite du comic.</x:v>
      </x:c>
      <x:c r="Q12" s="7" t="str"/>
      <x:c r="R12" s="21" t="str"/>
      <x:c r="S12" s="21" t="str"/>
    </x:row>
    <x:row r="13" ht="68" customHeight="1">
      <x:c r="A13" s="18" t="str">
        <x:v>RED-ANI-BROKER</x:v>
      </x:c>
      <x:c r="B13" s="9" t="str">
        <x:v>Courtier de l’ombre — représentation distante — jeu de poses</x:v>
      </x:c>
      <x:c r="C13" s="15" t="str">
        <x:v>Défini</x:v>
      </x:c>
      <x:c r="D13" s="16" t="str">
        <x:v>Extrapolation</x:v>
      </x:c>
      <x:c r="E13" s="16" t="str">
        <x:v>P1</x:v>
      </x:c>
      <x:c r="F13" s="9" t="str">
        <x:v>Définir les transitions propres au rôle de Courtier de l’ombre — représentation distante.</x:v>
      </x:c>
      <x:c r="G13" s="9" t="str">
        <x:v>Présence par relais et informations; ne pas révéler sa forme comme un nouveau combat.</x:v>
      </x:c>
      <x:c r="H13" s="9" t="str"/>
      <x:c r="I13" s="9" t="str">
        <x:v>Écran opaque, contour artificiel et fond sombre; aucune identité visible ajoutée.</x:v>
      </x:c>
      <x:c r="J13" s="9" t="str">
        <x:v>Interface active, brouillage puis extinction. Décomposer anticipation, action, retour et interruption; garder un état neutre utilisable après une cinématique sautée.</x:v>
      </x:c>
      <x:c r="K13" s="9" t="str">
        <x:v>Associer les contacts de sol ou de siège à des événements; éviter le bruitage répété sur une pose tenue.</x:v>
      </x:c>
      <x:c r="L13" s="9" t="str">
        <x:v>Table d'animation prévue RED/BROKER; paramètres direction, locomotion, accessoire et interruption.</x:v>
      </x:c>
      <x:c r="M13" s="9" t="str">
        <x:v>Préserver l’absence active de Shepard, la relation Liara/Feron et le raccord vers ME2; les méthodes d’enquête ne changent pas le sort publié des protagonistes.</x:v>
      </x:c>
      <x:c r="N13" s="9" t="str">
        <x:v>Un enchaînement déplacement → interaction → interruption → reprise conserve le pivot et les accessoires de Courtier de l’ombre — représentation distante.</x:v>
      </x:c>
      <x:c r="O13" s="9" t="str">
        <x:v>RED-ACT-BROKER, RED-SPR-BROKER</x:v>
      </x:c>
      <x:c r="P13" s="9" t="str">
        <x:v>Conception originale, aucune cadence extraite du comic.</x:v>
      </x:c>
      <x:c r="Q13" s="9" t="str"/>
      <x:c r="R13" s="20" t="str"/>
      <x:c r="S13" s="20" t="str"/>
    </x:row>
  </x:sheetData>
  <x:conditionalFormatting sqref="D7:D13">
    <x:cfRule type="cellIs" dxfId="76" priority="1" operator="equal">
      <x:formula>"À vérifier"</x:formula>
    </x:cfRule>
    <x:cfRule type="cellIs" dxfId="77" priority="2" operator="equal">
      <x:formula>"Extrapolation"</x:formula>
    </x:cfRule>
  </x:conditionalFormatting>
  <x:conditionalFormatting sqref="C7:C13">
    <x:cfRule type="cellIs" dxfId="78" priority="3" operator="equal">
      <x:formula>"Validé"</x:formula>
    </x:cfRule>
  </x:conditionalFormatting>
  <x:conditionalFormatting sqref="E7:E13">
    <x:cfRule type="cellIs" dxfId="79"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5870842bdfa247cb"/>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Redemption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RED-SPR-LIARA</x:v>
      </x:c>
      <x:c r="B7" s="9" t="str">
        <x:v>Liara T’Soni — planche de sprites</x:v>
      </x:c>
      <x:c r="C7" s="15" t="str">
        <x:v>Défini</x:v>
      </x:c>
      <x:c r="D7" s="16" t="str">
        <x:v>Extrapolation</x:v>
      </x:c>
      <x:c r="E7" s="16" t="str">
        <x:v>P1</x:v>
      </x:c>
      <x:c r="F7" s="9" t="str">
        <x:v>Produire une silhouette lisible pour Liara T’Soni dans le module Redemption.</x:v>
      </x:c>
      <x:c r="G7" s="9" t="str">
        <x:v>Héroïne du duo; maîtrise du terrain et questions d’enquête.</x:v>
      </x:c>
      <x:c r="H7" s="9" t="str"/>
      <x:c r="I7" s="9" t="str">
        <x:v>Peau bleue, crête asari et manteau de terrain simplifié; accents cyan réservés aux actions. Prévoir face, dos et profils trois-quarts; conserver le même pivot de pieds dans chaque pose.</x:v>
      </x:c>
      <x:c r="J7" s="9" t="str">
        <x:v>Garde ouverte, poussée des deux bras, lecture d’un terminal, protection du partenaire. Séparer arme/objet tenu du corps lorsque le changement de main est nécessaire.</x:v>
      </x:c>
      <x:c r="K7" s="9" t="str"/>
      <x:c r="L7" s="9" t="str">
        <x:v>Atlas prévu red/actors/liara; métadonnées pivot, masque d'occlusion, orientation et état. Aucun fichier de sprite n'est livré par ce catalogue.</x:v>
      </x:c>
      <x:c r="M7" s="9" t="str">
        <x:v>Préserver l’absence active de Shepard, la relation Liara/Feron et le raccord vers ME2; les méthodes d’enquête ne changent pas le sort publié des protagonistes.</x:v>
      </x:c>
      <x:c r="N7" s="9" t="str">
        <x:v>La planche permet d'identifier Liara T’Soni sans portrait UI à l'échelle de jeu; pieds stables devant les occultations du décor 3D.</x:v>
      </x:c>
      <x:c r="O7" s="9" t="str">
        <x:v>RED-ACT-LIARA</x:v>
      </x:c>
      <x:c r="P7" s="9" t="str">
        <x:v>Conception originale; référence visuelle du personnage à contrôler.</x:v>
      </x:c>
      <x:c r="Q7" s="9" t="str"/>
      <x:c r="R7" s="20" t="str"/>
      <x:c r="S7" s="20" t="str"/>
    </x:row>
    <x:row r="8" ht="68" customHeight="1">
      <x:c r="A8" s="19" t="str">
        <x:v>RED-SPR-FERON</x:v>
      </x:c>
      <x:c r="B8" s="7" t="str">
        <x:v>Feron — planche de sprites</x:v>
      </x:c>
      <x:c r="C8" s="15" t="str">
        <x:v>Défini</x:v>
      </x:c>
      <x:c r="D8" s="17" t="str">
        <x:v>Extrapolation</x:v>
      </x:c>
      <x:c r="E8" s="17" t="str">
        <x:v>P1</x:v>
      </x:c>
      <x:c r="F8" s="7" t="str">
        <x:v>Produire une silhouette lisible pour Feron dans le module Redemption.</x:v>
      </x:c>
      <x:c r="G8" s="7" t="str">
        <x:v>Soutien furtif; transforme une information en fenêtre de progression.</x:v>
      </x:c>
      <x:c r="H8" s="7" t="str"/>
      <x:c r="I8" s="7" t="str">
        <x:v>Tête reptilienne et col haut, couches de vêtement lisibles; motifs précis à vérifier. Prévoir face, dos et profils trois-quarts; conserver le même pivot de pieds dans chaque pose.</x:v>
      </x:c>
      <x:c r="J8" s="7" t="str">
        <x:v>Coup d’œil latéral, geste de passe, accroupissement et manipulation discrète. Séparer arme/objet tenu du corps lorsque le changement de main est nécessaire.</x:v>
      </x:c>
      <x:c r="K8" s="7" t="str"/>
      <x:c r="L8" s="7" t="str">
        <x:v>Atlas prévu red/actors/feron; métadonnées pivot, masque d'occlusion, orientation et état. Aucun fichier de sprite n'est livré par ce catalogue.</x:v>
      </x:c>
      <x:c r="M8" s="7" t="str">
        <x:v>Préserver l’absence active de Shepard, la relation Liara/Feron et le raccord vers ME2; les méthodes d’enquête ne changent pas le sort publié des protagonistes.</x:v>
      </x:c>
      <x:c r="N8" s="7" t="str">
        <x:v>La planche permet d'identifier Feron sans portrait UI à l'échelle de jeu; pieds stables devant les occultations du décor 3D.</x:v>
      </x:c>
      <x:c r="O8" s="7" t="str">
        <x:v>RED-ACT-FERON</x:v>
      </x:c>
      <x:c r="P8" s="7" t="str">
        <x:v>Conception originale; référence visuelle du personnage à contrôler.</x:v>
      </x:c>
      <x:c r="Q8" s="7" t="str"/>
      <x:c r="R8" s="21" t="str"/>
      <x:c r="S8" s="21" t="str"/>
    </x:row>
    <x:row r="9" ht="68" customHeight="1">
      <x:c r="A9" s="18" t="str">
        <x:v>RED-SPR-MIRANDA</x:v>
      </x:c>
      <x:c r="B9" s="9" t="str">
        <x:v>Miranda Lawson — planche de sprites</x:v>
      </x:c>
      <x:c r="C9" s="15" t="str">
        <x:v>Défini</x:v>
      </x:c>
      <x:c r="D9" s="16" t="str">
        <x:v>Extrapolation</x:v>
      </x:c>
      <x:c r="E9" s="16" t="str">
        <x:v>P1</x:v>
      </x:c>
      <x:c r="F9" s="9" t="str">
        <x:v>Produire une silhouette lisible pour Miranda Lawson dans le module Redemption.</x:v>
      </x:c>
      <x:c r="G9" s="9" t="str">
        <x:v>Interlocutrice de mission; présenter ses objectifs sans lui donner une omniscience de gameplay.</x:v>
      </x:c>
      <x:c r="H9" s="9" t="str"/>
      <x:c r="I9" s="9" t="str">
        <x:v>Combinaison claire à panneaux sombres, silhouette tenue; costume du numéro à comparer. Prévoir face, dos et profils trois-quarts; conserver le même pivot de pieds dans chaque pose.</x:v>
      </x:c>
      <x:c r="J9" s="9" t="str">
        <x:v>Posture droite, main sur interface, demi-tour contrôlé. Séparer arme/objet tenu du corps lorsque le changement de main est nécessaire.</x:v>
      </x:c>
      <x:c r="K9" s="9" t="str"/>
      <x:c r="L9" s="9" t="str">
        <x:v>Atlas prévu red/actors/miranda; métadonnées pivot, masque d'occlusion, orientation et état. Aucun fichier de sprite n'est livré par ce catalogue.</x:v>
      </x:c>
      <x:c r="M9" s="9" t="str">
        <x:v>Préserver l’absence active de Shepard, la relation Liara/Feron et le raccord vers ME2; les méthodes d’enquête ne changent pas le sort publié des protagonistes.</x:v>
      </x:c>
      <x:c r="N9" s="9" t="str">
        <x:v>La planche permet d'identifier Miranda Lawson sans portrait UI à l'échelle de jeu; pieds stables devant les occultations du décor 3D.</x:v>
      </x:c>
      <x:c r="O9" s="9" t="str">
        <x:v>RED-ACT-MIRANDA</x:v>
      </x:c>
      <x:c r="P9" s="9" t="str">
        <x:v>Conception originale; référence visuelle du personnage à contrôler.</x:v>
      </x:c>
      <x:c r="Q9" s="9" t="str"/>
      <x:c r="R9" s="20" t="str"/>
      <x:c r="S9" s="20" t="str"/>
    </x:row>
    <x:row r="10" ht="68" customHeight="1">
      <x:c r="A10" s="19" t="str">
        <x:v>RED-SPR-ARIA</x:v>
      </x:c>
      <x:c r="B10" s="7" t="str">
        <x:v>Aria T’Loak — planche de sprites</x:v>
      </x:c>
      <x:c r="C10" s="15" t="str">
        <x:v>Défini</x:v>
      </x:c>
      <x:c r="D10" s="17" t="str">
        <x:v>Extrapolation</x:v>
      </x:c>
      <x:c r="E10" s="17" t="str">
        <x:v>P1</x:v>
      </x:c>
      <x:c r="F10" s="7" t="str">
        <x:v>Produire une silhouette lisible pour Aria T’Loak dans le module Redemption.</x:v>
      </x:c>
      <x:c r="G10" s="7" t="str">
        <x:v>Négociation brève, accès à une information, autorité locale.</x:v>
      </x:c>
      <x:c r="H10" s="7" t="str"/>
      <x:c r="I10" s="7" t="str">
        <x:v>Silhouette asari angulaire, fauteuil en contre-jour et éclairage violet limité au fond. Prévoir face, dos et profils trois-quarts; conserver le même pivot de pieds dans chaque pose.</x:v>
      </x:c>
      <x:c r="J10" s="7" t="str">
        <x:v>Immobilité dominante, inclinaison de tête, geste qui clôt l’entretien. Séparer arme/objet tenu du corps lorsque le changement de main est nécessaire.</x:v>
      </x:c>
      <x:c r="K10" s="7" t="str"/>
      <x:c r="L10" s="7" t="str">
        <x:v>Atlas prévu red/actors/aria; métadonnées pivot, masque d'occlusion, orientation et état. Aucun fichier de sprite n'est livré par ce catalogue.</x:v>
      </x:c>
      <x:c r="M10" s="7" t="str">
        <x:v>Préserver l’absence active de Shepard, la relation Liara/Feron et le raccord vers ME2; les méthodes d’enquête ne changent pas le sort publié des protagonistes.</x:v>
      </x:c>
      <x:c r="N10" s="7" t="str">
        <x:v>La planche permet d'identifier Aria T’Loak sans portrait UI à l'échelle de jeu; pieds stables devant les occultations du décor 3D.</x:v>
      </x:c>
      <x:c r="O10" s="7" t="str">
        <x:v>RED-ACT-ARIA</x:v>
      </x:c>
      <x:c r="P10" s="7" t="str">
        <x:v>Conception originale; référence visuelle du personnage à contrôler.</x:v>
      </x:c>
      <x:c r="Q10" s="7" t="str"/>
      <x:c r="R10" s="21" t="str"/>
      <x:c r="S10" s="21" t="str"/>
    </x:row>
    <x:row r="11" ht="68" customHeight="1">
      <x:c r="A11" s="18" t="str">
        <x:v>RED-SPR-TIM</x:v>
      </x:c>
      <x:c r="B11" s="9" t="str">
        <x:v>L’Homme trouble — planche de sprites</x:v>
      </x:c>
      <x:c r="C11" s="15" t="str">
        <x:v>Défini</x:v>
      </x:c>
      <x:c r="D11" s="16" t="str">
        <x:v>Extrapolation</x:v>
      </x:c>
      <x:c r="E11" s="16" t="str">
        <x:v>P1</x:v>
      </x:c>
      <x:c r="F11" s="9" t="str">
        <x:v>Produire une silhouette lisible pour L’Homme trouble dans le module Redemption.</x:v>
      </x:c>
      <x:c r="G11" s="9" t="str">
        <x:v>Communication distante; exposer une proposition sans la valider moralement par l’interface.</x:v>
      </x:c>
      <x:c r="H11" s="9" t="str"/>
      <x:c r="I11" s="9" t="str">
        <x:v>Visage partiellement éclairé dans un cadre holographique sobre. Prévoir face, dos et profils trois-quarts; conserver le même pivot de pieds dans chaque pose.</x:v>
      </x:c>
      <x:c r="J11" s="9" t="str">
        <x:v>Regard fixe, déplacement léger de la main, interruption du canal. Séparer arme/objet tenu du corps lorsque le changement de main est nécessaire.</x:v>
      </x:c>
      <x:c r="K11" s="9" t="str"/>
      <x:c r="L11" s="9" t="str">
        <x:v>Atlas prévu red/actors/tim; métadonnées pivot, masque d'occlusion, orientation et état. Aucun fichier de sprite n'est livré par ce catalogue.</x:v>
      </x:c>
      <x:c r="M11" s="9" t="str">
        <x:v>Préserver l’absence active de Shepard, la relation Liara/Feron et le raccord vers ME2; les méthodes d’enquête ne changent pas le sort publié des protagonistes.</x:v>
      </x:c>
      <x:c r="N11" s="9" t="str">
        <x:v>La planche permet d'identifier L’Homme trouble sans portrait UI à l'échelle de jeu; pieds stables devant les occultations du décor 3D.</x:v>
      </x:c>
      <x:c r="O11" s="9" t="str">
        <x:v>RED-ACT-TIM</x:v>
      </x:c>
      <x:c r="P11" s="9" t="str">
        <x:v>Conception originale; référence visuelle du personnage à contrôler.</x:v>
      </x:c>
      <x:c r="Q11" s="9" t="str"/>
      <x:c r="R11" s="20" t="str"/>
      <x:c r="S11" s="20" t="str"/>
    </x:row>
    <x:row r="12" ht="68" customHeight="1">
      <x:c r="A12" s="19" t="str">
        <x:v>RED-SPR-TAZZIK</x:v>
      </x:c>
      <x:c r="B12" s="7" t="str">
        <x:v>Tazzik — planche de sprites</x:v>
      </x:c>
      <x:c r="C12" s="15" t="str">
        <x:v>Défini</x:v>
      </x:c>
      <x:c r="D12" s="17" t="str">
        <x:v>Extrapolation</x:v>
      </x:c>
      <x:c r="E12" s="17" t="str">
        <x:v>P1</x:v>
      </x:c>
      <x:c r="F12" s="7" t="str">
        <x:v>Produire une silhouette lisible pour Tazzik dans le module Redemption.</x:v>
      </x:c>
      <x:c r="G12" s="7" t="str">
        <x:v>Antagoniste identifiable; pression à distance et obstacle à la récupération.</x:v>
      </x:c>
      <x:c r="H12" s="7" t="str"/>
      <x:c r="I12" s="7" t="str">
        <x:v>Silhouette salariane exceptionnellement imposante à contrôler; épaules lisibles, teinte froide. Prévoir face, dos et profils trois-quarts; conserver le même pivot de pieds dans chaque pose.</x:v>
      </x:c>
      <x:c r="J12" s="7" t="str">
        <x:v>Visée basse, recul bref, blocage de passage et retournement. Séparer arme/objet tenu du corps lorsque le changement de main est nécessaire.</x:v>
      </x:c>
      <x:c r="K12" s="7" t="str"/>
      <x:c r="L12" s="7" t="str">
        <x:v>Atlas prévu red/actors/tazzik; métadonnées pivot, masque d'occlusion, orientation et état. Aucun fichier de sprite n'est livré par ce catalogue.</x:v>
      </x:c>
      <x:c r="M12" s="7" t="str">
        <x:v>Préserver l’absence active de Shepard, la relation Liara/Feron et le raccord vers ME2; les méthodes d’enquête ne changent pas le sort publié des protagonistes.</x:v>
      </x:c>
      <x:c r="N12" s="7" t="str">
        <x:v>La planche permet d'identifier Tazzik sans portrait UI à l'échelle de jeu; pieds stables devant les occultations du décor 3D.</x:v>
      </x:c>
      <x:c r="O12" s="7" t="str">
        <x:v>RED-ACT-TAZZIK</x:v>
      </x:c>
      <x:c r="P12" s="7" t="str">
        <x:v>Conception originale; référence visuelle du personnage à contrôler.</x:v>
      </x:c>
      <x:c r="Q12" s="7" t="str"/>
      <x:c r="R12" s="21" t="str"/>
      <x:c r="S12" s="21" t="str"/>
    </x:row>
    <x:row r="13" ht="68" customHeight="1">
      <x:c r="A13" s="18" t="str">
        <x:v>RED-SPR-BROKER</x:v>
      </x:c>
      <x:c r="B13" s="9" t="str">
        <x:v>Courtier de l’ombre — représentation distante — planche de sprites</x:v>
      </x:c>
      <x:c r="C13" s="15" t="str">
        <x:v>Défini</x:v>
      </x:c>
      <x:c r="D13" s="16" t="str">
        <x:v>Extrapolation</x:v>
      </x:c>
      <x:c r="E13" s="16" t="str">
        <x:v>P1</x:v>
      </x:c>
      <x:c r="F13" s="9" t="str">
        <x:v>Produire une silhouette lisible pour Courtier de l’ombre — représentation distante dans le module Redemption.</x:v>
      </x:c>
      <x:c r="G13" s="9" t="str">
        <x:v>Présence par relais et informations; ne pas révéler sa forme comme un nouveau combat.</x:v>
      </x:c>
      <x:c r="H13" s="9" t="str"/>
      <x:c r="I13" s="9" t="str">
        <x:v>Écran opaque, contour artificiel et fond sombre; aucune identité visible ajoutée. Prévoir face, dos et profils trois-quarts; conserver le même pivot de pieds dans chaque pose.</x:v>
      </x:c>
      <x:c r="J13" s="9" t="str">
        <x:v>Interface active, brouillage puis extinction. Séparer arme/objet tenu du corps lorsque le changement de main est nécessaire.</x:v>
      </x:c>
      <x:c r="K13" s="9" t="str"/>
      <x:c r="L13" s="9" t="str">
        <x:v>Atlas prévu red/actors/broker; métadonnées pivot, masque d'occlusion, orientation et état. Aucun fichier de sprite n'est livré par ce catalogue.</x:v>
      </x:c>
      <x:c r="M13" s="9" t="str">
        <x:v>Préserver l’absence active de Shepard, la relation Liara/Feron et le raccord vers ME2; les méthodes d’enquête ne changent pas le sort publié des protagonistes.</x:v>
      </x:c>
      <x:c r="N13" s="9" t="str">
        <x:v>La planche permet d'identifier Courtier de l’ombre — représentation distante sans portrait UI à l'échelle de jeu; pieds stables devant les occultations du décor 3D.</x:v>
      </x:c>
      <x:c r="O13" s="9" t="str">
        <x:v>RED-ACT-BROKER</x:v>
      </x:c>
      <x:c r="P13" s="9" t="str">
        <x:v>Conception originale; référence visuelle du personnage à contrôler.</x:v>
      </x:c>
      <x:c r="Q13" s="9" t="str"/>
      <x:c r="R13" s="20" t="str"/>
      <x:c r="S13" s="20" t="str"/>
    </x:row>
  </x:sheetData>
  <x:conditionalFormatting sqref="D7:D13">
    <x:cfRule type="cellIs" dxfId="80" priority="1" operator="equal">
      <x:formula>"À vérifier"</x:formula>
    </x:cfRule>
    <x:cfRule type="cellIs" dxfId="81" priority="2" operator="equal">
      <x:formula>"Extrapolation"</x:formula>
    </x:cfRule>
  </x:conditionalFormatting>
  <x:conditionalFormatting sqref="C7:C13">
    <x:cfRule type="cellIs" dxfId="82" priority="3" operator="equal">
      <x:formula>"Validé"</x:formula>
    </x:cfRule>
  </x:conditionalFormatting>
  <x:conditionalFormatting sqref="E7:E13">
    <x:cfRule type="cellIs" dxfId="83"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1beb7bf0c66c45dc"/>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Redemption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RED-SC-CONTACT-VFX</x:v>
      </x:c>
      <x:c r="B7" s="9" t="str">
        <x:v>Contact sur Omega — signal visuel</x:v>
      </x:c>
      <x:c r="C7" s="15" t="str">
        <x:v>Défini</x:v>
      </x:c>
      <x:c r="D7" s="16" t="str">
        <x:v>Extrapolation</x:v>
      </x:c>
      <x:c r="E7" s="16" t="str">
        <x:v>P1</x:v>
      </x:c>
      <x:c r="F7" s="9" t="str">
        <x:v>Pulsation douce du repère avec symbole d’enquête, différente d’un objet de combat.</x:v>
      </x:c>
      <x:c r="G7" s="9" t="str">
        <x:v>Rendre lisibles les interactions propres à cette séquence à la taille réelle du jeu.</x:v>
      </x:c>
      <x:c r="H7" s="9" t="str"/>
      <x:c r="I7" s="9" t="str">
        <x:v>Pulsation douce du repère avec symbole d’enquête, différente d’un objet de combat.</x:v>
      </x:c>
      <x:c r="J7" s="9" t="str">
        <x:v>Anticipation séparée de l’impact; variante sans flash, sans secousse et à contraste renforcé.</x:v>
      </x:c>
      <x:c r="K7" s="9" t="str">
        <x:v>Brouhaha bas et motif de deux notes dissonantes.</x:v>
      </x:c>
      <x:c r="L7" s="9" t="str">
        <x:v>Émetteur proposé RED/CONTACT/vfx; ancrage sur monde 3D et tri compatible avec les sprites; options de confort indépendantes.</x:v>
      </x:c>
      <x:c r="M7" s="9" t="str">
        <x:v>Préserver l’absence active de Shepard, la relation Liara/Feron et le raccord vers ME2; les méthodes d’enquête ne changent pas le sort publié des protagonistes.</x:v>
      </x:c>
      <x:c r="N7" s="9" t="str">
        <x:v>Le signal reste identifiable en pause et sans son; aucun flash plein écran indispensable pour comprendre la résolution.</x:v>
      </x:c>
      <x:c r="O7" s="9" t="str">
        <x:v>RED-SC-CONTACT-MAIN</x:v>
      </x:c>
      <x:c r="P7" s="9" t="str">
        <x:v>VFX original; intensité et timing à régler au prototype.</x:v>
      </x:c>
      <x:c r="Q7" s="9" t="str"/>
      <x:c r="R7" s="20" t="str"/>
      <x:c r="S7" s="20" t="str"/>
    </x:row>
    <x:row r="8" ht="68" customHeight="1">
      <x:c r="A8" s="19" t="str">
        <x:v>RED-SC-AFTERLIFE-VFX</x:v>
      </x:c>
      <x:c r="B8" s="7" t="str">
        <x:v>Entretien à Afterlife — signal visuel</x:v>
      </x:c>
      <x:c r="C8" s="15" t="str">
        <x:v>Défini</x:v>
      </x:c>
      <x:c r="D8" s="17" t="str">
        <x:v>Extrapolation</x:v>
      </x:c>
      <x:c r="E8" s="17" t="str">
        <x:v>P1</x:v>
      </x:c>
      <x:c r="F8" s="7" t="str">
        <x:v>Lueur de confirmation sur le terminal, sans effet de gain de puissance.</x:v>
      </x:c>
      <x:c r="G8" s="7" t="str">
        <x:v>Rendre lisibles les interactions propres à cette séquence à la taille réelle du jeu.</x:v>
      </x:c>
      <x:c r="H8" s="7" t="str"/>
      <x:c r="I8" s="7" t="str">
        <x:v>Lueur de confirmation sur le terminal, sans effet de gain de puissance.</x:v>
      </x:c>
      <x:c r="J8" s="7" t="str">
        <x:v>Anticipation séparée de l’impact; variante sans flash, sans secousse et à contraste renforcé.</x:v>
      </x:c>
      <x:c r="K8" s="7" t="str">
        <x:v>Musique de club originale filtrée durant la conversation.</x:v>
      </x:c>
      <x:c r="L8" s="7" t="str">
        <x:v>Émetteur proposé RED/AFTERLIFE/vfx; ancrage sur monde 3D et tri compatible avec les sprites; options de confort indépendantes.</x:v>
      </x:c>
      <x:c r="M8" s="7" t="str">
        <x:v>Préserver l’absence active de Shepard, la relation Liara/Feron et le raccord vers ME2; les méthodes d’enquête ne changent pas le sort publié des protagonistes.</x:v>
      </x:c>
      <x:c r="N8" s="7" t="str">
        <x:v>Le signal reste identifiable en pause et sans son; aucun flash plein écran indispensable pour comprendre la résolution.</x:v>
      </x:c>
      <x:c r="O8" s="7" t="str">
        <x:v>RED-SC-AFTERLIFE-MAIN</x:v>
      </x:c>
      <x:c r="P8" s="7" t="str">
        <x:v>VFX original; intensité et timing à régler au prototype.</x:v>
      </x:c>
      <x:c r="Q8" s="7" t="str"/>
      <x:c r="R8" s="21" t="str"/>
      <x:c r="S8" s="21" t="str"/>
    </x:row>
    <x:row r="9" ht="68" customHeight="1">
      <x:c r="A9" s="18" t="str">
        <x:v>RED-SC-DOCKS-VFX</x:v>
      </x:c>
      <x:c r="B9" s="9" t="str">
        <x:v>Docks et transfert — signal visuel</x:v>
      </x:c>
      <x:c r="C9" s="15" t="str">
        <x:v>Défini</x:v>
      </x:c>
      <x:c r="D9" s="16" t="str">
        <x:v>Extrapolation</x:v>
      </x:c>
      <x:c r="E9" s="16" t="str">
        <x:v>P1</x:v>
      </x:c>
      <x:c r="F9" s="9" t="str">
        <x:v>Traits de visée arrêtés par les caisses; fermeture de porte annoncée au sol.</x:v>
      </x:c>
      <x:c r="G9" s="9" t="str">
        <x:v>Rendre lisibles les interactions propres à cette séquence à la taille réelle du jeu.</x:v>
      </x:c>
      <x:c r="H9" s="9" t="str"/>
      <x:c r="I9" s="9" t="str">
        <x:v>Traits de visée arrêtés par les caisses; fermeture de porte annoncée au sol.</x:v>
      </x:c>
      <x:c r="J9" s="9" t="str">
        <x:v>Anticipation séparée de l’impact; variante sans flash, sans secousse et à contraste renforcé.</x:v>
      </x:c>
      <x:c r="K9" s="9" t="str">
        <x:v>Grue, verrou de sas et poussée de moteur.</x:v>
      </x:c>
      <x:c r="L9" s="9" t="str">
        <x:v>Émetteur proposé RED/DOCKS/vfx; ancrage sur monde 3D et tri compatible avec les sprites; options de confort indépendantes.</x:v>
      </x:c>
      <x:c r="M9" s="9" t="str">
        <x:v>Préserver l’absence active de Shepard, la relation Liara/Feron et le raccord vers ME2; les méthodes d’enquête ne changent pas le sort publié des protagonistes.</x:v>
      </x:c>
      <x:c r="N9" s="9" t="str">
        <x:v>Le signal reste identifiable en pause et sans son; aucun flash plein écran indispensable pour comprendre la résolution.</x:v>
      </x:c>
      <x:c r="O9" s="9" t="str">
        <x:v>RED-SC-DOCKS-MAIN</x:v>
      </x:c>
      <x:c r="P9" s="9" t="str">
        <x:v>VFX original; intensité et timing à régler au prototype.</x:v>
      </x:c>
      <x:c r="Q9" s="9" t="str"/>
      <x:c r="R9" s="20" t="str"/>
      <x:c r="S9" s="20" t="str"/>
    </x:row>
    <x:row r="10" ht="68" customHeight="1">
      <x:c r="A10" s="19" t="str">
        <x:v>RED-SC-PURSUIT-VFX</x:v>
      </x:c>
      <x:c r="B10" s="7" t="str">
        <x:v>Rejoindre la base — signal visuel</x:v>
      </x:c>
      <x:c r="C10" s="15" t="str">
        <x:v>Défini</x:v>
      </x:c>
      <x:c r="D10" s="17" t="str">
        <x:v>Extrapolation</x:v>
      </x:c>
      <x:c r="E10" s="17" t="str">
        <x:v>P1</x:v>
      </x:c>
      <x:c r="F10" s="7" t="str">
        <x:v>Traînée de route temporaire et masque de brouillage périphérique; pas de flash global.</x:v>
      </x:c>
      <x:c r="G10" s="7" t="str">
        <x:v>Rendre lisibles les interactions propres à cette séquence à la taille réelle du jeu.</x:v>
      </x:c>
      <x:c r="H10" s="7" t="str"/>
      <x:c r="I10" s="7" t="str">
        <x:v>Traînée de route temporaire et masque de brouillage périphérique; pas de flash global.</x:v>
      </x:c>
      <x:c r="J10" s="7" t="str">
        <x:v>Anticipation séparée de l’impact; variante sans flash, sans secousse et à contraste renforcé.</x:v>
      </x:c>
      <x:c r="K10" s="7" t="str">
        <x:v>Bourdonnement de coque puis silence radio annoncé.</x:v>
      </x:c>
      <x:c r="L10" s="7" t="str">
        <x:v>Émetteur proposé RED/PURSUIT/vfx; ancrage sur monde 3D et tri compatible avec les sprites; options de confort indépendantes.</x:v>
      </x:c>
      <x:c r="M10" s="7" t="str">
        <x:v>Préserver l’absence active de Shepard, la relation Liara/Feron et le raccord vers ME2; les méthodes d’enquête ne changent pas le sort publié des protagonistes.</x:v>
      </x:c>
      <x:c r="N10" s="7" t="str">
        <x:v>Le signal reste identifiable en pause et sans son; aucun flash plein écran indispensable pour comprendre la résolution.</x:v>
      </x:c>
      <x:c r="O10" s="7" t="str">
        <x:v>RED-SC-PURSUIT-MAIN</x:v>
      </x:c>
      <x:c r="P10" s="7" t="str">
        <x:v>VFX original; intensité et timing à régler au prototype.</x:v>
      </x:c>
      <x:c r="Q10" s="7" t="str"/>
      <x:c r="R10" s="21" t="str"/>
      <x:c r="S10" s="21" t="str"/>
    </x:row>
    <x:row r="11" ht="68" customHeight="1">
      <x:c r="A11" s="18" t="str">
        <x:v>RED-SC-ACCESS-VFX</x:v>
      </x:c>
      <x:c r="B11" s="9" t="str">
        <x:v>Identité et accès compartimentés — signal visuel</x:v>
      </x:c>
      <x:c r="C11" s="15" t="str">
        <x:v>Défini</x:v>
      </x:c>
      <x:c r="D11" s="16" t="str">
        <x:v>Extrapolation</x:v>
      </x:c>
      <x:c r="E11" s="16" t="str">
        <x:v>P1</x:v>
      </x:c>
      <x:c r="F11" s="9" t="str">
        <x:v>Deux cadres distincts indiquent identité acceptée et porte accessible.</x:v>
      </x:c>
      <x:c r="G11" s="9" t="str">
        <x:v>Rendre lisibles les interactions propres à cette séquence à la taille réelle du jeu.</x:v>
      </x:c>
      <x:c r="H11" s="9" t="str"/>
      <x:c r="I11" s="9" t="str">
        <x:v>Deux cadres distincts indiquent identité acceptée et porte accessible.</x:v>
      </x:c>
      <x:c r="J11" s="9" t="str">
        <x:v>Anticipation séparée de l’impact; variante sans flash, sans secousse et à contraste renforcé.</x:v>
      </x:c>
      <x:c r="K11" s="9" t="str">
        <x:v>Interphone étouffé et clics d’autorisation.</x:v>
      </x:c>
      <x:c r="L11" s="9" t="str">
        <x:v>Émetteur proposé RED/ACCESS/vfx; ancrage sur monde 3D et tri compatible avec les sprites; options de confort indépendantes.</x:v>
      </x:c>
      <x:c r="M11" s="9" t="str">
        <x:v>Préserver l’absence active de Shepard, la relation Liara/Feron et le raccord vers ME2; les méthodes d’enquête ne changent pas le sort publié des protagonistes.</x:v>
      </x:c>
      <x:c r="N11" s="9" t="str">
        <x:v>Le signal reste identifiable en pause et sans son; aucun flash plein écran indispensable pour comprendre la résolution.</x:v>
      </x:c>
      <x:c r="O11" s="9" t="str">
        <x:v>RED-SC-ACCESS-MAIN</x:v>
      </x:c>
      <x:c r="P11" s="9" t="str">
        <x:v>VFX original; intensité et timing à régler au prototype.</x:v>
      </x:c>
      <x:c r="Q11" s="9" t="str"/>
      <x:c r="R11" s="20" t="str"/>
      <x:c r="S11" s="20" t="str"/>
    </x:row>
    <x:row r="12" ht="68" customHeight="1">
      <x:c r="A12" s="19" t="str">
        <x:v>RED-SC-RECOVER-VFX</x:v>
      </x:c>
      <x:c r="B12" s="7" t="str">
        <x:v>Récupération et séparation — signal visuel</x:v>
      </x:c>
      <x:c r="C12" s="15" t="str">
        <x:v>Défini</x:v>
      </x:c>
      <x:c r="D12" s="17" t="str">
        <x:v>Extrapolation</x:v>
      </x:c>
      <x:c r="E12" s="17" t="str">
        <x:v>P1</x:v>
      </x:c>
      <x:c r="F12" s="7" t="str">
        <x:v>Ligne de liaison du duo qui s’interrompt au raccord; indication de sortie maintenue.</x:v>
      </x:c>
      <x:c r="G12" s="7" t="str">
        <x:v>Rendre lisibles les interactions propres à cette séquence à la taille réelle du jeu.</x:v>
      </x:c>
      <x:c r="H12" s="7" t="str"/>
      <x:c r="I12" s="7" t="str">
        <x:v>Ligne de liaison du duo qui s’interrompt au raccord; indication de sortie maintenue.</x:v>
      </x:c>
      <x:c r="J12" s="7" t="str">
        <x:v>Anticipation séparée de l’impact; variante sans flash, sans secousse et à contraste renforcé.</x:v>
      </x:c>
      <x:c r="K12" s="7" t="str">
        <x:v>Moteur croissant, communication coupée puis thème inachevé original.</x:v>
      </x:c>
      <x:c r="L12" s="7" t="str">
        <x:v>Émetteur proposé RED/RECOVER/vfx; ancrage sur monde 3D et tri compatible avec les sprites; options de confort indépendantes.</x:v>
      </x:c>
      <x:c r="M12" s="7" t="str">
        <x:v>Préserver l’absence active de Shepard, la relation Liara/Feron et le raccord vers ME2; les méthodes d’enquête ne changent pas le sort publié des protagonistes.</x:v>
      </x:c>
      <x:c r="N12" s="7" t="str">
        <x:v>Le signal reste identifiable en pause et sans son; aucun flash plein écran indispensable pour comprendre la résolution.</x:v>
      </x:c>
      <x:c r="O12" s="7" t="str">
        <x:v>RED-SC-RECOVER-MAIN</x:v>
      </x:c>
      <x:c r="P12" s="7" t="str">
        <x:v>VFX original; intensité et timing à régler au prototype.</x:v>
      </x:c>
      <x:c r="Q12" s="7" t="str"/>
      <x:c r="R12" s="21" t="str"/>
      <x:c r="S12" s="21" t="str"/>
    </x:row>
  </x:sheetData>
  <x:conditionalFormatting sqref="D7:D12">
    <x:cfRule type="cellIs" dxfId="84" priority="1" operator="equal">
      <x:formula>"À vérifier"</x:formula>
    </x:cfRule>
    <x:cfRule type="cellIs" dxfId="85" priority="2" operator="equal">
      <x:formula>"Extrapolation"</x:formula>
    </x:cfRule>
  </x:conditionalFormatting>
  <x:conditionalFormatting sqref="C7:C12">
    <x:cfRule type="cellIs" dxfId="86" priority="3" operator="equal">
      <x:formula>"Validé"</x:formula>
    </x:cfRule>
  </x:conditionalFormatting>
  <x:conditionalFormatting sqref="E7:E12">
    <x:cfRule type="cellIs" dxfId="8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9c6ea54792894690"/>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Redemption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RED-AUD-OMEGA</x:v>
      </x:c>
      <x:c r="B7" s="9" t="str">
        <x:v>Omega — paysage sonore</x:v>
      </x:c>
      <x:c r="C7" s="15" t="str">
        <x:v>Défini</x:v>
      </x:c>
      <x:c r="D7" s="16" t="str">
        <x:v>Extrapolation</x:v>
      </x:c>
      <x:c r="E7" s="16" t="str">
        <x:v>P1</x:v>
      </x:c>
      <x:c r="F7" s="9" t="str">
        <x:v>Ventilation grave, annonces lointaines inventées et percussion métallique espacée.</x:v>
      </x:c>
      <x:c r="G7" s="9" t="str">
        <x:v>Hub de pistes sous tension.</x:v>
      </x:c>
      <x:c r="H7" s="9" t="str">
        <x:v>Doubler les alarmes utiles par texte, symbole ou changement de pose; les bruits d’ambiance ne portent pas seuls une information obligatoire.</x:v>
      </x:c>
      <x:c r="I7" s="9" t="str">
        <x:v>Métal usé, lumière orange latérale et profondeur industrielle; sol clair sous les sprites.</x:v>
      </x:c>
      <x:c r="J7" s="9" t="str">
        <x:v>Déclencher les contacts mécaniques au mouvement visible; éviter les boucles désynchronisées des portes.</x:v>
      </x:c>
      <x:c r="K7" s="9" t="str">
        <x:v>Ventilation grave, annonces lointaines inventées et percussion métallique espacée. Composer une ambiance originale en couches fond / activité / danger, avec réglage indépendant des voix.</x:v>
      </x:c>
      <x:c r="L7" s="9" t="str">
        <x:v>Bus proposé RED/OMEGA; snapshots exploration, tension et dialogue; fondus après chargement.</x:v>
      </x:c>
      <x:c r="M7" s="9" t="str">
        <x:v>Préserver l’absence active de Shepard, la relation Liara/Feron et le raccord vers ME2; les méthodes d’enquête ne changent pas le sort publié des protagonistes.</x:v>
      </x:c>
      <x:c r="N7" s="9" t="str">
        <x:v>Un parcours muet reste compréhensible; l’entrée en dialogue baisse les ambiances sans couper brutalement leur réverbération.</x:v>
      </x:c>
      <x:c r="O7" s="9" t="str">
        <x:v>RED-ZONE-OMEGA</x:v>
      </x:c>
      <x:c r="P7" s="9" t="str">
        <x:v>Création sonore originale; aucune piste commerciale requise.</x:v>
      </x:c>
      <x:c r="Q7" s="9" t="str"/>
      <x:c r="R7" s="20" t="str"/>
      <x:c r="S7" s="20" t="str"/>
    </x:row>
    <x:row r="8" ht="82" customHeight="1">
      <x:c r="A8" s="19" t="str">
        <x:v>RED-AUD-ALINGON</x:v>
      </x:c>
      <x:c r="B8" s="7" t="str">
        <x:v>Alingon / Alignon — graphie à contrôler — paysage sonore</x:v>
      </x:c>
      <x:c r="C8" s="15" t="str">
        <x:v>Défini</x:v>
      </x:c>
      <x:c r="D8" s="17" t="str">
        <x:v>Extrapolation</x:v>
      </x:c>
      <x:c r="E8" s="17" t="str">
        <x:v>P1</x:v>
      </x:c>
      <x:c r="F8" s="7" t="str">
        <x:v>Souffle électrique irrégulier et portes étanches, avec absence calculée de radio.</x:v>
      </x:c>
      <x:c r="G8" s="7" t="str">
        <x:v>Faire sentir l’isolement informationnel.</x:v>
      </x:c>
      <x:c r="H8" s="7" t="str">
        <x:v>Doubler les alarmes utiles par texte, symbole ou changement de pose; les bruits d’ambiance ne portent pas seuls une information obligatoire.</x:v>
      </x:c>
      <x:c r="I8" s="7" t="str">
        <x:v>Roche sombre, métal mat et arcs lumineux très discrets; brouillage en bord de cadre.</x:v>
      </x:c>
      <x:c r="J8" s="7" t="str">
        <x:v>Déclencher les contacts mécaniques au mouvement visible; éviter les boucles désynchronisées des portes.</x:v>
      </x:c>
      <x:c r="K8" s="7" t="str">
        <x:v>Souffle électrique irrégulier et portes étanches, avec absence calculée de radio. Composer une ambiance originale en couches fond / activité / danger, avec réglage indépendant des voix.</x:v>
      </x:c>
      <x:c r="L8" s="7" t="str">
        <x:v>Bus proposé RED/ALINGON; snapshots exploration, tension et dialogue; fondus après chargement.</x:v>
      </x:c>
      <x:c r="M8" s="7" t="str">
        <x:v>Préserver l’absence active de Shepard, la relation Liara/Feron et le raccord vers ME2; les méthodes d’enquête ne changent pas le sort publié des protagonistes.</x:v>
      </x:c>
      <x:c r="N8" s="7" t="str">
        <x:v>Un parcours muet reste compréhensible; l’entrée en dialogue baisse les ambiances sans couper brutalement leur réverbération.</x:v>
      </x:c>
      <x:c r="O8" s="7" t="str">
        <x:v>RED-ZONE-ALINGON</x:v>
      </x:c>
      <x:c r="P8" s="7" t="str">
        <x:v>Création sonore originale; aucune piste commerciale requise.</x:v>
      </x:c>
      <x:c r="Q8" s="7" t="str"/>
      <x:c r="R8" s="21" t="str"/>
      <x:c r="S8" s="21" t="str"/>
    </x:row>
    <x:row r="9" ht="68" customHeight="1">
      <x:c r="A9" s="18" t="str">
        <x:v>RED-AUD-SPACE</x:v>
      </x:c>
      <x:c r="B9" s="9" t="str">
        <x:v>Poursuite dans l’espace — paysage sonore</x:v>
      </x:c>
      <x:c r="C9" s="15" t="str">
        <x:v>Défini</x:v>
      </x:c>
      <x:c r="D9" s="16" t="str">
        <x:v>Extrapolation</x:v>
      </x:c>
      <x:c r="E9" s="16" t="str">
        <x:v>P1</x:v>
      </x:c>
      <x:c r="F9" s="9" t="str">
        <x:v>Moteur filtré par coque, alarmes brèves et respirations calmes du cockpit.</x:v>
      </x:c>
      <x:c r="G9" s="9" t="str">
        <x:v>Intermède de navigation lisible, distinct d’un mode de vol complet.</x:v>
      </x:c>
      <x:c r="H9" s="9" t="str">
        <x:v>Doubler les alarmes utiles par texte, symbole ou changement de pose; les bruits d’ambiance ne portent pas seuls une information obligatoire.</x:v>
      </x:c>
      <x:c r="I9" s="9" t="str">
        <x:v>Astéroïdes mats et contraste faible du ciel; vaisseau du duo traité en sprite orientable.</x:v>
      </x:c>
      <x:c r="J9" s="9" t="str">
        <x:v>Déclencher les contacts mécaniques au mouvement visible; éviter les boucles désynchronisées des portes.</x:v>
      </x:c>
      <x:c r="K9" s="9" t="str">
        <x:v>Moteur filtré par coque, alarmes brèves et respirations calmes du cockpit. Composer une ambiance originale en couches fond / activité / danger, avec réglage indépendant des voix.</x:v>
      </x:c>
      <x:c r="L9" s="9" t="str">
        <x:v>Bus proposé RED/SPACE; snapshots exploration, tension et dialogue; fondus après chargement.</x:v>
      </x:c>
      <x:c r="M9" s="9" t="str">
        <x:v>Préserver l’absence active de Shepard, la relation Liara/Feron et le raccord vers ME2; les méthodes d’enquête ne changent pas le sort publié des protagonistes.</x:v>
      </x:c>
      <x:c r="N9" s="9" t="str">
        <x:v>Un parcours muet reste compréhensible; l’entrée en dialogue baisse les ambiances sans couper brutalement leur réverbération.</x:v>
      </x:c>
      <x:c r="O9" s="9" t="str">
        <x:v>RED-ZONE-SPACE</x:v>
      </x:c>
      <x:c r="P9" s="9" t="str">
        <x:v>Création sonore originale; aucune piste commerciale requise.</x:v>
      </x:c>
      <x:c r="Q9" s="9" t="str"/>
      <x:c r="R9" s="20" t="str"/>
      <x:c r="S9" s="20" t="str"/>
    </x:row>
  </x:sheetData>
  <x:conditionalFormatting sqref="D7:D9">
    <x:cfRule type="cellIs" dxfId="88" priority="1" operator="equal">
      <x:formula>"À vérifier"</x:formula>
    </x:cfRule>
    <x:cfRule type="cellIs" dxfId="89" priority="2" operator="equal">
      <x:formula>"Extrapolation"</x:formula>
    </x:cfRule>
  </x:conditionalFormatting>
  <x:conditionalFormatting sqref="C7:C9">
    <x:cfRule type="cellIs" dxfId="90" priority="3" operator="equal">
      <x:formula>"Validé"</x:formula>
    </x:cfRule>
  </x:conditionalFormatting>
  <x:conditionalFormatting sqref="E7:E9">
    <x:cfRule type="cellIs" dxfId="9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7c7f80e6e8cc47b8"/>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Redemption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RED-SYS-CANON</x:v>
      </x:c>
      <x:c r="B7" s="9" t="str">
        <x:v>Journal à deux niveaux</x:v>
      </x:c>
      <x:c r="C7" s="15" t="str">
        <x:v>Défini</x:v>
      </x:c>
      <x:c r="D7" s="16" t="str">
        <x:v>Extrapolation</x:v>
      </x:c>
      <x:c r="E7" s="16" t="str">
        <x:v>P1</x:v>
      </x:c>
      <x:c r="F7" s="9" t="str">
        <x:v>Dans Redemption,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RED/SYS-CANON; à appliquer au futur contenu de l'œuvre.</x:v>
      </x:c>
      <x:c r="M7" s="9" t="str">
        <x:v>Préserver l’absence active de Shepard, la relation Liara/Feron et le raccord vers ME2; les méthodes d’enquête ne changent pas le sort publié des protagonistes.</x:v>
      </x:c>
      <x:c r="N7" s="9" t="str">
        <x:v>Chaque entrée de journal porte sa provenance; un résultat de combat ne change jamais le niveau de certitude du fait source.</x:v>
      </x:c>
      <x:c r="O7" s="9" t="str">
        <x:v>RED-REF-SCOPE</x:v>
      </x:c>
      <x:c r="P7" s="9" t="str">
        <x:v>Règle originale de production; les ancrages de continuité sont documentés dans les fiches REF.</x:v>
      </x:c>
      <x:c r="Q7" s="9" t="str"/>
      <x:c r="R7" s="20" t="str"/>
      <x:c r="S7" s="20" t="str"/>
    </x:row>
    <x:row r="8" ht="68" customHeight="1">
      <x:c r="A8" s="19" t="str">
        <x:v>RED-SYS-GROUP</x:v>
      </x:c>
      <x:c r="B8" s="7" t="str">
        <x:v>Groupe propre au chapitre</x:v>
      </x:c>
      <x:c r="C8" s="15" t="str">
        <x:v>Défini</x:v>
      </x:c>
      <x:c r="D8" s="17" t="str">
        <x:v>Extrapolation</x:v>
      </x:c>
      <x:c r="E8" s="17" t="str">
        <x:v>P1</x:v>
      </x:c>
      <x:c r="F8" s="7" t="str">
        <x:v>Liara contrôlable; Feron partenaire d’infiltration selon le segment. Miranda et Aria restent des interlocutrices dans ce périmètre.</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RED/SYS-GROUP; à appliquer au futur contenu de l'œuvre.</x:v>
      </x:c>
      <x:c r="M8" s="7" t="str">
        <x:v>Préserver l’absence active de Shepard, la relation Liara/Feron et le raccord vers ME2; les méthodes d’enquête ne changent pas le sort publié des protagonistes.</x:v>
      </x:c>
      <x:c r="N8" s="7" t="str">
        <x:v>Recharger un chapitre restitue uniquement son groupe autorisé, ses positions et ses commandes proposées.</x:v>
      </x:c>
      <x:c r="O8" s="7" t="str">
        <x:v>RED-REF-SCOPE</x:v>
      </x:c>
      <x:c r="P8" s="7" t="str">
        <x:v>Règle originale de production; les ancrages de continuité sont documentés dans les fiches REF.</x:v>
      </x:c>
      <x:c r="Q8" s="7" t="str"/>
      <x:c r="R8" s="21" t="str"/>
      <x:c r="S8" s="21" t="str"/>
    </x:row>
    <x:row r="9" ht="68" customHeight="1">
      <x:c r="A9" s="18" t="str">
        <x:v>RED-SYS-ATB</x:v>
      </x:c>
      <x:c r="B9" s="9" t="str">
        <x:v>Rythme ATB proposé</x:v>
      </x:c>
      <x:c r="C9" s="15" t="str">
        <x:v>Défini</x:v>
      </x:c>
      <x:c r="D9" s="16" t="str">
        <x:v>Extrapolation</x:v>
      </x:c>
      <x:c r="E9" s="16" t="str">
        <x:v>P1</x:v>
      </x:c>
      <x:c r="F9" s="9" t="str">
        <x:v>Duo asymétrique proposé : contrôle de terrain pour Liara et préparation d’accès pour Feron; une réserve d’action peut servir à protéger le partenaire au lieu d’infliger des dégâts.</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RED/SYS-ATB; à appliquer au futur contenu de l'œuvre.</x:v>
      </x:c>
      <x:c r="M9" s="9" t="str">
        <x:v>Préserver l’absence active de Shepard, la relation Liara/Feron et le raccord vers ME2; les méthodes d’enquête ne changent pas le sort publié des protagonistes.</x:v>
      </x:c>
      <x:c r="N9" s="9" t="str">
        <x:v>Un lecteur peut suivre chaque préparation sans son; la vitesse réglable ne modifie pas les conditions du raccord narratif.</x:v>
      </x:c>
      <x:c r="O9" s="9" t="str">
        <x:v>RED-REF-SCOPE</x:v>
      </x:c>
      <x:c r="P9" s="9" t="str">
        <x:v>Règle originale de production; les ancrages de continuité sont documentés dans les fiches REF.</x:v>
      </x:c>
      <x:c r="Q9" s="9" t="str"/>
      <x:c r="R9" s="20" t="str"/>
      <x:c r="S9" s="20" t="str"/>
    </x:row>
    <x:row r="10" ht="68" customHeight="1">
      <x:c r="A10" s="19" t="str">
        <x:v>RED-SYS-SAVE</x:v>
      </x:c>
      <x:c r="B10" s="7" t="str">
        <x:v>Sauvegarde des modules</x:v>
      </x:c>
      <x:c r="C10" s="15" t="str">
        <x:v>Défini</x:v>
      </x:c>
      <x:c r="D10" s="17" t="str">
        <x:v>Extrapolation</x:v>
      </x:c>
      <x:c r="E10" s="17" t="str">
        <x:v>P1</x:v>
      </x:c>
      <x:c r="F10" s="7" t="str">
        <x:v>Conserver la progression de Redemption sans exporter une issue hypothétique vers la continuité des jeux.</x:v>
      </x:c>
      <x:c r="G10" s="7" t="str">
        <x:v>Stocker le numéro/segment, la méthode locale, les indices acquis et le raccord déjà vu; ne pas écrire dans une sauvegarde canon du jeu.</x:v>
      </x:c>
      <x:c r="H10" s="7" t="str">
        <x:v>Stocker le numéro/segment, la méthode locale, les indices acquis et le raccord déjà vu; ne pas écrire dans une sauvegarde canon du jeu.</x:v>
      </x:c>
      <x:c r="I10" s="7" t="str"/>
      <x:c r="J10" s="7" t="str"/>
      <x:c r="K10" s="7" t="str"/>
      <x:c r="L10" s="7" t="str">
        <x:v>Contrat de production RED/SYS-SAVE; à appliquer au futur contenu de l'œuvre.</x:v>
      </x:c>
      <x:c r="M10" s="7" t="str">
        <x:v>Préserver l’absence active de Shepard, la relation Liara/Feron et le raccord vers ME2; les méthodes d’enquête ne changent pas le sort publié des protagonistes.</x:v>
      </x:c>
      <x:c r="N10" s="7" t="str">
        <x:v>Sauvegarder, quitter et reprendre avant/après un raccord ne double aucun objet, objectif ou récompense.</x:v>
      </x:c>
      <x:c r="O10" s="7" t="str">
        <x:v>RED-REF-SCOPE</x:v>
      </x:c>
      <x:c r="P10" s="7" t="str">
        <x:v>Règle originale de production; les ancrages de continuité sont documentés dans les fiches REF.</x:v>
      </x:c>
      <x:c r="Q10" s="7" t="str"/>
      <x:c r="R10" s="21" t="str"/>
      <x:c r="S10" s="21"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60ffd7fc03944dbb"/>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Redemption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RED-SC-CONTACT-QA</x:v>
      </x:c>
      <x:c r="B7" s="9" t="str">
        <x:v>Contact sur Omega — contrôle du parcours</x:v>
      </x:c>
      <x:c r="C7" s="15" t="str">
        <x:v>Défini</x:v>
      </x:c>
      <x:c r="D7" s="16" t="str">
        <x:v>Extrapolation</x:v>
      </x:c>
      <x:c r="E7" s="16" t="str">
        <x:v>P0</x:v>
      </x:c>
      <x:c r="F7" s="9" t="str">
        <x:v>Rejouer « Contact sur Omega » par les deux méthodes proposées, avec tâche facultative ignorée puis terminée, et en sautant le raccord.</x:v>
      </x:c>
      <x:c r="G7" s="9" t="str">
        <x:v>Observation → questions → découverte d’un passage → sortie du duo.</x:v>
      </x:c>
      <x:c r="H7" s="9" t="str">
        <x:v>Trois indices locaux proposés renseignent identité, accès et risque; deux suffisent pour avancer, le troisième précise le journal.</x:v>
      </x:c>
      <x:c r="I7" s="9" t="str"/>
      <x:c r="J7" s="9" t="str"/>
      <x:c r="K7" s="9" t="str"/>
      <x:c r="L7" s="9" t="str">
        <x:v>Scénarios de recette à exécuter pour RED/CONTACT; consigner résultat réel et preuve seulement lors d’une future réalisation.</x:v>
      </x:c>
      <x:c r="M7" s="9" t="str">
        <x:v>Fiche de recette définie; aucun test du jeu n’a été exécuté par ce catalogue.</x:v>
      </x:c>
      <x:c r="N7" s="9" t="str">
        <x:v>L'objectif « Contact sur Omega » atteint son raccord annoncé après chaque méthode; sauvegarde, rechargement et saut de scène n'en changent ni le groupe ni les informations acquises.</x:v>
      </x:c>
      <x:c r="O7" s="9" t="str">
        <x:v>RED-SC-CONTACT-MAIN, RED-SC-CONTACT-CHOICE, RED-SC-CONTACT-CINE, RED-SC-CONTACT-PROP</x:v>
      </x:c>
      <x:c r="P7" s="9" t="str">
        <x:v>Critère de production original, pas une validation déjà obtenue.</x:v>
      </x:c>
      <x:c r="Q7" s="9" t="str"/>
      <x:c r="R7" s="20" t="str"/>
      <x:c r="S7" s="20" t="str"/>
    </x:row>
    <x:row r="8" ht="68" customHeight="1">
      <x:c r="A8" s="19" t="str">
        <x:v>RED-SC-AFTERLIFE-QA</x:v>
      </x:c>
      <x:c r="B8" s="7" t="str">
        <x:v>Entretien à Afterlife — contrôle du parcours</x:v>
      </x:c>
      <x:c r="C8" s="15" t="str">
        <x:v>Défini</x:v>
      </x:c>
      <x:c r="D8" s="17" t="str">
        <x:v>Extrapolation</x:v>
      </x:c>
      <x:c r="E8" s="17" t="str">
        <x:v>P0</x:v>
      </x:c>
      <x:c r="F8" s="7" t="str">
        <x:v>Rejouer « Entretien à Afterlife » par les deux méthodes proposées, avec tâche facultative ignorée puis terminée, et en sautant le raccord.</x:v>
      </x:c>
      <x:c r="G8" s="7" t="str">
        <x:v>Antichambre → présentation → question ciblée → validation de la piste.</x:v>
      </x:c>
      <x:c r="H8" s="7" t="str">
        <x:v>Le joueur choisit l’ordre des questions; les réponses essentielles restent accessibles sans jauge morale universelle.</x:v>
      </x:c>
      <x:c r="I8" s="7" t="str"/>
      <x:c r="J8" s="7" t="str"/>
      <x:c r="K8" s="7" t="str"/>
      <x:c r="L8" s="7" t="str">
        <x:v>Scénarios de recette à exécuter pour RED/AFTERLIFE; consigner résultat réel et preuve seulement lors d’une future réalisation.</x:v>
      </x:c>
      <x:c r="M8" s="7" t="str">
        <x:v>Fiche de recette définie; aucun test du jeu n’a été exécuté par ce catalogue.</x:v>
      </x:c>
      <x:c r="N8" s="7" t="str">
        <x:v>L'objectif « Entretien à Afterlife » atteint son raccord annoncé après chaque méthode; sauvegarde, rechargement et saut de scène n'en changent ni le groupe ni les informations acquises.</x:v>
      </x:c>
      <x:c r="O8" s="7" t="str">
        <x:v>RED-SC-AFTERLIFE-MAIN, RED-SC-AFTERLIFE-CHOICE, RED-SC-AFTERLIFE-CINE, RED-SC-AFTERLIFE-PROP</x:v>
      </x:c>
      <x:c r="P8" s="7" t="str">
        <x:v>Critère de production original, pas une validation déjà obtenue.</x:v>
      </x:c>
      <x:c r="Q8" s="7" t="str"/>
      <x:c r="R8" s="21" t="str"/>
      <x:c r="S8" s="21" t="str"/>
    </x:row>
    <x:row r="9" ht="68" customHeight="1">
      <x:c r="A9" s="18" t="str">
        <x:v>RED-SC-DOCKS-QA</x:v>
      </x:c>
      <x:c r="B9" s="9" t="str">
        <x:v>Docks et transfert — contrôle du parcours</x:v>
      </x:c>
      <x:c r="C9" s="15" t="str">
        <x:v>Défini</x:v>
      </x:c>
      <x:c r="D9" s="16" t="str">
        <x:v>Extrapolation</x:v>
      </x:c>
      <x:c r="E9" s="16" t="str">
        <x:v>P0</x:v>
      </x:c>
      <x:c r="F9" s="9" t="str">
        <x:v>Rejouer « Docks et transfert » par les deux méthodes proposées, avec tâche facultative ignorée puis terminée, et en sautant le raccord.</x:v>
      </x:c>
      <x:c r="G9" s="9" t="str">
        <x:v>Repérage des lignes de vue → déplacement couvert → tentative d’interception → poursuite.</x:v>
      </x:c>
      <x:c r="H9" s="9" t="str">
        <x:v>Les caisses fournissent des masques de tir; tirer sur une commande de porte est une option proposée, pas une scène canon.</x:v>
      </x:c>
      <x:c r="I9" s="9" t="str"/>
      <x:c r="J9" s="9" t="str"/>
      <x:c r="K9" s="9" t="str"/>
      <x:c r="L9" s="9" t="str">
        <x:v>Scénarios de recette à exécuter pour RED/DOCKS; consigner résultat réel et preuve seulement lors d’une future réalisation.</x:v>
      </x:c>
      <x:c r="M9" s="9" t="str">
        <x:v>Fiche de recette définie; aucun test du jeu n’a été exécuté par ce catalogue.</x:v>
      </x:c>
      <x:c r="N9" s="9" t="str">
        <x:v>L'objectif « Docks et transfert » atteint son raccord annoncé après chaque méthode; sauvegarde, rechargement et saut de scène n'en changent ni le groupe ni les informations acquises.</x:v>
      </x:c>
      <x:c r="O9" s="9" t="str">
        <x:v>RED-SC-DOCKS-MAIN, RED-SC-DOCKS-CHOICE, RED-SC-DOCKS-CINE, RED-SC-DOCKS-PROP</x:v>
      </x:c>
      <x:c r="P9" s="9" t="str">
        <x:v>Critère de production original, pas une validation déjà obtenue.</x:v>
      </x:c>
      <x:c r="Q9" s="9" t="str"/>
      <x:c r="R9" s="20" t="str"/>
      <x:c r="S9" s="20" t="str"/>
    </x:row>
    <x:row r="10" ht="68" customHeight="1">
      <x:c r="A10" s="19" t="str">
        <x:v>RED-SC-PURSUIT-QA</x:v>
      </x:c>
      <x:c r="B10" s="7" t="str">
        <x:v>Rejoindre la base — contrôle du parcours</x:v>
      </x:c>
      <x:c r="C10" s="15" t="str">
        <x:v>Défini</x:v>
      </x:c>
      <x:c r="D10" s="17" t="str">
        <x:v>Extrapolation</x:v>
      </x:c>
      <x:c r="E10" s="17" t="str">
        <x:v>P0</x:v>
      </x:c>
      <x:c r="F10" s="7" t="str">
        <x:v>Rejouer « Rejoindre la base » par les deux méthodes proposées, avec tâche facultative ignorée puis terminée, et en sautant le raccord.</x:v>
      </x:c>
      <x:c r="G10" s="7" t="str">
        <x:v>Départ → manœuvres proposées → identification du relais → arrivée.</x:v>
      </x:c>
      <x:c r="H10" s="7" t="str">
        <x:v>Les commandes de route occupent des fenêtres ATB; la prévisualisation montre collision et exposition avant validation.</x:v>
      </x:c>
      <x:c r="I10" s="7" t="str"/>
      <x:c r="J10" s="7" t="str"/>
      <x:c r="K10" s="7" t="str"/>
      <x:c r="L10" s="7" t="str">
        <x:v>Scénarios de recette à exécuter pour RED/PURSUIT; consigner résultat réel et preuve seulement lors d’une future réalisation.</x:v>
      </x:c>
      <x:c r="M10" s="7" t="str">
        <x:v>Fiche de recette définie; aucun test du jeu n’a été exécuté par ce catalogue.</x:v>
      </x:c>
      <x:c r="N10" s="7" t="str">
        <x:v>L'objectif « Rejoindre la base » atteint son raccord annoncé après chaque méthode; sauvegarde, rechargement et saut de scène n'en changent ni le groupe ni les informations acquises.</x:v>
      </x:c>
      <x:c r="O10" s="7" t="str">
        <x:v>RED-SC-PURSUIT-MAIN, RED-SC-PURSUIT-CHOICE, RED-SC-PURSUIT-CINE, RED-SC-PURSUIT-PROP</x:v>
      </x:c>
      <x:c r="P10" s="7" t="str">
        <x:v>Critère de production original, pas une validation déjà obtenue.</x:v>
      </x:c>
      <x:c r="Q10" s="7" t="str"/>
      <x:c r="R10" s="21" t="str"/>
      <x:c r="S10" s="21" t="str"/>
    </x:row>
    <x:row r="11" ht="68" customHeight="1">
      <x:c r="A11" s="18" t="str">
        <x:v>RED-SC-ACCESS-QA</x:v>
      </x:c>
      <x:c r="B11" s="9" t="str">
        <x:v>Identité et accès compartimentés — contrôle du parcours</x:v>
      </x:c>
      <x:c r="C11" s="15" t="str">
        <x:v>Défini</x:v>
      </x:c>
      <x:c r="D11" s="16" t="str">
        <x:v>Extrapolation</x:v>
      </x:c>
      <x:c r="E11" s="16" t="str">
        <x:v>P0</x:v>
      </x:c>
      <x:c r="F11" s="9" t="str">
        <x:v>Rejouer « Identité et accès compartimentés » par les deux méthodes proposées, avec tâche facultative ignorée puis terminée, et en sautant le raccord.</x:v>
      </x:c>
      <x:c r="G11" s="9" t="str">
        <x:v>Sas → contrôle d’identité → relais local → accès au secteur suivant.</x:v>
      </x:c>
      <x:c r="H11" s="9" t="str">
        <x:v>Chaque contrôle demande un type d’information différent; une identité acceptée ne vaut pas accès universel.</x:v>
      </x:c>
      <x:c r="I11" s="9" t="str"/>
      <x:c r="J11" s="9" t="str"/>
      <x:c r="K11" s="9" t="str"/>
      <x:c r="L11" s="9" t="str">
        <x:v>Scénarios de recette à exécuter pour RED/ACCESS; consigner résultat réel et preuve seulement lors d’une future réalisation.</x:v>
      </x:c>
      <x:c r="M11" s="9" t="str">
        <x:v>Fiche de recette définie; aucun test du jeu n’a été exécuté par ce catalogue.</x:v>
      </x:c>
      <x:c r="N11" s="9" t="str">
        <x:v>L'objectif « Identité et accès compartimentés » atteint son raccord annoncé après chaque méthode; sauvegarde, rechargement et saut de scène n'en changent ni le groupe ni les informations acquises.</x:v>
      </x:c>
      <x:c r="O11" s="9" t="str">
        <x:v>RED-SC-ACCESS-MAIN, RED-SC-ACCESS-CHOICE, RED-SC-ACCESS-CINE, RED-SC-ACCESS-PROP</x:v>
      </x:c>
      <x:c r="P11" s="9" t="str">
        <x:v>Critère de production original, pas une validation déjà obtenue.</x:v>
      </x:c>
      <x:c r="Q11" s="9" t="str"/>
      <x:c r="R11" s="20" t="str"/>
      <x:c r="S11" s="20" t="str"/>
    </x:row>
    <x:row r="12" ht="68" customHeight="1">
      <x:c r="A12" s="19" t="str">
        <x:v>RED-SC-RECOVER-QA</x:v>
      </x:c>
      <x:c r="B12" s="7" t="str">
        <x:v>Récupération et séparation — contrôle du parcours</x:v>
      </x:c>
      <x:c r="C12" s="15" t="str">
        <x:v>Défini</x:v>
      </x:c>
      <x:c r="D12" s="17" t="str">
        <x:v>Extrapolation</x:v>
      </x:c>
      <x:c r="E12" s="17" t="str">
        <x:v>P0</x:v>
      </x:c>
      <x:c r="F12" s="7" t="str">
        <x:v>Rejouer « Récupération et séparation » par les deux méthodes proposées, avec tâche facultative ignorée puis terminée, et en sautant le raccord.</x:v>
      </x:c>
      <x:c r="G12" s="7" t="str">
        <x:v>Préparation du duo → fenêtre de transfert → sortie de Liara → raccord narratif.</x:v>
      </x:c>
      <x:c r="H12" s="7" t="str">
        <x:v>La réussite dépend de la synchronisation protection/accès; l’échec propose une reprise locale, pas une fin alternative canon.</x:v>
      </x:c>
      <x:c r="I12" s="7" t="str"/>
      <x:c r="J12" s="7" t="str"/>
      <x:c r="K12" s="7" t="str"/>
      <x:c r="L12" s="7" t="str">
        <x:v>Scénarios de recette à exécuter pour RED/RECOVER; consigner résultat réel et preuve seulement lors d’une future réalisation.</x:v>
      </x:c>
      <x:c r="M12" s="7" t="str">
        <x:v>Fiche de recette définie; aucun test du jeu n’a été exécuté par ce catalogue.</x:v>
      </x:c>
      <x:c r="N12" s="7" t="str">
        <x:v>L'objectif « Récupération et séparation » atteint son raccord annoncé après chaque méthode; sauvegarde, rechargement et saut de scène n'en changent ni le groupe ni les informations acquises.</x:v>
      </x:c>
      <x:c r="O12" s="7" t="str">
        <x:v>RED-SC-RECOVER-MAIN, RED-SC-RECOVER-CHOICE, RED-SC-RECOVER-CINE, RED-SC-RECOVER-PROP</x:v>
      </x:c>
      <x:c r="P12" s="7" t="str">
        <x:v>Critère de production original, pas une validation déjà obtenue.</x:v>
      </x:c>
      <x:c r="Q12" s="7" t="str"/>
      <x:c r="R12" s="21" t="str"/>
      <x:c r="S12" s="21" t="str"/>
    </x:row>
    <x:row r="13" ht="54" customHeight="1">
      <x:c r="A13" s="18" t="str">
        <x:v>RED-QA-SOURCE</x:v>
      </x:c>
      <x:c r="B13" s="9" t="str">
        <x:v>Vérification des références</x:v>
      </x:c>
      <x:c r="C13" s="15" t="str">
        <x:v>Défini</x:v>
      </x:c>
      <x:c r="D13" s="16" t="str">
        <x:v>Extrapolation</x:v>
      </x:c>
      <x:c r="E13" s="16" t="str">
        <x:v>P0</x:v>
      </x:c>
      <x:c r="F13" s="9" t="str">
        <x:v>Contrôler Redemption dans une édition autorisée avant de transformer les éléments À vérifier en faits établis.</x:v>
      </x:c>
      <x:c r="G13" s="9" t="str">
        <x:v>Vérifier le bon numéro, les graphies, les costumes et le placement exact des séquences; aucune pagination non consultée fournie.</x:v>
      </x:c>
      <x:c r="H13" s="9" t="str"/>
      <x:c r="I13" s="9" t="str"/>
      <x:c r="J13" s="9" t="str"/>
      <x:c r="K13" s="9" t="str"/>
      <x:c r="L13" s="9" t="str">
        <x:v>Contrat de production RED/QA-SOURCE; à appliquer au futur contenu de l'œuvre.</x:v>
      </x:c>
      <x:c r="M13" s="9" t="str">
        <x:v>Recette planifiée; aucune réalisation testée ici.</x:v>
      </x:c>
      <x:c r="N13" s="9" t="str">
        <x:v>Chaque ajout de nom, page, costume ou date est lié à la bonne édition; les descriptions restent brèves et paraphrasées.</x:v>
      </x:c>
      <x:c r="O13" s="9" t="str">
        <x:v>RED-REF-SCOPE</x:v>
      </x:c>
      <x:c r="P13" s="9" t="str">
        <x:v>Règle originale de production; les ancrages de continuité sont documentés dans les fiches REF.</x:v>
      </x:c>
      <x:c r="Q13" s="9" t="str"/>
      <x:c r="R13" s="20" t="str"/>
      <x:c r="S13" s="20" t="str"/>
    </x:row>
    <x:row r="14" ht="54" customHeight="1">
      <x:c r="A14" s="19" t="str">
        <x:v>RED-QA-VISIBILITY</x:v>
      </x:c>
      <x:c r="B14" s="7" t="str">
        <x:v>Lecture des sprites et du terrain</x:v>
      </x:c>
      <x:c r="C14" s="15" t="str">
        <x:v>Défini</x:v>
      </x:c>
      <x:c r="D14" s="17" t="str">
        <x:v>Extrapolation</x:v>
      </x:c>
      <x:c r="E14" s="17" t="str">
        <x:v>P0</x:v>
      </x:c>
      <x:c r="F14" s="7" t="str">
        <x:v>Contrôler la taille des sprites, la séparation des silhouettes et les sorties sous la caméra fixe de chaque scène.</x:v>
      </x:c>
      <x:c r="G14" s="7" t="str">
        <x:v>Faire parcourir les zones avec premier plan actif, sous-titres larges et mode de contraste renforcé.</x:v>
      </x:c>
      <x:c r="H14" s="7" t="str"/>
      <x:c r="I14" s="7" t="str"/>
      <x:c r="J14" s="7" t="str"/>
      <x:c r="K14" s="7" t="str"/>
      <x:c r="L14" s="7" t="str">
        <x:v>Contrat de production RED/QA-VISIBILITY; à appliquer au futur contenu de l'œuvre.</x:v>
      </x:c>
      <x:c r="M14" s="7" t="str">
        <x:v>Recette planifiée; aucune réalisation testée ici.</x:v>
      </x:c>
      <x:c r="N14" s="7" t="str">
        <x:v>Le personnage contrôlé, les sorties et le signal de danger restent localisables sans désactiver le décor.</x:v>
      </x:c>
      <x:c r="O14" s="7" t="str">
        <x:v>RED-REF-SCOPE</x:v>
      </x:c>
      <x:c r="P14" s="7" t="str">
        <x:v>Règle originale de production; les ancrages de continuité sont documentés dans les fiches REF.</x:v>
      </x:c>
      <x:c r="Q14" s="7" t="str"/>
      <x:c r="R14" s="21" t="str"/>
      <x:c r="S14" s="21" t="str"/>
    </x:row>
    <x:row r="15" ht="68" customHeight="1">
      <x:c r="A15" s="18" t="str">
        <x:v>RED-QA-NARRATIVE</x:v>
      </x:c>
      <x:c r="B15" s="9" t="str">
        <x:v>Convergence narrative</x:v>
      </x:c>
      <x:c r="C15" s="15" t="str">
        <x:v>Défini</x:v>
      </x:c>
      <x:c r="D15" s="16" t="str">
        <x:v>Extrapolation</x:v>
      </x:c>
      <x:c r="E15" s="16" t="str">
        <x:v>P0</x:v>
      </x:c>
      <x:c r="F15" s="9" t="str">
        <x:v>Préserver l’absence active de Shepard, la relation Liara/Feron et le raccord vers ME2; les méthodes d’enquête ne changent pas le sort publié des protagonistes.</x:v>
      </x:c>
      <x:c r="G15" s="9" t="str">
        <x:v>La continuité éditoriale est distincte des essais de gameplay; un choix stratégique ne réécrit pas la fin publiée.</x:v>
      </x:c>
      <x:c r="H15" s="9" t="str"/>
      <x:c r="I15" s="9" t="str"/>
      <x:c r="J15" s="9" t="str"/>
      <x:c r="K15" s="9" t="str"/>
      <x:c r="L15" s="9" t="str">
        <x:v>Contrat de production RED/QA-NARRATIVE; à appliquer au futur contenu de l'œuvre.</x:v>
      </x:c>
      <x:c r="M15" s="9" t="str">
        <x:v>Recette planifiée; aucune réalisation testée ici.</x:v>
      </x:c>
      <x:c r="N15" s="9" t="str">
        <x:v>Jouer chaque choix local et passer chaque cinématique produit les mêmes ancrages de conclusion; les divergences restent marquées adaptation.</x:v>
      </x:c>
      <x:c r="O15" s="9" t="str">
        <x:v>RED-REF-SCOPE</x:v>
      </x:c>
      <x:c r="P15" s="9" t="str">
        <x:v>Règle originale de production; les ancrages de continuité sont documentés dans les fiches REF.</x:v>
      </x:c>
      <x:c r="Q15" s="9" t="str"/>
      <x:c r="R15" s="20" t="str"/>
      <x:c r="S15" s="20" t="str"/>
    </x:row>
  </x:sheetData>
  <x:conditionalFormatting sqref="D7:D15">
    <x:cfRule type="cellIs" dxfId="96" priority="1" operator="equal">
      <x:formula>"À vérifier"</x:formula>
    </x:cfRule>
    <x:cfRule type="cellIs" dxfId="97" priority="2" operator="equal">
      <x:formula>"Extrapolation"</x:formula>
    </x:cfRule>
  </x:conditionalFormatting>
  <x:conditionalFormatting sqref="C7:C15">
    <x:cfRule type="cellIs" dxfId="98" priority="3" operator="equal">
      <x:formula>"Validé"</x:formula>
    </x:cfRule>
  </x:conditionalFormatting>
  <x:conditionalFormatting sqref="E7:E15">
    <x:cfRule type="cellIs" dxfId="99"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b0d921004d3d4aef"/>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Redemption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30" t="str">
        <x:v>Identifiant</x:v>
      </x:c>
      <x:c r="B6" s="31" t="str">
        <x:v>Élément</x:v>
      </x:c>
      <x:c r="C6" s="31" t="str">
        <x:v>Contenu</x:v>
      </x:c>
      <x:c r="D6" s="31" t="str">
        <x:v>Nature de la référence</x:v>
      </x:c>
      <x:c r="E6" s="31" t="str">
        <x:v>Priorité</x:v>
      </x:c>
      <x:c r="F6" s="31" t="str">
        <x:v>Fait ou hypothèse</x:v>
      </x:c>
      <x:c r="G6" s="31" t="str">
        <x:v>Adaptation proposée</x:v>
      </x:c>
      <x:c r="H6" s="31" t="str">
        <x:v>Règles et moveset proposés</x:v>
      </x:c>
      <x:c r="I6" s="31" t="str">
        <x:v>Direction visuelle</x:v>
      </x:c>
      <x:c r="J6" s="31" t="str">
        <x:v>Animation</x:v>
      </x:c>
      <x:c r="K6" s="31" t="str">
        <x:v>Audio et accessibilité</x:v>
      </x:c>
      <x:c r="L6" s="31" t="str">
        <x:v>Mise en œuvre prévue</x:v>
      </x:c>
      <x:c r="M6" s="31" t="str">
        <x:v>Conditions et variantes</x:v>
      </x:c>
      <x:c r="N6" s="31" t="str">
        <x:v>Critère d’acceptation</x:v>
      </x:c>
      <x:c r="O6" s="31" t="str">
        <x:v>Dépendances</x:v>
      </x:c>
      <x:c r="P6" s="31" t="str">
        <x:v>Repère dans l’œuvre</x:v>
      </x:c>
      <x:c r="Q6" s="31" t="str">
        <x:v>Sources</x:v>
      </x:c>
      <x:c r="R6" s="31" t="str">
        <x:v>Sources URL</x:v>
      </x:c>
      <x:c r="S6" s="32" t="str">
        <x:v>Notes et limites</x:v>
      </x:c>
    </x:row>
    <x:row r="7" ht="68" customHeight="1">
      <x:c r="A7" s="18" t="str">
        <x:v>RED-CNT-PLACE</x:v>
      </x:c>
      <x:c r="B7" s="9" t="str">
        <x:v>Position dans l’univers</x:v>
      </x:c>
      <x:c r="C7" s="15" t="str">
        <x:v>Défini</x:v>
      </x:c>
      <x:c r="D7" s="16" t="str">
        <x:v>Extrapolation</x:v>
      </x:c>
      <x:c r="E7" s="16" t="str">
        <x:v>P1</x:v>
      </x:c>
      <x:c r="F7" s="9" t="str">
        <x:v>Pont entre la disparition de Shepard au début de ME2 et sa reconstruction; ne pas rejouer le DLC du Courtier de l’ombre comme s’il appartenait aux quatre numéros.</x:v>
      </x:c>
      <x:c r="G7" s="9" t="str">
        <x:v>La continuité éditoriale est distincte des essais de gameplay; un choix stratégique ne réécrit pas la fin publiée.</x:v>
      </x:c>
      <x:c r="H7" s="9" t="str"/>
      <x:c r="I7" s="9" t="str"/>
      <x:c r="J7" s="9" t="str"/>
      <x:c r="K7" s="9" t="str"/>
      <x:c r="L7" s="9" t="str">
        <x:v>Contrat de production RED/CNT-PLACE; à appliquer au futur contenu de l'œuvre.</x:v>
      </x:c>
      <x:c r="M7" s="9" t="str">
        <x:v>Préserver l’absence active de Shepard, la relation Liara/Feron et le raccord vers ME2; les méthodes d’enquête ne changent pas le sort publié des protagonistes.</x:v>
      </x:c>
      <x:c r="N7" s="9" t="str">
        <x:v>La frise indique les incertitudes et les liens avec les autres œuvres sans attribuer une date non sourcée.</x:v>
      </x:c>
      <x:c r="O7" s="9" t="str">
        <x:v>RED-REF-SCOPE</x:v>
      </x:c>
      <x:c r="P7" s="9" t="str">
        <x:v>Règle originale de production; les ancrages de continuité sont documentés dans les fiches REF.</x:v>
      </x:c>
      <x:c r="Q7" s="9" t="str"/>
      <x:c r="R7" s="20" t="str"/>
      <x:c r="S7" s="20" t="str"/>
    </x:row>
    <x:row r="8" ht="68" customHeight="1">
      <x:c r="A8" s="19" t="str">
        <x:v>RED-CNT-NO-CUT</x:v>
      </x:c>
      <x:c r="B8" s="7" t="str">
        <x:v>Contenus non attestés</x:v>
      </x:c>
      <x:c r="C8" s="15" t="str">
        <x:v>Défini</x:v>
      </x:c>
      <x:c r="D8" s="17" t="str">
        <x:v>Extrapolation</x:v>
      </x:c>
      <x:c r="E8" s="17" t="str">
        <x:v>P1</x:v>
      </x:c>
      <x:c r="F8" s="7" t="str">
        <x:v>Aucune rumeur de scène coupée n’est intégrée à Redemption.</x:v>
      </x:c>
      <x:c r="G8" s="7" t="str">
        <x:v>Un contenu absent des notices consultées reste non documenté; une illustration préparatoire ne prouve pas une scène canon.</x:v>
      </x:c>
      <x:c r="H8" s="7" t="str"/>
      <x:c r="I8" s="7" t="str"/>
      <x:c r="J8" s="7" t="str"/>
      <x:c r="K8" s="7" t="str"/>
      <x:c r="L8" s="7" t="str">
        <x:v>Contrat de production RED/CNT-NO-CUT; à appliquer au futur contenu de l'œuvre.</x:v>
      </x:c>
      <x:c r="M8" s="7" t="str">
        <x:v>Préserver l’absence active de Shepard, la relation Liara/Feron et le raccord vers ME2; les méthodes d’enquête ne changent pas le sort publié des protagonistes.</x:v>
      </x:c>
      <x:c r="N8" s="7" t="str">
        <x:v>Une future fiche Coupé attesté ou Concept abandonné devra citer une preuve primaire spécifique.</x:v>
      </x:c>
      <x:c r="O8" s="7" t="str">
        <x:v>RED-REF-SCOPE</x:v>
      </x:c>
      <x:c r="P8" s="7" t="str">
        <x:v>Règle originale de production; les ancrages de continuité sont documentés dans les fiches REF.</x:v>
      </x:c>
      <x:c r="Q8" s="7" t="str"/>
      <x:c r="R8" s="21" t="str"/>
      <x:c r="S8" s="21"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ef70db8d34e645b5"/>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Redemption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30" t="str">
        <x:v>Champ</x:v>
      </x:c>
      <x:c r="B6" s="32" t="str">
        <x:v>Définition</x:v>
      </x:c>
      <x:c r="C6" s="2"/>
      <x:c r="D6" s="2"/>
      <x:c r="E6" s="2"/>
      <x:c r="F6" s="2"/>
    </x:row>
    <x:row r="7" ht="30" customHeight="1">
      <x:c r="A7" s="7" t="str">
        <x:v>Œuvre</x:v>
      </x:c>
      <x:c r="B7" s="7" t="str">
        <x:v>Mass Effect: Redemption</x:v>
      </x:c>
      <x:c r="C7" s="2"/>
      <x:c r="D7" s="2"/>
      <x:c r="E7" s="2"/>
      <x:c r="F7" s="2"/>
    </x:row>
    <x:row r="8" ht="30" customHeight="1">
      <x:c r="A8" s="7" t="str">
        <x:v>Support</x:v>
      </x:c>
      <x:c r="B8" s="7" t="str">
        <x:v>Comic / bande dessinée</x:v>
      </x:c>
      <x:c r="C8" s="2"/>
      <x:c r="D8" s="2"/>
      <x:c r="E8" s="2"/>
      <x:c r="F8" s="2"/>
    </x:row>
    <x:row r="9" ht="68" customHeight="1">
      <x:c r="A9" s="7" t="str">
        <x:v>Périmètre</x:v>
      </x:c>
      <x:c r="B9" s="7" t="str">
        <x:v>Les quatre numéros de Redemption; pont narratif vers Mass Effect 2, personnages, Omega, poursuite et récupération. Bonus éditoriaux traités comme références, pas comme scènes supplémentaires.</x:v>
      </x:c>
      <x:c r="C9" s="2"/>
      <x:c r="D9" s="2"/>
      <x:c r="E9" s="2"/>
      <x:c r="F9" s="2"/>
    </x:row>
    <x:row r="10" ht="96" customHeight="1">
      <x:c r="A10" s="7" t="str">
        <x:v>Projet</x:v>
      </x:c>
      <x:c r="B10" s="7" t="str">
        <x:v>Catalogue de production pour une adaptation centrée sur Liara et Feron. Les faits courts sourcés servent d’ancrages aux propositions originales de recherche, infiltration, entraide ATB et mise en scène. Prototype partiel : 2 profils sélectionnables et 0 équipements en Chroniques ; le reste demeure documentaire.</x:v>
      </x:c>
      <x:c r="C10" s="2"/>
      <x:c r="D10" s="2"/>
      <x:c r="E10" s="2"/>
      <x:c r="F10" s="2"/>
    </x:row>
    <x:row r="11" ht="180" customHeight="1">
      <x:c r="A11" s="7" t="str">
        <x:v>Références et limites</x:v>
      </x:c>
      <x:c r="B11" s="7" t="str">
        <x:v>Le Shepard personnalisé doit rester compatible avec les choix du joueur. Les notes de l’auteur emploient « Alignon », alors que le wiki emploie « Alingon » : graphie à comparer au comic et au codex avant livraison.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30" customHeight="1">
      <x:c r="A12" s="7" t="str">
        <x:v>Date de référence</x:v>
      </x:c>
      <x:c r="B12" s="44"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30" t="str">
        <x:v>Source</x:v>
      </x:c>
      <x:c r="B26" s="31" t="str">
        <x:v>Titre</x:v>
      </x:c>
      <x:c r="C26" s="31" t="str">
        <x:v>Type</x:v>
      </x:c>
      <x:c r="D26" s="31" t="str">
        <x:v>URL</x:v>
      </x:c>
      <x:c r="E26" s="31" t="str">
        <x:v>Périmètre</x:v>
      </x:c>
      <x:c r="F26" s="32" t="str">
        <x:v>Accès et limites</x:v>
      </x:c>
    </x:row>
    <x:row r="27" ht="42" customHeight="1">
      <x:c r="A27" s="6" t="str">
        <x:v>RED-S-BOOK</x:v>
      </x:c>
      <x:c r="B27" s="6" t="str">
        <x:v>Dark Horse — Redemption</x:v>
      </x:c>
      <x:c r="C27" s="6" t="str">
        <x:v>source officielle — notice Dark Horse via Penguin Random House</x:v>
      </x:c>
      <x:c r="D27" s="6" t="str">
        <x:v>https://www.penguinrandomhouse.com/books/241684/mass-effect-volume-1-redemption-by-mac-walters-various-artists/</x:v>
      </x:c>
      <x:c r="E27" s="6" t="str">
        <x:v>Liara, Terminus, quatre numéros et bonus graphiques.</x:v>
      </x:c>
      <x:c r="F27" s="6" t="str">
        <x:v>Consulté le 22 octobre 2026; les faits sont paraphrasés brièvement.</x:v>
      </x:c>
    </x:row>
    <x:row r="28" ht="54" customHeight="1">
      <x:c r="A28" s="6" t="str">
        <x:v>RED-S-COMPLETE</x:v>
      </x:c>
      <x:c r="B28" s="6" t="str">
        <x:v>Dark Horse Digital — The Complete Comics</x:v>
      </x:c>
      <x:c r="C28" s="6" t="str">
        <x:v>source officielle — éditeur</x:v>
      </x:c>
      <x:c r="D28" s="6" t="str">
        <x:v>https://digital.darkhorse.com/books/7bcdbde713b746338287bb0d74350bac/mass-effect-the-complete-comics</x:v>
      </x:c>
      <x:c r="E28" s="6" t="str">
        <x:v>Prémisses, personnages centraux et compilation; ne remplace pas les numéros individuels.</x:v>
      </x:c>
      <x:c r="F28" s="6" t="str">
        <x:v>Consulté le 22 octobre 2026; les faits sont paraphrasés brièvement.</x:v>
      </x:c>
    </x:row>
    <x:row r="29" ht="42" customHeight="1">
      <x:c r="A29" s="6" t="str">
        <x:v>RED-S-AUTHOR1</x:v>
      </x:c>
      <x:c r="B29" s="6" t="str">
        <x:v>John Jackson Miller — Redemption #1</x:v>
      </x:c>
      <x:c r="C29" s="6" t="str">
        <x:v>source officielle — notes du scénariste</x:v>
      </x:c>
      <x:c r="D29" s="6" t="str">
        <x:v>https://farawaypress.com/comics/masseffectredemption/masseffectredemption1/</x:v>
      </x:c>
      <x:c r="E29" s="6" t="str">
        <x:v>Conception et éléments explicitement commentés de Redemption #1</x:v>
      </x:c>
      <x:c r="F29" s="6" t="str">
        <x:v>Consulté le 22 octobre 2026; les faits sont paraphrasés brièvement.</x:v>
      </x:c>
    </x:row>
    <x:row r="30" ht="42" customHeight="1">
      <x:c r="A30" s="6" t="str">
        <x:v>RED-S-AUTHOR2</x:v>
      </x:c>
      <x:c r="B30" s="6" t="str">
        <x:v>John Jackson Miller — Redemption #2</x:v>
      </x:c>
      <x:c r="C30" s="6" t="str">
        <x:v>source officielle — notes du scénariste</x:v>
      </x:c>
      <x:c r="D30" s="6" t="str">
        <x:v>https://farawaypress.com/comics/masseffectredemption/masseffectredemption2/</x:v>
      </x:c>
      <x:c r="E30" s="6" t="str">
        <x:v>Conception et éléments explicitement commentés de Redemption #2</x:v>
      </x:c>
      <x:c r="F30" s="6" t="str">
        <x:v>Consulté le 22 octobre 2026; les faits sont paraphrasés brièvement.</x:v>
      </x:c>
    </x:row>
    <x:row r="31" ht="42" customHeight="1">
      <x:c r="A31" s="6" t="str">
        <x:v>RED-S-AUTHOR3</x:v>
      </x:c>
      <x:c r="B31" s="6" t="str">
        <x:v>John Jackson Miller — Redemption #3</x:v>
      </x:c>
      <x:c r="C31" s="6" t="str">
        <x:v>source officielle — notes du scénariste</x:v>
      </x:c>
      <x:c r="D31" s="6" t="str">
        <x:v>https://farawaypress.com/comics/masseffectredemption/masseffectredemption3/</x:v>
      </x:c>
      <x:c r="E31" s="6" t="str">
        <x:v>Conception et éléments explicitement commentés de Redemption #3</x:v>
      </x:c>
      <x:c r="F31" s="6" t="str">
        <x:v>Consulté le 22 octobre 2026; les faits sont paraphrasés brièvement.</x:v>
      </x:c>
    </x:row>
    <x:row r="32" ht="42" customHeight="1">
      <x:c r="A32" s="6" t="str">
        <x:v>RED-S-AUTHOR4</x:v>
      </x:c>
      <x:c r="B32" s="6" t="str">
        <x:v>John Jackson Miller — Redemption #4</x:v>
      </x:c>
      <x:c r="C32" s="6" t="str">
        <x:v>source officielle — notes du scénariste</x:v>
      </x:c>
      <x:c r="D32" s="6" t="str">
        <x:v>https://farawaypress.com/comics/masseffectredemption/masseffectredemption4/</x:v>
      </x:c>
      <x:c r="E32" s="6" t="str">
        <x:v>Conception et éléments explicitement commentés de Redemption #4</x:v>
      </x:c>
      <x:c r="F32" s="6" t="str">
        <x:v>Consulté le 22 octobre 2026; les faits sont paraphrasés brièvement.</x:v>
      </x:c>
    </x:row>
    <x:row r="33" ht="54" customHeight="1">
      <x:c r="A33" s="6" t="str">
        <x:v>RED-S-FERON</x:v>
      </x:c>
      <x:c r="B33" s="6" t="str">
        <x:v>Feron — Redemption</x:v>
      </x:c>
      <x:c r="C33" s="6" t="str">
        <x:v>wiki — extrait indexé, à contrôler</x:v>
      </x:c>
      <x:c r="D33" s="6" t="str">
        <x:v>https://masseffect.fandom.com/wiki/Feron</x:v>
      </x:c>
      <x:c r="E33" s="6" t="str">
        <x:v>Rôle de Feron et séquences à vérifier.</x:v>
      </x:c>
      <x:c r="F33" s="6" t="str">
        <x:v>Contenu lu dans le résultat de recherche indexé; ouverture directe Fandom restreinte ou en erreur. Comparaison avec le comic autorisé requise.</x:v>
      </x:c>
    </x:row>
    <x:row r="34" ht="54" customHeight="1">
      <x:c r="A34" s="6" t="str">
        <x:v>RED-S-TAZZIK</x:v>
      </x:c>
      <x:c r="B34" s="6" t="str">
        <x:v>Tazzik</x:v>
      </x:c>
      <x:c r="C34" s="6" t="str">
        <x:v>wiki — extrait indexé, à contrôler</x:v>
      </x:c>
      <x:c r="D34" s="6" t="str">
        <x:v>https://masseffect.fandom.com/wiki/Tazzik</x:v>
      </x:c>
      <x:c r="E34" s="6" t="str">
        <x:v>Rôle du salarian et Alingon.</x:v>
      </x:c>
      <x:c r="F34" s="6" t="str">
        <x:v>Contenu lu dans le résultat de recherche indexé; ouverture directe Fandom restreinte ou en erreur. Comparaison avec le comic autorisé requise.</x:v>
      </x:c>
    </x:row>
    <x:row r="35" ht="54" customHeight="1">
      <x:c r="A35" s="6" t="str">
        <x:v>RED-S-STORYII</x:v>
      </x:c>
      <x:c r="B35" s="6" t="str">
        <x:v>Storyline II — Redemption</x:v>
      </x:c>
      <x:c r="C35" s="6" t="str">
        <x:v>wiki — extrait indexé, à contrôler</x:v>
      </x:c>
      <x:c r="D35" s="6" t="str">
        <x:v>https://masseffect.fandom.com/wiki/Storyline_II</x:v>
      </x:c>
      <x:c r="E35" s="6" t="str">
        <x:v>Poursuite et sentries autour d’Alingon; extrait indexé consulté, à contrôler.</x:v>
      </x:c>
      <x:c r="F35" s="6" t="str">
        <x:v>Contenu lu dans le résultat de recherche indexé; ouverture directe Fandom restreinte ou en erreur. Comparaison avec le comic autorisé requise.</x:v>
      </x:c>
    </x:row>
    <x:row r="36" ht="22" customHeight="1">
      <x:c r="A36" s="2"/>
      <x:c r="B36" s="2"/>
      <x:c r="C36" s="2"/>
      <x:c r="D36" s="2"/>
      <x:c r="E36" s="2"/>
      <x:c r="F36" s="2"/>
    </x:row>
    <x:row r="37" ht="22" customHeight="1">
      <x:c r="A37" s="2"/>
      <x:c r="B37" s="2"/>
      <x:c r="C37" s="2"/>
      <x:c r="D37" s="2"/>
      <x:c r="E37" s="2"/>
      <x:c r="F37" s="2"/>
    </x:row>
    <x:row r="38" ht="22" customHeight="1">
      <x:c r="A38" s="2"/>
      <x:c r="B38" s="2"/>
      <x:c r="C38" s="2"/>
      <x:c r="D38" s="2"/>
      <x:c r="E38" s="2"/>
      <x:c r="F38" s="2"/>
    </x:row>
    <x:row r="39" ht="34" customHeight="1">
      <x:c r="A39" s="30" t="str">
        <x:v>Domaine</x:v>
      </x:c>
      <x:c r="B39" s="31" t="str">
        <x:v>Couverture actuelle</x:v>
      </x:c>
      <x:c r="C39" s="32" t="str">
        <x:v>Travail restant</x:v>
      </x:c>
      <x:c r="D39" s="2"/>
      <x:c r="E39" s="2"/>
      <x:c r="F39" s="2"/>
    </x:row>
    <x:row r="40" ht="68" customHeight="1">
      <x:c r="A40" s="6" t="str">
        <x:v>characters</x:v>
      </x:c>
      <x:c r="B40" s="6" t="str">
        <x:v>3 fiche(s) : Liara T’Soni; Feron; Tazzik</x:v>
      </x:c>
      <x:c r="C40" s="6" t="str">
        <x:v>Comparer les détails marqués À vérifier à une édition autorisée; les sources éditoriales n’attestent pas chaque détail graphique.</x:v>
      </x:c>
      <x:c r="D40" s="2"/>
      <x:c r="E40" s="2"/>
      <x:c r="F40" s="2"/>
    </x:row>
    <x:row r="41" ht="68" customHeight="1">
      <x:c r="A41" s="6" t="str">
        <x:v>npcs</x:v>
      </x:c>
      <x:c r="B41" s="6" t="str">
        <x:v>4 fiche(s) : Miranda Lawson; Aria T’Loak; L’Homme trouble; Courtier de l’ombre — représentation distante</x:v>
      </x:c>
      <x:c r="C41" s="6" t="str">
        <x:v>Comparer les détails marqués À vérifier à une édition autorisée; les sources éditoriales n’attestent pas chaque détail graphique.</x:v>
      </x:c>
      <x:c r="D41" s="2"/>
      <x:c r="E41" s="2"/>
      <x:c r="F41" s="2"/>
    </x:row>
    <x:row r="42" ht="68" customHeight="1">
      <x:c r="A42" s="6" t="str">
        <x:v>lore</x:v>
      </x:c>
      <x:c r="B42" s="6" t="str">
        <x:v>10 fiche(s) : Série en quatre numéros; Shepard adaptable; Duo de recherche; Croquis du recueil</x:v>
      </x:c>
      <x:c r="C42" s="6" t="str">
        <x:v>Comparer les détails marqués À vérifier à une édition autorisée; les sources éditoriales n’attestent pas chaque détail graphique.</x:v>
      </x:c>
      <x:c r="D42" s="2"/>
      <x:c r="E42" s="2"/>
      <x:c r="F42" s="2"/>
    </x:row>
    <x:row r="43" ht="68" customHeight="1">
      <x:c r="A43" s="6" t="str">
        <x:v>worlds</x:v>
      </x:c>
      <x:c r="B43" s="6" t="str">
        <x:v>3 fiche(s) : Omega; Alingon / Alignon — graphie à contrôler; Poursuite dans l’espace</x:v>
      </x:c>
      <x:c r="C43" s="6" t="str">
        <x:v>Comparer les détails marqués À vérifier à une édition autorisée; les sources éditoriales n’attestent pas chaque détail graphique.</x:v>
      </x:c>
      <x:c r="D43" s="2"/>
      <x:c r="E43" s="2"/>
      <x:c r="F43" s="2"/>
    </x:row>
    <x:row r="44" ht="54" customHeight="1">
      <x:c r="A44" s="6" t="str">
        <x:v>zones</x:v>
      </x:c>
      <x:c r="B44" s="6" t="str">
        <x:v>3 fiche(s) : Omega — espace jouable proposé; Alingon / Alignon — graphie à contrôler — espace jouable proposé; Poursuite dans l’espace — espace jouable proposé</x:v>
      </x:c>
      <x:c r="C44" s="6" t="str">
        <x:v>Prototyper les règles proposées et exécuter les critères de recette; aucune fiche n’est déclarée intégrée ou validée.</x:v>
      </x:c>
      <x:c r="D44" s="2"/>
      <x:c r="E44" s="2"/>
      <x:c r="F44" s="2"/>
    </x:row>
    <x:row r="45" ht="54" customHeight="1">
      <x:c r="A45" s="6" t="str">
        <x:v>links</x:v>
      </x:c>
      <x:c r="B45" s="6" t="str">
        <x:v>3 fiche(s) : Omega — accès et sortie; Alingon / Alignon — graphie à contrôler — accès et sortie; Poursuite dans l’espace — accès et sortie</x:v>
      </x:c>
      <x:c r="C45" s="6" t="str">
        <x:v>Prototyper les règles proposées et exécuter les critères de recette; aucune fiche n’est déclarée intégrée ou validée.</x:v>
      </x:c>
      <x:c r="D45" s="2"/>
      <x:c r="E45" s="2"/>
      <x:c r="F45" s="2"/>
    </x:row>
    <x:row r="46" ht="54" customHeight="1">
      <x:c r="A46" s="6" t="str">
        <x:v>scenery</x:v>
      </x:c>
      <x:c r="B46" s="6" t="str">
        <x:v>3 fiche(s) : Omega — décor et repère; Alingon / Alignon — graphie à contrôler — décor et repère; Poursuite dans l’espace — décor et repère</x:v>
      </x:c>
      <x:c r="C46" s="6" t="str">
        <x:v>Produire les assets originaux puis vérifier en situation; ce catalogue ne livre ni image, ni son, ni animation.</x:v>
      </x:c>
      <x:c r="D46" s="2"/>
      <x:c r="E46" s="2"/>
      <x:c r="F46" s="2"/>
    </x:row>
    <x:row r="47" ht="54" customHeight="1">
      <x:c r="A47" s="6" t="str">
        <x:v>props</x:v>
      </x:c>
      <x:c r="B47" s="6" t="str">
        <x:v>6 fiche(s) : Repère de rendez-vous; Terminal de piste; Commande de quai; Afficheur de trajectoire</x:v>
      </x:c>
      <x:c r="C47" s="6" t="str">
        <x:v>Prototyper les règles proposées et exécuter les critères de recette; aucune fiche n’est déclarée intégrée ou validée.</x:v>
      </x:c>
      <x:c r="D47" s="2"/>
      <x:c r="E47" s="2"/>
      <x:c r="F47" s="2"/>
    </x:row>
    <x:row r="48" ht="54" customHeight="1">
      <x:c r="A48" s="6" t="str">
        <x:v>enemies</x:v>
      </x:c>
      <x:c r="B48" s="6" t="str">
        <x:v>3 fiche(s) : Blue Suns; Sentries de poursuite; Gardes de la base</x:v>
      </x:c>
      <x:c r="C48" s="6" t="str">
        <x:v>Prototyper les règles proposées et exécuter les critères de recette; aucune fiche n’est déclarée intégrée ou validée.</x:v>
      </x:c>
      <x:c r="D48" s="2"/>
      <x:c r="E48" s="2"/>
      <x:c r="F48" s="2"/>
    </x:row>
    <x:row r="49" ht="54" customHeight="1">
      <x:c r="A49" s="6" t="str">
        <x:v>main_quests</x:v>
      </x:c>
      <x:c r="B49" s="6" t="str">
        <x:v>6 fiche(s) : Contact sur Omega — objectif jouable; Entretien à Afterlife — objectif jouable; Docks et transfert — objectif jouable; Rejoindre la base — objectif jouable</x:v>
      </x:c>
      <x:c r="C49" s="6" t="str">
        <x:v>Prototyper les règles proposées et exécuter les critères de recette; aucune fiche n’est déclarée intégrée ou validée.</x:v>
      </x:c>
      <x:c r="D49" s="2"/>
      <x:c r="E49" s="2"/>
      <x:c r="F49" s="2"/>
    </x:row>
    <x:row r="50" ht="54" customHeight="1">
      <x:c r="A50" s="6" t="str">
        <x:v>side_quests</x:v>
      </x:c>
      <x:c r="B50" s="6" t="str">
        <x:v>6 fiche(s) : Vérifier une seconde sortie; Écouter le quartier; Relever la route du cargo; Calibrer le filtre radio</x:v>
      </x:c>
      <x:c r="C50" s="6" t="str">
        <x:v>Prototyper les règles proposées et exécuter les critères de recette; aucune fiche n’est déclarée intégrée ou validée.</x:v>
      </x:c>
      <x:c r="D50" s="2"/>
      <x:c r="E50" s="2"/>
      <x:c r="F50" s="2"/>
    </x:row>
    <x:row r="51" ht="54" customHeight="1">
      <x:c r="A51" s="6" t="str">
        <x:v>choices</x:v>
      </x:c>
      <x:c r="B51" s="6" t="str">
        <x:v>6 fiche(s) : Contact sur Omega — stratégie locale; Entretien à Afterlife — stratégie locale; Docks et transfert — stratégie locale; Rejoindre la base — stratégie locale</x:v>
      </x:c>
      <x:c r="C51" s="6" t="str">
        <x:v>Prototyper les règles proposées et exécuter les critères de recette; aucune fiche n’est déclarée intégrée ou validée.</x:v>
      </x:c>
      <x:c r="D51" s="2"/>
      <x:c r="E51" s="2"/>
      <x:c r="F51" s="2"/>
    </x:row>
    <x:row r="52" ht="68" customHeight="1">
      <x:c r="A52" s="6" t="str">
        <x:v>dialogues</x:v>
      </x:c>
      <x:c r="B52" s="6" t="str">
        <x:v>6 fiche(s) : Contact sur Omega — intentions de conversation; Entretien à Afterlife — intentions de conversation; Docks et transfert — intentions de conversation; Rejoindre la base — intentions de conversation</x:v>
      </x:c>
      <x:c r="C52" s="6" t="str">
        <x:v>Prototyper les règles proposées et exécuter les critères de recette; aucune fiche n’est déclarée intégrée ou validée.</x:v>
      </x:c>
      <x:c r="D52" s="2"/>
      <x:c r="E52" s="2"/>
      <x:c r="F52" s="2"/>
    </x:row>
    <x:row r="53" ht="68" customHeight="1">
      <x:c r="A53" s="6" t="str">
        <x:v>cinematics</x:v>
      </x:c>
      <x:c r="B53" s="6" t="str">
        <x:v>6 fiche(s) : Contact sur Omega — raccord mis en scène; Entretien à Afterlife — raccord mis en scène; Docks et transfert — raccord mis en scène; Rejoindre la base — raccord mis en scène</x:v>
      </x:c>
      <x:c r="C53" s="6" t="str">
        <x:v>Prototyper les règles proposées et exécuter les critères de recette; aucune fiche n’est déclarée intégrée ou validée.</x:v>
      </x:c>
      <x:c r="D53" s="2"/>
      <x:c r="E53" s="2"/>
      <x:c r="F53" s="2"/>
    </x:row>
    <x:row r="54" ht="54" customHeight="1">
      <x:c r="A54" s="6" t="str">
        <x:v>weapons</x:v>
      </x:c>
      <x:c r="B54" s="6" t="str">
        <x:v>1 fiche(s) : Arme de poing de production</x:v>
      </x:c>
      <x:c r="C54" s="6" t="str">
        <x:v>Prototyper les règles proposées et exécuter les critères de recette; aucune fiche n’est déclarée intégrée ou validée.</x:v>
      </x:c>
      <x:c r="D54" s="2"/>
      <x:c r="E54" s="2"/>
      <x:c r="F54" s="2"/>
    </x:row>
    <x:row r="55" ht="54" customHeight="1">
      <x:c r="A55" s="6" t="str">
        <x:v>equipment</x:v>
      </x:c>
      <x:c r="B55" s="6" t="str">
        <x:v>1 fiche(s) : Kit de couverture de Feron</x:v>
      </x:c>
      <x:c r="C55" s="6" t="str">
        <x:v>Prototyper les règles proposées et exécuter les critères de recette; aucune fiche n’est déclarée intégrée ou validée.</x:v>
      </x:c>
      <x:c r="D55" s="2"/>
      <x:c r="E55" s="2"/>
      <x:c r="F55" s="2"/>
    </x:row>
    <x:row r="56" ht="54" customHeight="1">
      <x:c r="A56" s="6" t="str">
        <x:v>powers</x:v>
      </x:c>
      <x:c r="B56" s="6" t="str">
        <x:v>1 fiche(s) : Déplacement biotique proposé</x:v>
      </x:c>
      <x:c r="C56" s="6" t="str">
        <x:v>Prototyper les règles proposées et exécuter les critères de recette; aucune fiche n’est déclarée intégrée ou validée.</x:v>
      </x:c>
      <x:c r="D56" s="2"/>
      <x:c r="E56" s="2"/>
      <x:c r="F56" s="2"/>
    </x:row>
    <x:row r="57" ht="54" customHeight="1">
      <x:c r="A57" s="6" t="str">
        <x:v>ally_moves</x:v>
      </x:c>
      <x:c r="B57" s="6" t="str">
        <x:v>2 fiche(s) : Écran de passage; Couverture d’identité</x:v>
      </x:c>
      <x:c r="C57" s="6" t="str">
        <x:v>Prototyper les règles proposées et exécuter les critères de recette; aucune fiche n’est déclarée intégrée ou validée.</x:v>
      </x:c>
      <x:c r="D57" s="2"/>
      <x:c r="E57" s="2"/>
      <x:c r="F57" s="2"/>
    </x:row>
    <x:row r="58" ht="54" customHeight="1">
      <x:c r="A58" s="6" t="str">
        <x:v>enemy_moves</x:v>
      </x:c>
      <x:c r="B58" s="6" t="str">
        <x:v>6 fiche(s) : Fixation de quai; Verrou de passage; Passe de contrôle; Interception de route</x:v>
      </x:c>
      <x:c r="C58" s="6" t="str">
        <x:v>Prototyper les règles proposées et exécuter les critères de recette; aucune fiche n’est déclarée intégrée ou validée.</x:v>
      </x:c>
      <x:c r="D58" s="2"/>
      <x:c r="E58" s="2"/>
      <x:c r="F58" s="2"/>
    </x:row>
    <x:row r="59" ht="54" customHeight="1">
      <x:c r="A59" s="6" t="str">
        <x:v>animations</x:v>
      </x:c>
      <x:c r="B59" s="6" t="str">
        <x:v>7 fiche(s) : Liara T’Soni — jeu de poses; Feron — jeu de poses; Miranda Lawson — jeu de poses; Aria T’Loak — jeu de poses</x:v>
      </x:c>
      <x:c r="C59" s="6" t="str">
        <x:v>Produire les assets originaux puis vérifier en situation; ce catalogue ne livre ni image, ni son, ni animation.</x:v>
      </x:c>
      <x:c r="D59" s="2"/>
      <x:c r="E59" s="2"/>
      <x:c r="F59" s="2"/>
    </x:row>
    <x:row r="60" ht="54" customHeight="1">
      <x:c r="A60" s="6" t="str">
        <x:v>sprites</x:v>
      </x:c>
      <x:c r="B60" s="6" t="str">
        <x:v>7 fiche(s) : Liara T’Soni — planche de sprites; Feron — planche de sprites; Miranda Lawson — planche de sprites; Aria T’Loak — planche de sprites</x:v>
      </x:c>
      <x:c r="C60" s="6" t="str">
        <x:v>Produire les assets originaux puis vérifier en situation; ce catalogue ne livre ni image, ni son, ni animation.</x:v>
      </x:c>
      <x:c r="D60" s="2"/>
      <x:c r="E60" s="2"/>
      <x:c r="F60" s="2"/>
    </x:row>
    <x:row r="61" ht="54" customHeight="1">
      <x:c r="A61" s="6" t="str">
        <x:v>vfx</x:v>
      </x:c>
      <x:c r="B61" s="6" t="str">
        <x:v>6 fiche(s) : Contact sur Omega — signal visuel; Entretien à Afterlife — signal visuel; Docks et transfert — signal visuel; Rejoindre la base — signal visuel</x:v>
      </x:c>
      <x:c r="C61" s="6" t="str">
        <x:v>Produire les assets originaux puis vérifier en situation; ce catalogue ne livre ni image, ni son, ni animation.</x:v>
      </x:c>
      <x:c r="D61" s="2"/>
      <x:c r="E61" s="2"/>
      <x:c r="F61" s="2"/>
    </x:row>
    <x:row r="62" ht="54" customHeight="1">
      <x:c r="A62" s="6" t="str">
        <x:v>audio</x:v>
      </x:c>
      <x:c r="B62" s="6" t="str">
        <x:v>3 fiche(s) : Omega — paysage sonore; Alingon / Alignon — graphie à contrôler — paysage sonore; Poursuite dans l’espace — paysage sonore</x:v>
      </x:c>
      <x:c r="C62" s="6" t="str">
        <x:v>Produire les assets originaux puis vérifier en situation; ce catalogue ne livre ni image, ni son, ni animation.</x:v>
      </x:c>
      <x:c r="D62" s="2"/>
      <x:c r="E62" s="2"/>
      <x:c r="F62" s="2"/>
    </x:row>
    <x:row r="63" ht="54" customHeight="1">
      <x:c r="A63" s="6" t="str">
        <x:v>systems</x:v>
      </x:c>
      <x:c r="B63" s="6" t="str">
        <x:v>4 fiche(s) : Journal à deux niveaux; Groupe propre au chapitre; Rythme ATB proposé; Sauvegarde des modules</x:v>
      </x:c>
      <x:c r="C63" s="6" t="str">
        <x:v>Prototyper les règles proposées et exécuter les critères de recette; aucune fiche n’est déclarée intégrée ou validée.</x:v>
      </x:c>
      <x:c r="D63" s="2"/>
      <x:c r="E63" s="2"/>
      <x:c r="F63" s="2"/>
    </x:row>
    <x:row r="64" ht="68" customHeight="1">
      <x:c r="A64" s="6" t="str">
        <x:v>qa</x:v>
      </x:c>
      <x:c r="B64" s="6" t="str">
        <x:v>9 fiche(s) : Contact sur Omega — contrôle du parcours; Entretien à Afterlife — contrôle du parcours; Docks et transfert — contrôle du parcours; Rejoindre la base — contrôle du parcours</x:v>
      </x:c>
      <x:c r="C64" s="6" t="str">
        <x:v>Prototyper les règles proposées et exécuter les critères de recette; aucune fiche n’est déclarée intégrée ou validée.</x:v>
      </x:c>
      <x:c r="D64" s="2"/>
      <x:c r="E64" s="2"/>
      <x:c r="F64" s="2"/>
    </x:row>
    <x:row r="65" ht="68" customHeight="1">
      <x:c r="A65" s="6" t="str">
        <x:v>continuity</x:v>
      </x:c>
      <x:c r="B65" s="6" t="str">
        <x:v>2 fiche(s) : Position dans l’univers; Contenus non attestés</x:v>
      </x:c>
      <x:c r="C65" s="6" t="str">
        <x:v>Comparer les détails marqués À vérifier à une édition autorisée; les sources éditoriales n’attestent pas chaque détail graphique.</x:v>
      </x:c>
      <x:c r="D65" s="2"/>
      <x:c r="E65" s="2"/>
      <x:c r="F65" s="2"/>
    </x:row>
    <x:row r="66" ht="96" customHeight="1">
      <x:c r="A66" s="6" t="str">
        <x:v>Prototype Chroniques indépendant</x:v>
      </x:c>
      <x:c r="B66" s="6" t="str">
        <x:v>2 personnages sélectionnables, 0 équipements utilisables sous restrictions d’œuvre, segment, scène et porteur ; preuves dans implementationPaths et evidence des seules lignes Prototype.</x:v>
      </x:c>
      <x:c r="C66" s="6" t="str">
        <x:v>Campagne complète, dialogues, acquisition canonique, sprites, costumes, animations et statistiques originales à réaliser ou vérifier. Les ateliers sont des essais de préparation ATB, sans progression canonique ni transfert ME1.</x:v>
      </x:c>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row r="134" ht="22" customHeight="1">
      <x:c r="A134" s="2"/>
      <x:c r="B134" s="2"/>
      <x:c r="C134" s="2"/>
      <x:c r="D134" s="2"/>
      <x:c r="E134" s="2"/>
      <x:c r="F134" s="2"/>
    </x:row>
    <x:row r="135" ht="22" customHeight="1">
      <x:c r="A135" s="2"/>
      <x:c r="B135" s="2"/>
      <x:c r="C135" s="2"/>
      <x:c r="D135" s="2"/>
      <x:c r="E135" s="2"/>
      <x:c r="F135" s="2"/>
    </x:row>
    <x:row r="136" ht="22" customHeight="1">
      <x:c r="A136" s="2"/>
      <x:c r="B136" s="2"/>
      <x:c r="C136" s="2"/>
      <x:c r="D136" s="2"/>
      <x:c r="E136" s="2"/>
      <x:c r="F136" s="2"/>
    </x:row>
  </x:sheetData>
  <x:pageMargins left="0.7" right="0.7" top="0.75" bottom="0.75" header="0.3" footer="0.3"/>
</x:worksheet>
</file>