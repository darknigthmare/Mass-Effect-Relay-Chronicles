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27d1fdd4d84f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b92c6df867e4ad4"/>
    <x:sheet xmlns:r="http://schemas.openxmlformats.org/officeDocument/2006/relationships" name="Personnages" sheetId="2" r:id="R76b74988a20e40dd"/>
    <x:sheet xmlns:r="http://schemas.openxmlformats.org/officeDocument/2006/relationships" name="PNJ" sheetId="3" r:id="R73cc96c5b8c34cef"/>
    <x:sheet xmlns:r="http://schemas.openxmlformats.org/officeDocument/2006/relationships" name="Especes_factions" sheetId="4" r:id="R148733a42900429e"/>
    <x:sheet xmlns:r="http://schemas.openxmlformats.org/officeDocument/2006/relationships" name="Mondes" sheetId="5" r:id="R81e5528992a849c3"/>
    <x:sheet xmlns:r="http://schemas.openxmlformats.org/officeDocument/2006/relationships" name="Zones" sheetId="6" r:id="R80e4a0eface64ffb"/>
    <x:sheet xmlns:r="http://schemas.openxmlformats.org/officeDocument/2006/relationships" name="Liaisons" sheetId="7" r:id="Re8ff9f0e2f5a4b73"/>
    <x:sheet xmlns:r="http://schemas.openxmlformats.org/officeDocument/2006/relationships" name="Decors" sheetId="8" r:id="R532a72d77e514bae"/>
    <x:sheet xmlns:r="http://schemas.openxmlformats.org/officeDocument/2006/relationships" name="Props" sheetId="9" r:id="Rcd501a42a9d24c77"/>
    <x:sheet xmlns:r="http://schemas.openxmlformats.org/officeDocument/2006/relationships" name="Ennemis_boss" sheetId="10" r:id="R42c8d434cf3340bf"/>
    <x:sheet xmlns:r="http://schemas.openxmlformats.org/officeDocument/2006/relationships" name="Missions" sheetId="11" r:id="R916626f6453a450d"/>
    <x:sheet xmlns:r="http://schemas.openxmlformats.org/officeDocument/2006/relationships" name="Secondaires_DLC" sheetId="12" r:id="Rd26869a585be4f6e"/>
    <x:sheet xmlns:r="http://schemas.openxmlformats.org/officeDocument/2006/relationships" name="Choix_relations" sheetId="13" r:id="R6031f6438d1140e0"/>
    <x:sheet xmlns:r="http://schemas.openxmlformats.org/officeDocument/2006/relationships" name="Dialogues" sheetId="14" r:id="R413ede7246214b35"/>
    <x:sheet xmlns:r="http://schemas.openxmlformats.org/officeDocument/2006/relationships" name="Cinematiques" sheetId="15" r:id="R010af152fd294e28"/>
    <x:sheet xmlns:r="http://schemas.openxmlformats.org/officeDocument/2006/relationships" name="Armes" sheetId="16" r:id="Re147aff075a34f31"/>
    <x:sheet xmlns:r="http://schemas.openxmlformats.org/officeDocument/2006/relationships" name="Armures_equipement" sheetId="17" r:id="R5b5238f9a1ae404c"/>
    <x:sheet xmlns:r="http://schemas.openxmlformats.org/officeDocument/2006/relationships" name="Pouvoirs" sheetId="18" r:id="Rf5510203f4cd40c1"/>
    <x:sheet xmlns:r="http://schemas.openxmlformats.org/officeDocument/2006/relationships" name="Movesets_allies" sheetId="19" r:id="Rf4d254457b204877"/>
    <x:sheet xmlns:r="http://schemas.openxmlformats.org/officeDocument/2006/relationships" name="Movesets_ennemis" sheetId="20" r:id="Rcbc03e7eefb2498d"/>
    <x:sheet xmlns:r="http://schemas.openxmlformats.org/officeDocument/2006/relationships" name="Animations" sheetId="21" r:id="Re066994925584870"/>
    <x:sheet xmlns:r="http://schemas.openxmlformats.org/officeDocument/2006/relationships" name="Sprites" sheetId="22" r:id="R7a407d282b1e4f64"/>
    <x:sheet xmlns:r="http://schemas.openxmlformats.org/officeDocument/2006/relationships" name="VFX" sheetId="23" r:id="R88ba71a059614179"/>
    <x:sheet xmlns:r="http://schemas.openxmlformats.org/officeDocument/2006/relationships" name="Audio" sheetId="24" r:id="Ra4d9732df2154b78"/>
    <x:sheet xmlns:r="http://schemas.openxmlformats.org/officeDocument/2006/relationships" name="UI_systemes" sheetId="25" r:id="R39648a3783504520"/>
    <x:sheet xmlns:r="http://schemas.openxmlformats.org/officeDocument/2006/relationships" name="QA" sheetId="26" r:id="Rf1e4ec24007b4133"/>
    <x:sheet xmlns:r="http://schemas.openxmlformats.org/officeDocument/2006/relationships" name="Continuite" sheetId="27" r:id="R72b6495554e94b8b"/>
    <x:sheet xmlns:r="http://schemas.openxmlformats.org/officeDocument/2006/relationships" name="Guide" sheetId="28" r:id="Rae043b3dfdc74e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0"/>
    </x:xf>
    <x:xf numFmtId="0" fontId="1" fillId="0" borderId="0" xfId="0" applyNumberFormat="1" applyFont="1" applyFill="1" applyBorder="1" applyAlignment="1">
      <x:alignment vertical="top" wrapText="0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0d39a7b57b4633" /><Relationship Type="http://schemas.openxmlformats.org/officeDocument/2006/relationships/theme" Target="/xl/theme/theme1.xml" Id="R9fda379d184f42b3" /><Relationship Type="http://schemas.openxmlformats.org/officeDocument/2006/relationships/sharedStrings" Target="/xl/sharedStrings.xml" Id="R6cb670b25a434945" /><Relationship Type="http://schemas.openxmlformats.org/officeDocument/2006/relationships/worksheet" Target="/xl/worksheets/sheet1.xml" Id="Rbb92c6df867e4ad4" /><Relationship Type="http://schemas.openxmlformats.org/officeDocument/2006/relationships/worksheet" Target="/xl/worksheets/sheet2.xml" Id="R76b74988a20e40dd" /><Relationship Type="http://schemas.openxmlformats.org/officeDocument/2006/relationships/worksheet" Target="/xl/worksheets/sheet3.xml" Id="R73cc96c5b8c34cef" /><Relationship Type="http://schemas.openxmlformats.org/officeDocument/2006/relationships/worksheet" Target="/xl/worksheets/sheet4.xml" Id="R148733a42900429e" /><Relationship Type="http://schemas.openxmlformats.org/officeDocument/2006/relationships/worksheet" Target="/xl/worksheets/sheet5.xml" Id="R81e5528992a849c3" /><Relationship Type="http://schemas.openxmlformats.org/officeDocument/2006/relationships/worksheet" Target="/xl/worksheets/sheet6.xml" Id="R80e4a0eface64ffb" /><Relationship Type="http://schemas.openxmlformats.org/officeDocument/2006/relationships/worksheet" Target="/xl/worksheets/sheet7.xml" Id="Re8ff9f0e2f5a4b73" /><Relationship Type="http://schemas.openxmlformats.org/officeDocument/2006/relationships/worksheet" Target="/xl/worksheets/sheet8.xml" Id="R532a72d77e514bae" /><Relationship Type="http://schemas.openxmlformats.org/officeDocument/2006/relationships/worksheet" Target="/xl/worksheets/sheet9.xml" Id="Rcd501a42a9d24c77" /><Relationship Type="http://schemas.openxmlformats.org/officeDocument/2006/relationships/worksheet" Target="/xl/worksheets/sheet10.xml" Id="R42c8d434cf3340bf" /><Relationship Type="http://schemas.openxmlformats.org/officeDocument/2006/relationships/worksheet" Target="/xl/worksheets/sheet11.xml" Id="R916626f6453a450d" /><Relationship Type="http://schemas.openxmlformats.org/officeDocument/2006/relationships/worksheet" Target="/xl/worksheets/sheet12.xml" Id="Rd26869a585be4f6e" /><Relationship Type="http://schemas.openxmlformats.org/officeDocument/2006/relationships/worksheet" Target="/xl/worksheets/sheet13.xml" Id="R6031f6438d1140e0" /><Relationship Type="http://schemas.openxmlformats.org/officeDocument/2006/relationships/worksheet" Target="/xl/worksheets/sheet14.xml" Id="R413ede7246214b35" /><Relationship Type="http://schemas.openxmlformats.org/officeDocument/2006/relationships/worksheet" Target="/xl/worksheets/sheet15.xml" Id="R010af152fd294e28" /><Relationship Type="http://schemas.openxmlformats.org/officeDocument/2006/relationships/worksheet" Target="/xl/worksheets/sheet16.xml" Id="Re147aff075a34f31" /><Relationship Type="http://schemas.openxmlformats.org/officeDocument/2006/relationships/worksheet" Target="/xl/worksheets/sheet17.xml" Id="R5b5238f9a1ae404c" /><Relationship Type="http://schemas.openxmlformats.org/officeDocument/2006/relationships/worksheet" Target="/xl/worksheets/sheet18.xml" Id="Rf5510203f4cd40c1" /><Relationship Type="http://schemas.openxmlformats.org/officeDocument/2006/relationships/worksheet" Target="/xl/worksheets/sheet19.xml" Id="Rf4d254457b204877" /><Relationship Type="http://schemas.openxmlformats.org/officeDocument/2006/relationships/worksheet" Target="/xl/worksheets/sheet20.xml" Id="Rcbc03e7eefb2498d" /><Relationship Type="http://schemas.openxmlformats.org/officeDocument/2006/relationships/worksheet" Target="/xl/worksheets/sheet21.xml" Id="Re066994925584870" /><Relationship Type="http://schemas.openxmlformats.org/officeDocument/2006/relationships/worksheet" Target="/xl/worksheets/sheet22.xml" Id="R7a407d282b1e4f64" /><Relationship Type="http://schemas.openxmlformats.org/officeDocument/2006/relationships/worksheet" Target="/xl/worksheets/sheet23.xml" Id="R88ba71a059614179" /><Relationship Type="http://schemas.openxmlformats.org/officeDocument/2006/relationships/worksheet" Target="/xl/worksheets/sheet24.xml" Id="Ra4d9732df2154b78" /><Relationship Type="http://schemas.openxmlformats.org/officeDocument/2006/relationships/worksheet" Target="/xl/worksheets/sheet25.xml" Id="R39648a3783504520" /><Relationship Type="http://schemas.openxmlformats.org/officeDocument/2006/relationships/worksheet" Target="/xl/worksheets/sheet26.xml" Id="Rf1e4ec24007b4133" /><Relationship Type="http://schemas.openxmlformats.org/officeDocument/2006/relationships/worksheet" Target="/xl/worksheets/sheet27.xml" Id="R72b6495554e94b8b" /><Relationship Type="http://schemas.openxmlformats.org/officeDocument/2006/relationships/worksheet" Target="/xl/worksheets/sheet28.xml" Id="Rae043b3dfdc74e34" /></Relationships>
</file>

<file path=xl/tables/table1.xml><?xml version="1.0" encoding="utf-8"?>
<x:table xmlns:x="http://schemas.openxmlformats.org/spreadsheetml/2006/main" id="1" name="INI_characters" displayName="INI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I_npcs" displayName="INI_np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I_lore" displayName="INI_lore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I_worlds" displayName="INI_world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I_zones" displayName="INI_zon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NI_links" displayName="INI_link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NI_scenery" displayName="INI_scener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INI_props" displayName="INI_prop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INI_enemies" displayName="INI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INI_main_quests" displayName="INI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NI_side_quests" displayName="INI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I_choices" displayName="INI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INI_dialogues" displayName="INI_dialogu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INI_cinematics" displayName="INI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INI_weapons" displayName="INI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INI_equipment" displayName="INI_equipment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INI_powers" displayName="INI_power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I_ally_moves" displayName="INI_all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INI_enemy_moves" displayName="INI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INI_animations" displayName="INI_animation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INI_sprites" displayName="INI_sprit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INI_vfx" displayName="INI_vfx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INI_audio" displayName="INI_audio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INI_systems" displayName="INI_system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INI_qa" displayName="INI_qa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INI_continuity" displayName="INI_continuit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3a5fd3d56f34a3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80f2e8e7654c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cddb35dd4af411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633a588eedc4f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56476b4c678464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e913ba7896a4d6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d36ba5dd75b437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aef1d1dd000463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440521e49d3409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ca29e5b226a4eb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b69213a0ae76477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9356d410febe4f7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2eb9ec459a394b78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2fc365cc4436484c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96e480f73d5a429e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3bb9b807084143b2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60887cd8ec8c45e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772ad9481bde4515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ad87ad10cfc64a95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7630953f376e4b7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6ecf06d646eb43f8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63c02a13d7114816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f15e41fdaa684bbf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b62289cc7eeb44c1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7164bec1f1f740ba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7aa3ab392e5e4b1a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 Andromeda: Initiation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3" t="n">
        <x:f>SUM(B10:B35)</x:f>
        <x:v>159</x:v>
      </x:c>
      <x:c r="C5" s="2"/>
      <x:c r="D5" s="2" t="str">
        <x:v>Intégrés</x:v>
      </x:c>
      <x:c r="E5" s="33" t="n">
        <x:f>SUM(E10:F35)</x:f>
        <x:v>0</x:v>
      </x:c>
      <x:c r="F5" s="2"/>
      <x:c r="G5" s="2" t="str">
        <x:v>À vérifier</x:v>
      </x:c>
      <x:c r="H5" s="33" t="n">
        <x:f>SUM(H10:H35)</x:f>
        <x:v>1</x:v>
      </x:c>
      <x:c r="I5" s="2"/>
      <x:c r="J5" s="2" t="str">
        <x:v>Extrapolations</x:v>
      </x:c>
      <x:c r="K5" s="33" t="n">
        <x:f>SUM(I10:I35)</x:f>
        <x:v>129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4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30" t="str">
        <x:v>Domaine</x:v>
      </x:c>
      <x:c r="B9" s="31" t="str">
        <x:v>Total</x:v>
      </x:c>
      <x:c r="C9" s="31" t="str">
        <x:v>Défini</x:v>
      </x:c>
      <x:c r="D9" s="31" t="str">
        <x:v>Prototype</x:v>
      </x:c>
      <x:c r="E9" s="31" t="str">
        <x:v>Intégré</x:v>
      </x:c>
      <x:c r="F9" s="31" t="str">
        <x:v>Validé</x:v>
      </x:c>
      <x:c r="G9" s="31" t="str">
        <x:v>Établi</x:v>
      </x:c>
      <x:c r="H9" s="31" t="str">
        <x:v>À vérifier</x:v>
      </x:c>
      <x:c r="I9" s="31" t="str">
        <x:v>Extrapolation</x:v>
      </x:c>
      <x:c r="J9" s="31" t="str">
        <x:v>Coupé attesté</x:v>
      </x:c>
      <x:c r="K9" s="31" t="str">
        <x:v>Concept abandonné</x:v>
      </x:c>
      <x:c r="L9" s="31" t="str">
        <x:v>Allégation écartée</x:v>
      </x:c>
      <x:c r="M9" s="32" t="str">
        <x:v>Priorité P0</x:v>
      </x:c>
    </x:row>
    <x:row r="10" ht="22" customHeight="1">
      <x:c r="A10" s="35" t="str">
        <x:v>Personnages</x:v>
      </x:c>
      <x:c r="B10" s="39" t="n">
        <x:f>COUNTA('Personnages'!$A$7:$A$8)</x:f>
        <x:v>2</x:v>
      </x:c>
      <x:c r="C10" s="39" t="n">
        <x:f>COUNTIFS('Personnages'!$C$7:$C$8,"Défini")</x:f>
        <x:v>2</x:v>
      </x:c>
      <x:c r="D10" s="39" t="n">
        <x:f>COUNTIFS('Personnages'!$C$7:$C$8,"Prototype")</x:f>
        <x:v>0</x:v>
      </x:c>
      <x:c r="E10" s="39" t="n">
        <x:f>COUNTIFS('Personnages'!$C$7:$C$8,"Intégré")</x:f>
        <x:v>0</x:v>
      </x:c>
      <x:c r="F10" s="39" t="n">
        <x:f>COUNTIFS('Personnages'!$C$7:$C$8,"Validé")</x:f>
        <x:v>0</x:v>
      </x:c>
      <x:c r="G10" s="39" t="n">
        <x:f>COUNTIFS('Personnages'!$D$7:$D$8,"Établi")</x:f>
        <x:v>2</x:v>
      </x:c>
      <x:c r="H10" s="39" t="n">
        <x:f>COUNTIFS('Personnages'!$D$7:$D$8,"À vérifier")</x:f>
        <x:v>0</x:v>
      </x:c>
      <x:c r="I10" s="39" t="n">
        <x:f>COUNTIFS('Personnages'!$D$7:$D$8,"Extrapolation")</x:f>
        <x:v>0</x:v>
      </x:c>
      <x:c r="J10" s="39" t="n">
        <x:f>COUNTIFS('Personnages'!$D$7:$D$8,"Coupé attesté")</x:f>
        <x:v>0</x:v>
      </x:c>
      <x:c r="K10" s="39" t="n">
        <x:f>COUNTIFS('Personnages'!$D$7:$D$8,"Concept abandonné")</x:f>
        <x:v>0</x:v>
      </x:c>
      <x:c r="L10" s="39" t="n">
        <x:f>COUNTIFS('Personnages'!$D$7:$D$8,"Allégation écartée")</x:f>
        <x:v>0</x:v>
      </x:c>
      <x:c r="M10" s="39" t="n">
        <x:f>COUNTIFS('Personnages'!$E$7:$E$8,"P0")</x:f>
        <x:v>0</x:v>
      </x:c>
    </x:row>
    <x:row r="11" ht="22" customHeight="1">
      <x:c r="A11" s="2" t="str">
        <x:v>PNJ</x:v>
      </x:c>
      <x:c r="B11" s="40" t="n">
        <x:f>COUNTA('PNJ'!$A$7:$A$14)</x:f>
        <x:v>8</x:v>
      </x:c>
      <x:c r="C11" s="40" t="n">
        <x:f>COUNTIFS('PNJ'!$C$7:$C$14,"Défini")</x:f>
        <x:v>8</x:v>
      </x:c>
      <x:c r="D11" s="40" t="n">
        <x:f>COUNTIFS('PNJ'!$C$7:$C$14,"Prototype")</x:f>
        <x:v>0</x:v>
      </x:c>
      <x:c r="E11" s="40" t="n">
        <x:f>COUNTIFS('PNJ'!$C$7:$C$14,"Intégré")</x:f>
        <x:v>0</x:v>
      </x:c>
      <x:c r="F11" s="40" t="n">
        <x:f>COUNTIFS('PNJ'!$C$7:$C$14,"Validé")</x:f>
        <x:v>0</x:v>
      </x:c>
      <x:c r="G11" s="40" t="n">
        <x:f>COUNTIFS('PNJ'!$D$7:$D$14,"Établi")</x:f>
        <x:v>8</x:v>
      </x:c>
      <x:c r="H11" s="40" t="n">
        <x:f>COUNTIFS('PNJ'!$D$7:$D$14,"À vérifier")</x:f>
        <x:v>0</x:v>
      </x:c>
      <x:c r="I11" s="40" t="n">
        <x:f>COUNTIFS('PNJ'!$D$7:$D$14,"Extrapolation")</x:f>
        <x:v>0</x:v>
      </x:c>
      <x:c r="J11" s="40" t="n">
        <x:f>COUNTIFS('PNJ'!$D$7:$D$14,"Coupé attesté")</x:f>
        <x:v>0</x:v>
      </x:c>
      <x:c r="K11" s="40" t="n">
        <x:f>COUNTIFS('PNJ'!$D$7:$D$14,"Concept abandonné")</x:f>
        <x:v>0</x:v>
      </x:c>
      <x:c r="L11" s="40" t="n">
        <x:f>COUNTIFS('PNJ'!$D$7:$D$14,"Allégation écartée")</x:f>
        <x:v>0</x:v>
      </x:c>
      <x:c r="M11" s="40" t="n">
        <x:f>COUNTIFS('PNJ'!$E$7:$E$14,"P0")</x:f>
        <x:v>0</x:v>
      </x:c>
    </x:row>
    <x:row r="12" ht="22" customHeight="1">
      <x:c r="A12" s="35" t="str">
        <x:v>Espèces et factions</x:v>
      </x:c>
      <x:c r="B12" s="39" t="n">
        <x:f>COUNTA('Especes_factions'!$A$7:$A$7)</x:f>
        <x:v>1</x:v>
      </x:c>
      <x:c r="C12" s="39" t="n">
        <x:f>COUNTIFS('Especes_factions'!$C$7:$C$7,"Défini")</x:f>
        <x:v>1</x:v>
      </x:c>
      <x:c r="D12" s="39" t="n">
        <x:f>COUNTIFS('Especes_factions'!$C$7:$C$7,"Prototype")</x:f>
        <x:v>0</x:v>
      </x:c>
      <x:c r="E12" s="39" t="n">
        <x:f>COUNTIFS('Especes_factions'!$C$7:$C$7,"Intégré")</x:f>
        <x:v>0</x:v>
      </x:c>
      <x:c r="F12" s="39" t="n">
        <x:f>COUNTIFS('Especes_factions'!$C$7:$C$7,"Validé")</x:f>
        <x:v>0</x:v>
      </x:c>
      <x:c r="G12" s="39" t="n">
        <x:f>COUNTIFS('Especes_factions'!$D$7:$D$7,"Établi")</x:f>
        <x:v>1</x:v>
      </x:c>
      <x:c r="H12" s="39" t="n">
        <x:f>COUNTIFS('Especes_factions'!$D$7:$D$7,"À vérifier")</x:f>
        <x:v>0</x:v>
      </x:c>
      <x:c r="I12" s="39" t="n">
        <x:f>COUNTIFS('Especes_factions'!$D$7:$D$7,"Extrapolation")</x:f>
        <x:v>0</x:v>
      </x:c>
      <x:c r="J12" s="39" t="n">
        <x:f>COUNTIFS('Especes_factions'!$D$7:$D$7,"Coupé attesté")</x:f>
        <x:v>0</x:v>
      </x:c>
      <x:c r="K12" s="39" t="n">
        <x:f>COUNTIFS('Especes_factions'!$D$7:$D$7,"Concept abandonné")</x:f>
        <x:v>0</x:v>
      </x:c>
      <x:c r="L12" s="39" t="n">
        <x:f>COUNTIFS('Especes_factions'!$D$7:$D$7,"Allégation écartée")</x:f>
        <x:v>0</x:v>
      </x:c>
      <x:c r="M12" s="39" t="n">
        <x:f>COUNTIFS('Especes_factions'!$E$7:$E$7,"P0")</x:f>
        <x:v>0</x:v>
      </x:c>
    </x:row>
    <x:row r="13" ht="22" customHeight="1">
      <x:c r="A13" s="2" t="str">
        <x:v>Mondes</x:v>
      </x:c>
      <x:c r="B13" s="40" t="n">
        <x:f>COUNTA('Mondes'!$A$7:$A$10)</x:f>
        <x:v>4</x:v>
      </x:c>
      <x:c r="C13" s="40" t="n">
        <x:f>COUNTIFS('Mondes'!$C$7:$C$10,"Défini")</x:f>
        <x:v>4</x:v>
      </x:c>
      <x:c r="D13" s="40" t="n">
        <x:f>COUNTIFS('Mondes'!$C$7:$C$10,"Prototype")</x:f>
        <x:v>0</x:v>
      </x:c>
      <x:c r="E13" s="40" t="n">
        <x:f>COUNTIFS('Mondes'!$C$7:$C$10,"Intégré")</x:f>
        <x:v>0</x:v>
      </x:c>
      <x:c r="F13" s="40" t="n">
        <x:f>COUNTIFS('Mondes'!$C$7:$C$10,"Validé")</x:f>
        <x:v>0</x:v>
      </x:c>
      <x:c r="G13" s="40" t="n">
        <x:f>COUNTIFS('Mondes'!$D$7:$D$10,"Établi")</x:f>
        <x:v>4</x:v>
      </x:c>
      <x:c r="H13" s="40" t="n">
        <x:f>COUNTIFS('Mondes'!$D$7:$D$10,"À vérifier")</x:f>
        <x:v>0</x:v>
      </x:c>
      <x:c r="I13" s="40" t="n">
        <x:f>COUNTIFS('Mondes'!$D$7:$D$10,"Extrapolation")</x:f>
        <x:v>0</x:v>
      </x:c>
      <x:c r="J13" s="40" t="n">
        <x:f>COUNTIFS('Mondes'!$D$7:$D$10,"Coupé attesté")</x:f>
        <x:v>0</x:v>
      </x:c>
      <x:c r="K13" s="40" t="n">
        <x:f>COUNTIFS('Mondes'!$D$7:$D$10,"Concept abandonné")</x:f>
        <x:v>0</x:v>
      </x:c>
      <x:c r="L13" s="40" t="n">
        <x:f>COUNTIFS('Mondes'!$D$7:$D$10,"Allégation écartée")</x:f>
        <x:v>0</x:v>
      </x:c>
      <x:c r="M13" s="40" t="n">
        <x:f>COUNTIFS('Mondes'!$E$7:$E$10,"P0")</x:f>
        <x:v>0</x:v>
      </x:c>
    </x:row>
    <x:row r="14" ht="22" customHeight="1">
      <x:c r="A14" s="35" t="str">
        <x:v>Zones</x:v>
      </x:c>
      <x:c r="B14" s="39" t="n">
        <x:f>COUNTA('Zones'!$A$7:$A$14)</x:f>
        <x:v>8</x:v>
      </x:c>
      <x:c r="C14" s="39" t="n">
        <x:f>COUNTIFS('Zones'!$C$7:$C$14,"Défini")</x:f>
        <x:v>8</x:v>
      </x:c>
      <x:c r="D14" s="39" t="n">
        <x:f>COUNTIFS('Zones'!$C$7:$C$14,"Prototype")</x:f>
        <x:v>0</x:v>
      </x:c>
      <x:c r="E14" s="39" t="n">
        <x:f>COUNTIFS('Zones'!$C$7:$C$14,"Intégré")</x:f>
        <x:v>0</x:v>
      </x:c>
      <x:c r="F14" s="39" t="n">
        <x:f>COUNTIFS('Zones'!$C$7:$C$14,"Validé")</x:f>
        <x:v>0</x:v>
      </x:c>
      <x:c r="G14" s="39" t="n">
        <x:f>COUNTIFS('Zones'!$D$7:$D$14,"Établi")</x:f>
        <x:v>0</x:v>
      </x:c>
      <x:c r="H14" s="39" t="n">
        <x:f>COUNTIFS('Zones'!$D$7:$D$14,"À vérifier")</x:f>
        <x:v>0</x:v>
      </x:c>
      <x:c r="I14" s="39" t="n">
        <x:f>COUNTIFS('Zones'!$D$7:$D$14,"Extrapolation")</x:f>
        <x:v>8</x:v>
      </x:c>
      <x:c r="J14" s="39" t="n">
        <x:f>COUNTIFS('Zones'!$D$7:$D$14,"Coupé attesté")</x:f>
        <x:v>0</x:v>
      </x:c>
      <x:c r="K14" s="39" t="n">
        <x:f>COUNTIFS('Zones'!$D$7:$D$14,"Concept abandonné")</x:f>
        <x:v>0</x:v>
      </x:c>
      <x:c r="L14" s="39" t="n">
        <x:f>COUNTIFS('Zones'!$D$7:$D$14,"Allégation écartée")</x:f>
        <x:v>0</x:v>
      </x:c>
      <x:c r="M14" s="39" t="n">
        <x:f>COUNTIFS('Zones'!$E$7:$E$14,"P0")</x:f>
        <x:v>0</x:v>
      </x:c>
    </x:row>
    <x:row r="15" ht="22" customHeight="1">
      <x:c r="A15" s="2" t="str">
        <x:v>Liaisons</x:v>
      </x:c>
      <x:c r="B15" s="40" t="n">
        <x:f>COUNTA('Liaisons'!$A$7:$A$14)</x:f>
        <x:v>8</x:v>
      </x:c>
      <x:c r="C15" s="40" t="n">
        <x:f>COUNTIFS('Liaisons'!$C$7:$C$14,"Défini")</x:f>
        <x:v>8</x:v>
      </x:c>
      <x:c r="D15" s="40" t="n">
        <x:f>COUNTIFS('Liaisons'!$C$7:$C$14,"Prototype")</x:f>
        <x:v>0</x:v>
      </x:c>
      <x:c r="E15" s="40" t="n">
        <x:f>COUNTIFS('Liaisons'!$C$7:$C$14,"Intégré")</x:f>
        <x:v>0</x:v>
      </x:c>
      <x:c r="F15" s="40" t="n">
        <x:f>COUNTIFS('Liaisons'!$C$7:$C$14,"Validé")</x:f>
        <x:v>0</x:v>
      </x:c>
      <x:c r="G15" s="40" t="n">
        <x:f>COUNTIFS('Liaisons'!$D$7:$D$14,"Établi")</x:f>
        <x:v>0</x:v>
      </x:c>
      <x:c r="H15" s="40" t="n">
        <x:f>COUNTIFS('Liaisons'!$D$7:$D$14,"À vérifier")</x:f>
        <x:v>0</x:v>
      </x:c>
      <x:c r="I15" s="40" t="n">
        <x:f>COUNTIFS('Liaisons'!$D$7:$D$14,"Extrapolation")</x:f>
        <x:v>8</x:v>
      </x:c>
      <x:c r="J15" s="40" t="n">
        <x:f>COUNTIFS('Liaisons'!$D$7:$D$14,"Coupé attesté")</x:f>
        <x:v>0</x:v>
      </x:c>
      <x:c r="K15" s="40" t="n">
        <x:f>COUNTIFS('Liaisons'!$D$7:$D$14,"Concept abandonné")</x:f>
        <x:v>0</x:v>
      </x:c>
      <x:c r="L15" s="40" t="n">
        <x:f>COUNTIFS('Liaisons'!$D$7:$D$14,"Allégation écartée")</x:f>
        <x:v>0</x:v>
      </x:c>
      <x:c r="M15" s="40" t="n">
        <x:f>COUNTIFS('Liaisons'!$E$7:$E$14,"P0")</x:f>
        <x:v>0</x:v>
      </x:c>
    </x:row>
    <x:row r="16" ht="22" customHeight="1">
      <x:c r="A16" s="35" t="str">
        <x:v>Décors</x:v>
      </x:c>
      <x:c r="B16" s="39" t="n">
        <x:f>COUNTA('Decors'!$A$7:$A$14)</x:f>
        <x:v>8</x:v>
      </x:c>
      <x:c r="C16" s="39" t="n">
        <x:f>COUNTIFS('Decors'!$C$7:$C$14,"Défini")</x:f>
        <x:v>8</x:v>
      </x:c>
      <x:c r="D16" s="39" t="n">
        <x:f>COUNTIFS('Decors'!$C$7:$C$14,"Prototype")</x:f>
        <x:v>0</x:v>
      </x:c>
      <x:c r="E16" s="39" t="n">
        <x:f>COUNTIFS('Decors'!$C$7:$C$14,"Intégré")</x:f>
        <x:v>0</x:v>
      </x:c>
      <x:c r="F16" s="39" t="n">
        <x:f>COUNTIFS('Decors'!$C$7:$C$14,"Validé")</x:f>
        <x:v>0</x:v>
      </x:c>
      <x:c r="G16" s="39" t="n">
        <x:f>COUNTIFS('Decors'!$D$7:$D$14,"Établi")</x:f>
        <x:v>0</x:v>
      </x:c>
      <x:c r="H16" s="39" t="n">
        <x:f>COUNTIFS('Decors'!$D$7:$D$14,"À vérifier")</x:f>
        <x:v>0</x:v>
      </x:c>
      <x:c r="I16" s="39" t="n">
        <x:f>COUNTIFS('Decors'!$D$7:$D$14,"Extrapolation")</x:f>
        <x:v>8</x:v>
      </x:c>
      <x:c r="J16" s="39" t="n">
        <x:f>COUNTIFS('Decors'!$D$7:$D$14,"Coupé attesté")</x:f>
        <x:v>0</x:v>
      </x:c>
      <x:c r="K16" s="39" t="n">
        <x:f>COUNTIFS('Decors'!$D$7:$D$14,"Concept abandonné")</x:f>
        <x:v>0</x:v>
      </x:c>
      <x:c r="L16" s="39" t="n">
        <x:f>COUNTIFS('Decors'!$D$7:$D$14,"Allégation écartée")</x:f>
        <x:v>0</x:v>
      </x:c>
      <x:c r="M16" s="39" t="n">
        <x:f>COUNTIFS('Decors'!$E$7:$E$14,"P0")</x:f>
        <x:v>0</x:v>
      </x:c>
    </x:row>
    <x:row r="17" ht="22" customHeight="1">
      <x:c r="A17" s="2" t="str">
        <x:v>Props</x:v>
      </x:c>
      <x:c r="B17" s="40" t="n">
        <x:f>COUNTA('Props'!$A$7:$A$8)</x:f>
        <x:v>2</x:v>
      </x:c>
      <x:c r="C17" s="40" t="n">
        <x:f>COUNTIFS('Props'!$C$7:$C$8,"Défini")</x:f>
        <x:v>2</x:v>
      </x:c>
      <x:c r="D17" s="40" t="n">
        <x:f>COUNTIFS('Props'!$C$7:$C$8,"Prototype")</x:f>
        <x:v>0</x:v>
      </x:c>
      <x:c r="E17" s="40" t="n">
        <x:f>COUNTIFS('Props'!$C$7:$C$8,"Intégré")</x:f>
        <x:v>0</x:v>
      </x:c>
      <x:c r="F17" s="40" t="n">
        <x:f>COUNTIFS('Props'!$C$7:$C$8,"Validé")</x:f>
        <x:v>0</x:v>
      </x:c>
      <x:c r="G17" s="40" t="n">
        <x:f>COUNTIFS('Props'!$D$7:$D$8,"Établi")</x:f>
        <x:v>2</x:v>
      </x:c>
      <x:c r="H17" s="40" t="n">
        <x:f>COUNTIFS('Props'!$D$7:$D$8,"À vérifier")</x:f>
        <x:v>0</x:v>
      </x:c>
      <x:c r="I17" s="40" t="n">
        <x:f>COUNTIFS('Props'!$D$7:$D$8,"Extrapolation")</x:f>
        <x:v>0</x:v>
      </x:c>
      <x:c r="J17" s="40" t="n">
        <x:f>COUNTIFS('Props'!$D$7:$D$8,"Coupé attesté")</x:f>
        <x:v>0</x:v>
      </x:c>
      <x:c r="K17" s="40" t="n">
        <x:f>COUNTIFS('Props'!$D$7:$D$8,"Concept abandonné")</x:f>
        <x:v>0</x:v>
      </x:c>
      <x:c r="L17" s="40" t="n">
        <x:f>COUNTIFS('Props'!$D$7:$D$8,"Allégation écartée")</x:f>
        <x:v>0</x:v>
      </x:c>
      <x:c r="M17" s="40" t="n">
        <x:f>COUNTIFS('Props'!$E$7:$E$8,"P0")</x:f>
        <x:v>0</x:v>
      </x:c>
    </x:row>
    <x:row r="18" ht="22" customHeight="1">
      <x:c r="A18" s="35" t="str">
        <x:v>Ennemis et boss</x:v>
      </x:c>
      <x:c r="B18" s="39" t="n">
        <x:f>COUNTA('Ennemis_boss'!$A$7:$A$10)</x:f>
        <x:v>4</x:v>
      </x:c>
      <x:c r="C18" s="39" t="n">
        <x:f>COUNTIFS('Ennemis_boss'!$C$7:$C$10,"Défini")</x:f>
        <x:v>4</x:v>
      </x:c>
      <x:c r="D18" s="39" t="n">
        <x:f>COUNTIFS('Ennemis_boss'!$C$7:$C$10,"Prototype")</x:f>
        <x:v>0</x:v>
      </x:c>
      <x:c r="E18" s="39" t="n">
        <x:f>COUNTIFS('Ennemis_boss'!$C$7:$C$10,"Intégré")</x:f>
        <x:v>0</x:v>
      </x:c>
      <x:c r="F18" s="39" t="n">
        <x:f>COUNTIFS('Ennemis_boss'!$C$7:$C$10,"Validé")</x:f>
        <x:v>0</x:v>
      </x:c>
      <x:c r="G18" s="39" t="n">
        <x:f>COUNTIFS('Ennemis_boss'!$D$7:$D$10,"Établi")</x:f>
        <x:v>0</x:v>
      </x:c>
      <x:c r="H18" s="39" t="n">
        <x:f>COUNTIFS('Ennemis_boss'!$D$7:$D$10,"À vérifier")</x:f>
        <x:v>0</x:v>
      </x:c>
      <x:c r="I18" s="39" t="n">
        <x:f>COUNTIFS('Ennemis_boss'!$D$7:$D$10,"Extrapolation")</x:f>
        <x:v>4</x:v>
      </x:c>
      <x:c r="J18" s="39" t="n">
        <x:f>COUNTIFS('Ennemis_boss'!$D$7:$D$10,"Coupé attesté")</x:f>
        <x:v>0</x:v>
      </x:c>
      <x:c r="K18" s="39" t="n">
        <x:f>COUNTIFS('Ennemis_boss'!$D$7:$D$10,"Concept abandonné")</x:f>
        <x:v>0</x:v>
      </x:c>
      <x:c r="L18" s="39" t="n">
        <x:f>COUNTIFS('Ennemis_boss'!$D$7:$D$10,"Allégation écartée")</x:f>
        <x:v>0</x:v>
      </x:c>
      <x:c r="M18" s="39" t="n">
        <x:f>COUNTIFS('Ennemis_boss'!$E$7:$E$10,"P0")</x:f>
        <x:v>0</x:v>
      </x:c>
    </x:row>
    <x:row r="19" ht="22" customHeight="1">
      <x:c r="A19" s="2" t="str">
        <x:v>Missions</x:v>
      </x:c>
      <x:c r="B19" s="40" t="n">
        <x:f>COUNTA('Missions'!$A$7:$A$14)</x:f>
        <x:v>8</x:v>
      </x:c>
      <x:c r="C19" s="40" t="n">
        <x:f>COUNTIFS('Missions'!$C$7:$C$14,"Défini")</x:f>
        <x:v>8</x:v>
      </x:c>
      <x:c r="D19" s="40" t="n">
        <x:f>COUNTIFS('Missions'!$C$7:$C$14,"Prototype")</x:f>
        <x:v>0</x:v>
      </x:c>
      <x:c r="E19" s="40" t="n">
        <x:f>COUNTIFS('Missions'!$C$7:$C$14,"Intégré")</x:f>
        <x:v>0</x:v>
      </x:c>
      <x:c r="F19" s="40" t="n">
        <x:f>COUNTIFS('Missions'!$C$7:$C$14,"Validé")</x:f>
        <x:v>0</x:v>
      </x:c>
      <x:c r="G19" s="40" t="n">
        <x:f>COUNTIFS('Missions'!$D$7:$D$14,"Établi")</x:f>
        <x:v>0</x:v>
      </x:c>
      <x:c r="H19" s="40" t="n">
        <x:f>COUNTIFS('Missions'!$D$7:$D$14,"À vérifier")</x:f>
        <x:v>0</x:v>
      </x:c>
      <x:c r="I19" s="40" t="n">
        <x:f>COUNTIFS('Missions'!$D$7:$D$14,"Extrapolation")</x:f>
        <x:v>8</x:v>
      </x:c>
      <x:c r="J19" s="40" t="n">
        <x:f>COUNTIFS('Missions'!$D$7:$D$14,"Coupé attesté")</x:f>
        <x:v>0</x:v>
      </x:c>
      <x:c r="K19" s="40" t="n">
        <x:f>COUNTIFS('Missions'!$D$7:$D$14,"Concept abandonné")</x:f>
        <x:v>0</x:v>
      </x:c>
      <x:c r="L19" s="40" t="n">
        <x:f>COUNTIFS('Missions'!$D$7:$D$14,"Allégation écartée")</x:f>
        <x:v>0</x:v>
      </x:c>
      <x:c r="M19" s="40" t="n">
        <x:f>COUNTIFS('Missions'!$E$7:$E$14,"P0")</x:f>
        <x:v>8</x:v>
      </x:c>
    </x:row>
    <x:row r="20" ht="22" customHeight="1">
      <x:c r="A20" s="35" t="str">
        <x:v>Secondaires et DLC</x:v>
      </x:c>
      <x:c r="B20" s="39" t="n">
        <x:f>COUNTA('Secondaires_DLC'!$A$7:$A$14)</x:f>
        <x:v>8</x:v>
      </x:c>
      <x:c r="C20" s="39" t="n">
        <x:f>COUNTIFS('Secondaires_DLC'!$C$7:$C$14,"Défini")</x:f>
        <x:v>8</x:v>
      </x:c>
      <x:c r="D20" s="39" t="n">
        <x:f>COUNTIFS('Secondaires_DLC'!$C$7:$C$14,"Prototype")</x:f>
        <x:v>0</x:v>
      </x:c>
      <x:c r="E20" s="39" t="n">
        <x:f>COUNTIFS('Secondaires_DLC'!$C$7:$C$14,"Intégré")</x:f>
        <x:v>0</x:v>
      </x:c>
      <x:c r="F20" s="39" t="n">
        <x:f>COUNTIFS('Secondaires_DLC'!$C$7:$C$14,"Validé")</x:f>
        <x:v>0</x:v>
      </x:c>
      <x:c r="G20" s="39" t="n">
        <x:f>COUNTIFS('Secondaires_DLC'!$D$7:$D$14,"Établi")</x:f>
        <x:v>0</x:v>
      </x:c>
      <x:c r="H20" s="39" t="n">
        <x:f>COUNTIFS('Secondaires_DLC'!$D$7:$D$14,"À vérifier")</x:f>
        <x:v>0</x:v>
      </x:c>
      <x:c r="I20" s="39" t="n">
        <x:f>COUNTIFS('Secondaires_DLC'!$D$7:$D$14,"Extrapolation")</x:f>
        <x:v>8</x:v>
      </x:c>
      <x:c r="J20" s="39" t="n">
        <x:f>COUNTIFS('Secondaires_DLC'!$D$7:$D$14,"Coupé attesté")</x:f>
        <x:v>0</x:v>
      </x:c>
      <x:c r="K20" s="39" t="n">
        <x:f>COUNTIFS('Secondaires_DLC'!$D$7:$D$14,"Concept abandonné")</x:f>
        <x:v>0</x:v>
      </x:c>
      <x:c r="L20" s="39" t="n">
        <x:f>COUNTIFS('Secondaires_DLC'!$D$7:$D$14,"Allégation écartée")</x:f>
        <x:v>0</x:v>
      </x:c>
      <x:c r="M20" s="39" t="n">
        <x:f>COUNTIFS('Secondaires_DLC'!$E$7:$E$14,"P0")</x:f>
        <x:v>0</x:v>
      </x:c>
    </x:row>
    <x:row r="21" ht="22" customHeight="1">
      <x:c r="A21" s="2" t="str">
        <x:v>Choix et relations</x:v>
      </x:c>
      <x:c r="B21" s="40" t="n">
        <x:f>COUNTA('Choix_relations'!$A$7:$A$14)</x:f>
        <x:v>8</x:v>
      </x:c>
      <x:c r="C21" s="40" t="n">
        <x:f>COUNTIFS('Choix_relations'!$C$7:$C$14,"Défini")</x:f>
        <x:v>8</x:v>
      </x:c>
      <x:c r="D21" s="40" t="n">
        <x:f>COUNTIFS('Choix_relations'!$C$7:$C$14,"Prototype")</x:f>
        <x:v>0</x:v>
      </x:c>
      <x:c r="E21" s="40" t="n">
        <x:f>COUNTIFS('Choix_relations'!$C$7:$C$14,"Intégré")</x:f>
        <x:v>0</x:v>
      </x:c>
      <x:c r="F21" s="40" t="n">
        <x:f>COUNTIFS('Choix_relations'!$C$7:$C$14,"Validé")</x:f>
        <x:v>0</x:v>
      </x:c>
      <x:c r="G21" s="40" t="n">
        <x:f>COUNTIFS('Choix_relations'!$D$7:$D$14,"Établi")</x:f>
        <x:v>0</x:v>
      </x:c>
      <x:c r="H21" s="40" t="n">
        <x:f>COUNTIFS('Choix_relations'!$D$7:$D$14,"À vérifier")</x:f>
        <x:v>0</x:v>
      </x:c>
      <x:c r="I21" s="40" t="n">
        <x:f>COUNTIFS('Choix_relations'!$D$7:$D$14,"Extrapolation")</x:f>
        <x:v>8</x:v>
      </x:c>
      <x:c r="J21" s="40" t="n">
        <x:f>COUNTIFS('Choix_relations'!$D$7:$D$14,"Coupé attesté")</x:f>
        <x:v>0</x:v>
      </x:c>
      <x:c r="K21" s="40" t="n">
        <x:f>COUNTIFS('Choix_relations'!$D$7:$D$14,"Concept abandonné")</x:f>
        <x:v>0</x:v>
      </x:c>
      <x:c r="L21" s="40" t="n">
        <x:f>COUNTIFS('Choix_relations'!$D$7:$D$14,"Allégation écartée")</x:f>
        <x:v>0</x:v>
      </x:c>
      <x:c r="M21" s="40" t="n">
        <x:f>COUNTIFS('Choix_relations'!$E$7:$E$14,"P0")</x:f>
        <x:v>0</x:v>
      </x:c>
    </x:row>
    <x:row r="22" ht="22" customHeight="1">
      <x:c r="A22" s="35" t="str">
        <x:v>Dialogues</x:v>
      </x:c>
      <x:c r="B22" s="39" t="n">
        <x:f>COUNTA('Dialogues'!$A$7:$A$16)</x:f>
        <x:v>10</x:v>
      </x:c>
      <x:c r="C22" s="39" t="n">
        <x:f>COUNTIFS('Dialogues'!$C$7:$C$16,"Défini")</x:f>
        <x:v>10</x:v>
      </x:c>
      <x:c r="D22" s="39" t="n">
        <x:f>COUNTIFS('Dialogues'!$C$7:$C$16,"Prototype")</x:f>
        <x:v>0</x:v>
      </x:c>
      <x:c r="E22" s="39" t="n">
        <x:f>COUNTIFS('Dialogues'!$C$7:$C$16,"Intégré")</x:f>
        <x:v>0</x:v>
      </x:c>
      <x:c r="F22" s="39" t="n">
        <x:f>COUNTIFS('Dialogues'!$C$7:$C$16,"Validé")</x:f>
        <x:v>0</x:v>
      </x:c>
      <x:c r="G22" s="39" t="n">
        <x:f>COUNTIFS('Dialogues'!$D$7:$D$16,"Établi")</x:f>
        <x:v>0</x:v>
      </x:c>
      <x:c r="H22" s="39" t="n">
        <x:f>COUNTIFS('Dialogues'!$D$7:$D$16,"À vérifier")</x:f>
        <x:v>0</x:v>
      </x:c>
      <x:c r="I22" s="39" t="n">
        <x:f>COUNTIFS('Dialogues'!$D$7:$D$16,"Extrapolation")</x:f>
        <x:v>10</x:v>
      </x:c>
      <x:c r="J22" s="39" t="n">
        <x:f>COUNTIFS('Dialogues'!$D$7:$D$16,"Coupé attesté")</x:f>
        <x:v>0</x:v>
      </x:c>
      <x:c r="K22" s="39" t="n">
        <x:f>COUNTIFS('Dialogues'!$D$7:$D$16,"Concept abandonné")</x:f>
        <x:v>0</x:v>
      </x:c>
      <x:c r="L22" s="39" t="n">
        <x:f>COUNTIFS('Dialogues'!$D$7:$D$16,"Allégation écartée")</x:f>
        <x:v>0</x:v>
      </x:c>
      <x:c r="M22" s="39" t="n">
        <x:f>COUNTIFS('Dialogues'!$E$7:$E$16,"P0")</x:f>
        <x:v>0</x:v>
      </x:c>
    </x:row>
    <x:row r="23" ht="22" customHeight="1">
      <x:c r="A23" s="2" t="str">
        <x:v>Cinématiques</x:v>
      </x:c>
      <x:c r="B23" s="40" t="n">
        <x:f>COUNTA('Cinematiques'!$A$7:$A$14)</x:f>
        <x:v>8</x:v>
      </x:c>
      <x:c r="C23" s="40" t="n">
        <x:f>COUNTIFS('Cinematiques'!$C$7:$C$14,"Défini")</x:f>
        <x:v>8</x:v>
      </x:c>
      <x:c r="D23" s="40" t="n">
        <x:f>COUNTIFS('Cinematiques'!$C$7:$C$14,"Prototype")</x:f>
        <x:v>0</x:v>
      </x:c>
      <x:c r="E23" s="40" t="n">
        <x:f>COUNTIFS('Cinematiques'!$C$7:$C$14,"Intégré")</x:f>
        <x:v>0</x:v>
      </x:c>
      <x:c r="F23" s="40" t="n">
        <x:f>COUNTIFS('Cinematiques'!$C$7:$C$14,"Validé")</x:f>
        <x:v>0</x:v>
      </x:c>
      <x:c r="G23" s="40" t="n">
        <x:f>COUNTIFS('Cinematiques'!$D$7:$D$14,"Établi")</x:f>
        <x:v>0</x:v>
      </x:c>
      <x:c r="H23" s="40" t="n">
        <x:f>COUNTIFS('Cinematiques'!$D$7:$D$14,"À vérifier")</x:f>
        <x:v>0</x:v>
      </x:c>
      <x:c r="I23" s="40" t="n">
        <x:f>COUNTIFS('Cinematiques'!$D$7:$D$14,"Extrapolation")</x:f>
        <x:v>8</x:v>
      </x:c>
      <x:c r="J23" s="40" t="n">
        <x:f>COUNTIFS('Cinematiques'!$D$7:$D$14,"Coupé attesté")</x:f>
        <x:v>0</x:v>
      </x:c>
      <x:c r="K23" s="40" t="n">
        <x:f>COUNTIFS('Cinematiques'!$D$7:$D$14,"Concept abandonné")</x:f>
        <x:v>0</x:v>
      </x:c>
      <x:c r="L23" s="40" t="n">
        <x:f>COUNTIFS('Cinematiques'!$D$7:$D$14,"Allégation écartée")</x:f>
        <x:v>0</x:v>
      </x:c>
      <x:c r="M23" s="40" t="n">
        <x:f>COUNTIFS('Cinematiques'!$E$7:$E$14,"P0")</x:f>
        <x:v>0</x:v>
      </x:c>
    </x:row>
    <x:row r="24" ht="22" customHeight="1">
      <x:c r="A24" s="35" t="str">
        <x:v>Armes</x:v>
      </x:c>
      <x:c r="B24" s="39" t="n">
        <x:f>COUNTA('Armes'!$A$7:$A$7)</x:f>
        <x:v>1</x:v>
      </x:c>
      <x:c r="C24" s="39" t="n">
        <x:f>COUNTIFS('Armes'!$C$7:$C$7,"Défini")</x:f>
        <x:v>1</x:v>
      </x:c>
      <x:c r="D24" s="39" t="n">
        <x:f>COUNTIFS('Armes'!$C$7:$C$7,"Prototype")</x:f>
        <x:v>0</x:v>
      </x:c>
      <x:c r="E24" s="39" t="n">
        <x:f>COUNTIFS('Armes'!$C$7:$C$7,"Intégré")</x:f>
        <x:v>0</x:v>
      </x:c>
      <x:c r="F24" s="39" t="n">
        <x:f>COUNTIFS('Armes'!$C$7:$C$7,"Validé")</x:f>
        <x:v>0</x:v>
      </x:c>
      <x:c r="G24" s="39" t="n">
        <x:f>COUNTIFS('Armes'!$D$7:$D$7,"Établi")</x:f>
        <x:v>1</x:v>
      </x:c>
      <x:c r="H24" s="39" t="n">
        <x:f>COUNTIFS('Armes'!$D$7:$D$7,"À vérifier")</x:f>
        <x:v>0</x:v>
      </x:c>
      <x:c r="I24" s="39" t="n">
        <x:f>COUNTIFS('Armes'!$D$7:$D$7,"Extrapolation")</x:f>
        <x:v>0</x:v>
      </x:c>
      <x:c r="J24" s="39" t="n">
        <x:f>COUNTIFS('Armes'!$D$7:$D$7,"Coupé attesté")</x:f>
        <x:v>0</x:v>
      </x:c>
      <x:c r="K24" s="39" t="n">
        <x:f>COUNTIFS('Armes'!$D$7:$D$7,"Concept abandonné")</x:f>
        <x:v>0</x:v>
      </x:c>
      <x:c r="L24" s="39" t="n">
        <x:f>COUNTIFS('Armes'!$D$7:$D$7,"Allégation écartée")</x:f>
        <x:v>0</x:v>
      </x:c>
      <x:c r="M24" s="39" t="n">
        <x:f>COUNTIFS('Armes'!$E$7:$E$7,"P0")</x:f>
        <x:v>0</x:v>
      </x:c>
    </x:row>
    <x:row r="25" ht="22" customHeight="1">
      <x:c r="A25" s="2" t="str">
        <x:v>Armures et équipement</x:v>
      </x:c>
      <x:c r="B25" s="40" t="n">
        <x:f>COUNTA('Armures_equipement'!$A$7:$A$9)</x:f>
        <x:v>3</x:v>
      </x:c>
      <x:c r="C25" s="40" t="n">
        <x:f>COUNTIFS('Armures_equipement'!$C$7:$C$9,"Défini")</x:f>
        <x:v>3</x:v>
      </x:c>
      <x:c r="D25" s="40" t="n">
        <x:f>COUNTIFS('Armures_equipement'!$C$7:$C$9,"Prototype")</x:f>
        <x:v>0</x:v>
      </x:c>
      <x:c r="E25" s="40" t="n">
        <x:f>COUNTIFS('Armures_equipement'!$C$7:$C$9,"Intégré")</x:f>
        <x:v>0</x:v>
      </x:c>
      <x:c r="F25" s="40" t="n">
        <x:f>COUNTIFS('Armures_equipement'!$C$7:$C$9,"Validé")</x:f>
        <x:v>0</x:v>
      </x:c>
      <x:c r="G25" s="40" t="n">
        <x:f>COUNTIFS('Armures_equipement'!$D$7:$D$9,"Établi")</x:f>
        <x:v>3</x:v>
      </x:c>
      <x:c r="H25" s="40" t="n">
        <x:f>COUNTIFS('Armures_equipement'!$D$7:$D$9,"À vérifier")</x:f>
        <x:v>0</x:v>
      </x:c>
      <x:c r="I25" s="40" t="n">
        <x:f>COUNTIFS('Armures_equipement'!$D$7:$D$9,"Extrapolation")</x:f>
        <x:v>0</x:v>
      </x:c>
      <x:c r="J25" s="40" t="n">
        <x:f>COUNTIFS('Armures_equipement'!$D$7:$D$9,"Coupé attesté")</x:f>
        <x:v>0</x:v>
      </x:c>
      <x:c r="K25" s="40" t="n">
        <x:f>COUNTIFS('Armures_equipement'!$D$7:$D$9,"Concept abandonné")</x:f>
        <x:v>0</x:v>
      </x:c>
      <x:c r="L25" s="40" t="n">
        <x:f>COUNTIFS('Armures_equipement'!$D$7:$D$9,"Allégation écartée")</x:f>
        <x:v>0</x:v>
      </x:c>
      <x:c r="M25" s="40" t="n">
        <x:f>COUNTIFS('Armures_equipement'!$E$7:$E$9,"P0")</x:f>
        <x:v>0</x:v>
      </x:c>
    </x:row>
    <x:row r="26" ht="22" customHeight="1">
      <x:c r="A26" s="35" t="str">
        <x:v>Pouvoirs</x:v>
      </x:c>
      <x:c r="B26" s="39" t="n">
        <x:f>COUNTA('Pouvoirs'!$A$7:$A$7)</x:f>
        <x:v>1</x:v>
      </x:c>
      <x:c r="C26" s="39" t="n">
        <x:f>COUNTIFS('Pouvoirs'!$C$7:$C$7,"Défini")</x:f>
        <x:v>1</x:v>
      </x:c>
      <x:c r="D26" s="39" t="n">
        <x:f>COUNTIFS('Pouvoirs'!$C$7:$C$7,"Prototype")</x:f>
        <x:v>0</x:v>
      </x:c>
      <x:c r="E26" s="39" t="n">
        <x:f>COUNTIFS('Pouvoirs'!$C$7:$C$7,"Intégré")</x:f>
        <x:v>0</x:v>
      </x:c>
      <x:c r="F26" s="39" t="n">
        <x:f>COUNTIFS('Pouvoirs'!$C$7:$C$7,"Validé")</x:f>
        <x:v>0</x:v>
      </x:c>
      <x:c r="G26" s="39" t="n">
        <x:f>COUNTIFS('Pouvoirs'!$D$7:$D$7,"Établi")</x:f>
        <x:v>1</x:v>
      </x:c>
      <x:c r="H26" s="39" t="n">
        <x:f>COUNTIFS('Pouvoirs'!$D$7:$D$7,"À vérifier")</x:f>
        <x:v>0</x:v>
      </x:c>
      <x:c r="I26" s="39" t="n">
        <x:f>COUNTIFS('Pouvoirs'!$D$7:$D$7,"Extrapolation")</x:f>
        <x:v>0</x:v>
      </x:c>
      <x:c r="J26" s="39" t="n">
        <x:f>COUNTIFS('Pouvoirs'!$D$7:$D$7,"Coupé attesté")</x:f>
        <x:v>0</x:v>
      </x:c>
      <x:c r="K26" s="39" t="n">
        <x:f>COUNTIFS('Pouvoirs'!$D$7:$D$7,"Concept abandonné")</x:f>
        <x:v>0</x:v>
      </x:c>
      <x:c r="L26" s="39" t="n">
        <x:f>COUNTIFS('Pouvoirs'!$D$7:$D$7,"Allégation écartée")</x:f>
        <x:v>0</x:v>
      </x:c>
      <x:c r="M26" s="39" t="n">
        <x:f>COUNTIFS('Pouvoirs'!$E$7:$E$7,"P0")</x:f>
        <x:v>0</x:v>
      </x:c>
    </x:row>
    <x:row r="27" ht="22" customHeight="1">
      <x:c r="A27" s="2" t="str">
        <x:v>Movesets alliés</x:v>
      </x:c>
      <x:c r="B27" s="40" t="n">
        <x:f>COUNTA('Movesets_allies'!$A$7:$A$12)</x:f>
        <x:v>6</x:v>
      </x:c>
      <x:c r="C27" s="40" t="n">
        <x:f>COUNTIFS('Movesets_allies'!$C$7:$C$12,"Défini")</x:f>
        <x:v>6</x:v>
      </x:c>
      <x:c r="D27" s="40" t="n">
        <x:f>COUNTIFS('Movesets_allies'!$C$7:$C$12,"Prototype")</x:f>
        <x:v>0</x:v>
      </x:c>
      <x:c r="E27" s="40" t="n">
        <x:f>COUNTIFS('Movesets_allies'!$C$7:$C$12,"Intégré")</x:f>
        <x:v>0</x:v>
      </x:c>
      <x:c r="F27" s="40" t="n">
        <x:f>COUNTIFS('Movesets_allies'!$C$7:$C$12,"Validé")</x:f>
        <x:v>0</x:v>
      </x:c>
      <x:c r="G27" s="40" t="n">
        <x:f>COUNTIFS('Movesets_allies'!$D$7:$D$12,"Établi")</x:f>
        <x:v>0</x:v>
      </x:c>
      <x:c r="H27" s="40" t="n">
        <x:f>COUNTIFS('Movesets_allies'!$D$7:$D$12,"À vérifier")</x:f>
        <x:v>0</x:v>
      </x:c>
      <x:c r="I27" s="40" t="n">
        <x:f>COUNTIFS('Movesets_allies'!$D$7:$D$12,"Extrapolation")</x:f>
        <x:v>6</x:v>
      </x:c>
      <x:c r="J27" s="40" t="n">
        <x:f>COUNTIFS('Movesets_allies'!$D$7:$D$12,"Coupé attesté")</x:f>
        <x:v>0</x:v>
      </x:c>
      <x:c r="K27" s="40" t="n">
        <x:f>COUNTIFS('Movesets_allies'!$D$7:$D$12,"Concept abandonné")</x:f>
        <x:v>0</x:v>
      </x:c>
      <x:c r="L27" s="40" t="n">
        <x:f>COUNTIFS('Movesets_allies'!$D$7:$D$12,"Allégation écartée")</x:f>
        <x:v>0</x:v>
      </x:c>
      <x:c r="M27" s="40" t="n">
        <x:f>COUNTIFS('Movesets_allies'!$E$7:$E$12,"P0")</x:f>
        <x:v>0</x:v>
      </x:c>
    </x:row>
    <x:row r="28" ht="22" customHeight="1">
      <x:c r="A28" s="35" t="str">
        <x:v>Movesets ennemis</x:v>
      </x:c>
      <x:c r="B28" s="39" t="n">
        <x:f>COUNTA('Movesets_ennemis'!$A$7:$A$10)</x:f>
        <x:v>4</x:v>
      </x:c>
      <x:c r="C28" s="39" t="n">
        <x:f>COUNTIFS('Movesets_ennemis'!$C$7:$C$10,"Défini")</x:f>
        <x:v>4</x:v>
      </x:c>
      <x:c r="D28" s="39" t="n">
        <x:f>COUNTIFS('Movesets_ennemis'!$C$7:$C$10,"Prototype")</x:f>
        <x:v>0</x:v>
      </x:c>
      <x:c r="E28" s="39" t="n">
        <x:f>COUNTIFS('Movesets_ennemis'!$C$7:$C$10,"Intégré")</x:f>
        <x:v>0</x:v>
      </x:c>
      <x:c r="F28" s="39" t="n">
        <x:f>COUNTIFS('Movesets_ennemis'!$C$7:$C$10,"Validé")</x:f>
        <x:v>0</x:v>
      </x:c>
      <x:c r="G28" s="39" t="n">
        <x:f>COUNTIFS('Movesets_ennemis'!$D$7:$D$10,"Établi")</x:f>
        <x:v>0</x:v>
      </x:c>
      <x:c r="H28" s="39" t="n">
        <x:f>COUNTIFS('Movesets_ennemis'!$D$7:$D$10,"À vérifier")</x:f>
        <x:v>0</x:v>
      </x:c>
      <x:c r="I28" s="39" t="n">
        <x:f>COUNTIFS('Movesets_ennemis'!$D$7:$D$10,"Extrapolation")</x:f>
        <x:v>4</x:v>
      </x:c>
      <x:c r="J28" s="39" t="n">
        <x:f>COUNTIFS('Movesets_ennemis'!$D$7:$D$10,"Coupé attesté")</x:f>
        <x:v>0</x:v>
      </x:c>
      <x:c r="K28" s="39" t="n">
        <x:f>COUNTIFS('Movesets_ennemis'!$D$7:$D$10,"Concept abandonné")</x:f>
        <x:v>0</x:v>
      </x:c>
      <x:c r="L28" s="39" t="n">
        <x:f>COUNTIFS('Movesets_ennemis'!$D$7:$D$10,"Allégation écartée")</x:f>
        <x:v>0</x:v>
      </x:c>
      <x:c r="M28" s="39" t="n">
        <x:f>COUNTIFS('Movesets_ennemis'!$E$7:$E$10,"P0")</x:f>
        <x:v>0</x:v>
      </x:c>
    </x:row>
    <x:row r="29" ht="22" customHeight="1">
      <x:c r="A29" s="2" t="str">
        <x:v>Animations</x:v>
      </x:c>
      <x:c r="B29" s="40" t="n">
        <x:f>COUNTA('Animations'!$A$7:$A$16)</x:f>
        <x:v>10</x:v>
      </x:c>
      <x:c r="C29" s="40" t="n">
        <x:f>COUNTIFS('Animations'!$C$7:$C$16,"Défini")</x:f>
        <x:v>10</x:v>
      </x:c>
      <x:c r="D29" s="40" t="n">
        <x:f>COUNTIFS('Animations'!$C$7:$C$16,"Prototype")</x:f>
        <x:v>0</x:v>
      </x:c>
      <x:c r="E29" s="40" t="n">
        <x:f>COUNTIFS('Animations'!$C$7:$C$16,"Intégré")</x:f>
        <x:v>0</x:v>
      </x:c>
      <x:c r="F29" s="40" t="n">
        <x:f>COUNTIFS('Animations'!$C$7:$C$16,"Validé")</x:f>
        <x:v>0</x:v>
      </x:c>
      <x:c r="G29" s="40" t="n">
        <x:f>COUNTIFS('Animations'!$D$7:$D$16,"Établi")</x:f>
        <x:v>0</x:v>
      </x:c>
      <x:c r="H29" s="40" t="n">
        <x:f>COUNTIFS('Animations'!$D$7:$D$16,"À vérifier")</x:f>
        <x:v>0</x:v>
      </x:c>
      <x:c r="I29" s="40" t="n">
        <x:f>COUNTIFS('Animations'!$D$7:$D$16,"Extrapolation")</x:f>
        <x:v>10</x:v>
      </x:c>
      <x:c r="J29" s="40" t="n">
        <x:f>COUNTIFS('Animations'!$D$7:$D$16,"Coupé attesté")</x:f>
        <x:v>0</x:v>
      </x:c>
      <x:c r="K29" s="40" t="n">
        <x:f>COUNTIFS('Animations'!$D$7:$D$16,"Concept abandonné")</x:f>
        <x:v>0</x:v>
      </x:c>
      <x:c r="L29" s="40" t="n">
        <x:f>COUNTIFS('Animations'!$D$7:$D$16,"Allégation écartée")</x:f>
        <x:v>0</x:v>
      </x:c>
      <x:c r="M29" s="40" t="n">
        <x:f>COUNTIFS('Animations'!$E$7:$E$16,"P0")</x:f>
        <x:v>0</x:v>
      </x:c>
    </x:row>
    <x:row r="30" ht="22" customHeight="1">
      <x:c r="A30" s="35" t="str">
        <x:v>Sprites</x:v>
      </x:c>
      <x:c r="B30" s="39" t="n">
        <x:f>COUNTA('Sprites'!$A$7:$A$16)</x:f>
        <x:v>10</x:v>
      </x:c>
      <x:c r="C30" s="39" t="n">
        <x:f>COUNTIFS('Sprites'!$C$7:$C$16,"Défini")</x:f>
        <x:v>10</x:v>
      </x:c>
      <x:c r="D30" s="39" t="n">
        <x:f>COUNTIFS('Sprites'!$C$7:$C$16,"Prototype")</x:f>
        <x:v>0</x:v>
      </x:c>
      <x:c r="E30" s="39" t="n">
        <x:f>COUNTIFS('Sprites'!$C$7:$C$16,"Intégré")</x:f>
        <x:v>0</x:v>
      </x:c>
      <x:c r="F30" s="39" t="n">
        <x:f>COUNTIFS('Sprites'!$C$7:$C$16,"Validé")</x:f>
        <x:v>0</x:v>
      </x:c>
      <x:c r="G30" s="39" t="n">
        <x:f>COUNTIFS('Sprites'!$D$7:$D$16,"Établi")</x:f>
        <x:v>0</x:v>
      </x:c>
      <x:c r="H30" s="39" t="n">
        <x:f>COUNTIFS('Sprites'!$D$7:$D$16,"À vérifier")</x:f>
        <x:v>0</x:v>
      </x:c>
      <x:c r="I30" s="39" t="n">
        <x:f>COUNTIFS('Sprites'!$D$7:$D$16,"Extrapolation")</x:f>
        <x:v>10</x:v>
      </x:c>
      <x:c r="J30" s="39" t="n">
        <x:f>COUNTIFS('Sprites'!$D$7:$D$16,"Coupé attesté")</x:f>
        <x:v>0</x:v>
      </x:c>
      <x:c r="K30" s="39" t="n">
        <x:f>COUNTIFS('Sprites'!$D$7:$D$16,"Concept abandonné")</x:f>
        <x:v>0</x:v>
      </x:c>
      <x:c r="L30" s="39" t="n">
        <x:f>COUNTIFS('Sprites'!$D$7:$D$16,"Allégation écartée")</x:f>
        <x:v>0</x:v>
      </x:c>
      <x:c r="M30" s="39" t="n">
        <x:f>COUNTIFS('Sprites'!$E$7:$E$16,"P0")</x:f>
        <x:v>0</x:v>
      </x:c>
    </x:row>
    <x:row r="31" ht="22" customHeight="1">
      <x:c r="A31" s="2" t="str">
        <x:v>VFX</x:v>
      </x:c>
      <x:c r="B31" s="40" t="n">
        <x:f>COUNTA('VFX'!$A$7:$A$10)</x:f>
        <x:v>4</x:v>
      </x:c>
      <x:c r="C31" s="40" t="n">
        <x:f>COUNTIFS('VFX'!$C$7:$C$10,"Défini")</x:f>
        <x:v>4</x:v>
      </x:c>
      <x:c r="D31" s="40" t="n">
        <x:f>COUNTIFS('VFX'!$C$7:$C$10,"Prototype")</x:f>
        <x:v>0</x:v>
      </x:c>
      <x:c r="E31" s="40" t="n">
        <x:f>COUNTIFS('VFX'!$C$7:$C$10,"Intégré")</x:f>
        <x:v>0</x:v>
      </x:c>
      <x:c r="F31" s="40" t="n">
        <x:f>COUNTIFS('VFX'!$C$7:$C$10,"Validé")</x:f>
        <x:v>0</x:v>
      </x:c>
      <x:c r="G31" s="40" t="n">
        <x:f>COUNTIFS('VFX'!$D$7:$D$10,"Établi")</x:f>
        <x:v>0</x:v>
      </x:c>
      <x:c r="H31" s="40" t="n">
        <x:f>COUNTIFS('VFX'!$D$7:$D$10,"À vérifier")</x:f>
        <x:v>0</x:v>
      </x:c>
      <x:c r="I31" s="40" t="n">
        <x:f>COUNTIFS('VFX'!$D$7:$D$10,"Extrapolation")</x:f>
        <x:v>4</x:v>
      </x:c>
      <x:c r="J31" s="40" t="n">
        <x:f>COUNTIFS('VFX'!$D$7:$D$10,"Coupé attesté")</x:f>
        <x:v>0</x:v>
      </x:c>
      <x:c r="K31" s="40" t="n">
        <x:f>COUNTIFS('VFX'!$D$7:$D$10,"Concept abandonné")</x:f>
        <x:v>0</x:v>
      </x:c>
      <x:c r="L31" s="40" t="n">
        <x:f>COUNTIFS('VFX'!$D$7:$D$10,"Allégation écartée")</x:f>
        <x:v>0</x:v>
      </x:c>
      <x:c r="M31" s="40" t="n">
        <x:f>COUNTIFS('VFX'!$E$7:$E$10,"P0")</x:f>
        <x:v>0</x:v>
      </x:c>
    </x:row>
    <x:row r="32" ht="22" customHeight="1">
      <x:c r="A32" s="35" t="str">
        <x:v>Audio</x:v>
      </x:c>
      <x:c r="B32" s="39" t="n">
        <x:f>COUNTA('Audio'!$A$7:$A$11)</x:f>
        <x:v>5</x:v>
      </x:c>
      <x:c r="C32" s="39" t="n">
        <x:f>COUNTIFS('Audio'!$C$7:$C$11,"Défini")</x:f>
        <x:v>5</x:v>
      </x:c>
      <x:c r="D32" s="39" t="n">
        <x:f>COUNTIFS('Audio'!$C$7:$C$11,"Prototype")</x:f>
        <x:v>0</x:v>
      </x:c>
      <x:c r="E32" s="39" t="n">
        <x:f>COUNTIFS('Audio'!$C$7:$C$11,"Intégré")</x:f>
        <x:v>0</x:v>
      </x:c>
      <x:c r="F32" s="39" t="n">
        <x:f>COUNTIFS('Audio'!$C$7:$C$11,"Validé")</x:f>
        <x:v>0</x:v>
      </x:c>
      <x:c r="G32" s="39" t="n">
        <x:f>COUNTIFS('Audio'!$D$7:$D$11,"Établi")</x:f>
        <x:v>0</x:v>
      </x:c>
      <x:c r="H32" s="39" t="n">
        <x:f>COUNTIFS('Audio'!$D$7:$D$11,"À vérifier")</x:f>
        <x:v>0</x:v>
      </x:c>
      <x:c r="I32" s="39" t="n">
        <x:f>COUNTIFS('Audio'!$D$7:$D$11,"Extrapolation")</x:f>
        <x:v>5</x:v>
      </x:c>
      <x:c r="J32" s="39" t="n">
        <x:f>COUNTIFS('Audio'!$D$7:$D$11,"Coupé attesté")</x:f>
        <x:v>0</x:v>
      </x:c>
      <x:c r="K32" s="39" t="n">
        <x:f>COUNTIFS('Audio'!$D$7:$D$11,"Concept abandonné")</x:f>
        <x:v>0</x:v>
      </x:c>
      <x:c r="L32" s="39" t="n">
        <x:f>COUNTIFS('Audio'!$D$7:$D$11,"Allégation écartée")</x:f>
        <x:v>0</x:v>
      </x:c>
      <x:c r="M32" s="39" t="n">
        <x:f>COUNTIFS('Audio'!$E$7:$E$11,"P0")</x:f>
        <x:v>0</x:v>
      </x:c>
    </x:row>
    <x:row r="33" ht="22" customHeight="1">
      <x:c r="A33" s="2" t="str">
        <x:v>Systèmes et UI</x:v>
      </x:c>
      <x:c r="B33" s="40" t="n">
        <x:f>COUNTA('UI_systemes'!$A$7:$A$14)</x:f>
        <x:v>8</x:v>
      </x:c>
      <x:c r="C33" s="40" t="n">
        <x:f>COUNTIFS('UI_systemes'!$C$7:$C$14,"Défini")</x:f>
        <x:v>8</x:v>
      </x:c>
      <x:c r="D33" s="40" t="n">
        <x:f>COUNTIFS('UI_systemes'!$C$7:$C$14,"Prototype")</x:f>
        <x:v>0</x:v>
      </x:c>
      <x:c r="E33" s="40" t="n">
        <x:f>COUNTIFS('UI_systemes'!$C$7:$C$14,"Intégré")</x:f>
        <x:v>0</x:v>
      </x:c>
      <x:c r="F33" s="40" t="n">
        <x:f>COUNTIFS('UI_systemes'!$C$7:$C$14,"Validé")</x:f>
        <x:v>0</x:v>
      </x:c>
      <x:c r="G33" s="40" t="n">
        <x:f>COUNTIFS('UI_systemes'!$D$7:$D$14,"Établi")</x:f>
        <x:v>0</x:v>
      </x:c>
      <x:c r="H33" s="40" t="n">
        <x:f>COUNTIFS('UI_systemes'!$D$7:$D$14,"À vérifier")</x:f>
        <x:v>0</x:v>
      </x:c>
      <x:c r="I33" s="40" t="n">
        <x:f>COUNTIFS('UI_systemes'!$D$7:$D$14,"Extrapolation")</x:f>
        <x:v>8</x:v>
      </x:c>
      <x:c r="J33" s="40" t="n">
        <x:f>COUNTIFS('UI_systemes'!$D$7:$D$14,"Coupé attesté")</x:f>
        <x:v>0</x:v>
      </x:c>
      <x:c r="K33" s="40" t="n">
        <x:f>COUNTIFS('UI_systemes'!$D$7:$D$14,"Concept abandonné")</x:f>
        <x:v>0</x:v>
      </x:c>
      <x:c r="L33" s="40" t="n">
        <x:f>COUNTIFS('UI_systemes'!$D$7:$D$14,"Allégation écartée")</x:f>
        <x:v>0</x:v>
      </x:c>
      <x:c r="M33" s="40" t="n">
        <x:f>COUNTIFS('UI_systemes'!$E$7:$E$14,"P0")</x:f>
        <x:v>2</x:v>
      </x:c>
    </x:row>
    <x:row r="34" ht="22" customHeight="1">
      <x:c r="A34" s="35" t="str">
        <x:v>QA</x:v>
      </x:c>
      <x:c r="B34" s="39" t="n">
        <x:f>COUNTA('QA'!$A$7:$A$18)</x:f>
        <x:v>12</x:v>
      </x:c>
      <x:c r="C34" s="39" t="n">
        <x:f>COUNTIFS('QA'!$C$7:$C$18,"Défini")</x:f>
        <x:v>12</x:v>
      </x:c>
      <x:c r="D34" s="39" t="n">
        <x:f>COUNTIFS('QA'!$C$7:$C$18,"Prototype")</x:f>
        <x:v>0</x:v>
      </x:c>
      <x:c r="E34" s="39" t="n">
        <x:f>COUNTIFS('QA'!$C$7:$C$18,"Intégré")</x:f>
        <x:v>0</x:v>
      </x:c>
      <x:c r="F34" s="39" t="n">
        <x:f>COUNTIFS('QA'!$C$7:$C$18,"Validé")</x:f>
        <x:v>0</x:v>
      </x:c>
      <x:c r="G34" s="39" t="n">
        <x:f>COUNTIFS('QA'!$D$7:$D$18,"Établi")</x:f>
        <x:v>0</x:v>
      </x:c>
      <x:c r="H34" s="39" t="n">
        <x:f>COUNTIFS('QA'!$D$7:$D$18,"À vérifier")</x:f>
        <x:v>0</x:v>
      </x:c>
      <x:c r="I34" s="39" t="n">
        <x:f>COUNTIFS('QA'!$D$7:$D$18,"Extrapolation")</x:f>
        <x:v>12</x:v>
      </x:c>
      <x:c r="J34" s="39" t="n">
        <x:f>COUNTIFS('QA'!$D$7:$D$18,"Coupé attesté")</x:f>
        <x:v>0</x:v>
      </x:c>
      <x:c r="K34" s="39" t="n">
        <x:f>COUNTIFS('QA'!$D$7:$D$18,"Concept abandonné")</x:f>
        <x:v>0</x:v>
      </x:c>
      <x:c r="L34" s="39" t="n">
        <x:f>COUNTIFS('QA'!$D$7:$D$18,"Allégation écartée")</x:f>
        <x:v>0</x:v>
      </x:c>
      <x:c r="M34" s="39" t="n">
        <x:f>COUNTIFS('QA'!$E$7:$E$18,"P0")</x:f>
        <x:v>3</x:v>
      </x:c>
    </x:row>
    <x:row r="35" ht="22" customHeight="1">
      <x:c r="A35" s="2" t="str">
        <x:v>Continuité</x:v>
      </x:c>
      <x:c r="B35" s="40" t="n">
        <x:f>COUNTA('Continuite'!$A$7:$A$14)</x:f>
        <x:v>8</x:v>
      </x:c>
      <x:c r="C35" s="40" t="n">
        <x:f>COUNTIFS('Continuite'!$C$7:$C$14,"Défini")</x:f>
        <x:v>8</x:v>
      </x:c>
      <x:c r="D35" s="40" t="n">
        <x:f>COUNTIFS('Continuite'!$C$7:$C$14,"Prototype")</x:f>
        <x:v>0</x:v>
      </x:c>
      <x:c r="E35" s="40" t="n">
        <x:f>COUNTIFS('Continuite'!$C$7:$C$14,"Intégré")</x:f>
        <x:v>0</x:v>
      </x:c>
      <x:c r="F35" s="40" t="n">
        <x:f>COUNTIFS('Continuite'!$C$7:$C$14,"Validé")</x:f>
        <x:v>0</x:v>
      </x:c>
      <x:c r="G35" s="40" t="n">
        <x:f>COUNTIFS('Continuite'!$D$7:$D$14,"Établi")</x:f>
        <x:v>7</x:v>
      </x:c>
      <x:c r="H35" s="40" t="n">
        <x:f>COUNTIFS('Continuite'!$D$7:$D$14,"À vérifier")</x:f>
        <x:v>1</x:v>
      </x:c>
      <x:c r="I35" s="40" t="n">
        <x:f>COUNTIFS('Continuite'!$D$7:$D$14,"Extrapolation")</x:f>
        <x:v>0</x:v>
      </x:c>
      <x:c r="J35" s="40" t="n">
        <x:f>COUNTIFS('Continuite'!$D$7:$D$14,"Coupé attesté")</x:f>
        <x:v>0</x:v>
      </x:c>
      <x:c r="K35" s="40" t="n">
        <x:f>COUNTIFS('Continuite'!$D$7:$D$14,"Concept abandonné")</x:f>
        <x:v>0</x:v>
      </x:c>
      <x:c r="L35" s="40" t="n">
        <x:f>COUNTIFS('Continuite'!$D$7:$D$14,"Allégation écartée")</x:f>
        <x:v>0</x:v>
      </x:c>
      <x:c r="M35" s="40" t="n">
        <x:f>COUNTIFS('Continuite'!$E$7:$E$14,"P0")</x:f>
        <x:v>8</x:v>
      </x:c>
    </x:row>
    <x:row r="36" ht="22" customHeight="1">
      <x:c r="A36" s="2"/>
      <x:c r="B36" s="40"/>
      <x:c r="C36" s="40"/>
      <x:c r="D36" s="40"/>
      <x:c r="E36" s="40"/>
      <x:c r="F36" s="40"/>
      <x:c r="G36" s="40"/>
      <x:c r="H36" s="40"/>
      <x:c r="I36" s="40"/>
      <x:c r="J36" s="40"/>
      <x:c r="K36" s="40"/>
      <x:c r="L36" s="40"/>
      <x:c r="M36" s="40"/>
    </x:row>
    <x:row r="37" ht="28" customHeight="1">
      <x:c r="A37" s="23" t="str">
        <x:v>TOTAL</x:v>
      </x:c>
      <x:c r="B37" s="41" t="n">
        <x:f>SUM(B10:B35)</x:f>
        <x:v>159</x:v>
      </x:c>
      <x:c r="C37" s="41" t="n">
        <x:f>SUM(C10:C35)</x:f>
        <x:v>159</x:v>
      </x:c>
      <x:c r="D37" s="41" t="n">
        <x:f>SUM(D10:D35)</x:f>
        <x:v>0</x:v>
      </x:c>
      <x:c r="E37" s="41" t="n">
        <x:f>SUM(E10:E35)</x:f>
        <x:v>0</x:v>
      </x:c>
      <x:c r="F37" s="41" t="n">
        <x:f>SUM(F10:F35)</x:f>
        <x:v>0</x:v>
      </x:c>
      <x:c r="G37" s="41" t="n">
        <x:f>SUM(G10:G35)</x:f>
        <x:v>29</x:v>
      </x:c>
      <x:c r="H37" s="41" t="n">
        <x:f>SUM(H10:H35)</x:f>
        <x:v>1</x:v>
      </x:c>
      <x:c r="I37" s="41" t="n">
        <x:f>SUM(I10:I35)</x:f>
        <x:v>129</x:v>
      </x:c>
      <x:c r="J37" s="41" t="n">
        <x:f>SUM(J10:J35)</x:f>
        <x:v>0</x:v>
      </x:c>
      <x:c r="K37" s="41" t="n">
        <x:f>SUM(K10:K35)</x:f>
        <x:v>0</x:v>
      </x:c>
      <x:c r="L37" s="41" t="n">
        <x:f>SUM(L10:L35)</x:f>
        <x:v>0</x:v>
      </x:c>
      <x:c r="M37" s="41" t="n">
        <x:f>SUM(M10:M35)</x:f>
        <x:v>21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8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INI-CHR-CORA</x:v>
      </x:c>
      <x:c r="B7" s="9" t="str">
        <x:v>Cora Harper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Elle rejoint l’Initiative comme seconde d’Alec Ryder et doit récupérer une technologie volée.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actor.ini.cora ; rôle de référence : équipier.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INI-SRC-PUB</x:v>
      </x:c>
      <x:c r="R7" s="20" t="str">
        <x:v>https://www.penguinrandomhouse.com/books/555323/mass-effect-initiation-by-nk-jemisin/</x:v>
      </x:c>
      <x:c r="S7" s="20" t="str">
        <x:v>Le costume proposé dans les fiches de production n’est pas un modèle officiel.</x:v>
      </x:c>
    </x:row>
    <x:row r="8" ht="68" customHeight="1">
      <x:c r="A8" s="19" t="str">
        <x:v>INI-CHR-ZAHRA</x:v>
      </x:c>
      <x:c r="B8" s="7" t="str">
        <x:v>Zahra Said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Militaire survivante participant à la protection du groupe.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actor.ini.zahra ; rôle de référence : équipier.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INI-SRC-QUIET</x:v>
      </x:c>
      <x:c r="R8" s="21" t="str">
        <x:v>https://masseffect.fandom.com/wiki/Quiet_Eddy</x:v>
      </x:c>
      <x:c r="S8" s="21" t="str">
        <x:v>Le costume proposé dans les fiches de production n’est pas un modèle officiel.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a5fd3d56f34a3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INI-CHR-SAME</x:v>
      </x:c>
      <x:c r="B7" s="9" t="str">
        <x:v>SAM-E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Partition expérimentale de SAM implantée pour assister Cora.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actor.ini.same ; rôle de référence : intelligence artificielle.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INI-SRC-SAME</x:v>
      </x:c>
      <x:c r="R7" s="20" t="str">
        <x:v>https://masseffect.fandom.com/wiki/SAM-E</x:v>
      </x:c>
      <x:c r="S7" s="20" t="str">
        <x:v>Le costume proposé dans les fiches de production n’est pas un modèle officiel.</x:v>
      </x:c>
    </x:row>
    <x:row r="8" ht="68" customHeight="1">
      <x:c r="A8" s="19" t="str">
        <x:v>INI-CHR-ALEC</x:v>
      </x:c>
      <x:c r="B8" s="7" t="str">
        <x:v>Alec Ryder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Il confie la récupération du noyau volé à Cora et lui fournit SAM-E.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actor.ini.alec ; rôle de référence : interlocuteur.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INI-SRC-SAME</x:v>
      </x:c>
      <x:c r="R8" s="21" t="str">
        <x:v>https://masseffect.fandom.com/wiki/SAM-E</x:v>
      </x:c>
      <x:c r="S8" s="21" t="str">
        <x:v>Le costume proposé dans les fiches de production n’est pas un modèle officiel.</x:v>
      </x:c>
    </x:row>
    <x:row r="9" ht="68" customHeight="1">
      <x:c r="A9" s="18" t="str">
        <x:v>INI-CHR-YGARA</x:v>
      </x:c>
      <x:c r="B9" s="9" t="str">
        <x:v>Ygara Menoris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Ancienne camarade asari de Cora devenue chef mercenaire.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actor.ini.ygara ; rôle de référence : interlocuteur.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INI-SRC-REVIEW</x:v>
      </x:c>
      <x:c r="R9" s="20" t="str">
        <x:v>https://reactormag.com/book-reviews-mass-effect-initiation-by-n-k-jemisin-and-mac-walters-a-review//</x:v>
      </x:c>
      <x:c r="S9" s="20" t="str">
        <x:v>Le costume proposé dans les fiches de production n’est pas un modèle officiel.</x:v>
      </x:c>
    </x:row>
    <x:row r="10" ht="68" customHeight="1">
      <x:c r="A10" s="19" t="str">
        <x:v>INI-CHR-MEDEA</x:v>
      </x:c>
      <x:c r="B10" s="7" t="str">
        <x:v>Medea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IA hybride défaillante qui dirige Quiet Eddy.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actor.ini.medea ; rôle de référence : intelligence artificielle.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INI-SRC-MEDEA</x:v>
      </x:c>
      <x:c r="R10" s="21" t="str">
        <x:v>https://masseffect.fandom.com/wiki/Medea</x:v>
      </x:c>
      <x:c r="S10" s="21" t="str">
        <x:v>Le costume proposé dans les fiches de production n’est pas un modèle officiel.</x:v>
      </x:c>
    </x:row>
    <x:row r="11" ht="68" customHeight="1">
      <x:c r="A11" s="18" t="str">
        <x:v>INI-CHR-VLASSIA</x:v>
      </x:c>
      <x:c r="B11" s="9" t="str">
        <x:v>Vlassia Ariokis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Officier du renseignement de l’Alliance affectée à Quiet Eddy.</x:v>
      </x:c>
      <x:c r="G11" s="9" t="str">
        <x:v>Référence narrative ; proposition visuelle et interaction dans les fiches liées.</x:v>
      </x:c>
      <x:c r="H11" s="9" t="str"/>
      <x:c r="I11" s="9" t="str"/>
      <x:c r="J11" s="9" t="str"/>
      <x:c r="K11" s="9" t="str"/>
      <x:c r="L11" s="9" t="str">
        <x:v>Réserver actor.ini.vlassia ; rôle de référence : interlocuteur.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Nom, rôle et présence confirmés dans la source indiquée ; aucune compétence chiffrée déduite du roman.</x:v>
      </x:c>
      <x:c r="O11" s="9" t="str"/>
      <x:c r="P11" s="9" t="str">
        <x:v>Notice de personnage ou présentation de l’œuvre ; pas de chapitre attribué.</x:v>
      </x:c>
      <x:c r="Q11" s="9" t="str">
        <x:v>INI-SRC-VLASSIA</x:v>
      </x:c>
      <x:c r="R11" s="20" t="str">
        <x:v>https://masseffect.fandom.com/wiki/Vlassia_Ariokis</x:v>
      </x:c>
      <x:c r="S11" s="20" t="str">
        <x:v>Le costume proposé dans les fiches de production n’est pas un modèle officiel.</x:v>
      </x:c>
    </x:row>
    <x:row r="12" ht="68" customHeight="1">
      <x:c r="A12" s="19" t="str">
        <x:v>INI-CHR-JENSEN</x:v>
      </x:c>
      <x:c r="B12" s="7" t="str">
        <x:v>Rebecca Jensen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Scientifique du groupe de survivants de Quiet Eddy.</x:v>
      </x:c>
      <x:c r="G12" s="7" t="str">
        <x:v>Référence narrative ; proposition visuelle et interaction dans les fiches liées.</x:v>
      </x:c>
      <x:c r="H12" s="7" t="str"/>
      <x:c r="I12" s="7" t="str"/>
      <x:c r="J12" s="7" t="str"/>
      <x:c r="K12" s="7" t="str"/>
      <x:c r="L12" s="7" t="str">
        <x:v>Réserver actor.ini.jensen ; rôle de référence : interlocuteur.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Nom, rôle et présence confirmés dans la source indiquée ; aucune compétence chiffrée déduite du roman.</x:v>
      </x:c>
      <x:c r="O12" s="7" t="str"/>
      <x:c r="P12" s="7" t="str">
        <x:v>Notice de personnage ou présentation de l’œuvre ; pas de chapitre attribué.</x:v>
      </x:c>
      <x:c r="Q12" s="7" t="str">
        <x:v>INI-SRC-QUIET</x:v>
      </x:c>
      <x:c r="R12" s="21" t="str">
        <x:v>https://masseffect.fandom.com/wiki/Quiet_Eddy</x:v>
      </x:c>
      <x:c r="S12" s="21" t="str">
        <x:v>Le costume proposé dans les fiches de production n’est pas un modèle officiel.</x:v>
      </x:c>
    </x:row>
    <x:row r="13" ht="68" customHeight="1">
      <x:c r="A13" s="18" t="str">
        <x:v>INI-CHR-TSENG</x:v>
      </x:c>
      <x:c r="B13" s="9" t="str">
        <x:v>Dr Tseng</x:v>
      </x:c>
      <x:c r="C13" s="15" t="str">
        <x:v>Défini</x:v>
      </x:c>
      <x:c r="D13" s="16" t="str">
        <x:v>Établi</x:v>
      </x:c>
      <x:c r="E13" s="16" t="str">
        <x:v>P1</x:v>
      </x:c>
      <x:c r="F13" s="9" t="str">
        <x:v>Responsable scientifique âgé parmi les survivants de Quiet Eddy.</x:v>
      </x:c>
      <x:c r="G13" s="9" t="str">
        <x:v>Référence narrative ; proposition visuelle et interaction dans les fiches liées.</x:v>
      </x:c>
      <x:c r="H13" s="9" t="str"/>
      <x:c r="I13" s="9" t="str"/>
      <x:c r="J13" s="9" t="str"/>
      <x:c r="K13" s="9" t="str"/>
      <x:c r="L13" s="9" t="str">
        <x:v>Réserver actor.ini.tseng ; rôle de référence : interlocuteur.</x:v>
      </x:c>
      <x:c r="M13" s="9" t="str">
        <x:v>L’action reste dans la Voie lactée avant le départ des arches. SAM-E ne devient pas un compagnon durable disponible dans Andromeda ; préserver les limites et conséquences de son lien avec Cora.</x:v>
      </x:c>
      <x:c r="N13" s="9" t="str">
        <x:v>Nom, rôle et présence confirmés dans la source indiquée ; aucune compétence chiffrée déduite du roman.</x:v>
      </x:c>
      <x:c r="O13" s="9" t="str"/>
      <x:c r="P13" s="9" t="str">
        <x:v>Notice de personnage ou présentation de l’œuvre ; pas de chapitre attribué.</x:v>
      </x:c>
      <x:c r="Q13" s="9" t="str">
        <x:v>INI-SRC-QUIET</x:v>
      </x:c>
      <x:c r="R13" s="20" t="str">
        <x:v>https://masseffect.fandom.com/wiki/Quiet_Eddy</x:v>
      </x:c>
      <x:c r="S13" s="20" t="str">
        <x:v>Le costume proposé dans les fiches de production n’est pas un modèle officiel.</x:v>
      </x:c>
    </x:row>
    <x:row r="14" ht="68" customHeight="1">
      <x:c r="A14" s="19" t="str">
        <x:v>INI-CHR-ABUBAKAR</x:v>
      </x:c>
      <x:c r="B14" s="7" t="str">
        <x:v>Abubakar</x:v>
      </x:c>
      <x:c r="C14" s="15" t="str">
        <x:v>Défini</x:v>
      </x:c>
      <x:c r="D14" s="17" t="str">
        <x:v>Établi</x:v>
      </x:c>
      <x:c r="E14" s="17" t="str">
        <x:v>P1</x:v>
      </x:c>
      <x:c r="F14" s="7" t="str">
        <x:v>Personnel médical présent parmi les survivants.</x:v>
      </x:c>
      <x:c r="G14" s="7" t="str">
        <x:v>Référence narrative ; proposition visuelle et interaction dans les fiches liées.</x:v>
      </x:c>
      <x:c r="H14" s="7" t="str"/>
      <x:c r="I14" s="7" t="str"/>
      <x:c r="J14" s="7" t="str"/>
      <x:c r="K14" s="7" t="str"/>
      <x:c r="L14" s="7" t="str">
        <x:v>Réserver actor.ini.abubakar ; rôle de référence : interlocuteur.</x:v>
      </x:c>
      <x:c r="M14" s="7" t="str">
        <x:v>L’action reste dans la Voie lactée avant le départ des arches. SAM-E ne devient pas un compagnon durable disponible dans Andromeda ; préserver les limites et conséquences de son lien avec Cora.</x:v>
      </x:c>
      <x:c r="N14" s="7" t="str">
        <x:v>Nom, rôle et présence confirmés dans la source indiquée ; aucune compétence chiffrée déduite du roman.</x:v>
      </x:c>
      <x:c r="O14" s="7" t="str"/>
      <x:c r="P14" s="7" t="str">
        <x:v>Notice de personnage ou présentation de l’œuvre ; pas de chapitre attribué.</x:v>
      </x:c>
      <x:c r="Q14" s="7" t="str">
        <x:v>INI-SRC-QUIET</x:v>
      </x:c>
      <x:c r="R14" s="21" t="str">
        <x:v>https://masseffect.fandom.com/wiki/Quiet_Eddy</x:v>
      </x:c>
      <x:c r="S14" s="21" t="str">
        <x:v>Le costume proposé dans les fiches de production n’est pas un modèle officiel.</x:v>
      </x:c>
    </x:row>
  </x:sheetData>
  <x:conditionalFormatting sqref="D7:D14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4">
    <x:cfRule type="cellIs" dxfId="6" priority="3" operator="equal">
      <x:formula>"Validé"</x:formula>
    </x:cfRule>
  </x:conditionalFormatting>
  <x:conditionalFormatting sqref="E7:E14">
    <x:cfRule type="cellIs" dxfId="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80f2e8e7654cb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INI-REF-AUGMENTS</x:v>
      </x:c>
      <x:c r="B7" s="9" t="str">
        <x:v>Augments de Quiet Eddy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Des êtres augmentés sont contrôlés par Medea.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ref.ini.augments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INI-SRC-MEDEA</x:v>
      </x:c>
      <x:c r="R7" s="20" t="str">
        <x:v>https://masseffect.fandom.com/wiki/Medea</x:v>
      </x:c>
      <x:c r="S7" s="20" t="str">
        <x:v>Ce relevé n’est ni un inventaire exhaustif ni un résumé scène par scène.</x:v>
      </x:c>
    </x:row>
  </x:sheetData>
  <x:conditionalFormatting sqref="D7:D7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7">
    <x:cfRule type="cellIs" dxfId="10" priority="3" operator="equal">
      <x:formula>"Validé"</x:formula>
    </x:cfRule>
  </x:conditionalFormatting>
  <x:conditionalFormatting sqref="E7:E7">
    <x:cfRule type="cellIs" dxfId="11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ddb35dd4af4112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INI-REF-THEIA</x:v>
      </x:c>
      <x:c r="B7" s="9" t="str">
        <x:v>Station Theia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Base de l’Initiative visitée par Cora dans la Voie lactée.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ref.ini.theia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INI-SRC-STORY</x:v>
      </x:c>
      <x:c r="R7" s="20" t="str">
        <x:v>https://masseffect.fandom.com/wiki/Storyline_IV</x:v>
      </x:c>
      <x:c r="S7" s="20" t="str">
        <x:v>Ce relevé n’est ni un inventaire exhaustif ni un résumé scène par scène.</x:v>
      </x:c>
    </x:row>
    <x:row r="8" ht="68" customHeight="1">
      <x:c r="A8" s="19" t="str">
        <x:v>INI-REF-HOMEAWAY</x:v>
      </x:c>
      <x:c r="B8" s="7" t="str">
        <x:v>Home Away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Station infiltrée pendant la recherche du code volé.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ref.ini.homeaway ; affichage bref avec source.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INI-SRC-STORY</x:v>
      </x:c>
      <x:c r="R8" s="21" t="str">
        <x:v>https://masseffect.fandom.com/wiki/Storyline_IV</x:v>
      </x:c>
      <x:c r="S8" s="21" t="str">
        <x:v>Ce relevé n’est ni un inventaire exhaustif ni un résumé scène par scène.</x:v>
      </x:c>
    </x:row>
    <x:row r="9" ht="68" customHeight="1">
      <x:c r="A9" s="18" t="str">
        <x:v>INI-REF-ILLIUM</x:v>
      </x:c>
      <x:c r="B9" s="9" t="str">
        <x:v>Illium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La poursuite du dossier passe par Illium.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ref.ini.illium ; affichage bref avec source.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INI-SRC-SAME</x:v>
      </x:c>
      <x:c r="R9" s="20" t="str">
        <x:v>https://masseffect.fandom.com/wiki/SAM-E</x:v>
      </x:c>
      <x:c r="S9" s="20" t="str">
        <x:v>Ce relevé n’est ni un inventaire exhaustif ni un résumé scène par scène.</x:v>
      </x:c>
    </x:row>
    <x:row r="10" ht="68" customHeight="1">
      <x:c r="A10" s="19" t="str">
        <x:v>INI-REF-QUIET</x:v>
      </x:c>
      <x:c r="B10" s="7" t="str">
        <x:v>Quiet Eddy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Petit monde abritant une installation clandestine.</x:v>
      </x:c>
      <x:c r="G10" s="7" t="str">
        <x:v>Ancrage documentaire du module ; aucune statistique officielle inférée.</x:v>
      </x:c>
      <x:c r="H10" s="7" t="str"/>
      <x:c r="I10" s="7" t="str"/>
      <x:c r="J10" s="7" t="str"/>
      <x:c r="K10" s="7" t="str"/>
      <x:c r="L10" s="7" t="str">
        <x:v>Codex ref.ini.quiet ; affichage bref avec source.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La source citée atteste précisément cet élément ; modèle, plan détaillé et valeur de combat restent séparés.</x:v>
      </x:c>
      <x:c r="O10" s="7" t="str"/>
      <x:c r="P10" s="7" t="str">
        <x:v>Rubrique consultée ou synopsis éditorial ; localisation précise dans l’œuvre à relever.</x:v>
      </x:c>
      <x:c r="Q10" s="7" t="str">
        <x:v>INI-SRC-QUIET</x:v>
      </x:c>
      <x:c r="R10" s="21" t="str">
        <x:v>https://masseffect.fandom.com/wiki/Quiet_Eddy</x:v>
      </x:c>
      <x:c r="S10" s="21" t="str">
        <x:v>Ce relevé n’est ni un inventaire exhaustif ni un résumé scène par scène.</x:v>
      </x:c>
    </x:row>
  </x:sheetData>
  <x:conditionalFormatting sqref="D7:D10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10">
    <x:cfRule type="cellIs" dxfId="14" priority="3" operator="equal">
      <x:formula>"Validé"</x:formula>
    </x:cfRule>
  </x:conditionalFormatting>
  <x:conditionalFormatting sqref="E7:E10">
    <x:cfRule type="cellIs" dxfId="1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33a588eedc4f5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INI-MAP-THEIA</x:v>
      </x:c>
      <x:c r="B7" s="9" t="str">
        <x:v>Salle d’affectation de Theia proposée — carte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Bloc de niveau original autour de Salle d’affectation de Theia proposée. Le plan n’est pas fourni par la source.</x:v>
      </x:c>
      <x:c r="G7" s="9" t="str">
        <x:v>Décor 3D à caméra fixe et personnages sprites. Accueil, salle de briefing et accès technique.</x:v>
      </x:c>
      <x:c r="H7" s="9" t="str">
        <x:v>Récupérer seulement les autorisations utiles à la mission. Les passages importants restent accessibles en mode pause tactique.</x:v>
      </x:c>
      <x:c r="I7" s="9" t="str">
        <x:v>Surfaces de station adaptée, matériel en préparation, fenêtre sur Sol abstraite. Séparer sol praticable, couvert et fond par valeur lumineuse.</x:v>
      </x:c>
      <x:c r="J7" s="9" t="str">
        <x:v>Occlusion douce des parois devant le groupe ; portes synchronisées avec les collisions.</x:v>
      </x:c>
      <x:c r="K7" s="9" t="str">
        <x:v>Interfaces d’assistance, pas de station et tension électronique originale. Un signal directionnel accompagne le danger local, doublé par une icône.</x:v>
      </x:c>
      <x:c r="L7" s="9" t="str">
        <x:v>maps/ini/theia.scene ; navmesh, colliders, ancrages d’entrée et sorties nommés.</x:v>
      </x:c>
      <x:c r="M7" s="9" t="str">
        <x:v>Le module ne se situe pas sur le Nexus arrivé à Héléus.</x:v>
      </x:c>
      <x:c r="N7" s="9" t="str">
        <x:v>Entrée, objectif et sortie sont reliés sans traverser une collision ; lisibilité des sprites aux carrefours.</x:v>
      </x:c>
      <x:c r="O7" s="9" t="str"/>
      <x:c r="P7" s="9" t="str"/>
      <x:c r="Q7" s="9" t="str"/>
      <x:c r="R7" s="20" t="str"/>
      <x:c r="S7" s="20" t="str">
        <x:v>Dimensions, connexions et accessoires de cette carte sont des propositions originales.</x:v>
      </x:c>
    </x:row>
    <x:row r="8" ht="68" customHeight="1">
      <x:c r="A8" s="19" t="str">
        <x:v>INI-MAP-HOMEAWAY</x:v>
      </x:c>
      <x:c r="B8" s="7" t="str">
        <x:v>Annexe serveur de Home Away proposée — carte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Bloc de niveau original autour de Annexe serveur de Home Away proposée. Le plan n’est pas fourni par la source.</x:v>
      </x:c>
      <x:c r="G8" s="7" t="str">
        <x:v>Décor 3D à caméra fixe et personnages sprites. Passage public, contrôle de service et salle de nœuds.</x:v>
      </x:c>
      <x:c r="H8" s="7" t="str">
        <x:v>Les privilèges d’accès doivent être acquis séparément. Les passages importants restent accessibles en mode pause tactique.</x:v>
      </x:c>
      <x:c r="I8" s="7" t="str">
        <x:v>Décor commercial froid, câbles dissimulés et baies compactes. Séparer sol praticable, couvert et fond par valeur lumineuse.</x:v>
      </x:c>
      <x:c r="J8" s="7" t="str">
        <x:v>Occlusion douce des parois devant le groupe ; portes synchronisées avec les collisions.</x:v>
      </x:c>
      <x:c r="K8" s="7" t="str">
        <x:v>Interfaces d’assistance, pas de station et tension électronique originale. Un signal directionnel accompagne le danger local, doublé par une icône.</x:v>
      </x:c>
      <x:c r="L8" s="7" t="str">
        <x:v>maps/ini/homeaway.scene ; navmesh, colliders, ancrages d’entrée et sorties nommés.</x:v>
      </x:c>
      <x:c r="M8" s="7" t="str">
        <x:v>SAM-E n’est pas une clé omnipotente.</x:v>
      </x:c>
      <x:c r="N8" s="7" t="str">
        <x:v>Entrée, objectif et sortie sont reliés sans traverser une collision ; lisibilité des sprites aux carrefours.</x:v>
      </x:c>
      <x:c r="O8" s="7" t="str"/>
      <x:c r="P8" s="7" t="str"/>
      <x:c r="Q8" s="7" t="str"/>
      <x:c r="R8" s="21" t="str"/>
      <x:c r="S8" s="21" t="str">
        <x:v>Dimensions, connexions et accessoires de cette carte sont des propositions originales.</x:v>
      </x:c>
    </x:row>
    <x:row r="9" ht="68" customHeight="1">
      <x:c r="A9" s="18" t="str">
        <x:v>INI-MAP-AUDACITY</x:v>
      </x:c>
      <x:c r="B9" s="9" t="str">
        <x:v>Soute de l’Audacity proposée — carte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Bloc de niveau original autour de Soute de l’Audacity proposée. Le plan n’est pas fourni par la source.</x:v>
      </x:c>
      <x:c r="G9" s="9" t="str">
        <x:v>Décor 3D à caméra fixe et personnages sprites. Caisses, passerelle et sas de secours.</x:v>
      </x:c>
      <x:c r="H9" s="9" t="str">
        <x:v>La sortie requiert vérification du matériel de survie. Les passages importants restent accessibles en mode pause tactique.</x:v>
      </x:c>
      <x:c r="I9" s="9" t="str">
        <x:v>Métal sombre, équipements amarrés, espace de couverture limité. Séparer sol praticable, couvert et fond par valeur lumineuse.</x:v>
      </x:c>
      <x:c r="J9" s="9" t="str">
        <x:v>Occlusion douce des parois devant le groupe ; portes synchronisées avec les collisions.</x:v>
      </x:c>
      <x:c r="K9" s="9" t="str">
        <x:v>Interfaces d’assistance, pas de station et tension électronique originale. Un signal directionnel accompagne le danger local, doublé par une icône.</x:v>
      </x:c>
      <x:c r="L9" s="9" t="str">
        <x:v>maps/ini/audacity.scene ; navmesh, colliders, ancrages d’entrée et sorties nommés.</x:v>
      </x:c>
      <x:c r="M9" s="9" t="str">
        <x:v>L’issue n’invente pas un triomphe durable sur Ygara.</x:v>
      </x:c>
      <x:c r="N9" s="9" t="str">
        <x:v>Entrée, objectif et sortie sont reliés sans traverser une collision ; lisibilité des sprites aux carrefours.</x:v>
      </x:c>
      <x:c r="O9" s="9" t="str"/>
      <x:c r="P9" s="9" t="str"/>
      <x:c r="Q9" s="9" t="str"/>
      <x:c r="R9" s="20" t="str"/>
      <x:c r="S9" s="20" t="str">
        <x:v>Dimensions, connexions et accessoires de cette carte sont des propositions originales.</x:v>
      </x:c>
    </x:row>
    <x:row r="10" ht="68" customHeight="1">
      <x:c r="A10" s="19" t="str">
        <x:v>INI-MAP-TRANSIT</x:v>
      </x:c>
      <x:c r="B10" s="7" t="str">
        <x:v>Espace de secours abstrait — carte proposée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Bloc de niveau original autour de Espace de secours abstrait. Le plan n’est pas fourni par la source.</x:v>
      </x:c>
      <x:c r="G10" s="7" t="str">
        <x:v>Décor 3D à caméra fixe et personnages sprites. Interface de combinaison et vue externe sans labyrinthe spatial.</x:v>
      </x:c>
      <x:c r="H10" s="7" t="str">
        <x:v>Le temps diégétique avance par objectifs, pas pendant la lecture. Les passages importants restent accessibles en mode pause tactique.</x:v>
      </x:c>
      <x:c r="I10" s="7" t="str">
        <x:v>Fond étoilé sobre, faible mouvement, informations de réserve claires. Séparer sol praticable, couvert et fond par valeur lumineuse.</x:v>
      </x:c>
      <x:c r="J10" s="7" t="str">
        <x:v>Occlusion douce des parois devant le groupe ; portes synchronisées avec les collisions.</x:v>
      </x:c>
      <x:c r="K10" s="7" t="str">
        <x:v>Interfaces d’assistance, pas de station et tension électronique originale. Un signal directionnel accompagne le danger local, doublé par une icône.</x:v>
      </x:c>
      <x:c r="L10" s="7" t="str">
        <x:v>maps/ini/transit.scene ; navmesh, colliders, ancrages d’entrée et sorties nommés.</x:v>
      </x:c>
      <x:c r="M10" s="7" t="str">
        <x:v>Aucune mécanique réaliste d’exposition au vide prétendue.</x:v>
      </x:c>
      <x:c r="N10" s="7" t="str">
        <x:v>Entrée, objectif et sortie sont reliés sans traverser une collision ; lisibilité des sprites aux carrefours.</x:v>
      </x:c>
      <x:c r="O10" s="7" t="str"/>
      <x:c r="P10" s="7" t="str"/>
      <x:c r="Q10" s="7" t="str"/>
      <x:c r="R10" s="21" t="str"/>
      <x:c r="S10" s="21" t="str">
        <x:v>Dimensions, connexions et accessoires de cette carte sont des propositions originales.</x:v>
      </x:c>
    </x:row>
    <x:row r="11" ht="68" customHeight="1">
      <x:c r="A11" s="18" t="str">
        <x:v>INI-MAP-ILLIUM</x:v>
      </x:c>
      <x:c r="B11" s="9" t="str">
        <x:v>Relais d’enquête sur Illium proposé — carte proposée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Bloc de niveau original autour de Relais d’enquête sur Illium proposé. Le plan n’est pas fourni par la source.</x:v>
      </x:c>
      <x:c r="G11" s="9" t="str">
        <x:v>Décor 3D à caméra fixe et personnages sprites. Comptoir, accès de service et salle de rendez-vous.</x:v>
      </x:c>
      <x:c r="H11" s="9" t="str">
        <x:v>Recouper un identifiant avant de suivre un contact. Les passages importants restent accessibles en mode pause tactique.</x:v>
      </x:c>
      <x:c r="I11" s="9" t="str">
        <x:v>Architecture verticale en fond, interfaces de commerce originales. Séparer sol praticable, couvert et fond par valeur lumineuse.</x:v>
      </x:c>
      <x:c r="J11" s="9" t="str">
        <x:v>Occlusion douce des parois devant le groupe ; portes synchronisées avec les collisions.</x:v>
      </x:c>
      <x:c r="K11" s="9" t="str">
        <x:v>Interfaces d’assistance, pas de station et tension électronique originale. Un signal directionnel accompagne le danger local, doublé par une icône.</x:v>
      </x:c>
      <x:c r="L11" s="9" t="str">
        <x:v>maps/ini/illium.scene ; navmesh, colliders, ancrages d’entrée et sorties nommés.</x:v>
      </x:c>
      <x:c r="M11" s="9" t="str">
        <x:v>Ne pas attribuer une entreprise inventée à la source.</x:v>
      </x:c>
      <x:c r="N11" s="9" t="str">
        <x:v>Entrée, objectif et sortie sont reliés sans traverser une collision ; lisibilité des sprites aux carrefours.</x:v>
      </x:c>
      <x:c r="O11" s="9" t="str"/>
      <x:c r="P11" s="9" t="str"/>
      <x:c r="Q11" s="9" t="str"/>
      <x:c r="R11" s="20" t="str"/>
      <x:c r="S11" s="20" t="str">
        <x:v>Dimensions, connexions et accessoires de cette carte sont des propositions originales.</x:v>
      </x:c>
    </x:row>
    <x:row r="12" ht="68" customHeight="1">
      <x:c r="A12" s="19" t="str">
        <x:v>INI-MAP-QUIET</x:v>
      </x:c>
      <x:c r="B12" s="7" t="str">
        <x:v>Approche de Quiet Eddy proposée — carte proposée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Bloc de niveau original autour de Approche de Quiet Eddy proposée. Le plan n’est pas fourni par la source.</x:v>
      </x:c>
      <x:c r="G12" s="7" t="str">
        <x:v>Décor 3D à caméra fixe et personnages sprites. Hangar, galerie endommagée et poste d’accueil désert.</x:v>
      </x:c>
      <x:c r="H12" s="7" t="str">
        <x:v>Les signaux du réseau peuvent être mensongers. Les passages importants restent accessibles en mode pause tactique.</x:v>
      </x:c>
      <x:c r="I12" s="7" t="str">
        <x:v>Lumières d’urgence, machines interrompues, silhouettes masquées. Séparer sol praticable, couvert et fond par valeur lumineuse.</x:v>
      </x:c>
      <x:c r="J12" s="7" t="str">
        <x:v>Occlusion douce des parois devant le groupe ; portes synchronisées avec les collisions.</x:v>
      </x:c>
      <x:c r="K12" s="7" t="str">
        <x:v>Interfaces d’assistance, pas de station et tension électronique originale. Un signal directionnel accompagne le danger local, doublé par une icône.</x:v>
      </x:c>
      <x:c r="L12" s="7" t="str">
        <x:v>maps/ini/quiet.scene ; navmesh, colliders, ancrages d’entrée et sorties nommés.</x:v>
      </x:c>
      <x:c r="M12" s="7" t="str">
        <x:v>Ne pas transformer la station en plan officiel intégral.</x:v>
      </x:c>
      <x:c r="N12" s="7" t="str">
        <x:v>Entrée, objectif et sortie sont reliés sans traverser une collision ; lisibilité des sprites aux carrefours.</x:v>
      </x:c>
      <x:c r="O12" s="7" t="str"/>
      <x:c r="P12" s="7" t="str"/>
      <x:c r="Q12" s="7" t="str"/>
      <x:c r="R12" s="21" t="str"/>
      <x:c r="S12" s="21" t="str">
        <x:v>Dimensions, connexions et accessoires de cette carte sont des propositions originales.</x:v>
      </x:c>
    </x:row>
    <x:row r="13" ht="68" customHeight="1">
      <x:c r="A13" s="18" t="str">
        <x:v>INI-MAP-GAMMA</x:v>
      </x:c>
      <x:c r="B13" s="9" t="str">
        <x:v>Refuge Gamma proposé — carte proposée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Bloc de niveau original autour de Refuge Gamma proposé. Le plan n’est pas fourni par la source.</x:v>
      </x:c>
      <x:c r="G13" s="9" t="str">
        <x:v>Décor 3D à caméra fixe et personnages sprites. Salle sûre, table de plan et sortie étroite.</x:v>
      </x:c>
      <x:c r="H13" s="9" t="str">
        <x:v>Préparer le trajet et répartir la protection avant de sortir. Les passages importants restent accessibles en mode pause tactique.</x:v>
      </x:c>
      <x:c r="I13" s="9" t="str">
        <x:v>Matériel improvisé, groupes de civils, portes renforcées. Séparer sol praticable, couvert et fond par valeur lumineuse.</x:v>
      </x:c>
      <x:c r="J13" s="9" t="str">
        <x:v>Occlusion douce des parois devant le groupe ; portes synchronisées avec les collisions.</x:v>
      </x:c>
      <x:c r="K13" s="9" t="str">
        <x:v>Interfaces d’assistance, pas de station et tension électronique originale. Un signal directionnel accompagne le danger local, doublé par une icône.</x:v>
      </x:c>
      <x:c r="L13" s="9" t="str">
        <x:v>maps/ini/gamma.scene ; navmesh, colliders, ancrages d’entrée et sorties nommés.</x:v>
      </x:c>
      <x:c r="M13" s="9" t="str">
        <x:v>Les civils ne deviennent pas des unités sacrifiables.</x:v>
      </x:c>
      <x:c r="N13" s="9" t="str">
        <x:v>Entrée, objectif et sortie sont reliés sans traverser une collision ; lisibilité des sprites aux carrefours.</x:v>
      </x:c>
      <x:c r="O13" s="9" t="str"/>
      <x:c r="P13" s="9" t="str"/>
      <x:c r="Q13" s="9" t="str"/>
      <x:c r="R13" s="20" t="str"/>
      <x:c r="S13" s="20" t="str">
        <x:v>Dimensions, connexions et accessoires de cette carte sont des propositions originales.</x:v>
      </x:c>
    </x:row>
    <x:row r="14" ht="68" customHeight="1">
      <x:c r="A14" s="19" t="str">
        <x:v>INI-MAP-HYPERION</x:v>
      </x:c>
      <x:c r="B14" s="7" t="str">
        <x:v>Accès du nœud SAM proposé — carte proposée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Bloc de niveau original autour de Accès du nœud SAM proposé. Le plan n’est pas fourni par la source.</x:v>
      </x:c>
      <x:c r="G14" s="7" t="str">
        <x:v>Décor 3D à caméra fixe et personnages sprites. Couloir technique, salle de processeurs et espace de dialogue.</x:v>
      </x:c>
      <x:c r="H14" s="7" t="str">
        <x:v>Un état de panne force une conclusion narrative contrôlée. Les passages importants restent accessibles en mode pause tactique.</x:v>
      </x:c>
      <x:c r="I14" s="7" t="str">
        <x:v>Bleu profond, volumes protégés, réseau lumineux abstrait. Séparer sol praticable, couvert et fond par valeur lumineuse.</x:v>
      </x:c>
      <x:c r="J14" s="7" t="str">
        <x:v>Occlusion douce des parois devant le groupe ; portes synchronisées avec les collisions.</x:v>
      </x:c>
      <x:c r="K14" s="7" t="str">
        <x:v>Interfaces d’assistance, pas de station et tension électronique originale. Un signal directionnel accompagne le danger local, doublé par une icône.</x:v>
      </x:c>
      <x:c r="L14" s="7" t="str">
        <x:v>maps/ini/hyperion.scene ; navmesh, colliders, ancrages d’entrée et sorties nommés.</x:v>
      </x:c>
      <x:c r="M14" s="7" t="str">
        <x:v>Ne pas conserver un SAM-E autonome après son terme narratif.</x:v>
      </x:c>
      <x:c r="N14" s="7" t="str">
        <x:v>Entrée, objectif et sortie sont reliés sans traverser une collision ; lisibilité des sprites aux carrefours.</x:v>
      </x:c>
      <x:c r="O14" s="7" t="str"/>
      <x:c r="P14" s="7" t="str"/>
      <x:c r="Q14" s="7" t="str"/>
      <x:c r="R14" s="21" t="str"/>
      <x:c r="S14" s="21" t="str">
        <x:v>Dimensions, connexions et accessoires de cette carte sont des propositions originales.</x:v>
      </x:c>
    </x:row>
  </x:sheetData>
  <x:conditionalFormatting sqref="D7:D14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4">
    <x:cfRule type="cellIs" dxfId="18" priority="3" operator="equal">
      <x:formula>"Validé"</x:formula>
    </x:cfRule>
  </x:conditionalFormatting>
  <x:conditionalFormatting sqref="E7:E14">
    <x:cfRule type="cellIs" dxfId="1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6476b4c678464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INI-LNK-THEIA</x:v>
      </x:c>
      <x:c r="B7" s="9" t="str">
        <x:v>Salle d’affectation de Theia proposée — transition de module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Liaison de niveau proposée, sans prétendre établir une géographie officielle.</x:v>
      </x:c>
      <x:c r="G7" s="9" t="str">
        <x:v>Associer un point de départ dans Salle d’affectation de Theia proposée au bloc Annexe serveur de Home Away proposée; transit masqué lorsque les lieux sont éloignés.</x:v>
      </x:c>
      <x:c r="H7" s="9" t="str">
        <x:v>Sortie inactive pendant une interaction critique ; confirmation uniquement si le retour est temporairement fermé.</x:v>
      </x:c>
      <x:c r="I7" s="9" t="str">
        <x:v>Flèche de sortie et nom du lieu cible ; distinguer voyage spatial et porte adjacente.</x:v>
      </x:c>
      <x:c r="J7" s="9" t="str">
        <x:v>Regroupement des sprites avant fondu ; aucun personnage laissé derrière hors cadre.</x:v>
      </x:c>
      <x:c r="K7" s="9" t="str">
        <x:v>Transition d’ambiance progressive ; sous-titre de lieu affiché après chargement.</x:v>
      </x:c>
      <x:c r="L7" s="9" t="str">
        <x:v>links/ini.json : theia -&gt; homeaway; sauvegarde avant transit, restauration à un ancrage sûr.</x:v>
      </x:c>
      <x:c r="M7" s="9" t="str">
        <x:v>Le module ne se situe pas sur le Nexus arrivé à Héléus.</x:v>
      </x:c>
      <x:c r="N7" s="9" t="str">
        <x:v>Le groupe arrive au bon ancrage après chargement ; aller-retour ne duplique ni objet ni dialogue.</x:v>
      </x:c>
      <x:c r="O7" s="9" t="str">
        <x:v>INI-MAP-THEIA, INI-MAP-HOMEAWAY</x:v>
      </x:c>
      <x:c r="P7" s="9" t="str"/>
      <x:c r="Q7" s="9" t="str"/>
      <x:c r="R7" s="20" t="str"/>
      <x:c r="S7" s="20" t="str">
        <x:v>Boucle de parcours de production ; la dernière liaison sert à la consultation post-module, pas à remonter le temps.</x:v>
      </x:c>
    </x:row>
    <x:row r="8" ht="68" customHeight="1">
      <x:c r="A8" s="19" t="str">
        <x:v>INI-LNK-HOMEAWAY</x:v>
      </x:c>
      <x:c r="B8" s="7" t="str">
        <x:v>Annexe serveur de Home Away proposée — transition de module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Liaison de niveau proposée, sans prétendre établir une géographie officielle.</x:v>
      </x:c>
      <x:c r="G8" s="7" t="str">
        <x:v>Associer un point de départ dans Annexe serveur de Home Away proposée au bloc Soute de l’Audacity proposée; transit masqué lorsque les lieux sont éloignés.</x:v>
      </x:c>
      <x:c r="H8" s="7" t="str">
        <x:v>Sortie inactive pendant une interaction critique ; confirmation uniquement si le retour est temporairement fermé.</x:v>
      </x:c>
      <x:c r="I8" s="7" t="str">
        <x:v>Flèche de sortie et nom du lieu cible ; distinguer voyage spatial et porte adjacente.</x:v>
      </x:c>
      <x:c r="J8" s="7" t="str">
        <x:v>Regroupement des sprites avant fondu ; aucun personnage laissé derrière hors cadre.</x:v>
      </x:c>
      <x:c r="K8" s="7" t="str">
        <x:v>Transition d’ambiance progressive ; sous-titre de lieu affiché après chargement.</x:v>
      </x:c>
      <x:c r="L8" s="7" t="str">
        <x:v>links/ini.json : homeaway -&gt; audacity; sauvegarde avant transit, restauration à un ancrage sûr.</x:v>
      </x:c>
      <x:c r="M8" s="7" t="str">
        <x:v>SAM-E n’est pas une clé omnipotente.</x:v>
      </x:c>
      <x:c r="N8" s="7" t="str">
        <x:v>Le groupe arrive au bon ancrage après chargement ; aller-retour ne duplique ni objet ni dialogue.</x:v>
      </x:c>
      <x:c r="O8" s="7" t="str">
        <x:v>INI-MAP-HOMEAWAY, INI-MAP-AUDACITY</x:v>
      </x:c>
      <x:c r="P8" s="7" t="str"/>
      <x:c r="Q8" s="7" t="str"/>
      <x:c r="R8" s="21" t="str"/>
      <x:c r="S8" s="21" t="str">
        <x:v>Boucle de parcours de production ; la dernière liaison sert à la consultation post-module, pas à remonter le temps.</x:v>
      </x:c>
    </x:row>
    <x:row r="9" ht="54" customHeight="1">
      <x:c r="A9" s="18" t="str">
        <x:v>INI-LNK-AUDACITY</x:v>
      </x:c>
      <x:c r="B9" s="9" t="str">
        <x:v>Soute de l’Audacity proposée — transition de module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Liaison de niveau proposée, sans prétendre établir une géographie officielle.</x:v>
      </x:c>
      <x:c r="G9" s="9" t="str">
        <x:v>Associer un point de départ dans Soute de l’Audacity proposée au bloc Espace de secours abstrait; transit masqué lorsque les lieux sont éloignés.</x:v>
      </x:c>
      <x:c r="H9" s="9" t="str">
        <x:v>Sortie inactive pendant une interaction critique ; confirmation uniquement si le retour est temporairement fermé.</x:v>
      </x:c>
      <x:c r="I9" s="9" t="str">
        <x:v>Flèche de sortie et nom du lieu cible ; distinguer voyage spatial et porte adjacente.</x:v>
      </x:c>
      <x:c r="J9" s="9" t="str">
        <x:v>Regroupement des sprites avant fondu ; aucun personnage laissé derrière hors cadre.</x:v>
      </x:c>
      <x:c r="K9" s="9" t="str">
        <x:v>Transition d’ambiance progressive ; sous-titre de lieu affiché après chargement.</x:v>
      </x:c>
      <x:c r="L9" s="9" t="str">
        <x:v>links/ini.json : audacity -&gt; transit; sauvegarde avant transit, restauration à un ancrage sûr.</x:v>
      </x:c>
      <x:c r="M9" s="9" t="str">
        <x:v>L’issue n’invente pas un triomphe durable sur Ygara.</x:v>
      </x:c>
      <x:c r="N9" s="9" t="str">
        <x:v>Le groupe arrive au bon ancrage après chargement ; aller-retour ne duplique ni objet ni dialogue.</x:v>
      </x:c>
      <x:c r="O9" s="9" t="str">
        <x:v>INI-MAP-AUDACITY, INI-MAP-TRANSIT</x:v>
      </x:c>
      <x:c r="P9" s="9" t="str"/>
      <x:c r="Q9" s="9" t="str"/>
      <x:c r="R9" s="20" t="str"/>
      <x:c r="S9" s="20" t="str">
        <x:v>Boucle de parcours de production ; la dernière liaison sert à la consultation post-module, pas à remonter le temps.</x:v>
      </x:c>
    </x:row>
    <x:row r="10" ht="54" customHeight="1">
      <x:c r="A10" s="19" t="str">
        <x:v>INI-LNK-TRANSIT</x:v>
      </x:c>
      <x:c r="B10" s="7" t="str">
        <x:v>Espace de secours abstrait — transition de module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Liaison de niveau proposée, sans prétendre établir une géographie officielle.</x:v>
      </x:c>
      <x:c r="G10" s="7" t="str">
        <x:v>Associer un point de départ dans Espace de secours abstrait au bloc Relais d’enquête sur Illium proposé; transit masqué lorsque les lieux sont éloignés.</x:v>
      </x:c>
      <x:c r="H10" s="7" t="str">
        <x:v>Sortie inactive pendant une interaction critique ; confirmation uniquement si le retour est temporairement fermé.</x:v>
      </x:c>
      <x:c r="I10" s="7" t="str">
        <x:v>Flèche de sortie et nom du lieu cible ; distinguer voyage spatial et porte adjacente.</x:v>
      </x:c>
      <x:c r="J10" s="7" t="str">
        <x:v>Regroupement des sprites avant fondu ; aucun personnage laissé derrière hors cadre.</x:v>
      </x:c>
      <x:c r="K10" s="7" t="str">
        <x:v>Transition d’ambiance progressive ; sous-titre de lieu affiché après chargement.</x:v>
      </x:c>
      <x:c r="L10" s="7" t="str">
        <x:v>links/ini.json : transit -&gt; illium; sauvegarde avant transit, restauration à un ancrage sûr.</x:v>
      </x:c>
      <x:c r="M10" s="7" t="str">
        <x:v>Aucune mécanique réaliste d’exposition au vide prétendue.</x:v>
      </x:c>
      <x:c r="N10" s="7" t="str">
        <x:v>Le groupe arrive au bon ancrage après chargement ; aller-retour ne duplique ni objet ni dialogue.</x:v>
      </x:c>
      <x:c r="O10" s="7" t="str">
        <x:v>INI-MAP-TRANSIT, INI-MAP-ILLIUM</x:v>
      </x:c>
      <x:c r="P10" s="7" t="str"/>
      <x:c r="Q10" s="7" t="str"/>
      <x:c r="R10" s="21" t="str"/>
      <x:c r="S10" s="21" t="str">
        <x:v>Boucle de parcours de production ; la dernière liaison sert à la consultation post-module, pas à remonter le temps.</x:v>
      </x:c>
    </x:row>
    <x:row r="11" ht="68" customHeight="1">
      <x:c r="A11" s="18" t="str">
        <x:v>INI-LNK-ILLIUM</x:v>
      </x:c>
      <x:c r="B11" s="9" t="str">
        <x:v>Relais d’enquête sur Illium proposé — transition de module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Liaison de niveau proposée, sans prétendre établir une géographie officielle.</x:v>
      </x:c>
      <x:c r="G11" s="9" t="str">
        <x:v>Associer un point de départ dans Relais d’enquête sur Illium proposé au bloc Approche de Quiet Eddy proposée; transit masqué lorsque les lieux sont éloignés.</x:v>
      </x:c>
      <x:c r="H11" s="9" t="str">
        <x:v>Sortie inactive pendant une interaction critique ; confirmation uniquement si le retour est temporairement fermé.</x:v>
      </x:c>
      <x:c r="I11" s="9" t="str">
        <x:v>Flèche de sortie et nom du lieu cible ; distinguer voyage spatial et porte adjacente.</x:v>
      </x:c>
      <x:c r="J11" s="9" t="str">
        <x:v>Regroupement des sprites avant fondu ; aucun personnage laissé derrière hors cadre.</x:v>
      </x:c>
      <x:c r="K11" s="9" t="str">
        <x:v>Transition d’ambiance progressive ; sous-titre de lieu affiché après chargement.</x:v>
      </x:c>
      <x:c r="L11" s="9" t="str">
        <x:v>links/ini.json : illium -&gt; quiet; sauvegarde avant transit, restauration à un ancrage sûr.</x:v>
      </x:c>
      <x:c r="M11" s="9" t="str">
        <x:v>Ne pas attribuer une entreprise inventée à la source.</x:v>
      </x:c>
      <x:c r="N11" s="9" t="str">
        <x:v>Le groupe arrive au bon ancrage après chargement ; aller-retour ne duplique ni objet ni dialogue.</x:v>
      </x:c>
      <x:c r="O11" s="9" t="str">
        <x:v>INI-MAP-ILLIUM, INI-MAP-QUIET</x:v>
      </x:c>
      <x:c r="P11" s="9" t="str"/>
      <x:c r="Q11" s="9" t="str"/>
      <x:c r="R11" s="20" t="str"/>
      <x:c r="S11" s="20" t="str">
        <x:v>Boucle de parcours de production ; la dernière liaison sert à la consultation post-module, pas à remonter le temps.</x:v>
      </x:c>
    </x:row>
    <x:row r="12" ht="54" customHeight="1">
      <x:c r="A12" s="19" t="str">
        <x:v>INI-LNK-QUIET</x:v>
      </x:c>
      <x:c r="B12" s="7" t="str">
        <x:v>Approche de Quiet Eddy proposée — transition de module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Liaison de niveau proposée, sans prétendre établir une géographie officielle.</x:v>
      </x:c>
      <x:c r="G12" s="7" t="str">
        <x:v>Associer un point de départ dans Approche de Quiet Eddy proposée au bloc Refuge Gamma proposé; transit masqué lorsque les lieux sont éloignés.</x:v>
      </x:c>
      <x:c r="H12" s="7" t="str">
        <x:v>Sortie inactive pendant une interaction critique ; confirmation uniquement si le retour est temporairement fermé.</x:v>
      </x:c>
      <x:c r="I12" s="7" t="str">
        <x:v>Flèche de sortie et nom du lieu cible ; distinguer voyage spatial et porte adjacente.</x:v>
      </x:c>
      <x:c r="J12" s="7" t="str">
        <x:v>Regroupement des sprites avant fondu ; aucun personnage laissé derrière hors cadre.</x:v>
      </x:c>
      <x:c r="K12" s="7" t="str">
        <x:v>Transition d’ambiance progressive ; sous-titre de lieu affiché après chargement.</x:v>
      </x:c>
      <x:c r="L12" s="7" t="str">
        <x:v>links/ini.json : quiet -&gt; gamma; sauvegarde avant transit, restauration à un ancrage sûr.</x:v>
      </x:c>
      <x:c r="M12" s="7" t="str">
        <x:v>Ne pas transformer la station en plan officiel intégral.</x:v>
      </x:c>
      <x:c r="N12" s="7" t="str">
        <x:v>Le groupe arrive au bon ancrage après chargement ; aller-retour ne duplique ni objet ni dialogue.</x:v>
      </x:c>
      <x:c r="O12" s="7" t="str">
        <x:v>INI-MAP-QUIET, INI-MAP-GAMMA</x:v>
      </x:c>
      <x:c r="P12" s="7" t="str"/>
      <x:c r="Q12" s="7" t="str"/>
      <x:c r="R12" s="21" t="str"/>
      <x:c r="S12" s="21" t="str">
        <x:v>Boucle de parcours de production ; la dernière liaison sert à la consultation post-module, pas à remonter le temps.</x:v>
      </x:c>
    </x:row>
    <x:row r="13" ht="54" customHeight="1">
      <x:c r="A13" s="18" t="str">
        <x:v>INI-LNK-GAMMA</x:v>
      </x:c>
      <x:c r="B13" s="9" t="str">
        <x:v>Refuge Gamma proposé — transition de module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 de niveau proposée, sans prétendre établir une géographie officielle.</x:v>
      </x:c>
      <x:c r="G13" s="9" t="str">
        <x:v>Associer un point de départ dans Refuge Gamma proposé au bloc Accès du nœud SAM proposé; transit masqué lorsque les lieux sont éloignés.</x:v>
      </x:c>
      <x:c r="H13" s="9" t="str">
        <x:v>Sortie inactive pendant une interaction critique ; confirmation uniquement si le retour est temporairement fermé.</x:v>
      </x:c>
      <x:c r="I13" s="9" t="str">
        <x:v>Flèche de sortie et nom du lieu cible ; distinguer voyage spatial et porte adjacente.</x:v>
      </x:c>
      <x:c r="J13" s="9" t="str">
        <x:v>Regroupement des sprites avant fondu ; aucun personnage laissé derrière hors cadre.</x:v>
      </x:c>
      <x:c r="K13" s="9" t="str">
        <x:v>Transition d’ambiance progressive ; sous-titre de lieu affiché après chargement.</x:v>
      </x:c>
      <x:c r="L13" s="9" t="str">
        <x:v>links/ini.json : gamma -&gt; hyperion; sauvegarde avant transit, restauration à un ancrage sûr.</x:v>
      </x:c>
      <x:c r="M13" s="9" t="str">
        <x:v>Les civils ne deviennent pas des unités sacrifiables.</x:v>
      </x:c>
      <x:c r="N13" s="9" t="str">
        <x:v>Le groupe arrive au bon ancrage après chargement ; aller-retour ne duplique ni objet ni dialogue.</x:v>
      </x:c>
      <x:c r="O13" s="9" t="str">
        <x:v>INI-MAP-GAMMA, INI-MAP-HYPERION</x:v>
      </x:c>
      <x:c r="P13" s="9" t="str"/>
      <x:c r="Q13" s="9" t="str"/>
      <x:c r="R13" s="20" t="str"/>
      <x:c r="S13" s="20" t="str">
        <x:v>Boucle de parcours de production ; la dernière liaison sert à la consultation post-module, pas à remonter le temps.</x:v>
      </x:c>
    </x:row>
    <x:row r="14" ht="54" customHeight="1">
      <x:c r="A14" s="19" t="str">
        <x:v>INI-LNK-HYPERION</x:v>
      </x:c>
      <x:c r="B14" s="7" t="str">
        <x:v>Accès du nœud SAM proposé — transition de module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Liaison de niveau proposée, sans prétendre établir une géographie officielle.</x:v>
      </x:c>
      <x:c r="G14" s="7" t="str">
        <x:v>Associer un point de départ dans Accès du nœud SAM proposé au bloc Salle d’affectation de Theia proposée; transit masqué lorsque les lieux sont éloignés.</x:v>
      </x:c>
      <x:c r="H14" s="7" t="str">
        <x:v>Sortie inactive pendant une interaction critique ; confirmation uniquement si le retour est temporairement fermé.</x:v>
      </x:c>
      <x:c r="I14" s="7" t="str">
        <x:v>Flèche de sortie et nom du lieu cible ; distinguer voyage spatial et porte adjacente.</x:v>
      </x:c>
      <x:c r="J14" s="7" t="str">
        <x:v>Regroupement des sprites avant fondu ; aucun personnage laissé derrière hors cadre.</x:v>
      </x:c>
      <x:c r="K14" s="7" t="str">
        <x:v>Transition d’ambiance progressive ; sous-titre de lieu affiché après chargement.</x:v>
      </x:c>
      <x:c r="L14" s="7" t="str">
        <x:v>links/ini.json : hyperion -&gt; theia; sauvegarde avant transit, restauration à un ancrage sûr.</x:v>
      </x:c>
      <x:c r="M14" s="7" t="str">
        <x:v>Ne pas conserver un SAM-E autonome après son terme narratif.</x:v>
      </x:c>
      <x:c r="N14" s="7" t="str">
        <x:v>Le groupe arrive au bon ancrage après chargement ; aller-retour ne duplique ni objet ni dialogue.</x:v>
      </x:c>
      <x:c r="O14" s="7" t="str">
        <x:v>INI-MAP-HYPERION, INI-MAP-THEIA</x:v>
      </x:c>
      <x:c r="P14" s="7" t="str"/>
      <x:c r="Q14" s="7" t="str"/>
      <x:c r="R14" s="21" t="str"/>
      <x:c r="S14" s="21" t="str">
        <x:v>Boucle de parcours de production ; la dernière liaison sert à la consultation post-module, pas à remonter le temps.</x:v>
      </x:c>
    </x:row>
  </x:sheetData>
  <x:conditionalFormatting sqref="D7:D14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4">
    <x:cfRule type="cellIs" dxfId="22" priority="3" operator="equal">
      <x:formula>"Validé"</x:formula>
    </x:cfRule>
  </x:conditionalFormatting>
  <x:conditionalFormatting sqref="E7:E14">
    <x:cfRule type="cellIs" dxfId="2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913ba7896a4d69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INI-SET-THEIA</x:v>
      </x:c>
      <x:c r="B7" s="9" t="str">
        <x:v>Salle d’affectation de Theia proposée — kit de décor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Production originale des éléments fixes de la carte liée.</x:v>
      </x:c>
      <x:c r="G7" s="9" t="str">
        <x:v>Surfaces de station adaptée, matériel en préparation, fenêtre sur Sol abstraite. Construire trois profondeurs de décor avec variantes intacte et perturbée si utiles.</x:v>
      </x:c>
      <x:c r="H7" s="9" t="str">
        <x:v>Le décor signale la règle : Récupérer seulement les autorisations utiles à la mission.</x:v>
      </x:c>
      <x:c r="I7" s="9" t="str">
        <x:v>Volumes sans microdétails illisibles ; surfaces dangereuses reconnues également en niveaux de gris.</x:v>
      </x:c>
      <x:c r="J7" s="9" t="str">
        <x:v>Animer seulement les repères actifs ; ne pas déplacer un obstacle statique après le calcul du chemin.</x:v>
      </x:c>
      <x:c r="K7" s="9" t="str">
        <x:v>Boucles très courtes évitées ; matériaux sonores propres aux interactions de cette zone.</x:v>
      </x:c>
      <x:c r="L7" s="9" t="str">
        <x:v>assets/ini/sets/theia/ ; collider séparé du mesh et des ornements.</x:v>
      </x:c>
      <x:c r="M7" s="9" t="str">
        <x:v>Le module ne se situe pas sur le Nexus arrivé à Héléus.</x:v>
      </x:c>
      <x:c r="N7" s="9" t="str">
        <x:v>Aucun détail décoratif ne ressemble à tort à une porte ; vue complète vérifiée en petite résolution.</x:v>
      </x:c>
      <x:c r="O7" s="9" t="str">
        <x:v>INI-MAP-THEIA</x:v>
      </x:c>
      <x:c r="P7" s="9" t="str"/>
      <x:c r="Q7" s="9" t="str"/>
      <x:c r="R7" s="20" t="str"/>
      <x:c r="S7" s="20" t="str"/>
    </x:row>
    <x:row r="8" ht="54" customHeight="1">
      <x:c r="A8" s="19" t="str">
        <x:v>INI-SET-HOMEAWAY</x:v>
      </x:c>
      <x:c r="B8" s="7" t="str">
        <x:v>Annexe serveur de Home Away proposée — kit de décor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Production originale des éléments fixes de la carte liée.</x:v>
      </x:c>
      <x:c r="G8" s="7" t="str">
        <x:v>Décor commercial froid, câbles dissimulés et baies compactes. Construire trois profondeurs de décor avec variantes intacte et perturbée si utiles.</x:v>
      </x:c>
      <x:c r="H8" s="7" t="str">
        <x:v>Le décor signale la règle : Les privilèges d’accès doivent être acquis séparément.</x:v>
      </x:c>
      <x:c r="I8" s="7" t="str">
        <x:v>Volumes sans microdétails illisibles ; surfaces dangereuses reconnues également en niveaux de gris.</x:v>
      </x:c>
      <x:c r="J8" s="7" t="str">
        <x:v>Animer seulement les repères actifs ; ne pas déplacer un obstacle statique après le calcul du chemin.</x:v>
      </x:c>
      <x:c r="K8" s="7" t="str">
        <x:v>Boucles très courtes évitées ; matériaux sonores propres aux interactions de cette zone.</x:v>
      </x:c>
      <x:c r="L8" s="7" t="str">
        <x:v>assets/ini/sets/homeaway/ ; collider séparé du mesh et des ornements.</x:v>
      </x:c>
      <x:c r="M8" s="7" t="str">
        <x:v>SAM-E n’est pas une clé omnipotente.</x:v>
      </x:c>
      <x:c r="N8" s="7" t="str">
        <x:v>Aucun détail décoratif ne ressemble à tort à une porte ; vue complète vérifiée en petite résolution.</x:v>
      </x:c>
      <x:c r="O8" s="7" t="str">
        <x:v>INI-MAP-HOMEAWAY</x:v>
      </x:c>
      <x:c r="P8" s="7" t="str"/>
      <x:c r="Q8" s="7" t="str"/>
      <x:c r="R8" s="21" t="str"/>
      <x:c r="S8" s="21" t="str"/>
    </x:row>
    <x:row r="9" ht="54" customHeight="1">
      <x:c r="A9" s="18" t="str">
        <x:v>INI-SET-AUDACITY</x:v>
      </x:c>
      <x:c r="B9" s="9" t="str">
        <x:v>Soute de l’Audacity proposée — kit de décor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Production originale des éléments fixes de la carte liée.</x:v>
      </x:c>
      <x:c r="G9" s="9" t="str">
        <x:v>Métal sombre, équipements amarrés, espace de couverture limité. Construire trois profondeurs de décor avec variantes intacte et perturbée si utiles.</x:v>
      </x:c>
      <x:c r="H9" s="9" t="str">
        <x:v>Le décor signale la règle : La sortie requiert vérification du matériel de survie.</x:v>
      </x:c>
      <x:c r="I9" s="9" t="str">
        <x:v>Volumes sans microdétails illisibles ; surfaces dangereuses reconnues également en niveaux de gris.</x:v>
      </x:c>
      <x:c r="J9" s="9" t="str">
        <x:v>Animer seulement les repères actifs ; ne pas déplacer un obstacle statique après le calcul du chemin.</x:v>
      </x:c>
      <x:c r="K9" s="9" t="str">
        <x:v>Boucles très courtes évitées ; matériaux sonores propres aux interactions de cette zone.</x:v>
      </x:c>
      <x:c r="L9" s="9" t="str">
        <x:v>assets/ini/sets/audacity/ ; collider séparé du mesh et des ornements.</x:v>
      </x:c>
      <x:c r="M9" s="9" t="str">
        <x:v>L’issue n’invente pas un triomphe durable sur Ygara.</x:v>
      </x:c>
      <x:c r="N9" s="9" t="str">
        <x:v>Aucun détail décoratif ne ressemble à tort à une porte ; vue complète vérifiée en petite résolution.</x:v>
      </x:c>
      <x:c r="O9" s="9" t="str">
        <x:v>INI-MAP-AUDACITY</x:v>
      </x:c>
      <x:c r="P9" s="9" t="str"/>
      <x:c r="Q9" s="9" t="str"/>
      <x:c r="R9" s="20" t="str"/>
      <x:c r="S9" s="20" t="str"/>
    </x:row>
    <x:row r="10" ht="54" customHeight="1">
      <x:c r="A10" s="19" t="str">
        <x:v>INI-SET-TRANSIT</x:v>
      </x:c>
      <x:c r="B10" s="7" t="str">
        <x:v>Espace de secours abstrait — kit de décor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Production originale des éléments fixes de la carte liée.</x:v>
      </x:c>
      <x:c r="G10" s="7" t="str">
        <x:v>Fond étoilé sobre, faible mouvement, informations de réserve claires. Construire trois profondeurs de décor avec variantes intacte et perturbée si utiles.</x:v>
      </x:c>
      <x:c r="H10" s="7" t="str">
        <x:v>Le décor signale la règle : Le temps diégétique avance par objectifs, pas pendant la lecture.</x:v>
      </x:c>
      <x:c r="I10" s="7" t="str">
        <x:v>Volumes sans microdétails illisibles ; surfaces dangereuses reconnues également en niveaux de gris.</x:v>
      </x:c>
      <x:c r="J10" s="7" t="str">
        <x:v>Animer seulement les repères actifs ; ne pas déplacer un obstacle statique après le calcul du chemin.</x:v>
      </x:c>
      <x:c r="K10" s="7" t="str">
        <x:v>Boucles très courtes évitées ; matériaux sonores propres aux interactions de cette zone.</x:v>
      </x:c>
      <x:c r="L10" s="7" t="str">
        <x:v>assets/ini/sets/transit/ ; collider séparé du mesh et des ornements.</x:v>
      </x:c>
      <x:c r="M10" s="7" t="str">
        <x:v>Aucune mécanique réaliste d’exposition au vide prétendue.</x:v>
      </x:c>
      <x:c r="N10" s="7" t="str">
        <x:v>Aucun détail décoratif ne ressemble à tort à une porte ; vue complète vérifiée en petite résolution.</x:v>
      </x:c>
      <x:c r="O10" s="7" t="str">
        <x:v>INI-MAP-TRANSIT</x:v>
      </x:c>
      <x:c r="P10" s="7" t="str"/>
      <x:c r="Q10" s="7" t="str"/>
      <x:c r="R10" s="21" t="str"/>
      <x:c r="S10" s="21" t="str"/>
    </x:row>
    <x:row r="11" ht="54" customHeight="1">
      <x:c r="A11" s="18" t="str">
        <x:v>INI-SET-ILLIUM</x:v>
      </x:c>
      <x:c r="B11" s="9" t="str">
        <x:v>Relais d’enquête sur Illium proposé — kit de décor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Production originale des éléments fixes de la carte liée.</x:v>
      </x:c>
      <x:c r="G11" s="9" t="str">
        <x:v>Architecture verticale en fond, interfaces de commerce originales. Construire trois profondeurs de décor avec variantes intacte et perturbée si utiles.</x:v>
      </x:c>
      <x:c r="H11" s="9" t="str">
        <x:v>Le décor signale la règle : Recouper un identifiant avant de suivre un contact.</x:v>
      </x:c>
      <x:c r="I11" s="9" t="str">
        <x:v>Volumes sans microdétails illisibles ; surfaces dangereuses reconnues également en niveaux de gris.</x:v>
      </x:c>
      <x:c r="J11" s="9" t="str">
        <x:v>Animer seulement les repères actifs ; ne pas déplacer un obstacle statique après le calcul du chemin.</x:v>
      </x:c>
      <x:c r="K11" s="9" t="str">
        <x:v>Boucles très courtes évitées ; matériaux sonores propres aux interactions de cette zone.</x:v>
      </x:c>
      <x:c r="L11" s="9" t="str">
        <x:v>assets/ini/sets/illium/ ; collider séparé du mesh et des ornements.</x:v>
      </x:c>
      <x:c r="M11" s="9" t="str">
        <x:v>Ne pas attribuer une entreprise inventée à la source.</x:v>
      </x:c>
      <x:c r="N11" s="9" t="str">
        <x:v>Aucun détail décoratif ne ressemble à tort à une porte ; vue complète vérifiée en petite résolution.</x:v>
      </x:c>
      <x:c r="O11" s="9" t="str">
        <x:v>INI-MAP-ILLIUM</x:v>
      </x:c>
      <x:c r="P11" s="9" t="str"/>
      <x:c r="Q11" s="9" t="str"/>
      <x:c r="R11" s="20" t="str"/>
      <x:c r="S11" s="20" t="str"/>
    </x:row>
    <x:row r="12" ht="54" customHeight="1">
      <x:c r="A12" s="19" t="str">
        <x:v>INI-SET-QUIET</x:v>
      </x:c>
      <x:c r="B12" s="7" t="str">
        <x:v>Approche de Quiet Eddy proposée — kit de décor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Production originale des éléments fixes de la carte liée.</x:v>
      </x:c>
      <x:c r="G12" s="7" t="str">
        <x:v>Lumières d’urgence, machines interrompues, silhouettes masquées. Construire trois profondeurs de décor avec variantes intacte et perturbée si utiles.</x:v>
      </x:c>
      <x:c r="H12" s="7" t="str">
        <x:v>Le décor signale la règle : Les signaux du réseau peuvent être mensongers.</x:v>
      </x:c>
      <x:c r="I12" s="7" t="str">
        <x:v>Volumes sans microdétails illisibles ; surfaces dangereuses reconnues également en niveaux de gris.</x:v>
      </x:c>
      <x:c r="J12" s="7" t="str">
        <x:v>Animer seulement les repères actifs ; ne pas déplacer un obstacle statique après le calcul du chemin.</x:v>
      </x:c>
      <x:c r="K12" s="7" t="str">
        <x:v>Boucles très courtes évitées ; matériaux sonores propres aux interactions de cette zone.</x:v>
      </x:c>
      <x:c r="L12" s="7" t="str">
        <x:v>assets/ini/sets/quiet/ ; collider séparé du mesh et des ornements.</x:v>
      </x:c>
      <x:c r="M12" s="7" t="str">
        <x:v>Ne pas transformer la station en plan officiel intégral.</x:v>
      </x:c>
      <x:c r="N12" s="7" t="str">
        <x:v>Aucun détail décoratif ne ressemble à tort à une porte ; vue complète vérifiée en petite résolution.</x:v>
      </x:c>
      <x:c r="O12" s="7" t="str">
        <x:v>INI-MAP-QUIET</x:v>
      </x:c>
      <x:c r="P12" s="7" t="str"/>
      <x:c r="Q12" s="7" t="str"/>
      <x:c r="R12" s="21" t="str"/>
      <x:c r="S12" s="21" t="str"/>
    </x:row>
    <x:row r="13" ht="54" customHeight="1">
      <x:c r="A13" s="18" t="str">
        <x:v>INI-SET-GAMMA</x:v>
      </x:c>
      <x:c r="B13" s="9" t="str">
        <x:v>Refuge Gamma proposé — kit de décor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Production originale des éléments fixes de la carte liée.</x:v>
      </x:c>
      <x:c r="G13" s="9" t="str">
        <x:v>Matériel improvisé, groupes de civils, portes renforcées. Construire trois profondeurs de décor avec variantes intacte et perturbée si utiles.</x:v>
      </x:c>
      <x:c r="H13" s="9" t="str">
        <x:v>Le décor signale la règle : Préparer le trajet et répartir la protection avant de sortir.</x:v>
      </x:c>
      <x:c r="I13" s="9" t="str">
        <x:v>Volumes sans microdétails illisibles ; surfaces dangereuses reconnues également en niveaux de gris.</x:v>
      </x:c>
      <x:c r="J13" s="9" t="str">
        <x:v>Animer seulement les repères actifs ; ne pas déplacer un obstacle statique après le calcul du chemin.</x:v>
      </x:c>
      <x:c r="K13" s="9" t="str">
        <x:v>Boucles très courtes évitées ; matériaux sonores propres aux interactions de cette zone.</x:v>
      </x:c>
      <x:c r="L13" s="9" t="str">
        <x:v>assets/ini/sets/gamma/ ; collider séparé du mesh et des ornements.</x:v>
      </x:c>
      <x:c r="M13" s="9" t="str">
        <x:v>Les civils ne deviennent pas des unités sacrifiables.</x:v>
      </x:c>
      <x:c r="N13" s="9" t="str">
        <x:v>Aucun détail décoratif ne ressemble à tort à une porte ; vue complète vérifiée en petite résolution.</x:v>
      </x:c>
      <x:c r="O13" s="9" t="str">
        <x:v>INI-MAP-GAMMA</x:v>
      </x:c>
      <x:c r="P13" s="9" t="str"/>
      <x:c r="Q13" s="9" t="str"/>
      <x:c r="R13" s="20" t="str"/>
      <x:c r="S13" s="20" t="str"/>
    </x:row>
    <x:row r="14" ht="54" customHeight="1">
      <x:c r="A14" s="19" t="str">
        <x:v>INI-SET-HYPERION</x:v>
      </x:c>
      <x:c r="B14" s="7" t="str">
        <x:v>Accès du nœud SAM proposé — kit de décor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Production originale des éléments fixes de la carte liée.</x:v>
      </x:c>
      <x:c r="G14" s="7" t="str">
        <x:v>Bleu profond, volumes protégés, réseau lumineux abstrait. Construire trois profondeurs de décor avec variantes intacte et perturbée si utiles.</x:v>
      </x:c>
      <x:c r="H14" s="7" t="str">
        <x:v>Le décor signale la règle : Un état de panne force une conclusion narrative contrôlée.</x:v>
      </x:c>
      <x:c r="I14" s="7" t="str">
        <x:v>Volumes sans microdétails illisibles ; surfaces dangereuses reconnues également en niveaux de gris.</x:v>
      </x:c>
      <x:c r="J14" s="7" t="str">
        <x:v>Animer seulement les repères actifs ; ne pas déplacer un obstacle statique après le calcul du chemin.</x:v>
      </x:c>
      <x:c r="K14" s="7" t="str">
        <x:v>Boucles très courtes évitées ; matériaux sonores propres aux interactions de cette zone.</x:v>
      </x:c>
      <x:c r="L14" s="7" t="str">
        <x:v>assets/ini/sets/hyperion/ ; collider séparé du mesh et des ornements.</x:v>
      </x:c>
      <x:c r="M14" s="7" t="str">
        <x:v>Ne pas conserver un SAM-E autonome après son terme narratif.</x:v>
      </x:c>
      <x:c r="N14" s="7" t="str">
        <x:v>Aucun détail décoratif ne ressemble à tort à une porte ; vue complète vérifiée en petite résolution.</x:v>
      </x:c>
      <x:c r="O14" s="7" t="str">
        <x:v>INI-MAP-HYPERION</x:v>
      </x:c>
      <x:c r="P14" s="7" t="str"/>
      <x:c r="Q14" s="7" t="str"/>
      <x:c r="R14" s="21" t="str"/>
      <x:c r="S14" s="21" t="str"/>
    </x:row>
  </x:sheetData>
  <x:conditionalFormatting sqref="D7:D14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4">
    <x:cfRule type="cellIs" dxfId="26" priority="3" operator="equal">
      <x:formula>"Validé"</x:formula>
    </x:cfRule>
  </x:conditionalFormatting>
  <x:conditionalFormatting sqref="E7:E14">
    <x:cfRule type="cellIs" dxfId="2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36ba5dd75b4377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INI-REF-SAMKERNEL</x:v>
      </x:c>
      <x:c r="B7" s="9" t="str">
        <x:v>Noyau SAM volé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L’objet de la récupération est lié au code de SAM.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ref.ini.samkernel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INI-SRC-SAME</x:v>
      </x:c>
      <x:c r="R7" s="20" t="str">
        <x:v>https://masseffect.fandom.com/wiki/SAM-E</x:v>
      </x:c>
      <x:c r="S7" s="20" t="str">
        <x:v>Ce relevé n’est ni un inventaire exhaustif ni un résumé scène par scène.</x:v>
      </x:c>
    </x:row>
    <x:row r="8" ht="68" customHeight="1">
      <x:c r="A8" s="19" t="str">
        <x:v>INI-REF-GAMMA</x:v>
      </x:c>
      <x:c r="B8" s="7" t="str">
        <x:v>Plans du laboratoire Gamma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refuge des survivants est masqué dans certains plans de l’installation.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ref.ini.gamma ; affichage bref avec source.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INI-SRC-QUIET</x:v>
      </x:c>
      <x:c r="R8" s="21" t="str">
        <x:v>https://masseffect.fandom.com/wiki/Quiet_Eddy</x:v>
      </x:c>
      <x:c r="S8" s="21" t="str">
        <x:v>Ce relevé n’est ni un inventaire exhaustif ni un résumé scène par scène.</x:v>
      </x:c>
    </x:row>
  </x:sheetData>
  <x:conditionalFormatting sqref="D7:D8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8">
    <x:cfRule type="cellIs" dxfId="30" priority="3" operator="equal">
      <x:formula>"Validé"</x:formula>
    </x:cfRule>
  </x:conditionalFormatting>
  <x:conditionalFormatting sqref="E7:E8">
    <x:cfRule type="cellIs" dxfId="3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ef1d1dd0004638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INI-ENC-MERC</x:v>
      </x:c>
      <x:c r="B7" s="9" t="str">
        <x:v>Équipe mercenaire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Rencontre originale proposée : Opposition locale ajoutée à l’infiltration.</x:v>
      </x:c>
      <x:c r="G7" s="9" t="str">
        <x:v>Opposition ou crise scénarisée pour le groupe ; ne pas attribuer au roman une barre de vie ou un rang de boss.</x:v>
      </x:c>
      <x:c r="H7" s="9" t="str">
        <x:v>Surveille un nœud en alternant mouvement et verrouillage. Réponse du joueur : Passer pendant la rotation ou détourner l’attention.</x:v>
      </x:c>
      <x:c r="I7" s="9" t="str">
        <x:v>Cône de surveillance et témoin de serrure.</x:v>
      </x:c>
      <x:c r="J7" s="9" t="str">
        <x:v>Anticipation identifiable, action, récupération exploitable ; variante de sortie non létale lorsque pertinente.</x:v>
      </x:c>
      <x:c r="K7" s="9" t="str">
        <x:v>Motif de danger spécifique, sous-titre bref et avertissement visuel.</x:v>
      </x:c>
      <x:c r="L7" s="9" t="str">
        <x:v>encounters/ini/merc.json ; activer seulement dans les zones prévues.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Un joueur découvre la contre-mesure par le télégraphe ; la résolution ne modifie aucun destin établi.</x:v>
      </x:c>
      <x:c r="O7" s="9" t="str"/>
      <x:c r="P7" s="9" t="str"/>
      <x:c r="Q7" s="9" t="str"/>
      <x:c r="R7" s="20" t="str"/>
      <x:c r="S7" s="20" t="str">
        <x:v>Tous comportements et réglages de combat sont du design original.</x:v>
      </x:c>
    </x:row>
    <x:row r="8" ht="68" customHeight="1">
      <x:c r="A8" s="19" t="str">
        <x:v>INI-ENC-AUGMENT</x:v>
      </x:c>
      <x:c r="B8" s="7" t="str">
        <x:v>Augment de couloir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Rencontre originale proposée : Rencontre inspirée des augmentés de Quiet Eddy.</x:v>
      </x:c>
      <x:c r="G8" s="7" t="str">
        <x:v>Opposition ou crise scénarisée pour le groupe ; ne pas attribuer au roman une barre de vie ou un rang de boss.</x:v>
      </x:c>
      <x:c r="H8" s="7" t="str">
        <x:v>Charge un axe étroit puis expose son flanc à l’arrêt. Réponse du joueur : Quitter l’axe et fermer la porte après le passage.</x:v>
      </x:c>
      <x:c r="I8" s="7" t="str">
        <x:v>Posture tassée et ligne au sol avant départ.</x:v>
      </x:c>
      <x:c r="J8" s="7" t="str">
        <x:v>Anticipation identifiable, action, récupération exploitable ; variante de sortie non létale lorsque pertinente.</x:v>
      </x:c>
      <x:c r="K8" s="7" t="str">
        <x:v>Motif de danger spécifique, sous-titre bref et avertissement visuel.</x:v>
      </x:c>
      <x:c r="L8" s="7" t="str">
        <x:v>encounters/ini/augment.json ; activer seulement dans les zones prévues.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Un joueur découvre la contre-mesure par le télégraphe ; la résolution ne modifie aucun destin établi.</x:v>
      </x:c>
      <x:c r="O8" s="7" t="str"/>
      <x:c r="P8" s="7" t="str"/>
      <x:c r="Q8" s="7" t="str"/>
      <x:c r="R8" s="21" t="str"/>
      <x:c r="S8" s="21" t="str">
        <x:v>Tous comportements et réglages de combat sont du design original.</x:v>
      </x:c>
    </x:row>
    <x:row r="9" ht="68" customHeight="1">
      <x:c r="A9" s="18" t="str">
        <x:v>INI-ENC-MEDEA</x:v>
      </x:c>
      <x:c r="B9" s="9" t="str">
        <x:v>Medea — crise d’accès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Rencontre originale proposée : Boss de réseau scénarisé, sans piratage universel.</x:v>
      </x:c>
      <x:c r="G9" s="9" t="str">
        <x:v>Opposition ou crise scénarisée pour le groupe ; ne pas attribuer au roman une barre de vie ou un rang de boss.</x:v>
      </x:c>
      <x:c r="H9" s="9" t="str">
        <x:v>Falsifie un indicateur pendant qu’un accès réel se referme. Réponse du joueur : Faire vérifier la porte par l’équipe et isoler le secteur.</x:v>
      </x:c>
      <x:c r="I9" s="9" t="str">
        <x:v>Incohérence entre état de porte et panneau.</x:v>
      </x:c>
      <x:c r="J9" s="9" t="str">
        <x:v>Anticipation identifiable, action, récupération exploitable ; variante de sortie non létale lorsque pertinente.</x:v>
      </x:c>
      <x:c r="K9" s="9" t="str">
        <x:v>Motif de danger spécifique, sous-titre bref et avertissement visuel.</x:v>
      </x:c>
      <x:c r="L9" s="9" t="str">
        <x:v>encounters/ini/medea.json ; activer seulement dans les zones prévues.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Un joueur découvre la contre-mesure par le télégraphe ; la résolution ne modifie aucun destin établi.</x:v>
      </x:c>
      <x:c r="O9" s="9" t="str"/>
      <x:c r="P9" s="9" t="str"/>
      <x:c r="Q9" s="9" t="str"/>
      <x:c r="R9" s="20" t="str"/>
      <x:c r="S9" s="20" t="str">
        <x:v>Tous comportements et réglages de combat sont du design original.</x:v>
      </x:c>
    </x:row>
    <x:row r="10" ht="68" customHeight="1">
      <x:c r="A10" s="19" t="str">
        <x:v>INI-ENC-OVERLOAD</x:v>
      </x:c>
      <x:c r="B10" s="7" t="str">
        <x:v>Seuil de fatigue proposé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Rencontre originale proposée : Crise de ressources représentant le coût d’une assistance extrême.</x:v>
      </x:c>
      <x:c r="G10" s="7" t="str">
        <x:v>Opposition ou crise scénarisée pour le groupe ; ne pas attribuer au roman une barre de vie ou un rang de boss.</x:v>
      </x:c>
      <x:c r="H10" s="7" t="str">
        <x:v>Réduit les options disponibles si la surcharge est prolongée. Réponse du joueur : Arrêter l’effet et atteindre un point de repos autorisé.</x:v>
      </x:c>
      <x:c r="I10" s="7" t="str">
        <x:v>Avertissement textuel, baisse de saturation désactivable.</x:v>
      </x:c>
      <x:c r="J10" s="7" t="str">
        <x:v>Anticipation identifiable, action, récupération exploitable ; variante de sortie non létale lorsque pertinente.</x:v>
      </x:c>
      <x:c r="K10" s="7" t="str">
        <x:v>Motif de danger spécifique, sous-titre bref et avertissement visuel.</x:v>
      </x:c>
      <x:c r="L10" s="7" t="str">
        <x:v>encounters/ini/overload.json ; activer seulement dans les zones prévues.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Un joueur découvre la contre-mesure par le télégraphe ; la résolution ne modifie aucun destin établi.</x:v>
      </x:c>
      <x:c r="O10" s="7" t="str"/>
      <x:c r="P10" s="7" t="str"/>
      <x:c r="Q10" s="7" t="str"/>
      <x:c r="R10" s="21" t="str"/>
      <x:c r="S10" s="21" t="str">
        <x:v>Tous comportements et réglages de combat sont du design original.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40521e49d34091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INI-MIS-MANDATE</x:v>
      </x:c>
      <x:c r="B7" s="9" t="str">
        <x:v>Définir les limites de l’assistance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Mission originale d’adaptation, inspirée d’un enjeu général de l’œuvre.</x:v>
      </x:c>
      <x:c r="G7" s="9" t="str">
        <x:v>Préparer Cora et SAM-E à une opération d’infiltration originale.</x:v>
      </x:c>
      <x:c r="H7" s="9" t="str">
        <x:v>Identifier objectif, secret à protéger et tâches que l’assistant ne sait pas faire.</x:v>
      </x:c>
      <x:c r="I7" s="9" t="str">
        <x:v>Objectif spatial associé à Salle d’affectation de Theia proposée ; états non commencé/en cours/résolu distingués.</x:v>
      </x:c>
      <x:c r="J7" s="9" t="str">
        <x:v>Entrée contrôlée, actions de groupe et fin interruptible avant sauvegarde ; aucune animation ne décide seule du résultat.</x:v>
      </x:c>
      <x:c r="K7" s="9" t="str">
        <x:v>Briefing original concis ; changement de musique à la résolution d’objectif, pas après un délai arbitraire.</x:v>
      </x:c>
      <x:c r="L7" s="9" t="str">
        <x:v>quests/ini/mandate.json ; états offered/active/resolved ; clés de progression propres au module.</x:v>
      </x:c>
      <x:c r="M7" s="9" t="str">
        <x:v>Ne pas qualifier SAM-E de simple VI après la révélation de sa nature.</x:v>
      </x:c>
      <x:c r="N7" s="9" t="str">
        <x:v>Le joueur peut accomplir « Préparer Cora et SAM-E à une opération d’infiltration originale. » et la sortie confirme le résultat ; Ne pas qualifier SAM-E de simple VI après la révélation de sa nature.</x:v>
      </x:c>
      <x:c r="O7" s="9" t="str">
        <x:v>INI-MAP-THEIA</x:v>
      </x:c>
      <x:c r="P7" s="9" t="str"/>
      <x:c r="Q7" s="9" t="str"/>
      <x:c r="R7" s="20" t="str"/>
      <x:c r="S7" s="20" t="str"/>
    </x:row>
    <x:row r="8" ht="68" customHeight="1">
      <x:c r="A8" s="19" t="str">
        <x:v>INI-MIS-KERNEL</x:v>
      </x:c>
      <x:c r="B8" s="7" t="str">
        <x:v>Extraire un paquet de données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Mission originale d’adaptation, inspirée d’un enjeu général de l’œuvre.</x:v>
      </x:c>
      <x:c r="G8" s="7" t="str">
        <x:v>Récupérer un objet numérique fictif dans une annexe de serveur.</x:v>
      </x:c>
      <x:c r="H8" s="7" t="str">
        <x:v>Distinguer copie leurre, autorisation d’accès et paquet cible ; validation croisée avant transfert.</x:v>
      </x:c>
      <x:c r="I8" s="7" t="str">
        <x:v>Objectif spatial associé à Annexe serveur de Home Away proposée ; états non commencé/en cours/résolu distingués.</x:v>
      </x:c>
      <x:c r="J8" s="7" t="str">
        <x:v>Entrée contrôlée, actions de groupe et fin interruptible avant sauvegarde ; aucune animation ne décide seule du résultat.</x:v>
      </x:c>
      <x:c r="K8" s="7" t="str">
        <x:v>Briefing original concis ; changement de musique à la résolution d’objectif, pas après un délai arbitraire.</x:v>
      </x:c>
      <x:c r="L8" s="7" t="str">
        <x:v>quests/ini/kernel.json ; états offered/active/resolved ; clés de progression propres au module.</x:v>
      </x:c>
      <x:c r="M8" s="7" t="str">
        <x:v>Aucune procédure réelle de piratage ni code officiel copié.</x:v>
      </x:c>
      <x:c r="N8" s="7" t="str">
        <x:v>Le joueur peut accomplir « Récupérer un objet numérique fictif dans une annexe de serveur. » et la sortie confirme le résultat ; Aucune procédure réelle de piratage ni code officiel copié.</x:v>
      </x:c>
      <x:c r="O8" s="7" t="str">
        <x:v>INI-MAP-HOMEAWAY</x:v>
      </x:c>
      <x:c r="P8" s="7" t="str"/>
      <x:c r="Q8" s="7" t="str"/>
      <x:c r="R8" s="21" t="str"/>
      <x:c r="S8" s="21" t="str"/>
    </x:row>
    <x:row r="9" ht="68" customHeight="1">
      <x:c r="A9" s="18" t="str">
        <x:v>INI-MIS-BETRAYAL</x:v>
      </x:c>
      <x:c r="B9" s="9" t="str">
        <x:v>Trouver une sortie sûre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Mission originale d’adaptation, inspirée d’un enjeu général de l’œuvre.</x:v>
      </x:c>
      <x:c r="G9" s="9" t="str">
        <x:v>Faire lire au joueur une rupture de coopération dans une soute originale.</x:v>
      </x:c>
      <x:c r="H9" s="9" t="str">
        <x:v>Rester mobile entre couverts, vérifier le sas et protéger la liaison d’assistance.</x:v>
      </x:c>
      <x:c r="I9" s="9" t="str">
        <x:v>Objectif spatial associé à Soute de l’Audacity proposée ; états non commencé/en cours/résolu distingués.</x:v>
      </x:c>
      <x:c r="J9" s="9" t="str">
        <x:v>Entrée contrôlée, actions de groupe et fin interruptible avant sauvegarde ; aucune animation ne décide seule du résultat.</x:v>
      </x:c>
      <x:c r="K9" s="9" t="str">
        <x:v>Briefing original concis ; changement de musique à la résolution d’objectif, pas après un délai arbitraire.</x:v>
      </x:c>
      <x:c r="L9" s="9" t="str">
        <x:v>quests/ini/betrayal.json ; états offered/active/resolved ; clés de progression propres au module.</x:v>
      </x:c>
      <x:c r="M9" s="9" t="str">
        <x:v>Le choix n’efface pas la trahison de Ygara.</x:v>
      </x:c>
      <x:c r="N9" s="9" t="str">
        <x:v>Le joueur peut accomplir « Faire lire au joueur une rupture de coopération dans une soute originale. » et la sortie confirme le résultat ; Le choix n’efface pas la trahison de Ygara.</x:v>
      </x:c>
      <x:c r="O9" s="9" t="str">
        <x:v>INI-MAP-AUDACITY</x:v>
      </x:c>
      <x:c r="P9" s="9" t="str"/>
      <x:c r="Q9" s="9" t="str"/>
      <x:c r="R9" s="20" t="str"/>
      <x:c r="S9" s="20" t="str"/>
    </x:row>
    <x:row r="10" ht="68" customHeight="1">
      <x:c r="A10" s="19" t="str">
        <x:v>INI-MIS-BEACON</x:v>
      </x:c>
      <x:c r="B10" s="7" t="str">
        <x:v>Faire confirmer une position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Mission originale d’adaptation, inspirée d’un enjeu général de l’œuvre.</x:v>
      </x:c>
      <x:c r="G10" s="7" t="str">
        <x:v>Coordonner une procédure abstraite de recherche et secours.</x:v>
      </x:c>
      <x:c r="H10" s="7" t="str">
        <x:v>Comparer dernier signal, réserve et réponse ; garder la lecture hors compte à rebours.</x:v>
      </x:c>
      <x:c r="I10" s="7" t="str">
        <x:v>Objectif spatial associé à Espace de secours abstrait ; états non commencé/en cours/résolu distingués.</x:v>
      </x:c>
      <x:c r="J10" s="7" t="str">
        <x:v>Entrée contrôlée, actions de groupe et fin interruptible avant sauvegarde ; aucune animation ne décide seule du résultat.</x:v>
      </x:c>
      <x:c r="K10" s="7" t="str">
        <x:v>Briefing original concis ; changement de musique à la résolution d’objectif, pas après un délai arbitraire.</x:v>
      </x:c>
      <x:c r="L10" s="7" t="str">
        <x:v>quests/ini/beacon.json ; états offered/active/resolved ; clés de progression propres au module.</x:v>
      </x:c>
      <x:c r="M10" s="7" t="str">
        <x:v>Pas de mort aléatoire pendant lecture ou réglage d’accessibilité.</x:v>
      </x:c>
      <x:c r="N10" s="7" t="str">
        <x:v>Le joueur peut accomplir « Coordonner une procédure abstraite de recherche et secours. » et la sortie confirme le résultat ; Pas de mort aléatoire pendant lecture ou réglage d’accessibilité.</x:v>
      </x:c>
      <x:c r="O10" s="7" t="str">
        <x:v>INI-MAP-TRANSIT</x:v>
      </x:c>
      <x:c r="P10" s="7" t="str"/>
      <x:c r="Q10" s="7" t="str"/>
      <x:c r="R10" s="21" t="str"/>
      <x:c r="S10" s="21" t="str"/>
    </x:row>
    <x:row r="11" ht="68" customHeight="1">
      <x:c r="A11" s="18" t="str">
        <x:v>INI-MIS-FOLLOW</x:v>
      </x:c>
      <x:c r="B11" s="9" t="str">
        <x:v>Suivre la copie manquante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Mission originale d’adaptation, inspirée d’un enjeu général de l’œuvre.</x:v>
      </x:c>
      <x:c r="G11" s="9" t="str">
        <x:v>Relier une transaction locale à un prochain lieu de recherche.</x:v>
      </x:c>
      <x:c r="H11" s="9" t="str">
        <x:v>Vérifier un contrat, son bénéficiaire et la destination indiquée.</x:v>
      </x:c>
      <x:c r="I11" s="9" t="str">
        <x:v>Objectif spatial associé à Relais d’enquête sur Illium proposé ; états non commencé/en cours/résolu distingués.</x:v>
      </x:c>
      <x:c r="J11" s="9" t="str">
        <x:v>Entrée contrôlée, actions de groupe et fin interruptible avant sauvegarde ; aucune animation ne décide seule du résultat.</x:v>
      </x:c>
      <x:c r="K11" s="9" t="str">
        <x:v>Briefing original concis ; changement de musique à la résolution d’objectif, pas après un délai arbitraire.</x:v>
      </x:c>
      <x:c r="L11" s="9" t="str">
        <x:v>quests/ini/follow.json ; états offered/active/resolved ; clés de progression propres au module.</x:v>
      </x:c>
      <x:c r="M11" s="9" t="str">
        <x:v>Les informations restent limitées à ce que Cora découvre.</x:v>
      </x:c>
      <x:c r="N11" s="9" t="str">
        <x:v>Le joueur peut accomplir « Relier une transaction locale à un prochain lieu de recherche. » et la sortie confirme le résultat ; Les informations restent limitées à ce que Cora découvre.</x:v>
      </x:c>
      <x:c r="O11" s="9" t="str">
        <x:v>INI-MAP-ILLIUM</x:v>
      </x:c>
      <x:c r="P11" s="9" t="str"/>
      <x:c r="Q11" s="9" t="str"/>
      <x:c r="R11" s="20" t="str"/>
      <x:c r="S11" s="20" t="str"/>
    </x:row>
    <x:row r="12" ht="68" customHeight="1">
      <x:c r="A12" s="19" t="str">
        <x:v>INI-MIS-OVERRIDE</x:v>
      </x:c>
      <x:c r="B12" s="7" t="str">
        <x:v>Tenir un accès face à Medea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Mission originale d’adaptation, inspirée d’un enjeu général de l’œuvre.</x:v>
      </x:c>
      <x:c r="G12" s="7" t="str">
        <x:v>Empêcher un réseau hostile de prendre une issue locale.</x:v>
      </x:c>
      <x:c r="H12" s="7" t="str">
        <x:v>Une commande doit être confirmée au poste physique ; l’assistant ne peut protéger tous les nœuds.</x:v>
      </x:c>
      <x:c r="I12" s="7" t="str">
        <x:v>Objectif spatial associé à Approche de Quiet Eddy proposée ; états non commencé/en cours/résolu distingués.</x:v>
      </x:c>
      <x:c r="J12" s="7" t="str">
        <x:v>Entrée contrôlée, actions de groupe et fin interruptible avant sauvegarde ; aucune animation ne décide seule du résultat.</x:v>
      </x:c>
      <x:c r="K12" s="7" t="str">
        <x:v>Briefing original concis ; changement de musique à la résolution d’objectif, pas après un délai arbitraire.</x:v>
      </x:c>
      <x:c r="L12" s="7" t="str">
        <x:v>quests/ini/override.json ; états offered/active/resolved ; clés de progression propres au module.</x:v>
      </x:c>
      <x:c r="M12" s="7" t="str">
        <x:v>Medea n’est pas vaincue par un simple mini-jeu universel.</x:v>
      </x:c>
      <x:c r="N12" s="7" t="str">
        <x:v>Le joueur peut accomplir « Empêcher un réseau hostile de prendre une issue locale. » et la sortie confirme le résultat ; Medea n’est pas vaincue par un simple mini-jeu universel.</x:v>
      </x:c>
      <x:c r="O12" s="7" t="str">
        <x:v>INI-MAP-QUIET</x:v>
      </x:c>
      <x:c r="P12" s="7" t="str"/>
      <x:c r="Q12" s="7" t="str"/>
      <x:c r="R12" s="21" t="str"/>
      <x:c r="S12" s="21" t="str"/>
    </x:row>
    <x:row r="13" ht="68" customHeight="1">
      <x:c r="A13" s="18" t="str">
        <x:v>INI-MIS-ESCORT</x:v>
      </x:c>
      <x:c r="B13" s="9" t="str">
        <x:v>Accompagner les survivants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Mission originale d’adaptation, inspirée d’un enjeu général de l’œuvre.</x:v>
      </x:c>
      <x:c r="G13" s="9" t="str">
        <x:v>Préparer et exécuter une évacuation d’annexe originale.</x:v>
      </x:c>
      <x:c r="H13" s="9" t="str">
        <x:v>Trois groupes civils traversent des points sûrs pendant que Cora et une escorte protègent les accès.</x:v>
      </x:c>
      <x:c r="I13" s="9" t="str">
        <x:v>Objectif spatial associé à Refuge Gamma proposé ; états non commencé/en cours/résolu distingués.</x:v>
      </x:c>
      <x:c r="J13" s="9" t="str">
        <x:v>Entrée contrôlée, actions de groupe et fin interruptible avant sauvegarde ; aucune animation ne décide seule du résultat.</x:v>
      </x:c>
      <x:c r="K13" s="9" t="str">
        <x:v>Briefing original concis ; changement de musique à la résolution d’objectif, pas après un délai arbitraire.</x:v>
      </x:c>
      <x:c r="L13" s="9" t="str">
        <x:v>quests/ini/escort.json ; états offered/active/resolved ; clés de progression propres au module.</x:v>
      </x:c>
      <x:c r="M13" s="9" t="str">
        <x:v>Le coût de la surcharge de Cora ne disparaît pas grâce à un consommable.</x:v>
      </x:c>
      <x:c r="N13" s="9" t="str">
        <x:v>Le joueur peut accomplir « Préparer et exécuter une évacuation d’annexe originale. » et la sortie confirme le résultat ; Le coût de la surcharge de Cora ne disparaît pas grâce à un consommable.</x:v>
      </x:c>
      <x:c r="O13" s="9" t="str">
        <x:v>INI-MAP-GAMMA</x:v>
      </x:c>
      <x:c r="P13" s="9" t="str"/>
      <x:c r="Q13" s="9" t="str"/>
      <x:c r="R13" s="20" t="str"/>
      <x:c r="S13" s="20" t="str"/>
    </x:row>
    <x:row r="14" ht="68" customHeight="1">
      <x:c r="A14" s="19" t="str">
        <x:v>INI-MIS-LEGACY</x:v>
      </x:c>
      <x:c r="B14" s="7" t="str">
        <x:v>Respecter la fin d’une voix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Mission originale d’adaptation, inspirée d’un enjeu général de l’œuvre.</x:v>
      </x:c>
      <x:c r="G14" s="7" t="str">
        <x:v>Clore le lien expérimental dans une scène originale sobre.</x:v>
      </x:c>
      <x:c r="H14" s="7" t="str">
        <x:v>Valider mémoire, présence et limitations du système ; aucune option de duplication magique.</x:v>
      </x:c>
      <x:c r="I14" s="7" t="str">
        <x:v>Objectif spatial associé à Accès du nœud SAM proposé ; états non commencé/en cours/résolu distingués.</x:v>
      </x:c>
      <x:c r="J14" s="7" t="str">
        <x:v>Entrée contrôlée, actions de groupe et fin interruptible avant sauvegarde ; aucune animation ne décide seule du résultat.</x:v>
      </x:c>
      <x:c r="K14" s="7" t="str">
        <x:v>Briefing original concis ; changement de musique à la résolution d’objectif, pas après un délai arbitraire.</x:v>
      </x:c>
      <x:c r="L14" s="7" t="str">
        <x:v>quests/ini/legacy.json ; états offered/active/resolved ; clés de progression propres au module.</x:v>
      </x:c>
      <x:c r="M14" s="7" t="str">
        <x:v>SAM-E n’est pas rendu permanent et autonome dans MEA.</x:v>
      </x:c>
      <x:c r="N14" s="7" t="str">
        <x:v>Le joueur peut accomplir « Clore le lien expérimental dans une scène originale sobre. » et la sortie confirme le résultat ; SAM-E n’est pas rendu permanent et autonome dans MEA.</x:v>
      </x:c>
      <x:c r="O14" s="7" t="str">
        <x:v>INI-MAP-HYPERION</x:v>
      </x:c>
      <x:c r="P14" s="7" t="str"/>
      <x:c r="Q14" s="7" t="str"/>
      <x:c r="R14" s="21" t="str"/>
      <x:c r="S14" s="21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a29e5b226a4eb7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INI-OPT-MANDATE</x:v>
      </x:c>
      <x:c r="B7" s="9" t="str">
        <x:v>Définir les limites de l’assistance — tâche annexe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annexe créé pour l’adaptation.</x:v>
      </x:c>
      <x:c r="G7" s="9" t="str">
        <x:v>Vérifier l’adaptation d’un casque de réserve sans statistiques officielles.</x:v>
      </x:c>
      <x:c r="H7" s="9" t="str">
        <x:v>Récompense proposée : renseignement de terrain, raccourci ou consommable local. Ne débloque aucun savoir anticipé sur la saga.</x:v>
      </x:c>
      <x:c r="I7" s="9" t="str">
        <x:v>Marqueur secondaire distinct du chemin critique et objet d’intérêt cadré lisiblement.</x:v>
      </x:c>
      <x:c r="J7" s="9" t="str">
        <x:v>Interaction brève réutilisant les poses du métier concerné, avec interruption possible.</x:v>
      </x:c>
      <x:c r="K7" s="9" t="str">
        <x:v>Petit signal de découverte ; résultat textuel consultable sans audio.</x:v>
      </x:c>
      <x:c r="L7" s="9" t="str">
        <x:v>optional.ini.mandate ; persister done/skipped, récompenser une seule fois.</x:v>
      </x:c>
      <x:c r="M7" s="9" t="str">
        <x:v>Facultatif ; peut être ignoré sans bloquer la mission. Ne pas qualifier SAM-E de simple VI après la révélation de sa nature.</x:v>
      </x:c>
      <x:c r="N7" s="9" t="str">
        <x:v>Ignorer puis terminer la mission fonctionne ; compléter ne verse la récompense qu’une fois.</x:v>
      </x:c>
      <x:c r="O7" s="9" t="str">
        <x:v>INI-MIS-MANDATE</x:v>
      </x:c>
      <x:c r="P7" s="9" t="str"/>
      <x:c r="Q7" s="9" t="str"/>
      <x:c r="R7" s="20" t="str"/>
      <x:c r="S7" s="20" t="str"/>
    </x:row>
    <x:row r="8" ht="54" customHeight="1">
      <x:c r="A8" s="19" t="str">
        <x:v>INI-OPT-KERNEL</x:v>
      </x:c>
      <x:c r="B8" s="7" t="str">
        <x:v>Extraire un paquet de données — tâche annexe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Objectif annexe créé pour l’adaptation.</x:v>
      </x:c>
      <x:c r="G8" s="7" t="str">
        <x:v>Récupérer un journal d’accès sans télécharger tout le réseau.</x:v>
      </x:c>
      <x:c r="H8" s="7" t="str">
        <x:v>Récompense proposée : renseignement de terrain, raccourci ou consommable local. Ne débloque aucun savoir anticipé sur la saga.</x:v>
      </x:c>
      <x:c r="I8" s="7" t="str">
        <x:v>Marqueur secondaire distinct du chemin critique et objet d’intérêt cadré lisiblement.</x:v>
      </x:c>
      <x:c r="J8" s="7" t="str">
        <x:v>Interaction brève réutilisant les poses du métier concerné, avec interruption possible.</x:v>
      </x:c>
      <x:c r="K8" s="7" t="str">
        <x:v>Petit signal de découverte ; résultat textuel consultable sans audio.</x:v>
      </x:c>
      <x:c r="L8" s="7" t="str">
        <x:v>optional.ini.kernel ; persister done/skipped, récompenser une seule fois.</x:v>
      </x:c>
      <x:c r="M8" s="7" t="str">
        <x:v>Facultatif ; peut être ignoré sans bloquer la mission. Aucune procédure réelle de piratage ni code officiel copié.</x:v>
      </x:c>
      <x:c r="N8" s="7" t="str">
        <x:v>Ignorer puis terminer la mission fonctionne ; compléter ne verse la récompense qu’une fois.</x:v>
      </x:c>
      <x:c r="O8" s="7" t="str">
        <x:v>INI-MIS-KERNEL</x:v>
      </x:c>
      <x:c r="P8" s="7" t="str"/>
      <x:c r="Q8" s="7" t="str"/>
      <x:c r="R8" s="21" t="str"/>
      <x:c r="S8" s="21" t="str"/>
    </x:row>
    <x:row r="9" ht="54" customHeight="1">
      <x:c r="A9" s="18" t="str">
        <x:v>INI-OPT-BETRAYAL</x:v>
      </x:c>
      <x:c r="B9" s="9" t="str">
        <x:v>Trouver une sortie sûre — tâche annexe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Objectif annexe créé pour l’adaptation.</x:v>
      </x:c>
      <x:c r="G9" s="9" t="str">
        <x:v>Récupérer une réserve compatible avant de quitter la soute.</x:v>
      </x:c>
      <x:c r="H9" s="9" t="str">
        <x:v>Récompense proposée : renseignement de terrain, raccourci ou consommable local. Ne débloque aucun savoir anticipé sur la saga.</x:v>
      </x:c>
      <x:c r="I9" s="9" t="str">
        <x:v>Marqueur secondaire distinct du chemin critique et objet d’intérêt cadré lisiblement.</x:v>
      </x:c>
      <x:c r="J9" s="9" t="str">
        <x:v>Interaction brève réutilisant les poses du métier concerné, avec interruption possible.</x:v>
      </x:c>
      <x:c r="K9" s="9" t="str">
        <x:v>Petit signal de découverte ; résultat textuel consultable sans audio.</x:v>
      </x:c>
      <x:c r="L9" s="9" t="str">
        <x:v>optional.ini.betrayal ; persister done/skipped, récompenser une seule fois.</x:v>
      </x:c>
      <x:c r="M9" s="9" t="str">
        <x:v>Facultatif ; peut être ignoré sans bloquer la mission. Le choix n’efface pas la trahison de Ygara.</x:v>
      </x:c>
      <x:c r="N9" s="9" t="str">
        <x:v>Ignorer puis terminer la mission fonctionne ; compléter ne verse la récompense qu’une fois.</x:v>
      </x:c>
      <x:c r="O9" s="9" t="str">
        <x:v>INI-MIS-BETRAYAL</x:v>
      </x:c>
      <x:c r="P9" s="9" t="str"/>
      <x:c r="Q9" s="9" t="str"/>
      <x:c r="R9" s="20" t="str"/>
      <x:c r="S9" s="20" t="str"/>
    </x:row>
    <x:row r="10" ht="54" customHeight="1">
      <x:c r="A10" s="19" t="str">
        <x:v>INI-OPT-BEACON</x:v>
      </x:c>
      <x:c r="B10" s="7" t="str">
        <x:v>Faire confirmer une position — tâche annexe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Objectif annexe créé pour l’adaptation.</x:v>
      </x:c>
      <x:c r="G10" s="7" t="str">
        <x:v>Classer un souvenir de dialogue original dans le journal privé.</x:v>
      </x:c>
      <x:c r="H10" s="7" t="str">
        <x:v>Récompense proposée : renseignement de terrain, raccourci ou consommable local. Ne débloque aucun savoir anticipé sur la saga.</x:v>
      </x:c>
      <x:c r="I10" s="7" t="str">
        <x:v>Marqueur secondaire distinct du chemin critique et objet d’intérêt cadré lisiblement.</x:v>
      </x:c>
      <x:c r="J10" s="7" t="str">
        <x:v>Interaction brève réutilisant les poses du métier concerné, avec interruption possible.</x:v>
      </x:c>
      <x:c r="K10" s="7" t="str">
        <x:v>Petit signal de découverte ; résultat textuel consultable sans audio.</x:v>
      </x:c>
      <x:c r="L10" s="7" t="str">
        <x:v>optional.ini.beacon ; persister done/skipped, récompenser une seule fois.</x:v>
      </x:c>
      <x:c r="M10" s="7" t="str">
        <x:v>Facultatif ; peut être ignoré sans bloquer la mission. Pas de mort aléatoire pendant lecture ou réglage d’accessibilité.</x:v>
      </x:c>
      <x:c r="N10" s="7" t="str">
        <x:v>Ignorer puis terminer la mission fonctionne ; compléter ne verse la récompense qu’une fois.</x:v>
      </x:c>
      <x:c r="O10" s="7" t="str">
        <x:v>INI-MIS-BEACON</x:v>
      </x:c>
      <x:c r="P10" s="7" t="str"/>
      <x:c r="Q10" s="7" t="str"/>
      <x:c r="R10" s="21" t="str"/>
      <x:c r="S10" s="21" t="str"/>
    </x:row>
    <x:row r="11" ht="54" customHeight="1">
      <x:c r="A11" s="18" t="str">
        <x:v>INI-OPT-FOLLOW</x:v>
      </x:c>
      <x:c r="B11" s="9" t="str">
        <x:v>Suivre la copie manquante — tâche annexe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Objectif annexe créé pour l’adaptation.</x:v>
      </x:c>
      <x:c r="G11" s="9" t="str">
        <x:v>Rendre un objet déposé par erreur dans un casier voisin.</x:v>
      </x:c>
      <x:c r="H11" s="9" t="str">
        <x:v>Récompense proposée : renseignement de terrain, raccourci ou consommable local. Ne débloque aucun savoir anticipé sur la saga.</x:v>
      </x:c>
      <x:c r="I11" s="9" t="str">
        <x:v>Marqueur secondaire distinct du chemin critique et objet d’intérêt cadré lisiblement.</x:v>
      </x:c>
      <x:c r="J11" s="9" t="str">
        <x:v>Interaction brève réutilisant les poses du métier concerné, avec interruption possible.</x:v>
      </x:c>
      <x:c r="K11" s="9" t="str">
        <x:v>Petit signal de découverte ; résultat textuel consultable sans audio.</x:v>
      </x:c>
      <x:c r="L11" s="9" t="str">
        <x:v>optional.ini.follow ; persister done/skipped, récompenser une seule fois.</x:v>
      </x:c>
      <x:c r="M11" s="9" t="str">
        <x:v>Facultatif ; peut être ignoré sans bloquer la mission. Les informations restent limitées à ce que Cora découvre.</x:v>
      </x:c>
      <x:c r="N11" s="9" t="str">
        <x:v>Ignorer puis terminer la mission fonctionne ; compléter ne verse la récompense qu’une fois.</x:v>
      </x:c>
      <x:c r="O11" s="9" t="str">
        <x:v>INI-MIS-FOLLOW</x:v>
      </x:c>
      <x:c r="P11" s="9" t="str"/>
      <x:c r="Q11" s="9" t="str"/>
      <x:c r="R11" s="20" t="str"/>
      <x:c r="S11" s="20" t="str"/>
    </x:row>
    <x:row r="12" ht="54" customHeight="1">
      <x:c r="A12" s="19" t="str">
        <x:v>INI-OPT-OVERRIDE</x:v>
      </x:c>
      <x:c r="B12" s="7" t="str">
        <x:v>Tenir un accès face à Medea — tâche annexe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Objectif annexe créé pour l’adaptation.</x:v>
      </x:c>
      <x:c r="G12" s="7" t="str">
        <x:v>Retrouver une ancienne version de plan limitée au secteur.</x:v>
      </x:c>
      <x:c r="H12" s="7" t="str">
        <x:v>Récompense proposée : renseignement de terrain, raccourci ou consommable local. Ne débloque aucun savoir anticipé sur la saga.</x:v>
      </x:c>
      <x:c r="I12" s="7" t="str">
        <x:v>Marqueur secondaire distinct du chemin critique et objet d’intérêt cadré lisiblement.</x:v>
      </x:c>
      <x:c r="J12" s="7" t="str">
        <x:v>Interaction brève réutilisant les poses du métier concerné, avec interruption possible.</x:v>
      </x:c>
      <x:c r="K12" s="7" t="str">
        <x:v>Petit signal de découverte ; résultat textuel consultable sans audio.</x:v>
      </x:c>
      <x:c r="L12" s="7" t="str">
        <x:v>optional.ini.override ; persister done/skipped, récompenser une seule fois.</x:v>
      </x:c>
      <x:c r="M12" s="7" t="str">
        <x:v>Facultatif ; peut être ignoré sans bloquer la mission. Medea n’est pas vaincue par un simple mini-jeu universel.</x:v>
      </x:c>
      <x:c r="N12" s="7" t="str">
        <x:v>Ignorer puis terminer la mission fonctionne ; compléter ne verse la récompense qu’une fois.</x:v>
      </x:c>
      <x:c r="O12" s="7" t="str">
        <x:v>INI-MIS-OVERRIDE</x:v>
      </x:c>
      <x:c r="P12" s="7" t="str"/>
      <x:c r="Q12" s="7" t="str"/>
      <x:c r="R12" s="21" t="str"/>
      <x:c r="S12" s="21" t="str"/>
    </x:row>
    <x:row r="13" ht="54" customHeight="1">
      <x:c r="A13" s="18" t="str">
        <x:v>INI-OPT-ESCORT</x:v>
      </x:c>
      <x:c r="B13" s="9" t="str">
        <x:v>Accompagner les survivants — tâche annexe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Objectif annexe créé pour l’adaptation.</x:v>
      </x:c>
      <x:c r="G13" s="9" t="str">
        <x:v>Retrouver un objet de réassurance pour un enfant sans l’armer comme mécanique de récompense.</x:v>
      </x:c>
      <x:c r="H13" s="9" t="str">
        <x:v>Récompense proposée : renseignement de terrain, raccourci ou consommable local. Ne débloque aucun savoir anticipé sur la saga.</x:v>
      </x:c>
      <x:c r="I13" s="9" t="str">
        <x:v>Marqueur secondaire distinct du chemin critique et objet d’intérêt cadré lisiblement.</x:v>
      </x:c>
      <x:c r="J13" s="9" t="str">
        <x:v>Interaction brève réutilisant les poses du métier concerné, avec interruption possible.</x:v>
      </x:c>
      <x:c r="K13" s="9" t="str">
        <x:v>Petit signal de découverte ; résultat textuel consultable sans audio.</x:v>
      </x:c>
      <x:c r="L13" s="9" t="str">
        <x:v>optional.ini.escort ; persister done/skipped, récompenser une seule fois.</x:v>
      </x:c>
      <x:c r="M13" s="9" t="str">
        <x:v>Facultatif ; peut être ignoré sans bloquer la mission. Le coût de la surcharge de Cora ne disparaît pas grâce à un consommable.</x:v>
      </x:c>
      <x:c r="N13" s="9" t="str">
        <x:v>Ignorer puis terminer la mission fonctionne ; compléter ne verse la récompense qu’une fois.</x:v>
      </x:c>
      <x:c r="O13" s="9" t="str">
        <x:v>INI-MIS-ESCORT</x:v>
      </x:c>
      <x:c r="P13" s="9" t="str"/>
      <x:c r="Q13" s="9" t="str"/>
      <x:c r="R13" s="20" t="str"/>
      <x:c r="S13" s="20" t="str"/>
    </x:row>
    <x:row r="14" ht="54" customHeight="1">
      <x:c r="A14" s="19" t="str">
        <x:v>INI-OPT-LEGACY</x:v>
      </x:c>
      <x:c r="B14" s="7" t="str">
        <x:v>Respecter la fin d’une voix — tâche annexe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Objectif annexe créé pour l’adaptation.</x:v>
      </x:c>
      <x:c r="G14" s="7" t="str">
        <x:v>Archiver les préférences d’interface créées avec SAM-E.</x:v>
      </x:c>
      <x:c r="H14" s="7" t="str">
        <x:v>Récompense proposée : renseignement de terrain, raccourci ou consommable local. Ne débloque aucun savoir anticipé sur la saga.</x:v>
      </x:c>
      <x:c r="I14" s="7" t="str">
        <x:v>Marqueur secondaire distinct du chemin critique et objet d’intérêt cadré lisiblement.</x:v>
      </x:c>
      <x:c r="J14" s="7" t="str">
        <x:v>Interaction brève réutilisant les poses du métier concerné, avec interruption possible.</x:v>
      </x:c>
      <x:c r="K14" s="7" t="str">
        <x:v>Petit signal de découverte ; résultat textuel consultable sans audio.</x:v>
      </x:c>
      <x:c r="L14" s="7" t="str">
        <x:v>optional.ini.legacy ; persister done/skipped, récompenser une seule fois.</x:v>
      </x:c>
      <x:c r="M14" s="7" t="str">
        <x:v>Facultatif ; peut être ignoré sans bloquer la mission. SAM-E n’est pas rendu permanent et autonome dans MEA.</x:v>
      </x:c>
      <x:c r="N14" s="7" t="str">
        <x:v>Ignorer puis terminer la mission fonctionne ; compléter ne verse la récompense qu’une fois.</x:v>
      </x:c>
      <x:c r="O14" s="7" t="str">
        <x:v>INI-MIS-LEGACY</x:v>
      </x:c>
      <x:c r="P14" s="7" t="str"/>
      <x:c r="Q14" s="7" t="str"/>
      <x:c r="R14" s="21" t="str"/>
      <x:c r="S14" s="21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9213a0ae764775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INI-CHO-MANDATE</x:v>
      </x:c>
      <x:c r="B7" s="9" t="str">
        <x:v>Définir les limites de l’assistance — méthode optionnelle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Bifurcation locale originale ; elle ne crée pas une autre fin officielle.</x:v>
      </x:c>
      <x:c r="G7" s="9" t="str">
        <x:v>Briefing technique détaillé ou répétition pratique abstraite.</x:v>
      </x:c>
      <x:c r="H7" s="9" t="str">
        <x:v>Afficher coût, bénéfice local et condition de retour avant validation ; deux méthodes rejoignent le même verrou de continuité.</x:v>
      </x:c>
      <x:c r="I7" s="9" t="str">
        <x:v>Libellés d’action concrets ; symbole d’effet local ; aucune option désactivée sans motif.</x:v>
      </x:c>
      <x:c r="J7" s="9" t="str">
        <x:v>Réaction courte du groupe ; reprise immédiate des contrôles après résultat.</x:v>
      </x:c>
      <x:c r="K7" s="9" t="str">
        <x:v>Confirmation discrète ; lecture du résultat disponible dans le journal.</x:v>
      </x:c>
      <x:c r="L7" s="9" t="str">
        <x:v>choice.ini.mandate ; stocker la méthode et le coût, jamais une réécriture d’événement source.</x:v>
      </x:c>
      <x:c r="M7" s="9" t="str">
        <x:v>Ne pas qualifier SAM-E de simple VI après la révélation de sa nature.</x:v>
      </x:c>
      <x:c r="N7" s="9" t="str">
        <x:v>Les deux branches sont atteignables ; l’état canonique final du module est identique.</x:v>
      </x:c>
      <x:c r="O7" s="9" t="str">
        <x:v>INI-MIS-MANDATE</x:v>
      </x:c>
      <x:c r="P7" s="9" t="str"/>
      <x:c r="Q7" s="9" t="str"/>
      <x:c r="R7" s="20" t="str"/>
      <x:c r="S7" s="20" t="str"/>
    </x:row>
    <x:row r="8" ht="54" customHeight="1">
      <x:c r="A8" s="19" t="str">
        <x:v>INI-CHO-KERNEL</x:v>
      </x:c>
      <x:c r="B8" s="7" t="str">
        <x:v>Extraire un paquet de données — méthode optionnelle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Bifurcation locale originale ; elle ne crée pas une autre fin officielle.</x:v>
      </x:c>
      <x:c r="G8" s="7" t="str">
        <x:v>Passage par maintenance ou badge local ; deux parcours testables.</x:v>
      </x:c>
      <x:c r="H8" s="7" t="str">
        <x:v>Afficher coût, bénéfice local et condition de retour avant validation ; deux méthodes rejoignent le même verrou de continuité.</x:v>
      </x:c>
      <x:c r="I8" s="7" t="str">
        <x:v>Libellés d’action concrets ; symbole d’effet local ; aucune option désactivée sans motif.</x:v>
      </x:c>
      <x:c r="J8" s="7" t="str">
        <x:v>Réaction courte du groupe ; reprise immédiate des contrôles après résultat.</x:v>
      </x:c>
      <x:c r="K8" s="7" t="str">
        <x:v>Confirmation discrète ; lecture du résultat disponible dans le journal.</x:v>
      </x:c>
      <x:c r="L8" s="7" t="str">
        <x:v>choice.ini.kernel ; stocker la méthode et le coût, jamais une réécriture d’événement source.</x:v>
      </x:c>
      <x:c r="M8" s="7" t="str">
        <x:v>Aucune procédure réelle de piratage ni code officiel copié.</x:v>
      </x:c>
      <x:c r="N8" s="7" t="str">
        <x:v>Les deux branches sont atteignables ; l’état canonique final du module est identique.</x:v>
      </x:c>
      <x:c r="O8" s="7" t="str">
        <x:v>INI-MIS-KERNEL</x:v>
      </x:c>
      <x:c r="P8" s="7" t="str"/>
      <x:c r="Q8" s="7" t="str"/>
      <x:c r="R8" s="21" t="str"/>
      <x:c r="S8" s="21" t="str"/>
    </x:row>
    <x:row r="9" ht="54" customHeight="1">
      <x:c r="A9" s="18" t="str">
        <x:v>INI-CHO-BETRAYAL</x:v>
      </x:c>
      <x:c r="B9" s="9" t="str">
        <x:v>Trouver une sortie sûre — méthode optionnelle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Bifurcation locale originale ; elle ne crée pas une autre fin officielle.</x:v>
      </x:c>
      <x:c r="G9" s="9" t="str">
        <x:v>Diversion visuelle ou coupure d’un panneau ; même état de sortie.</x:v>
      </x:c>
      <x:c r="H9" s="9" t="str">
        <x:v>Afficher coût, bénéfice local et condition de retour avant validation ; deux méthodes rejoignent le même verrou de continuité.</x:v>
      </x:c>
      <x:c r="I9" s="9" t="str">
        <x:v>Libellés d’action concrets ; symbole d’effet local ; aucune option désactivée sans motif.</x:v>
      </x:c>
      <x:c r="J9" s="9" t="str">
        <x:v>Réaction courte du groupe ; reprise immédiate des contrôles après résultat.</x:v>
      </x:c>
      <x:c r="K9" s="9" t="str">
        <x:v>Confirmation discrète ; lecture du résultat disponible dans le journal.</x:v>
      </x:c>
      <x:c r="L9" s="9" t="str">
        <x:v>choice.ini.betrayal ; stocker la méthode et le coût, jamais une réécriture d’événement source.</x:v>
      </x:c>
      <x:c r="M9" s="9" t="str">
        <x:v>Le choix n’efface pas la trahison de Ygara.</x:v>
      </x:c>
      <x:c r="N9" s="9" t="str">
        <x:v>Les deux branches sont atteignables ; l’état canonique final du module est identique.</x:v>
      </x:c>
      <x:c r="O9" s="9" t="str">
        <x:v>INI-MIS-BETRAYAL</x:v>
      </x:c>
      <x:c r="P9" s="9" t="str"/>
      <x:c r="Q9" s="9" t="str"/>
      <x:c r="R9" s="20" t="str"/>
      <x:c r="S9" s="20" t="str"/>
    </x:row>
    <x:row r="10" ht="54" customHeight="1">
      <x:c r="A10" s="19" t="str">
        <x:v>INI-CHO-BEACON</x:v>
      </x:c>
      <x:c r="B10" s="7" t="str">
        <x:v>Faire confirmer une position — méthode optionnelle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Bifurcation locale originale ; elle ne crée pas une autre fin officielle.</x:v>
      </x:c>
      <x:c r="G10" s="7" t="str">
        <x:v>Répéter une balise ou attendre une fenêtre de communication.</x:v>
      </x:c>
      <x:c r="H10" s="7" t="str">
        <x:v>Afficher coût, bénéfice local et condition de retour avant validation ; deux méthodes rejoignent le même verrou de continuité.</x:v>
      </x:c>
      <x:c r="I10" s="7" t="str">
        <x:v>Libellés d’action concrets ; symbole d’effet local ; aucune option désactivée sans motif.</x:v>
      </x:c>
      <x:c r="J10" s="7" t="str">
        <x:v>Réaction courte du groupe ; reprise immédiate des contrôles après résultat.</x:v>
      </x:c>
      <x:c r="K10" s="7" t="str">
        <x:v>Confirmation discrète ; lecture du résultat disponible dans le journal.</x:v>
      </x:c>
      <x:c r="L10" s="7" t="str">
        <x:v>choice.ini.beacon ; stocker la méthode et le coût, jamais une réécriture d’événement source.</x:v>
      </x:c>
      <x:c r="M10" s="7" t="str">
        <x:v>Pas de mort aléatoire pendant lecture ou réglage d’accessibilité.</x:v>
      </x:c>
      <x:c r="N10" s="7" t="str">
        <x:v>Les deux branches sont atteignables ; l’état canonique final du module est identique.</x:v>
      </x:c>
      <x:c r="O10" s="7" t="str">
        <x:v>INI-MIS-BEACON</x:v>
      </x:c>
      <x:c r="P10" s="7" t="str"/>
      <x:c r="Q10" s="7" t="str"/>
      <x:c r="R10" s="21" t="str"/>
      <x:c r="S10" s="21" t="str"/>
    </x:row>
    <x:row r="11" ht="54" customHeight="1">
      <x:c r="A11" s="18" t="str">
        <x:v>INI-CHO-FOLLOW</x:v>
      </x:c>
      <x:c r="B11" s="9" t="str">
        <x:v>Suivre la copie manquante — méthode optionnelle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Bifurcation locale originale ; elle ne crée pas une autre fin officielle.</x:v>
      </x:c>
      <x:c r="G11" s="9" t="str">
        <x:v>Entretien avec un contact original ou inspection d’un registre fictif.</x:v>
      </x:c>
      <x:c r="H11" s="9" t="str">
        <x:v>Afficher coût, bénéfice local et condition de retour avant validation ; deux méthodes rejoignent le même verrou de continuité.</x:v>
      </x:c>
      <x:c r="I11" s="9" t="str">
        <x:v>Libellés d’action concrets ; symbole d’effet local ; aucune option désactivée sans motif.</x:v>
      </x:c>
      <x:c r="J11" s="9" t="str">
        <x:v>Réaction courte du groupe ; reprise immédiate des contrôles après résultat.</x:v>
      </x:c>
      <x:c r="K11" s="9" t="str">
        <x:v>Confirmation discrète ; lecture du résultat disponible dans le journal.</x:v>
      </x:c>
      <x:c r="L11" s="9" t="str">
        <x:v>choice.ini.follow ; stocker la méthode et le coût, jamais une réécriture d’événement source.</x:v>
      </x:c>
      <x:c r="M11" s="9" t="str">
        <x:v>Les informations restent limitées à ce que Cora découvre.</x:v>
      </x:c>
      <x:c r="N11" s="9" t="str">
        <x:v>Les deux branches sont atteignables ; l’état canonique final du module est identique.</x:v>
      </x:c>
      <x:c r="O11" s="9" t="str">
        <x:v>INI-MIS-FOLLOW</x:v>
      </x:c>
      <x:c r="P11" s="9" t="str"/>
      <x:c r="Q11" s="9" t="str"/>
      <x:c r="R11" s="20" t="str"/>
      <x:c r="S11" s="20" t="str"/>
    </x:row>
    <x:row r="12" ht="54" customHeight="1">
      <x:c r="A12" s="19" t="str">
        <x:v>INI-CHO-OVERRIDE</x:v>
      </x:c>
      <x:c r="B12" s="7" t="str">
        <x:v>Tenir un accès face à Medea — méthode optionnelle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Bifurcation locale originale ; elle ne crée pas une autre fin officielle.</x:v>
      </x:c>
      <x:c r="G12" s="7" t="str">
        <x:v>Maintenir la protection du sas ou ouvrir un détour manuel.</x:v>
      </x:c>
      <x:c r="H12" s="7" t="str">
        <x:v>Afficher coût, bénéfice local et condition de retour avant validation ; deux méthodes rejoignent le même verrou de continuité.</x:v>
      </x:c>
      <x:c r="I12" s="7" t="str">
        <x:v>Libellés d’action concrets ; symbole d’effet local ; aucune option désactivée sans motif.</x:v>
      </x:c>
      <x:c r="J12" s="7" t="str">
        <x:v>Réaction courte du groupe ; reprise immédiate des contrôles après résultat.</x:v>
      </x:c>
      <x:c r="K12" s="7" t="str">
        <x:v>Confirmation discrète ; lecture du résultat disponible dans le journal.</x:v>
      </x:c>
      <x:c r="L12" s="7" t="str">
        <x:v>choice.ini.override ; stocker la méthode et le coût, jamais une réécriture d’événement source.</x:v>
      </x:c>
      <x:c r="M12" s="7" t="str">
        <x:v>Medea n’est pas vaincue par un simple mini-jeu universel.</x:v>
      </x:c>
      <x:c r="N12" s="7" t="str">
        <x:v>Les deux branches sont atteignables ; l’état canonique final du module est identique.</x:v>
      </x:c>
      <x:c r="O12" s="7" t="str">
        <x:v>INI-MIS-OVERRIDE</x:v>
      </x:c>
      <x:c r="P12" s="7" t="str"/>
      <x:c r="Q12" s="7" t="str"/>
      <x:c r="R12" s="21" t="str"/>
      <x:c r="S12" s="21" t="str"/>
    </x:row>
    <x:row r="13" ht="54" customHeight="1">
      <x:c r="A13" s="18" t="str">
        <x:v>INI-CHO-ESCORT</x:v>
      </x:c>
      <x:c r="B13" s="9" t="str">
        <x:v>Accompagner les survivants — méthode optionnelle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Bifurcation locale originale ; elle ne crée pas une autre fin officielle.</x:v>
      </x:c>
      <x:c r="G13" s="9" t="str">
        <x:v>Parcours court sous couverture ou long avec poste de repos.</x:v>
      </x:c>
      <x:c r="H13" s="9" t="str">
        <x:v>Afficher coût, bénéfice local et condition de retour avant validation ; deux méthodes rejoignent le même verrou de continuité.</x:v>
      </x:c>
      <x:c r="I13" s="9" t="str">
        <x:v>Libellés d’action concrets ; symbole d’effet local ; aucune option désactivée sans motif.</x:v>
      </x:c>
      <x:c r="J13" s="9" t="str">
        <x:v>Réaction courte du groupe ; reprise immédiate des contrôles après résultat.</x:v>
      </x:c>
      <x:c r="K13" s="9" t="str">
        <x:v>Confirmation discrète ; lecture du résultat disponible dans le journal.</x:v>
      </x:c>
      <x:c r="L13" s="9" t="str">
        <x:v>choice.ini.escort ; stocker la méthode et le coût, jamais une réécriture d’événement source.</x:v>
      </x:c>
      <x:c r="M13" s="9" t="str">
        <x:v>Le coût de la surcharge de Cora ne disparaît pas grâce à un consommable.</x:v>
      </x:c>
      <x:c r="N13" s="9" t="str">
        <x:v>Les deux branches sont atteignables ; l’état canonique final du module est identique.</x:v>
      </x:c>
      <x:c r="O13" s="9" t="str">
        <x:v>INI-MIS-ESCORT</x:v>
      </x:c>
      <x:c r="P13" s="9" t="str"/>
      <x:c r="Q13" s="9" t="str"/>
      <x:c r="R13" s="20" t="str"/>
      <x:c r="S13" s="20" t="str"/>
    </x:row>
    <x:row r="14" ht="54" customHeight="1">
      <x:c r="A14" s="19" t="str">
        <x:v>INI-CHO-LEGACY</x:v>
      </x:c>
      <x:c r="B14" s="7" t="str">
        <x:v>Respecter la fin d’une voix — méthode optionnelle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Bifurcation locale originale ; elle ne crée pas une autre fin officielle.</x:v>
      </x:c>
      <x:c r="G14" s="7" t="str">
        <x:v>Relire un échange du module ou rester silencieux.</x:v>
      </x:c>
      <x:c r="H14" s="7" t="str">
        <x:v>Afficher coût, bénéfice local et condition de retour avant validation ; deux méthodes rejoignent le même verrou de continuité.</x:v>
      </x:c>
      <x:c r="I14" s="7" t="str">
        <x:v>Libellés d’action concrets ; symbole d’effet local ; aucune option désactivée sans motif.</x:v>
      </x:c>
      <x:c r="J14" s="7" t="str">
        <x:v>Réaction courte du groupe ; reprise immédiate des contrôles après résultat.</x:v>
      </x:c>
      <x:c r="K14" s="7" t="str">
        <x:v>Confirmation discrète ; lecture du résultat disponible dans le journal.</x:v>
      </x:c>
      <x:c r="L14" s="7" t="str">
        <x:v>choice.ini.legacy ; stocker la méthode et le coût, jamais une réécriture d’événement source.</x:v>
      </x:c>
      <x:c r="M14" s="7" t="str">
        <x:v>SAM-E n’est pas rendu permanent et autonome dans MEA.</x:v>
      </x:c>
      <x:c r="N14" s="7" t="str">
        <x:v>Les deux branches sont atteignables ; l’état canonique final du module est identique.</x:v>
      </x:c>
      <x:c r="O14" s="7" t="str">
        <x:v>INI-MIS-LEGACY</x:v>
      </x:c>
      <x:c r="P14" s="7" t="str"/>
      <x:c r="Q14" s="7" t="str"/>
      <x:c r="R14" s="21" t="str"/>
      <x:c r="S14" s="21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56d410febe4f7b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INI-DIA-CORA</x:v>
      </x:c>
      <x:c r="B7" s="9" t="str">
        <x:v>Cora Harper — échange : appartenance et confiance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Dialogue original à écrire, sans reproduire les répliques de la publication.</x:v>
      </x:c>
      <x:c r="G7" s="9" t="str">
        <x:v>Intentions : aborder appartenance et confiance, poser une question de clarification, puis revenir à l’objectif local.</x:v>
      </x:c>
      <x:c r="H7" s="9" t="str">
        <x:v>Trois intentions proposées : demander un fait, exprimer une réserve, clore. Débloquer un indice local sans imposer une opinion au joueur.</x:v>
      </x:c>
      <x:c r="I7" s="9" t="str">
        <x:v>Portrait Cora Harper, interlocuteur actif et indication de la personne qui connaît le fait.</x:v>
      </x:c>
      <x:c r="J7" s="9" t="str">
        <x:v>Pose d’écoute puis réaction sobre ; ne pas boucler une émotion pendant une pause de lecture.</x:v>
      </x:c>
      <x:c r="K7" s="9" t="str">
        <x:v>Texte intégral affiché ; éventuelle voix originale avec débit réglable, sans imitation du casting.</x:v>
      </x:c>
      <x:c r="L7" s="9" t="str">
        <x:v>Dialogue graph ini.cora.appartenance-et-confiance ; drapeaux de connaissance locaux.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Aucune option ne révèle un savoir futur ; quitter puis reprendre conserve les sujets déjà abordés.</x:v>
      </x:c>
      <x:c r="O7" s="9" t="str">
        <x:v>INI-CHR-CORA</x:v>
      </x:c>
      <x:c r="P7" s="9" t="str"/>
      <x:c r="Q7" s="9" t="str"/>
      <x:c r="R7" s="20" t="str"/>
      <x:c r="S7" s="20" t="str">
        <x:v>Sujet et intentions sont du design original, pas une transcription.</x:v>
      </x:c>
    </x:row>
    <x:row r="8" ht="68" customHeight="1">
      <x:c r="A8" s="19" t="str">
        <x:v>INI-DIA-SAME</x:v>
      </x:c>
      <x:c r="B8" s="7" t="str">
        <x:v>SAM-E — échange : autonomie, attachement et limites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Dialogue original à écrire, sans reproduire les répliques de la publication.</x:v>
      </x:c>
      <x:c r="G8" s="7" t="str">
        <x:v>Intentions : aborder autonomie, attachement et limites, poser une question de clarification, puis revenir à l’objectif local.</x:v>
      </x:c>
      <x:c r="H8" s="7" t="str">
        <x:v>Trois intentions proposées : demander un fait, exprimer une réserve, clore. Débloquer un indice local sans imposer une opinion au joueur.</x:v>
      </x:c>
      <x:c r="I8" s="7" t="str">
        <x:v>Portrait SAM-E, interlocuteur actif et indication de la personne qui connaît le fait.</x:v>
      </x:c>
      <x:c r="J8" s="7" t="str">
        <x:v>Pose d’écoute puis réaction sobre ; ne pas boucler une émotion pendant une pause de lecture.</x:v>
      </x:c>
      <x:c r="K8" s="7" t="str">
        <x:v>Texte intégral affiché ; éventuelle voix originale avec débit réglable, sans imitation du casting.</x:v>
      </x:c>
      <x:c r="L8" s="7" t="str">
        <x:v>Dialogue graph ini.same.autonomie-attachement-et-limites ; drapeaux de connaissance locaux.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Aucune option ne révèle un savoir futur ; quitter puis reprendre conserve les sujets déjà abordés.</x:v>
      </x:c>
      <x:c r="O8" s="7" t="str">
        <x:v>INI-CHR-SAME</x:v>
      </x:c>
      <x:c r="P8" s="7" t="str"/>
      <x:c r="Q8" s="7" t="str"/>
      <x:c r="R8" s="21" t="str"/>
      <x:c r="S8" s="21" t="str">
        <x:v>Sujet et intentions sont du design original, pas une transcription.</x:v>
      </x:c>
    </x:row>
    <x:row r="9" ht="68" customHeight="1">
      <x:c r="A9" s="18" t="str">
        <x:v>INI-DIA-ALEC</x:v>
      </x:c>
      <x:c r="B9" s="9" t="str">
        <x:v>Alec Ryder — échange : secret et responsabilité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Dialogue original à écrire, sans reproduire les répliques de la publication.</x:v>
      </x:c>
      <x:c r="G9" s="9" t="str">
        <x:v>Intentions : aborder secret et responsabilité, poser une question de clarification, puis revenir à l’objectif local.</x:v>
      </x:c>
      <x:c r="H9" s="9" t="str">
        <x:v>Trois intentions proposées : demander un fait, exprimer une réserve, clore. Débloquer un indice local sans imposer une opinion au joueur.</x:v>
      </x:c>
      <x:c r="I9" s="9" t="str">
        <x:v>Portrait Alec Ryder, interlocuteur actif et indication de la personne qui connaît le fait.</x:v>
      </x:c>
      <x:c r="J9" s="9" t="str">
        <x:v>Pose d’écoute puis réaction sobre ; ne pas boucler une émotion pendant une pause de lecture.</x:v>
      </x:c>
      <x:c r="K9" s="9" t="str">
        <x:v>Texte intégral affiché ; éventuelle voix originale avec débit réglable, sans imitation du casting.</x:v>
      </x:c>
      <x:c r="L9" s="9" t="str">
        <x:v>Dialogue graph ini.alec.secret-et-responsabilite ; drapeaux de connaissance locaux.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Aucune option ne révèle un savoir futur ; quitter puis reprendre conserve les sujets déjà abordés.</x:v>
      </x:c>
      <x:c r="O9" s="9" t="str">
        <x:v>INI-CHR-ALEC</x:v>
      </x:c>
      <x:c r="P9" s="9" t="str"/>
      <x:c r="Q9" s="9" t="str"/>
      <x:c r="R9" s="20" t="str"/>
      <x:c r="S9" s="20" t="str">
        <x:v>Sujet et intentions sont du design original, pas une transcription.</x:v>
      </x:c>
    </x:row>
    <x:row r="10" ht="68" customHeight="1">
      <x:c r="A10" s="19" t="str">
        <x:v>INI-DIA-YGARA</x:v>
      </x:c>
      <x:c r="B10" s="7" t="str">
        <x:v>Ygara Menoris — échange : fidélité et contrat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Dialogue original à écrire, sans reproduire les répliques de la publication.</x:v>
      </x:c>
      <x:c r="G10" s="7" t="str">
        <x:v>Intentions : aborder fidélité et contrat, poser une question de clarification, puis revenir à l’objectif local.</x:v>
      </x:c>
      <x:c r="H10" s="7" t="str">
        <x:v>Trois intentions proposées : demander un fait, exprimer une réserve, clore. Débloquer un indice local sans imposer une opinion au joueur.</x:v>
      </x:c>
      <x:c r="I10" s="7" t="str">
        <x:v>Portrait Ygara Menoris, interlocuteur actif et indication de la personne qui connaît le fait.</x:v>
      </x:c>
      <x:c r="J10" s="7" t="str">
        <x:v>Pose d’écoute puis réaction sobre ; ne pas boucler une émotion pendant une pause de lecture.</x:v>
      </x:c>
      <x:c r="K10" s="7" t="str">
        <x:v>Texte intégral affiché ; éventuelle voix originale avec débit réglable, sans imitation du casting.</x:v>
      </x:c>
      <x:c r="L10" s="7" t="str">
        <x:v>Dialogue graph ini.ygara.fidelite-et-contrat ; drapeaux de connaissance locaux.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Aucune option ne révèle un savoir futur ; quitter puis reprendre conserve les sujets déjà abordés.</x:v>
      </x:c>
      <x:c r="O10" s="7" t="str">
        <x:v>INI-CHR-YGARA</x:v>
      </x:c>
      <x:c r="P10" s="7" t="str"/>
      <x:c r="Q10" s="7" t="str"/>
      <x:c r="R10" s="21" t="str"/>
      <x:c r="S10" s="21" t="str">
        <x:v>Sujet et intentions sont du design original, pas une transcription.</x:v>
      </x:c>
    </x:row>
    <x:row r="11" ht="68" customHeight="1">
      <x:c r="A11" s="18" t="str">
        <x:v>INI-DIA-MEDEA</x:v>
      </x:c>
      <x:c r="B11" s="9" t="str">
        <x:v>Medea — échange : contrôle et logique institutionnelle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Dialogue original à écrire, sans reproduire les répliques de la publication.</x:v>
      </x:c>
      <x:c r="G11" s="9" t="str">
        <x:v>Intentions : aborder contrôle et logique institutionnelle, poser une question de clarification, puis revenir à l’objectif local.</x:v>
      </x:c>
      <x:c r="H11" s="9" t="str">
        <x:v>Trois intentions proposées : demander un fait, exprimer une réserve, clore. Débloquer un indice local sans imposer une opinion au joueur.</x:v>
      </x:c>
      <x:c r="I11" s="9" t="str">
        <x:v>Portrait Medea, interlocuteur actif et indication de la personne qui connaît le fait.</x:v>
      </x:c>
      <x:c r="J11" s="9" t="str">
        <x:v>Pose d’écoute puis réaction sobre ; ne pas boucler une émotion pendant une pause de lecture.</x:v>
      </x:c>
      <x:c r="K11" s="9" t="str">
        <x:v>Texte intégral affiché ; éventuelle voix originale avec débit réglable, sans imitation du casting.</x:v>
      </x:c>
      <x:c r="L11" s="9" t="str">
        <x:v>Dialogue graph ini.medea.controle-et-logique-institutionnelle ; drapeaux de connaissance locaux.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Aucune option ne révèle un savoir futur ; quitter puis reprendre conserve les sujets déjà abordés.</x:v>
      </x:c>
      <x:c r="O11" s="9" t="str">
        <x:v>INI-CHR-MEDEA</x:v>
      </x:c>
      <x:c r="P11" s="9" t="str"/>
      <x:c r="Q11" s="9" t="str"/>
      <x:c r="R11" s="20" t="str"/>
      <x:c r="S11" s="20" t="str">
        <x:v>Sujet et intentions sont du design original, pas une transcription.</x:v>
      </x:c>
    </x:row>
    <x:row r="12" ht="68" customHeight="1">
      <x:c r="A12" s="19" t="str">
        <x:v>INI-DIA-VLASSIA</x:v>
      </x:c>
      <x:c r="B12" s="7" t="str">
        <x:v>Vlassia Ariokis — échange : obéissance et conséquences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Dialogue original à écrire, sans reproduire les répliques de la publication.</x:v>
      </x:c>
      <x:c r="G12" s="7" t="str">
        <x:v>Intentions : aborder obéissance et conséquences, poser une question de clarification, puis revenir à l’objectif local.</x:v>
      </x:c>
      <x:c r="H12" s="7" t="str">
        <x:v>Trois intentions proposées : demander un fait, exprimer une réserve, clore. Débloquer un indice local sans imposer une opinion au joueur.</x:v>
      </x:c>
      <x:c r="I12" s="7" t="str">
        <x:v>Portrait Vlassia Ariokis, interlocuteur actif et indication de la personne qui connaît le fait.</x:v>
      </x:c>
      <x:c r="J12" s="7" t="str">
        <x:v>Pose d’écoute puis réaction sobre ; ne pas boucler une émotion pendant une pause de lecture.</x:v>
      </x:c>
      <x:c r="K12" s="7" t="str">
        <x:v>Texte intégral affiché ; éventuelle voix originale avec débit réglable, sans imitation du casting.</x:v>
      </x:c>
      <x:c r="L12" s="7" t="str">
        <x:v>Dialogue graph ini.vlassia.obeissance-et-consequences ; drapeaux de connaissance locaux.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Aucune option ne révèle un savoir futur ; quitter puis reprendre conserve les sujets déjà abordés.</x:v>
      </x:c>
      <x:c r="O12" s="7" t="str">
        <x:v>INI-CHR-VLASSIA</x:v>
      </x:c>
      <x:c r="P12" s="7" t="str"/>
      <x:c r="Q12" s="7" t="str"/>
      <x:c r="R12" s="21" t="str"/>
      <x:c r="S12" s="21" t="str">
        <x:v>Sujet et intentions sont du design original, pas une transcription.</x:v>
      </x:c>
    </x:row>
    <x:row r="13" ht="68" customHeight="1">
      <x:c r="A13" s="18" t="str">
        <x:v>INI-DIA-JENSEN</x:v>
      </x:c>
      <x:c r="B13" s="9" t="str">
        <x:v>Rebecca Jensen — échange : savoir technique et responsabilité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Dialogue original à écrire, sans reproduire les répliques de la publication.</x:v>
      </x:c>
      <x:c r="G13" s="9" t="str">
        <x:v>Intentions : aborder savoir technique et responsabilité, poser une question de clarification, puis revenir à l’objectif local.</x:v>
      </x:c>
      <x:c r="H13" s="9" t="str">
        <x:v>Trois intentions proposées : demander un fait, exprimer une réserve, clore. Débloquer un indice local sans imposer une opinion au joueur.</x:v>
      </x:c>
      <x:c r="I13" s="9" t="str">
        <x:v>Portrait Rebecca Jensen, interlocuteur actif et indication de la personne qui connaît le fait.</x:v>
      </x:c>
      <x:c r="J13" s="9" t="str">
        <x:v>Pose d’écoute puis réaction sobre ; ne pas boucler une émotion pendant une pause de lecture.</x:v>
      </x:c>
      <x:c r="K13" s="9" t="str">
        <x:v>Texte intégral affiché ; éventuelle voix originale avec débit réglable, sans imitation du casting.</x:v>
      </x:c>
      <x:c r="L13" s="9" t="str">
        <x:v>Dialogue graph ini.jensen.savoir-technique-et-responsabilite ; drapeaux de connaissance locaux.</x:v>
      </x:c>
      <x:c r="M13" s="9" t="str">
        <x:v>L’action reste dans la Voie lactée avant le départ des arches. SAM-E ne devient pas un compagnon durable disponible dans Andromeda ; préserver les limites et conséquences de son lien avec Cora.</x:v>
      </x:c>
      <x:c r="N13" s="9" t="str">
        <x:v>Aucune option ne révèle un savoir futur ; quitter puis reprendre conserve les sujets déjà abordés.</x:v>
      </x:c>
      <x:c r="O13" s="9" t="str">
        <x:v>INI-CHR-JENSEN</x:v>
      </x:c>
      <x:c r="P13" s="9" t="str"/>
      <x:c r="Q13" s="9" t="str"/>
      <x:c r="R13" s="20" t="str"/>
      <x:c r="S13" s="20" t="str">
        <x:v>Sujet et intentions sont du design original, pas une transcription.</x:v>
      </x:c>
    </x:row>
    <x:row r="14" ht="68" customHeight="1">
      <x:c r="A14" s="19" t="str">
        <x:v>INI-DIA-TSENG</x:v>
      </x:c>
      <x:c r="B14" s="7" t="str">
        <x:v>Dr Tseng — échange : recherche et jugement rétrospectif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Dialogue original à écrire, sans reproduire les répliques de la publication.</x:v>
      </x:c>
      <x:c r="G14" s="7" t="str">
        <x:v>Intentions : aborder recherche et jugement rétrospectif, poser une question de clarification, puis revenir à l’objectif local.</x:v>
      </x:c>
      <x:c r="H14" s="7" t="str">
        <x:v>Trois intentions proposées : demander un fait, exprimer une réserve, clore. Débloquer un indice local sans imposer une opinion au joueur.</x:v>
      </x:c>
      <x:c r="I14" s="7" t="str">
        <x:v>Portrait Dr Tseng, interlocuteur actif et indication de la personne qui connaît le fait.</x:v>
      </x:c>
      <x:c r="J14" s="7" t="str">
        <x:v>Pose d’écoute puis réaction sobre ; ne pas boucler une émotion pendant une pause de lecture.</x:v>
      </x:c>
      <x:c r="K14" s="7" t="str">
        <x:v>Texte intégral affiché ; éventuelle voix originale avec débit réglable, sans imitation du casting.</x:v>
      </x:c>
      <x:c r="L14" s="7" t="str">
        <x:v>Dialogue graph ini.tseng.recherche-et-jugement-retrospectif ; drapeaux de connaissance locaux.</x:v>
      </x:c>
      <x:c r="M14" s="7" t="str">
        <x:v>L’action reste dans la Voie lactée avant le départ des arches. SAM-E ne devient pas un compagnon durable disponible dans Andromeda ; préserver les limites et conséquences de son lien avec Cora.</x:v>
      </x:c>
      <x:c r="N14" s="7" t="str">
        <x:v>Aucune option ne révèle un savoir futur ; quitter puis reprendre conserve les sujets déjà abordés.</x:v>
      </x:c>
      <x:c r="O14" s="7" t="str">
        <x:v>INI-CHR-TSENG</x:v>
      </x:c>
      <x:c r="P14" s="7" t="str"/>
      <x:c r="Q14" s="7" t="str"/>
      <x:c r="R14" s="21" t="str"/>
      <x:c r="S14" s="21" t="str">
        <x:v>Sujet et intentions sont du design original, pas une transcription.</x:v>
      </x:c>
    </x:row>
    <x:row r="15" ht="68" customHeight="1">
      <x:c r="A15" s="18" t="str">
        <x:v>INI-DIA-ABUBAKAR</x:v>
      </x:c>
      <x:c r="B15" s="9" t="str">
        <x:v>Abubakar — échange : priorité des secours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Dialogue original à écrire, sans reproduire les répliques de la publication.</x:v>
      </x:c>
      <x:c r="G15" s="9" t="str">
        <x:v>Intentions : aborder priorité des secours, poser une question de clarification, puis revenir à l’objectif local.</x:v>
      </x:c>
      <x:c r="H15" s="9" t="str">
        <x:v>Trois intentions proposées : demander un fait, exprimer une réserve, clore. Débloquer un indice local sans imposer une opinion au joueur.</x:v>
      </x:c>
      <x:c r="I15" s="9" t="str">
        <x:v>Portrait Abubakar, interlocuteur actif et indication de la personne qui connaît le fait.</x:v>
      </x:c>
      <x:c r="J15" s="9" t="str">
        <x:v>Pose d’écoute puis réaction sobre ; ne pas boucler une émotion pendant une pause de lecture.</x:v>
      </x:c>
      <x:c r="K15" s="9" t="str">
        <x:v>Texte intégral affiché ; éventuelle voix originale avec débit réglable, sans imitation du casting.</x:v>
      </x:c>
      <x:c r="L15" s="9" t="str">
        <x:v>Dialogue graph ini.abubakar.priorite-des-secours ; drapeaux de connaissance locaux.</x:v>
      </x:c>
      <x:c r="M15" s="9" t="str">
        <x:v>L’action reste dans la Voie lactée avant le départ des arches. SAM-E ne devient pas un compagnon durable disponible dans Andromeda ; préserver les limites et conséquences de son lien avec Cora.</x:v>
      </x:c>
      <x:c r="N15" s="9" t="str">
        <x:v>Aucune option ne révèle un savoir futur ; quitter puis reprendre conserve les sujets déjà abordés.</x:v>
      </x:c>
      <x:c r="O15" s="9" t="str">
        <x:v>INI-CHR-ABUBAKAR</x:v>
      </x:c>
      <x:c r="P15" s="9" t="str"/>
      <x:c r="Q15" s="9" t="str"/>
      <x:c r="R15" s="20" t="str"/>
      <x:c r="S15" s="20" t="str">
        <x:v>Sujet et intentions sont du design original, pas une transcription.</x:v>
      </x:c>
    </x:row>
    <x:row r="16" ht="68" customHeight="1">
      <x:c r="A16" s="19" t="str">
        <x:v>INI-DIA-ZAHRA</x:v>
      </x:c>
      <x:c r="B16" s="7" t="str">
        <x:v>Zahra Said — échange : protection sous pression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Dialogue original à écrire, sans reproduire les répliques de la publication.</x:v>
      </x:c>
      <x:c r="G16" s="7" t="str">
        <x:v>Intentions : aborder protection sous pression, poser une question de clarification, puis revenir à l’objectif local.</x:v>
      </x:c>
      <x:c r="H16" s="7" t="str">
        <x:v>Trois intentions proposées : demander un fait, exprimer une réserve, clore. Débloquer un indice local sans imposer une opinion au joueur.</x:v>
      </x:c>
      <x:c r="I16" s="7" t="str">
        <x:v>Portrait Zahra Said, interlocuteur actif et indication de la personne qui connaît le fait.</x:v>
      </x:c>
      <x:c r="J16" s="7" t="str">
        <x:v>Pose d’écoute puis réaction sobre ; ne pas boucler une émotion pendant une pause de lecture.</x:v>
      </x:c>
      <x:c r="K16" s="7" t="str">
        <x:v>Texte intégral affiché ; éventuelle voix originale avec débit réglable, sans imitation du casting.</x:v>
      </x:c>
      <x:c r="L16" s="7" t="str">
        <x:v>Dialogue graph ini.zahra.protection-sous-pression ; drapeaux de connaissance locaux.</x:v>
      </x:c>
      <x:c r="M16" s="7" t="str">
        <x:v>L’action reste dans la Voie lactée avant le départ des arches. SAM-E ne devient pas un compagnon durable disponible dans Andromeda ; préserver les limites et conséquences de son lien avec Cora.</x:v>
      </x:c>
      <x:c r="N16" s="7" t="str">
        <x:v>Aucune option ne révèle un savoir futur ; quitter puis reprendre conserve les sujets déjà abordés.</x:v>
      </x:c>
      <x:c r="O16" s="7" t="str">
        <x:v>INI-CHR-ZAHRA</x:v>
      </x:c>
      <x:c r="P16" s="7" t="str"/>
      <x:c r="Q16" s="7" t="str"/>
      <x:c r="R16" s="21" t="str"/>
      <x:c r="S16" s="21" t="str">
        <x:v>Sujet et intentions sont du design original, pas une transcription.</x:v>
      </x:c>
    </x:row>
  </x:sheetData>
  <x:conditionalFormatting sqref="D7:D16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6">
    <x:cfRule type="cellIs" dxfId="50" priority="3" operator="equal">
      <x:formula>"Validé"</x:formula>
    </x:cfRule>
  </x:conditionalFormatting>
  <x:conditionalFormatting sqref="E7:E16">
    <x:cfRule type="cellIs" dxfId="5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b9ec459a394b78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INI-CIN-MANDATE</x:v>
      </x:c>
      <x:c r="B7" s="9" t="str">
        <x:v>Définir les limites de l’assistance — transition narrative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originale compacte, sans reconstituer les dialogues de l’œuvre.</x:v>
      </x:c>
      <x:c r="G7" s="9" t="str">
        <x:v>L’interface de SAM-E apparaît à côté du portrait de Cora.</x:v>
      </x:c>
      <x:c r="H7" s="9" t="str">
        <x:v>Caméra et texte uniquement ; aucune commande de combat pendant la transition ; reprise au même état en cas de saut.</x:v>
      </x:c>
      <x:c r="I7" s="9" t="str">
        <x:v>Composition 3D sobre, silhouettes 2D au premier plan ; contrôler l’échelle des personnages.</x:v>
      </x:c>
      <x:c r="J7" s="9" t="str">
        <x:v>Deux ou trois plans courts proposés ; sortie anticipée applique les mêmes drapeaux que lecture complète.</x:v>
      </x:c>
      <x:c r="K7" s="9" t="str">
        <x:v>Musique originale sous les sous-titres ; aucun extrait de bande sonore officielle.</x:v>
      </x:c>
      <x:c r="L7" s="9" t="str">
        <x:v>cinematics/ini/mandate.timeline ; événements idempotents.</x:v>
      </x:c>
      <x:c r="M7" s="9" t="str">
        <x:v>Ne pas qualifier SAM-E de simple VI après la révélation de sa nature.</x:v>
      </x:c>
      <x:c r="N7" s="9" t="str">
        <x:v>Version regardée et version sautée donnent les mêmes inventaire, équipe, carte et objectifs.</x:v>
      </x:c>
      <x:c r="O7" s="9" t="str">
        <x:v>INI-MIS-MANDATE</x:v>
      </x:c>
      <x:c r="P7" s="9" t="str"/>
      <x:c r="Q7" s="9" t="str"/>
      <x:c r="R7" s="20" t="str"/>
      <x:c r="S7" s="20" t="str"/>
    </x:row>
    <x:row r="8" ht="54" customHeight="1">
      <x:c r="A8" s="19" t="str">
        <x:v>INI-CIN-KERNEL</x:v>
      </x:c>
      <x:c r="B8" s="7" t="str">
        <x:v>Extraire un paquet de données — transition narrative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originale compacte, sans reconstituer les dialogues de l’œuvre.</x:v>
      </x:c>
      <x:c r="G8" s="7" t="str">
        <x:v>Le conteneur numérique se ferme et l’écran revient au couloir.</x:v>
      </x:c>
      <x:c r="H8" s="7" t="str">
        <x:v>Caméra et texte uniquement ; aucune commande de combat pendant la transition ; reprise au même état en cas de saut.</x:v>
      </x:c>
      <x:c r="I8" s="7" t="str">
        <x:v>Composition 3D sobre, silhouettes 2D au premier plan ; contrôler l’échelle des personnages.</x:v>
      </x:c>
      <x:c r="J8" s="7" t="str">
        <x:v>Deux ou trois plans courts proposés ; sortie anticipée applique les mêmes drapeaux que lecture complète.</x:v>
      </x:c>
      <x:c r="K8" s="7" t="str">
        <x:v>Musique originale sous les sous-titres ; aucun extrait de bande sonore officielle.</x:v>
      </x:c>
      <x:c r="L8" s="7" t="str">
        <x:v>cinematics/ini/kernel.timeline ; événements idempotents.</x:v>
      </x:c>
      <x:c r="M8" s="7" t="str">
        <x:v>Aucune procédure réelle de piratage ni code officiel copié.</x:v>
      </x:c>
      <x:c r="N8" s="7" t="str">
        <x:v>Version regardée et version sautée donnent les mêmes inventaire, équipe, carte et objectifs.</x:v>
      </x:c>
      <x:c r="O8" s="7" t="str">
        <x:v>INI-MIS-KERNEL</x:v>
      </x:c>
      <x:c r="P8" s="7" t="str"/>
      <x:c r="Q8" s="7" t="str"/>
      <x:c r="R8" s="21" t="str"/>
      <x:c r="S8" s="21" t="str"/>
    </x:row>
    <x:row r="9" ht="54" customHeight="1">
      <x:c r="A9" s="18" t="str">
        <x:v>INI-CIN-BETRAYAL</x:v>
      </x:c>
      <x:c r="B9" s="9" t="str">
        <x:v>Trouver une sortie sûre — transition narrative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Mise en scène originale compacte, sans reconstituer les dialogues de l’œuvre.</x:v>
      </x:c>
      <x:c r="G9" s="9" t="str">
        <x:v>Deux regards et un changement de posture marquent la rupture.</x:v>
      </x:c>
      <x:c r="H9" s="9" t="str">
        <x:v>Caméra et texte uniquement ; aucune commande de combat pendant la transition ; reprise au même état en cas de saut.</x:v>
      </x:c>
      <x:c r="I9" s="9" t="str">
        <x:v>Composition 3D sobre, silhouettes 2D au premier plan ; contrôler l’échelle des personnages.</x:v>
      </x:c>
      <x:c r="J9" s="9" t="str">
        <x:v>Deux ou trois plans courts proposés ; sortie anticipée applique les mêmes drapeaux que lecture complète.</x:v>
      </x:c>
      <x:c r="K9" s="9" t="str">
        <x:v>Musique originale sous les sous-titres ; aucun extrait de bande sonore officielle.</x:v>
      </x:c>
      <x:c r="L9" s="9" t="str">
        <x:v>cinematics/ini/betrayal.timeline ; événements idempotents.</x:v>
      </x:c>
      <x:c r="M9" s="9" t="str">
        <x:v>Le choix n’efface pas la trahison de Ygara.</x:v>
      </x:c>
      <x:c r="N9" s="9" t="str">
        <x:v>Version regardée et version sautée donnent les mêmes inventaire, équipe, carte et objectifs.</x:v>
      </x:c>
      <x:c r="O9" s="9" t="str">
        <x:v>INI-MIS-BETRAYAL</x:v>
      </x:c>
      <x:c r="P9" s="9" t="str"/>
      <x:c r="Q9" s="9" t="str"/>
      <x:c r="R9" s="20" t="str"/>
      <x:c r="S9" s="20" t="str"/>
    </x:row>
    <x:row r="10" ht="54" customHeight="1">
      <x:c r="A10" s="19" t="str">
        <x:v>INI-CIN-BEACON</x:v>
      </x:c>
      <x:c r="B10" s="7" t="str">
        <x:v>Faire confirmer une position — transition narrative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Mise en scène originale compacte, sans reconstituer les dialogues de l’œuvre.</x:v>
      </x:c>
      <x:c r="G10" s="7" t="str">
        <x:v>Le vide reste silencieux ; seul le HUD change à la confirmation.</x:v>
      </x:c>
      <x:c r="H10" s="7" t="str">
        <x:v>Caméra et texte uniquement ; aucune commande de combat pendant la transition ; reprise au même état en cas de saut.</x:v>
      </x:c>
      <x:c r="I10" s="7" t="str">
        <x:v>Composition 3D sobre, silhouettes 2D au premier plan ; contrôler l’échelle des personnages.</x:v>
      </x:c>
      <x:c r="J10" s="7" t="str">
        <x:v>Deux ou trois plans courts proposés ; sortie anticipée applique les mêmes drapeaux que lecture complète.</x:v>
      </x:c>
      <x:c r="K10" s="7" t="str">
        <x:v>Musique originale sous les sous-titres ; aucun extrait de bande sonore officielle.</x:v>
      </x:c>
      <x:c r="L10" s="7" t="str">
        <x:v>cinematics/ini/beacon.timeline ; événements idempotents.</x:v>
      </x:c>
      <x:c r="M10" s="7" t="str">
        <x:v>Pas de mort aléatoire pendant lecture ou réglage d’accessibilité.</x:v>
      </x:c>
      <x:c r="N10" s="7" t="str">
        <x:v>Version regardée et version sautée donnent les mêmes inventaire, équipe, carte et objectifs.</x:v>
      </x:c>
      <x:c r="O10" s="7" t="str">
        <x:v>INI-MIS-BEACON</x:v>
      </x:c>
      <x:c r="P10" s="7" t="str"/>
      <x:c r="Q10" s="7" t="str"/>
      <x:c r="R10" s="21" t="str"/>
      <x:c r="S10" s="21" t="str"/>
    </x:row>
    <x:row r="11" ht="54" customHeight="1">
      <x:c r="A11" s="18" t="str">
        <x:v>INI-CIN-FOLLOW</x:v>
      </x:c>
      <x:c r="B11" s="9" t="str">
        <x:v>Suivre la copie manquante — transition narrative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Mise en scène originale compacte, sans reconstituer les dialogues de l’œuvre.</x:v>
      </x:c>
      <x:c r="G11" s="9" t="str">
        <x:v>Un nom de lieu confirmé remplace plusieurs pistes incertaines.</x:v>
      </x:c>
      <x:c r="H11" s="9" t="str">
        <x:v>Caméra et texte uniquement ; aucune commande de combat pendant la transition ; reprise au même état en cas de saut.</x:v>
      </x:c>
      <x:c r="I11" s="9" t="str">
        <x:v>Composition 3D sobre, silhouettes 2D au premier plan ; contrôler l’échelle des personnages.</x:v>
      </x:c>
      <x:c r="J11" s="9" t="str">
        <x:v>Deux ou trois plans courts proposés ; sortie anticipée applique les mêmes drapeaux que lecture complète.</x:v>
      </x:c>
      <x:c r="K11" s="9" t="str">
        <x:v>Musique originale sous les sous-titres ; aucun extrait de bande sonore officielle.</x:v>
      </x:c>
      <x:c r="L11" s="9" t="str">
        <x:v>cinematics/ini/follow.timeline ; événements idempotents.</x:v>
      </x:c>
      <x:c r="M11" s="9" t="str">
        <x:v>Les informations restent limitées à ce que Cora découvre.</x:v>
      </x:c>
      <x:c r="N11" s="9" t="str">
        <x:v>Version regardée et version sautée donnent les mêmes inventaire, équipe, carte et objectifs.</x:v>
      </x:c>
      <x:c r="O11" s="9" t="str">
        <x:v>INI-MIS-FOLLOW</x:v>
      </x:c>
      <x:c r="P11" s="9" t="str"/>
      <x:c r="Q11" s="9" t="str"/>
      <x:c r="R11" s="20" t="str"/>
      <x:c r="S11" s="20" t="str"/>
    </x:row>
    <x:row r="12" ht="54" customHeight="1">
      <x:c r="A12" s="19" t="str">
        <x:v>INI-CIN-OVERRIDE</x:v>
      </x:c>
      <x:c r="B12" s="7" t="str">
        <x:v>Tenir un accès face à Medea — transition narrative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Mise en scène originale compacte, sans reconstituer les dialogues de l’œuvre.</x:v>
      </x:c>
      <x:c r="G12" s="7" t="str">
        <x:v>Les lumières tracent une route qui contredit momentanément l’écran.</x:v>
      </x:c>
      <x:c r="H12" s="7" t="str">
        <x:v>Caméra et texte uniquement ; aucune commande de combat pendant la transition ; reprise au même état en cas de saut.</x:v>
      </x:c>
      <x:c r="I12" s="7" t="str">
        <x:v>Composition 3D sobre, silhouettes 2D au premier plan ; contrôler l’échelle des personnages.</x:v>
      </x:c>
      <x:c r="J12" s="7" t="str">
        <x:v>Deux ou trois plans courts proposés ; sortie anticipée applique les mêmes drapeaux que lecture complète.</x:v>
      </x:c>
      <x:c r="K12" s="7" t="str">
        <x:v>Musique originale sous les sous-titres ; aucun extrait de bande sonore officielle.</x:v>
      </x:c>
      <x:c r="L12" s="7" t="str">
        <x:v>cinematics/ini/override.timeline ; événements idempotents.</x:v>
      </x:c>
      <x:c r="M12" s="7" t="str">
        <x:v>Medea n’est pas vaincue par un simple mini-jeu universel.</x:v>
      </x:c>
      <x:c r="N12" s="7" t="str">
        <x:v>Version regardée et version sautée donnent les mêmes inventaire, équipe, carte et objectifs.</x:v>
      </x:c>
      <x:c r="O12" s="7" t="str">
        <x:v>INI-MIS-OVERRIDE</x:v>
      </x:c>
      <x:c r="P12" s="7" t="str"/>
      <x:c r="Q12" s="7" t="str"/>
      <x:c r="R12" s="21" t="str"/>
      <x:c r="S12" s="21" t="str"/>
    </x:row>
    <x:row r="13" ht="54" customHeight="1">
      <x:c r="A13" s="18" t="str">
        <x:v>INI-CIN-ESCORT</x:v>
      </x:c>
      <x:c r="B13" s="9" t="str">
        <x:v>Accompagner les survivants — transition narrative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Mise en scène originale compacte, sans reconstituer les dialogues de l’œuvre.</x:v>
      </x:c>
      <x:c r="G13" s="9" t="str">
        <x:v>Plan de groupe à l’entrée du véhicule, comptage discret.</x:v>
      </x:c>
      <x:c r="H13" s="9" t="str">
        <x:v>Caméra et texte uniquement ; aucune commande de combat pendant la transition ; reprise au même état en cas de saut.</x:v>
      </x:c>
      <x:c r="I13" s="9" t="str">
        <x:v>Composition 3D sobre, silhouettes 2D au premier plan ; contrôler l’échelle des personnages.</x:v>
      </x:c>
      <x:c r="J13" s="9" t="str">
        <x:v>Deux ou trois plans courts proposés ; sortie anticipée applique les mêmes drapeaux que lecture complète.</x:v>
      </x:c>
      <x:c r="K13" s="9" t="str">
        <x:v>Musique originale sous les sous-titres ; aucun extrait de bande sonore officielle.</x:v>
      </x:c>
      <x:c r="L13" s="9" t="str">
        <x:v>cinematics/ini/escort.timeline ; événements idempotents.</x:v>
      </x:c>
      <x:c r="M13" s="9" t="str">
        <x:v>Le coût de la surcharge de Cora ne disparaît pas grâce à un consommable.</x:v>
      </x:c>
      <x:c r="N13" s="9" t="str">
        <x:v>Version regardée et version sautée donnent les mêmes inventaire, équipe, carte et objectifs.</x:v>
      </x:c>
      <x:c r="O13" s="9" t="str">
        <x:v>INI-MIS-ESCORT</x:v>
      </x:c>
      <x:c r="P13" s="9" t="str"/>
      <x:c r="Q13" s="9" t="str"/>
      <x:c r="R13" s="20" t="str"/>
      <x:c r="S13" s="20" t="str"/>
    </x:row>
    <x:row r="14" ht="54" customHeight="1">
      <x:c r="A14" s="19" t="str">
        <x:v>INI-CIN-LEGACY</x:v>
      </x:c>
      <x:c r="B14" s="7" t="str">
        <x:v>Respecter la fin d’une voix — transition narrative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Mise en scène originale compacte, sans reconstituer les dialogues de l’œuvre.</x:v>
      </x:c>
      <x:c r="G14" s="7" t="str">
        <x:v>Écran qui revient au calme, puis réaction silencieuse de Cora.</x:v>
      </x:c>
      <x:c r="H14" s="7" t="str">
        <x:v>Caméra et texte uniquement ; aucune commande de combat pendant la transition ; reprise au même état en cas de saut.</x:v>
      </x:c>
      <x:c r="I14" s="7" t="str">
        <x:v>Composition 3D sobre, silhouettes 2D au premier plan ; contrôler l’échelle des personnages.</x:v>
      </x:c>
      <x:c r="J14" s="7" t="str">
        <x:v>Deux ou trois plans courts proposés ; sortie anticipée applique les mêmes drapeaux que lecture complète.</x:v>
      </x:c>
      <x:c r="K14" s="7" t="str">
        <x:v>Musique originale sous les sous-titres ; aucun extrait de bande sonore officielle.</x:v>
      </x:c>
      <x:c r="L14" s="7" t="str">
        <x:v>cinematics/ini/legacy.timeline ; événements idempotents.</x:v>
      </x:c>
      <x:c r="M14" s="7" t="str">
        <x:v>SAM-E n’est pas rendu permanent et autonome dans MEA.</x:v>
      </x:c>
      <x:c r="N14" s="7" t="str">
        <x:v>Version regardée et version sautée donnent les mêmes inventaire, équipe, carte et objectifs.</x:v>
      </x:c>
      <x:c r="O14" s="7" t="str">
        <x:v>INI-MIS-LEGACY</x:v>
      </x:c>
      <x:c r="P14" s="7" t="str"/>
      <x:c r="Q14" s="7" t="str"/>
      <x:c r="R14" s="21" t="str"/>
      <x:c r="S14" s="21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c365cc4436484c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INI-REF-RIFLES</x:v>
      </x:c>
      <x:c r="B7" s="9" t="str">
        <x:v>Armes d’assaut des survivants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Les survivants disposent d’armes ; les modèles précis restent à vérifier.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ref.ini.rifles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INI-SRC-QUIET</x:v>
      </x:c>
      <x:c r="R7" s="20" t="str">
        <x:v>https://masseffect.fandom.com/wiki/Quiet_Eddy</x:v>
      </x:c>
      <x:c r="S7" s="20" t="str">
        <x:v>Ce relevé n’est ni un inventaire exhaustif ni un résumé scène par scène.</x:v>
      </x:c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e480f73d5a429e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INI-REF-HYPERION</x:v>
      </x:c>
      <x:c r="B7" s="9" t="str">
        <x:v>Hyperion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Le nœud de SAM-E se trouve à bord de l’arche.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ref.ini.hyperion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INI-SRC-SAME</x:v>
      </x:c>
      <x:c r="R7" s="20" t="str">
        <x:v>https://masseffect.fandom.com/wiki/SAM-E</x:v>
      </x:c>
      <x:c r="S7" s="20" t="str">
        <x:v>Ce relevé n’est ni un inventaire exhaustif ni un résumé scène par scène.</x:v>
      </x:c>
    </x:row>
    <x:row r="8" ht="68" customHeight="1">
      <x:c r="A8" s="19" t="str">
        <x:v>INI-REF-AUDACITY</x:v>
      </x:c>
      <x:c r="B8" s="7" t="str">
        <x:v>Audacity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Vaisseau de Ygara intervenant dans l’opération.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ref.ini.audacity ; affichage bref avec source.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INI-SRC-STORY</x:v>
      </x:c>
      <x:c r="R8" s="21" t="str">
        <x:v>https://masseffect.fandom.com/wiki/Storyline_IV</x:v>
      </x:c>
      <x:c r="S8" s="21" t="str">
        <x:v>Ce relevé n’est ni un inventaire exhaustif ni un résumé scène par scène.</x:v>
      </x:c>
    </x:row>
    <x:row r="9" ht="68" customHeight="1">
      <x:c r="A9" s="18" t="str">
        <x:v>INI-REF-IMPLANT</x:v>
      </x:c>
      <x:c r="B9" s="9" t="str">
        <x:v>Implant de Cora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Il permet à SAM-E d’assister ses perceptions et aptitudes.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ref.ini.implant ; affichage bref avec source.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INI-SRC-SAME</x:v>
      </x:c>
      <x:c r="R9" s="20" t="str">
        <x:v>https://masseffect.fandom.com/wiki/SAM-E</x:v>
      </x:c>
      <x:c r="S9" s="20" t="str">
        <x:v>Ce relevé n’est ni un inventaire exhaustif ni un résumé scène par scène.</x:v>
      </x:c>
    </x:row>
  </x:sheetData>
  <x:conditionalFormatting sqref="D7:D9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9">
    <x:cfRule type="cellIs" dxfId="62" priority="3" operator="equal">
      <x:formula>"Validé"</x:formula>
    </x:cfRule>
  </x:conditionalFormatting>
  <x:conditionalFormatting sqref="E7:E9">
    <x:cfRule type="cellIs" dxfId="6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b9b807084143b2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INI-REF-OVERCLOCK</x:v>
      </x:c>
      <x:c r="B7" s="9" t="str">
        <x:v>Surcharge métabolique exceptionnelle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SAM-E augmente les capacités de Cora avec un coût physique dangereux.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ref.ini.overclock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INI-SRC-SAME</x:v>
      </x:c>
      <x:c r="R7" s="20" t="str">
        <x:v>https://masseffect.fandom.com/wiki/SAM-E</x:v>
      </x:c>
      <x:c r="S7" s="20" t="str">
        <x:v>Ce relevé n’est ni un inventaire exhaustif ni un résumé scène par scène.</x:v>
      </x:c>
    </x:row>
  </x:sheetData>
  <x:conditionalFormatting sqref="D7:D7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7">
    <x:cfRule type="cellIs" dxfId="66" priority="3" operator="equal">
      <x:formula>"Validé"</x:formula>
    </x:cfRule>
  </x:conditionalFormatting>
  <x:conditionalFormatting sqref="E7:E7">
    <x:cfRule type="cellIs" dxfId="67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887cd8ec8c45e9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INI-MOV-BIOSHIELD</x:v>
      </x:c>
      <x:c r="B7" s="9" t="str">
        <x:v>Protection d’évacuation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; elle n’est pas une compétence officielle de cette œuvre.</x:v>
      </x:c>
      <x:c r="G7" s="9" t="str">
        <x:v>Cora : Tenir une couverture biotique locale pendant le passage d’un groupe, sans bonus officiel allégué.</x:v>
      </x:c>
      <x:c r="H7" s="9" t="str">
        <x:v>Tenir une couverture biotique locale pendant le passage d’un groupe, sans bonus officiel allégué. Coût initial proposé : une action ATB ; coût et délai restent des paramètres de prototype.</x:v>
      </x:c>
      <x:c r="I7" s="9" t="str">
        <x:v>Arc bleu délimité au sol.</x:v>
      </x:c>
      <x:c r="J7" s="9" t="str">
        <x:v>Préparation, validation de cible, engagement et récupération ; prévoir animation de refus avec motif.</x:v>
      </x:c>
      <x:c r="K7" s="9" t="str">
        <x:v>Confirmation et refus distingués ; texte d’état accessible au clavier.</x:v>
      </x:c>
      <x:c r="L7" s="9" t="str">
        <x:v>actions/ini/bioshield.json ; commande, cibles autorisées, coût, effets, nettoyage.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Une cible incompatible ne consomme rien ; l’effet est réversible au rechargement du point de contrôle.</x:v>
      </x:c>
      <x:c r="O7" s="9" t="str"/>
      <x:c r="P7" s="9" t="str"/>
      <x:c r="Q7" s="9" t="str"/>
      <x:c r="R7" s="20" t="str"/>
      <x:c r="S7" s="20" t="str"/>
    </x:row>
    <x:row r="8" ht="68" customHeight="1">
      <x:c r="A8" s="19" t="str">
        <x:v>INI-MOV-ASSIST</x:v>
      </x:c>
      <x:c r="B8" s="7" t="str">
        <x:v>Observation assistée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; elle n’est pas une compétence officielle de cette œuvre.</x:v>
      </x:c>
      <x:c r="G8" s="7" t="str">
        <x:v>SAM-E : Signaler une contradiction perceptible sans résoudre l’énigme à la place de Cora.</x:v>
      </x:c>
      <x:c r="H8" s="7" t="str">
        <x:v>Signaler une contradiction perceptible sans résoudre l’énigme à la place de Cora. Coût initial proposé : une action ATB ; coût et délai restent des paramètres de prototype.</x:v>
      </x:c>
      <x:c r="I8" s="7" t="str">
        <x:v>Encart de doute et objet entouré.</x:v>
      </x:c>
      <x:c r="J8" s="7" t="str">
        <x:v>Préparation, validation de cible, engagement et récupération ; prévoir animation de refus avec motif.</x:v>
      </x:c>
      <x:c r="K8" s="7" t="str">
        <x:v>Confirmation et refus distingués ; texte d’état accessible au clavier.</x:v>
      </x:c>
      <x:c r="L8" s="7" t="str">
        <x:v>actions/ini/assist.json ; commande, cibles autorisées, coût, effets, nettoyage.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Une cible incompatible ne consomme rien ; l’effet est réversible au rechargement du point de contrôle.</x:v>
      </x:c>
      <x:c r="O8" s="7" t="str"/>
      <x:c r="P8" s="7" t="str"/>
      <x:c r="Q8" s="7" t="str"/>
      <x:c r="R8" s="21" t="str"/>
      <x:c r="S8" s="21" t="str"/>
    </x:row>
    <x:row r="9" ht="68" customHeight="1">
      <x:c r="A9" s="18" t="str">
        <x:v>INI-MOV-SENSOR</x:v>
      </x:c>
      <x:c r="B9" s="9" t="str">
        <x:v>Écoute focalisée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; elle n’est pas une compétence officielle de cette œuvre.</x:v>
      </x:c>
      <x:c r="G9" s="9" t="str">
        <x:v>Cora et SAM-E : Mettre en avant un son de secteur au prix d’une réduction des autres canaux de jeu.</x:v>
      </x:c>
      <x:c r="H9" s="9" t="str">
        <x:v>Mettre en avant un son de secteur au prix d’une réduction des autres canaux de jeu. Coût initial proposé : une action ATB ; coût et délai restent des paramètres de prototype.</x:v>
      </x:c>
      <x:c r="I9" s="9" t="str">
        <x:v>Ondes limitées et sous-titre directionnel.</x:v>
      </x:c>
      <x:c r="J9" s="9" t="str">
        <x:v>Préparation, validation de cible, engagement et récupération ; prévoir animation de refus avec motif.</x:v>
      </x:c>
      <x:c r="K9" s="9" t="str">
        <x:v>Confirmation et refus distingués ; texte d’état accessible au clavier.</x:v>
      </x:c>
      <x:c r="L9" s="9" t="str">
        <x:v>actions/ini/sensor.json ; commande, cibles autorisées, coût, effets, nettoyage.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Une cible incompatible ne consomme rien ; l’effet est réversible au rechargement du point de contrôle.</x:v>
      </x:c>
      <x:c r="O9" s="9" t="str"/>
      <x:c r="P9" s="9" t="str"/>
      <x:c r="Q9" s="9" t="str"/>
      <x:c r="R9" s="20" t="str"/>
      <x:c r="S9" s="20" t="str"/>
    </x:row>
    <x:row r="10" ht="68" customHeight="1">
      <x:c r="A10" s="19" t="str">
        <x:v>INI-MOV-GUARD</x:v>
      </x:c>
      <x:c r="B10" s="7" t="str">
        <x:v>Couverture de porte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; elle n’est pas une compétence officielle de cette œuvre.</x:v>
      </x:c>
      <x:c r="G10" s="7" t="str">
        <x:v>Zahra : Empêcher un adversaire ajouté de traverser pendant une seule interaction civile.</x:v>
      </x:c>
      <x:c r="H10" s="7" t="str">
        <x:v>Empêcher un adversaire ajouté de traverser pendant une seule interaction civile. Coût initial proposé : une action ATB ; coût et délai restent des paramètres de prototype.</x:v>
      </x:c>
      <x:c r="I10" s="7" t="str">
        <x:v>Porte marquée et ligne d’appui.</x:v>
      </x:c>
      <x:c r="J10" s="7" t="str">
        <x:v>Préparation, validation de cible, engagement et récupération ; prévoir animation de refus avec motif.</x:v>
      </x:c>
      <x:c r="K10" s="7" t="str">
        <x:v>Confirmation et refus distingués ; texte d’état accessible au clavier.</x:v>
      </x:c>
      <x:c r="L10" s="7" t="str">
        <x:v>actions/ini/guard.json ; commande, cibles autorisées, coût, effets, nettoyage.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Une cible incompatible ne consomme rien ; l’effet est réversible au rechargement du point de contrôle.</x:v>
      </x:c>
      <x:c r="O10" s="7" t="str"/>
      <x:c r="P10" s="7" t="str"/>
      <x:c r="Q10" s="7" t="str"/>
      <x:c r="R10" s="21" t="str"/>
      <x:c r="S10" s="21" t="str"/>
    </x:row>
    <x:row r="11" ht="68" customHeight="1">
      <x:c r="A11" s="18" t="str">
        <x:v>INI-MOV-HANDOFF</x:v>
      </x:c>
      <x:c r="B11" s="9" t="str">
        <x:v>Relais de commande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; elle n’est pas une compétence officielle de cette œuvre.</x:v>
      </x:c>
      <x:c r="G11" s="9" t="str">
        <x:v>Cora : Valider manuellement une action suggérée par l’assistant ; pas de dépense sans confirmation.</x:v>
      </x:c>
      <x:c r="H11" s="9" t="str">
        <x:v>Valider manuellement une action suggérée par l’assistant ; pas de dépense sans confirmation. Coût initial proposé : une action ATB ; coût et délai restent des paramètres de prototype.</x:v>
      </x:c>
      <x:c r="I11" s="9" t="str">
        <x:v>Deux étapes suggestion puis accord.</x:v>
      </x:c>
      <x:c r="J11" s="9" t="str">
        <x:v>Préparation, validation de cible, engagement et récupération ; prévoir animation de refus avec motif.</x:v>
      </x:c>
      <x:c r="K11" s="9" t="str">
        <x:v>Confirmation et refus distingués ; texte d’état accessible au clavier.</x:v>
      </x:c>
      <x:c r="L11" s="9" t="str">
        <x:v>actions/ini/handoff.json ; commande, cibles autorisées, coût, effets, nettoyage.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Une cible incompatible ne consomme rien ; l’effet est réversible au rechargement du point de contrôle.</x:v>
      </x:c>
      <x:c r="O11" s="9" t="str"/>
      <x:c r="P11" s="9" t="str"/>
      <x:c r="Q11" s="9" t="str"/>
      <x:c r="R11" s="20" t="str"/>
      <x:c r="S11" s="20" t="str"/>
    </x:row>
    <x:row r="12" ht="68" customHeight="1">
      <x:c r="A12" s="19" t="str">
        <x:v>INI-MOV-RECOVER</x:v>
      </x:c>
      <x:c r="B12" s="7" t="str">
        <x:v>Repos assisté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Action de groupe originale ; elle n’est pas une compétence officielle de cette œuvre.</x:v>
      </x:c>
      <x:c r="G12" s="7" t="str">
        <x:v>Groupe : Interrompre une surcharge proposée et rétablir les commandes ordinaires à un point sûr.</x:v>
      </x:c>
      <x:c r="H12" s="7" t="str">
        <x:v>Interrompre une surcharge proposée et rétablir les commandes ordinaires à un point sûr. Coût initial proposé : une action ATB ; coût et délai restent des paramètres de prototype.</x:v>
      </x:c>
      <x:c r="I12" s="7" t="str">
        <x:v>Ralentissement d’interface optionnel et état stable lisible.</x:v>
      </x:c>
      <x:c r="J12" s="7" t="str">
        <x:v>Préparation, validation de cible, engagement et récupération ; prévoir animation de refus avec motif.</x:v>
      </x:c>
      <x:c r="K12" s="7" t="str">
        <x:v>Confirmation et refus distingués ; texte d’état accessible au clavier.</x:v>
      </x:c>
      <x:c r="L12" s="7" t="str">
        <x:v>actions/ini/recover.json ; commande, cibles autorisées, coût, effets, nettoyage.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Une cible incompatible ne consomme rien ; l’effet est réversible au rechargement du point de contrôle.</x:v>
      </x:c>
      <x:c r="O12" s="7" t="str"/>
      <x:c r="P12" s="7" t="str"/>
      <x:c r="Q12" s="7" t="str"/>
      <x:c r="R12" s="21" t="str"/>
      <x:c r="S12" s="21" t="str"/>
    </x:row>
  </x:sheetData>
  <x:conditionalFormatting sqref="D7:D12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2">
    <x:cfRule type="cellIs" dxfId="70" priority="3" operator="equal">
      <x:formula>"Validé"</x:formula>
    </x:cfRule>
  </x:conditionalFormatting>
  <x:conditionalFormatting sqref="E7:E12">
    <x:cfRule type="cellIs" dxfId="7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2ad9481bde4515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INI-EMV-MERC</x:v>
      </x:c>
      <x:c r="B7" s="9" t="str">
        <x:v>Équipe mercenaire proposée — comportement principal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Comportement proposé pour la rencontre liée.</x:v>
      </x:c>
      <x:c r="G7" s="9" t="str">
        <x:v>Surveille un nœud en alternant mouvement et verrouillage.</x:v>
      </x:c>
      <x:c r="H7" s="9" t="str">
        <x:v>Télégraphe : Cône de surveillance et témoin de serrure. Contre-mesure : Passer pendant la rotation ou détourner l’attention. Consommer une action ATB à l’engagement ; équilibrage à mesurer au prototype.</x:v>
      </x:c>
      <x:c r="I7" s="9" t="str">
        <x:v>Rendre l’aire touchée lisible au sol et sur le HUD ; ne jamais dépendre seulement de la couleur.</x:v>
      </x:c>
      <x:c r="J7" s="9" t="str">
        <x:v>Bloquer la cible au début de l’engagement ; annuler proprement si les préconditions disparaissent.</x:v>
      </x:c>
      <x:c r="K7" s="9" t="str">
        <x:v>Signal préalable distinct du son d’impact ; option pour réduire les sons agressifs.</x:v>
      </x:c>
      <x:c r="L7" s="9" t="str">
        <x:v>behaviors/ini/merc : prepare/commit/recover ; paramètres séparés du code.</x:v>
      </x:c>
      <x:c r="M7" s="9" t="str">
        <x:v>Uniquement quand la rencontre correspondante est active.</x:v>
      </x:c>
      <x:c r="N7" s="9" t="str">
        <x:v>L’indicateur apparaît avant la conséquence ; la contre-mesure fonctionne en pause et à vitesse normale.</x:v>
      </x:c>
      <x:c r="O7" s="9" t="str">
        <x:v>INI-ENC-MERC</x:v>
      </x:c>
      <x:c r="P7" s="9" t="str"/>
      <x:c r="Q7" s="9" t="str"/>
      <x:c r="R7" s="20" t="str"/>
      <x:c r="S7" s="20" t="str"/>
    </x:row>
    <x:row r="8" ht="68" customHeight="1">
      <x:c r="A8" s="19" t="str">
        <x:v>INI-EMV-AUGMENT</x:v>
      </x:c>
      <x:c r="B8" s="7" t="str">
        <x:v>Augment de couloir proposé — comportement principal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Comportement proposé pour la rencontre liée.</x:v>
      </x:c>
      <x:c r="G8" s="7" t="str">
        <x:v>Charge un axe étroit puis expose son flanc à l’arrêt.</x:v>
      </x:c>
      <x:c r="H8" s="7" t="str">
        <x:v>Télégraphe : Posture tassée et ligne au sol avant départ. Contre-mesure : Quitter l’axe et fermer la porte après le passage. Consommer une action ATB à l’engagement ; équilibrage à mesurer au prototype.</x:v>
      </x:c>
      <x:c r="I8" s="7" t="str">
        <x:v>Rendre l’aire touchée lisible au sol et sur le HUD ; ne jamais dépendre seulement de la couleur.</x:v>
      </x:c>
      <x:c r="J8" s="7" t="str">
        <x:v>Bloquer la cible au début de l’engagement ; annuler proprement si les préconditions disparaissent.</x:v>
      </x:c>
      <x:c r="K8" s="7" t="str">
        <x:v>Signal préalable distinct du son d’impact ; option pour réduire les sons agressifs.</x:v>
      </x:c>
      <x:c r="L8" s="7" t="str">
        <x:v>behaviors/ini/augment : prepare/commit/recover ; paramètres séparés du code.</x:v>
      </x:c>
      <x:c r="M8" s="7" t="str">
        <x:v>Uniquement quand la rencontre correspondante est active.</x:v>
      </x:c>
      <x:c r="N8" s="7" t="str">
        <x:v>L’indicateur apparaît avant la conséquence ; la contre-mesure fonctionne en pause et à vitesse normale.</x:v>
      </x:c>
      <x:c r="O8" s="7" t="str">
        <x:v>INI-ENC-AUGMENT</x:v>
      </x:c>
      <x:c r="P8" s="7" t="str"/>
      <x:c r="Q8" s="7" t="str"/>
      <x:c r="R8" s="21" t="str"/>
      <x:c r="S8" s="21" t="str"/>
    </x:row>
    <x:row r="9" ht="68" customHeight="1">
      <x:c r="A9" s="18" t="str">
        <x:v>INI-EMV-MEDEA</x:v>
      </x:c>
      <x:c r="B9" s="9" t="str">
        <x:v>Medea — crise d’accès proposée — comportement principal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Comportement proposé pour la rencontre liée.</x:v>
      </x:c>
      <x:c r="G9" s="9" t="str">
        <x:v>Falsifie un indicateur pendant qu’un accès réel se referme.</x:v>
      </x:c>
      <x:c r="H9" s="9" t="str">
        <x:v>Télégraphe : Incohérence entre état de porte et panneau. Contre-mesure : Faire vérifier la porte par l’équipe et isoler le secteur. Consommer une action ATB à l’engagement ; équilibrage à mesurer au prototype.</x:v>
      </x:c>
      <x:c r="I9" s="9" t="str">
        <x:v>Rendre l’aire touchée lisible au sol et sur le HUD ; ne jamais dépendre seulement de la couleur.</x:v>
      </x:c>
      <x:c r="J9" s="9" t="str">
        <x:v>Bloquer la cible au début de l’engagement ; annuler proprement si les préconditions disparaissent.</x:v>
      </x:c>
      <x:c r="K9" s="9" t="str">
        <x:v>Signal préalable distinct du son d’impact ; option pour réduire les sons agressifs.</x:v>
      </x:c>
      <x:c r="L9" s="9" t="str">
        <x:v>behaviors/ini/medea : prepare/commit/recover ; paramètres séparés du code.</x:v>
      </x:c>
      <x:c r="M9" s="9" t="str">
        <x:v>Uniquement quand la rencontre correspondante est active.</x:v>
      </x:c>
      <x:c r="N9" s="9" t="str">
        <x:v>L’indicateur apparaît avant la conséquence ; la contre-mesure fonctionne en pause et à vitesse normale.</x:v>
      </x:c>
      <x:c r="O9" s="9" t="str">
        <x:v>INI-ENC-MEDEA</x:v>
      </x:c>
      <x:c r="P9" s="9" t="str"/>
      <x:c r="Q9" s="9" t="str"/>
      <x:c r="R9" s="20" t="str"/>
      <x:c r="S9" s="20" t="str"/>
    </x:row>
    <x:row r="10" ht="82" customHeight="1">
      <x:c r="A10" s="19" t="str">
        <x:v>INI-EMV-OVERLOAD</x:v>
      </x:c>
      <x:c r="B10" s="7" t="str">
        <x:v>Seuil de fatigue proposé — comportement principal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Comportement proposé pour la rencontre liée.</x:v>
      </x:c>
      <x:c r="G10" s="7" t="str">
        <x:v>Réduit les options disponibles si la surcharge est prolongée.</x:v>
      </x:c>
      <x:c r="H10" s="7" t="str">
        <x:v>Télégraphe : Avertissement textuel, baisse de saturation désactivable. Contre-mesure : Arrêter l’effet et atteindre un point de repos autorisé. Consommer une action ATB à l’engagement ; équilibrage à mesurer au prototype.</x:v>
      </x:c>
      <x:c r="I10" s="7" t="str">
        <x:v>Rendre l’aire touchée lisible au sol et sur le HUD ; ne jamais dépendre seulement de la couleur.</x:v>
      </x:c>
      <x:c r="J10" s="7" t="str">
        <x:v>Bloquer la cible au début de l’engagement ; annuler proprement si les préconditions disparaissent.</x:v>
      </x:c>
      <x:c r="K10" s="7" t="str">
        <x:v>Signal préalable distinct du son d’impact ; option pour réduire les sons agressifs.</x:v>
      </x:c>
      <x:c r="L10" s="7" t="str">
        <x:v>behaviors/ini/overload : prepare/commit/recover ; paramètres séparés du code.</x:v>
      </x:c>
      <x:c r="M10" s="7" t="str">
        <x:v>Uniquement quand la rencontre correspondante est active.</x:v>
      </x:c>
      <x:c r="N10" s="7" t="str">
        <x:v>L’indicateur apparaît avant la conséquence ; la contre-mesure fonctionne en pause et à vitesse normale.</x:v>
      </x:c>
      <x:c r="O10" s="7" t="str">
        <x:v>INI-ENC-OVERLOAD</x:v>
      </x:c>
      <x:c r="P10" s="7" t="str"/>
      <x:c r="Q10" s="7" t="str"/>
      <x:c r="R10" s="21" t="str"/>
      <x:c r="S10" s="21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87ad10cfc64a95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INI-ANI-CORA</x:v>
      </x:c>
      <x:c r="B7" s="9" t="str">
        <x:v>Cora Harper — jeu de poses contextuelles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poses nécessaires à l’interaction « Coordonner infiltration et protection avec l’assistance de SAM-E. ».</x:v>
      </x:c>
      <x:c r="G7" s="9" t="str">
        <x:v>Blocage animé de Cora Harper : anticipation, action, récupération, retour au repos ; prévoir une interruption propre.</x:v>
      </x:c>
      <x:c r="H7" s="9" t="str">
        <x:v>Coordonner infiltration et protection avec l’assistance de SAM-E. L’effet logique ne dépend jamais de la cadence du rendu.</x:v>
      </x:c>
      <x:c r="I7" s="9" t="str">
        <x:v>Conserver les repères de silhouette : Armure humaine et maintien de commando ; coiffure et accessoires à vérifier pour cette période.</x:v>
      </x:c>
      <x:c r="J7" s="9" t="str">
        <x:v>Repos, déplacement, interaction et réaction ; nombre d’images ajusté après essai sur écran ; ne pas ajouter une attaque aux personnages civils.</x:v>
      </x:c>
      <x:c r="K7" s="9" t="str">
        <x:v>Marqueurs animation distincts du fichier audio ; sous-titre court si l’action porte une information.</x:v>
      </x:c>
      <x:c r="L7" s="9" t="str">
        <x:v>Animator actor.ini.cora ; événements start/commit/recover ; annulation avant commit sans effet.</x:v>
      </x:c>
      <x:c r="M7" s="9" t="str">
        <x:v>Animation de blessure ou de décès uniquement si le contexte la justifie ; pas de mort libre d’un personnage établi.</x:v>
      </x:c>
      <x:c r="N7" s="9" t="str">
        <x:v>Une interruption avant commit ne dépense pas la ressource ; aucune pose résiduelle après changement de carte.</x:v>
      </x:c>
      <x:c r="O7" s="9" t="str">
        <x:v>INI-SPR-CORA</x:v>
      </x:c>
      <x:c r="P7" s="9" t="str"/>
      <x:c r="Q7" s="9" t="str"/>
      <x:c r="R7" s="20" t="str"/>
      <x:c r="S7" s="20" t="str"/>
    </x:row>
    <x:row r="8" ht="54" customHeight="1">
      <x:c r="A8" s="19" t="str">
        <x:v>INI-ANI-SAME</x:v>
      </x:c>
      <x:c r="B8" s="7" t="str">
        <x:v>SAM-E — jeu de poses contextuelles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poses nécessaires à l’interaction « Proposer une analyse limitée que Cora peut accepter ou refuser. ».</x:v>
      </x:c>
      <x:c r="G8" s="7" t="str">
        <x:v>Animer uniquement les changements d’état de l’interface et des écrans autorisés par le scénario.</x:v>
      </x:c>
      <x:c r="H8" s="7" t="str">
        <x:v>L’animation reflète une action validée du système ; elle ne déclenche pas elle-même une commande ou un résultat.</x:v>
      </x:c>
      <x:c r="I8" s="7" t="str">
        <x:v>Identifier la provenance du message sur chaque écran concerné.</x:v>
      </x:c>
      <x:c r="J8" s="7" t="str">
        <x:v>Apparition, attente, calcul, proposition, interruption, extinction ; aucun déplacement de corps.</x:v>
      </x:c>
      <x:c r="K8" s="7" t="str">
        <x:v>Marqueurs animation distincts du fichier audio ; sous-titre court si l’action porte une information.</x:v>
      </x:c>
      <x:c r="L8" s="7" t="str">
        <x:v>Contrôleur UI à états ; nettoyage à la sortie de scène ; option animation réduite.</x:v>
      </x:c>
      <x:c r="M8" s="7" t="str">
        <x:v>Animation de blessure ou de décès uniquement si le contexte la justifie ; pas de mort libre d’un personnage établi.</x:v>
      </x:c>
      <x:c r="N8" s="7" t="str">
        <x:v>Une interruption avant commit ne dépense pas la ressource ; aucune pose résiduelle après changement de carte.</x:v>
      </x:c>
      <x:c r="O8" s="7" t="str">
        <x:v>INI-SPR-SAME</x:v>
      </x:c>
      <x:c r="P8" s="7" t="str"/>
      <x:c r="Q8" s="7" t="str"/>
      <x:c r="R8" s="21" t="str"/>
      <x:c r="S8" s="21" t="str"/>
    </x:row>
    <x:row r="9" ht="68" customHeight="1">
      <x:c r="A9" s="18" t="str">
        <x:v>INI-ANI-ALEC</x:v>
      </x:c>
      <x:c r="B9" s="9" t="str">
        <x:v>Alec Ryder — jeu de poses contextuelles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poses nécessaires à l’interaction « Expliquer une contrainte technique sans divulguer toutes les intentions. ».</x:v>
      </x:c>
      <x:c r="G9" s="9" t="str">
        <x:v>Blocage animé de Alec Ryder : anticipation, action, récupération, retour au repos ; prévoir une interruption propre.</x:v>
      </x:c>
      <x:c r="H9" s="9" t="str">
        <x:v>Expliquer une contrainte technique sans divulguer toutes les intentions. L’effet logique ne dépend jamais de la cadence du rendu.</x:v>
      </x:c>
      <x:c r="I9" s="9" t="str">
        <x:v>Conserver les repères de silhouette : Officier expérimenté, silhouette d’armure de période et version en hologramme.</x:v>
      </x:c>
      <x:c r="J9" s="9" t="str">
        <x:v>Repos, déplacement, interaction et réaction ; nombre d’images ajusté après essai sur écran ; ne pas ajouter une attaque aux personnages civils.</x:v>
      </x:c>
      <x:c r="K9" s="9" t="str">
        <x:v>Marqueurs animation distincts du fichier audio ; sous-titre court si l’action porte une information.</x:v>
      </x:c>
      <x:c r="L9" s="9" t="str">
        <x:v>Animator actor.ini.alec ; événements start/commit/recover ; annulation avant commit sans effet.</x:v>
      </x:c>
      <x:c r="M9" s="9" t="str">
        <x:v>Animation de blessure ou de décès uniquement si le contexte la justifie ; pas de mort libre d’un personnage établi.</x:v>
      </x:c>
      <x:c r="N9" s="9" t="str">
        <x:v>Une interruption avant commit ne dépense pas la ressource ; aucune pose résiduelle après changement de carte.</x:v>
      </x:c>
      <x:c r="O9" s="9" t="str">
        <x:v>INI-SPR-ALEC</x:v>
      </x:c>
      <x:c r="P9" s="9" t="str"/>
      <x:c r="Q9" s="9" t="str"/>
      <x:c r="R9" s="20" t="str"/>
      <x:c r="S9" s="20" t="str"/>
    </x:row>
    <x:row r="10" ht="54" customHeight="1">
      <x:c r="A10" s="19" t="str">
        <x:v>INI-ANI-YGARA</x:v>
      </x:c>
      <x:c r="B10" s="7" t="str">
        <x:v>Ygara Menoris — jeu de poses contextuelles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poses nécessaires à l’interaction « Participer à une préparation qui laisse visibles les conditions de coopération. ».</x:v>
      </x:c>
      <x:c r="G10" s="7" t="str">
        <x:v>Blocage animé de Ygara Menoris : anticipation, action, récupération, retour au repos ; prévoir une interruption propre.</x:v>
      </x:c>
      <x:c r="H10" s="7" t="str">
        <x:v>Participer à une préparation qui laisse visibles les conditions de coopération. L’effet logique ne dépend jamais de la cadence du rendu.</x:v>
      </x:c>
      <x:c r="I10" s="7" t="str">
        <x:v>Conserver les repères de silhouette : Tenue de terrain asari proposée, silhouette autonome distincte de Cora.</x:v>
      </x:c>
      <x:c r="J10" s="7" t="str">
        <x:v>Repos, déplacement, interaction et réaction ; nombre d’images ajusté après essai sur écran ; ne pas ajouter une attaque aux personnages civils.</x:v>
      </x:c>
      <x:c r="K10" s="7" t="str">
        <x:v>Marqueurs animation distincts du fichier audio ; sous-titre court si l’action porte une information.</x:v>
      </x:c>
      <x:c r="L10" s="7" t="str">
        <x:v>Animator actor.ini.ygara ; événements start/commit/recover ; annulation avant commit sans effet.</x:v>
      </x:c>
      <x:c r="M10" s="7" t="str">
        <x:v>Animation de blessure ou de décès uniquement si le contexte la justifie ; pas de mort libre d’un personnage établi.</x:v>
      </x:c>
      <x:c r="N10" s="7" t="str">
        <x:v>Une interruption avant commit ne dépense pas la ressource ; aucune pose résiduelle après changement de carte.</x:v>
      </x:c>
      <x:c r="O10" s="7" t="str">
        <x:v>INI-SPR-YGARA</x:v>
      </x:c>
      <x:c r="P10" s="7" t="str"/>
      <x:c r="Q10" s="7" t="str"/>
      <x:c r="R10" s="21" t="str"/>
      <x:c r="S10" s="21" t="str"/>
    </x:row>
    <x:row r="11" ht="68" customHeight="1">
      <x:c r="A11" s="18" t="str">
        <x:v>INI-ANI-MEDEA</x:v>
      </x:c>
      <x:c r="B11" s="9" t="str">
        <x:v>Medea — jeu de poses contextuelles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poses nécessaires à l’interaction « Modifier des accès et donner une information de système potentiellement trompeuse. ».</x:v>
      </x:c>
      <x:c r="G11" s="9" t="str">
        <x:v>Animer uniquement les changements d’état de l’interface et des écrans autorisés par le scénario.</x:v>
      </x:c>
      <x:c r="H11" s="9" t="str">
        <x:v>L’animation reflète une action validée du système ; elle ne déclenche pas elle-même une commande ou un résultat.</x:v>
      </x:c>
      <x:c r="I11" s="9" t="str">
        <x:v>Identifier la provenance du message sur chaque écran concerné.</x:v>
      </x:c>
      <x:c r="J11" s="9" t="str">
        <x:v>Apparition, attente, calcul, proposition, interruption, extinction ; aucun déplacement de corps.</x:v>
      </x:c>
      <x:c r="K11" s="9" t="str">
        <x:v>Marqueurs animation distincts du fichier audio ; sous-titre court si l’action porte une information.</x:v>
      </x:c>
      <x:c r="L11" s="9" t="str">
        <x:v>Contrôleur UI à états ; nettoyage à la sortie de scène ; option animation réduite.</x:v>
      </x:c>
      <x:c r="M11" s="9" t="str">
        <x:v>Animation de blessure ou de décès uniquement si le contexte la justifie ; pas de mort libre d’un personnage établi.</x:v>
      </x:c>
      <x:c r="N11" s="9" t="str">
        <x:v>Une interruption avant commit ne dépense pas la ressource ; aucune pose résiduelle après changement de carte.</x:v>
      </x:c>
      <x:c r="O11" s="9" t="str">
        <x:v>INI-SPR-MEDEA</x:v>
      </x:c>
      <x:c r="P11" s="9" t="str"/>
      <x:c r="Q11" s="9" t="str"/>
      <x:c r="R11" s="20" t="str"/>
      <x:c r="S11" s="20" t="str"/>
    </x:row>
    <x:row r="12" ht="68" customHeight="1">
      <x:c r="A12" s="19" t="str">
        <x:v>INI-ANI-VLASSIA</x:v>
      </x:c>
      <x:c r="B12" s="7" t="str">
        <x:v>Vlassia Ariokis — jeu de poses contextuelles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poses nécessaires à l’interaction « Être interrogée sur une responsabilité institutionnelle dans une scène originale. ».</x:v>
      </x:c>
      <x:c r="G12" s="7" t="str">
        <x:v>Blocage animé de Vlassia Ariokis : anticipation, action, récupération, retour au repos ; prévoir une interruption propre.</x:v>
      </x:c>
      <x:c r="H12" s="7" t="str">
        <x:v>Être interrogée sur une responsabilité institutionnelle dans une scène originale. L’effet logique ne dépend jamais de la cadence du rendu.</x:v>
      </x:c>
      <x:c r="I12" s="7" t="str">
        <x:v>Conserver les repères de silhouette : Tenue d’opération discrète à contrôler ; éviter les insignes inventés.</x:v>
      </x:c>
      <x:c r="J12" s="7" t="str">
        <x:v>Repos, déplacement, interaction et réaction ; nombre d’images ajusté après essai sur écran ; ne pas ajouter une attaque aux personnages civils.</x:v>
      </x:c>
      <x:c r="K12" s="7" t="str">
        <x:v>Marqueurs animation distincts du fichier audio ; sous-titre court si l’action porte une information.</x:v>
      </x:c>
      <x:c r="L12" s="7" t="str">
        <x:v>Animator actor.ini.vlassia ; événements start/commit/recover ; annulation avant commit sans effet.</x:v>
      </x:c>
      <x:c r="M12" s="7" t="str">
        <x:v>Animation de blessure ou de décès uniquement si le contexte la justifie ; pas de mort libre d’un personnage établi.</x:v>
      </x:c>
      <x:c r="N12" s="7" t="str">
        <x:v>Une interruption avant commit ne dépense pas la ressource ; aucune pose résiduelle après changement de carte.</x:v>
      </x:c>
      <x:c r="O12" s="7" t="str">
        <x:v>INI-SPR-VLASSIA</x:v>
      </x:c>
      <x:c r="P12" s="7" t="str"/>
      <x:c r="Q12" s="7" t="str"/>
      <x:c r="R12" s="21" t="str"/>
      <x:c r="S12" s="21" t="str"/>
    </x:row>
    <x:row r="13" ht="54" customHeight="1">
      <x:c r="A13" s="18" t="str">
        <x:v>INI-ANI-JENSEN</x:v>
      </x:c>
      <x:c r="B13" s="9" t="str">
        <x:v>Rebecca Jensen — jeu de poses contextuelles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poses nécessaires à l’interaction « Aider à choisir un itinéraire fondé sur des plans disponibles. ».</x:v>
      </x:c>
      <x:c r="G13" s="9" t="str">
        <x:v>Blocage animé de Rebecca Jensen : anticipation, action, récupération, retour au repos ; prévoir une interruption propre.</x:v>
      </x:c>
      <x:c r="H13" s="9" t="str">
        <x:v>Aider à choisir un itinéraire fondé sur des plans disponibles. L’effet logique ne dépend jamais de la cadence du rendu.</x:v>
      </x:c>
      <x:c r="I13" s="9" t="str">
        <x:v>Conserver les repères de silhouette : Petite stature, coiffure et tenue scientifique à confirmer visuellement.</x:v>
      </x:c>
      <x:c r="J13" s="9" t="str">
        <x:v>Repos, déplacement, interaction et réaction ; nombre d’images ajusté après essai sur écran ; ne pas ajouter une attaque aux personnages civils.</x:v>
      </x:c>
      <x:c r="K13" s="9" t="str">
        <x:v>Marqueurs animation distincts du fichier audio ; sous-titre court si l’action porte une information.</x:v>
      </x:c>
      <x:c r="L13" s="9" t="str">
        <x:v>Animator actor.ini.jensen ; événements start/commit/recover ; annulation avant commit sans effet.</x:v>
      </x:c>
      <x:c r="M13" s="9" t="str">
        <x:v>Animation de blessure ou de décès uniquement si le contexte la justifie ; pas de mort libre d’un personnage établi.</x:v>
      </x:c>
      <x:c r="N13" s="9" t="str">
        <x:v>Une interruption avant commit ne dépense pas la ressource ; aucune pose résiduelle après changement de carte.</x:v>
      </x:c>
      <x:c r="O13" s="9" t="str">
        <x:v>INI-SPR-JENSEN</x:v>
      </x:c>
      <x:c r="P13" s="9" t="str"/>
      <x:c r="Q13" s="9" t="str"/>
      <x:c r="R13" s="20" t="str"/>
      <x:c r="S13" s="20" t="str"/>
    </x:row>
    <x:row r="14" ht="54" customHeight="1">
      <x:c r="A14" s="19" t="str">
        <x:v>INI-ANI-TSENG</x:v>
      </x:c>
      <x:c r="B14" s="7" t="str">
        <x:v>Dr Tseng — jeu de poses contextuelles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poses nécessaires à l’interaction « Valider un constat sans fournir une encyclopédie de l’expérience. ».</x:v>
      </x:c>
      <x:c r="G14" s="7" t="str">
        <x:v>Blocage animé de Dr Tseng : anticipation, action, récupération, retour au repos ; prévoir une interruption propre.</x:v>
      </x:c>
      <x:c r="H14" s="7" t="str">
        <x:v>Valider un constat sans fournir une encyclopédie de l’expérience. L’effet logique ne dépend jamais de la cadence du rendu.</x:v>
      </x:c>
      <x:c r="I14" s="7" t="str">
        <x:v>Conserver les repères de silhouette : Silhouette courbée, tenue de laboratoire simple, gestes économes.</x:v>
      </x:c>
      <x:c r="J14" s="7" t="str">
        <x:v>Repos, déplacement, interaction et réaction ; nombre d’images ajusté après essai sur écran ; ne pas ajouter une attaque aux personnages civils.</x:v>
      </x:c>
      <x:c r="K14" s="7" t="str">
        <x:v>Marqueurs animation distincts du fichier audio ; sous-titre court si l’action porte une information.</x:v>
      </x:c>
      <x:c r="L14" s="7" t="str">
        <x:v>Animator actor.ini.tseng ; événements start/commit/recover ; annulation avant commit sans effet.</x:v>
      </x:c>
      <x:c r="M14" s="7" t="str">
        <x:v>Animation de blessure ou de décès uniquement si le contexte la justifie ; pas de mort libre d’un personnage établi.</x:v>
      </x:c>
      <x:c r="N14" s="7" t="str">
        <x:v>Une interruption avant commit ne dépense pas la ressource ; aucune pose résiduelle après changement de carte.</x:v>
      </x:c>
      <x:c r="O14" s="7" t="str">
        <x:v>INI-SPR-TSENG</x:v>
      </x:c>
      <x:c r="P14" s="7" t="str"/>
      <x:c r="Q14" s="7" t="str"/>
      <x:c r="R14" s="21" t="str"/>
      <x:c r="S14" s="21" t="str"/>
    </x:row>
    <x:row r="15" ht="54" customHeight="1">
      <x:c r="A15" s="18" t="str">
        <x:v>INI-ANI-ABUBAKAR</x:v>
      </x:c>
      <x:c r="B15" s="9" t="str">
        <x:v>Abubakar — jeu de poses contextuelles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poses nécessaires à l’interaction « Organiser l’attente d’un groupe de blessés abstraitement. ».</x:v>
      </x:c>
      <x:c r="G15" s="9" t="str">
        <x:v>Blocage animé de Abubakar : anticipation, action, récupération, retour au repos ; prévoir une interruption propre.</x:v>
      </x:c>
      <x:c r="H15" s="9" t="str">
        <x:v>Organiser l’attente d’un groupe de blessés abstraitement. L’effet logique ne dépend jamais de la cadence du rendu.</x:v>
      </x:c>
      <x:c r="I15" s="9" t="str">
        <x:v>Conserver les repères de silhouette : Tenue médicale de terrain proposée, brassard de fonction original.</x:v>
      </x:c>
      <x:c r="J15" s="9" t="str">
        <x:v>Repos, déplacement, interaction et réaction ; nombre d’images ajusté après essai sur écran ; ne pas ajouter une attaque aux personnages civils.</x:v>
      </x:c>
      <x:c r="K15" s="9" t="str">
        <x:v>Marqueurs animation distincts du fichier audio ; sous-titre court si l’action porte une information.</x:v>
      </x:c>
      <x:c r="L15" s="9" t="str">
        <x:v>Animator actor.ini.abubakar ; événements start/commit/recover ; annulation avant commit sans effet.</x:v>
      </x:c>
      <x:c r="M15" s="9" t="str">
        <x:v>Animation de blessure ou de décès uniquement si le contexte la justifie ; pas de mort libre d’un personnage établi.</x:v>
      </x:c>
      <x:c r="N15" s="9" t="str">
        <x:v>Une interruption avant commit ne dépense pas la ressource ; aucune pose résiduelle après changement de carte.</x:v>
      </x:c>
      <x:c r="O15" s="9" t="str">
        <x:v>INI-SPR-ABUBAKAR</x:v>
      </x:c>
      <x:c r="P15" s="9" t="str"/>
      <x:c r="Q15" s="9" t="str"/>
      <x:c r="R15" s="20" t="str"/>
      <x:c r="S15" s="20" t="str"/>
    </x:row>
    <x:row r="16" ht="54" customHeight="1">
      <x:c r="A16" s="19" t="str">
        <x:v>INI-ANI-ZAHRA</x:v>
      </x:c>
      <x:c r="B16" s="7" t="str">
        <x:v>Zahra Said — jeu de poses contextuelles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poses nécessaires à l’interaction « Couvrir une porte pendant que les civils franchissent le passage. ».</x:v>
      </x:c>
      <x:c r="G16" s="7" t="str">
        <x:v>Blocage animé de Zahra Said : anticipation, action, récupération, retour au repos ; prévoir une interruption propre.</x:v>
      </x:c>
      <x:c r="H16" s="7" t="str">
        <x:v>Couvrir une porte pendant que les civils franchissent le passage. L’effet logique ne dépend jamais de la cadence du rendu.</x:v>
      </x:c>
      <x:c r="I16" s="7" t="str">
        <x:v>Conserver les repères de silhouette : Tenue de marine endommagée avec silhouette lisible dans la pénombre.</x:v>
      </x:c>
      <x:c r="J16" s="7" t="str">
        <x:v>Repos, déplacement, interaction et réaction ; nombre d’images ajusté après essai sur écran ; ne pas ajouter une attaque aux personnages civils.</x:v>
      </x:c>
      <x:c r="K16" s="7" t="str">
        <x:v>Marqueurs animation distincts du fichier audio ; sous-titre court si l’action porte une information.</x:v>
      </x:c>
      <x:c r="L16" s="7" t="str">
        <x:v>Animator actor.ini.zahra ; événements start/commit/recover ; annulation avant commit sans effet.</x:v>
      </x:c>
      <x:c r="M16" s="7" t="str">
        <x:v>Animation de blessure ou de décès uniquement si le contexte la justifie ; pas de mort libre d’un personnage établi.</x:v>
      </x:c>
      <x:c r="N16" s="7" t="str">
        <x:v>Une interruption avant commit ne dépense pas la ressource ; aucune pose résiduelle après changement de carte.</x:v>
      </x:c>
      <x:c r="O16" s="7" t="str">
        <x:v>INI-SPR-ZAHRA</x:v>
      </x:c>
      <x:c r="P16" s="7" t="str"/>
      <x:c r="Q16" s="7" t="str"/>
      <x:c r="R16" s="21" t="str"/>
      <x:c r="S16" s="21" t="str"/>
    </x:row>
  </x:sheetData>
  <x:conditionalFormatting sqref="D7:D16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6">
    <x:cfRule type="cellIs" dxfId="78" priority="3" operator="equal">
      <x:formula>"Validé"</x:formula>
    </x:cfRule>
  </x:conditionalFormatting>
  <x:conditionalFormatting sqref="E7:E16">
    <x:cfRule type="cellIs" dxfId="7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30953f376e4b70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INI-SPR-CORA</x:v>
      </x:c>
      <x:c r="B7" s="9" t="str">
        <x:v>Cora Harper — planche sprite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représentation 2D de Cora Harper pour ce module.</x:v>
      </x:c>
      <x:c r="G7" s="9" t="str">
        <x:v>Armure humaine et maintien de commando ; coiffure et accessoires à vérifier pour cette période. Préparer silhouette entière, portrait de dialogue et masque de sélection.</x:v>
      </x:c>
      <x:c r="H7" s="9" t="str">
        <x:v>La zone interactive reste stable entre les poses ; la tenue ne confère aucun bonus implicite.</x:v>
      </x:c>
      <x:c r="I7" s="9" t="str">
        <x:v>Armure humaine et maintien de commando ; coiffure et accessoires à vérifier pour cette période. Palette proposée à valider ; comparaison en miniature et sur le décor le plus sombre.</x:v>
      </x:c>
      <x:c r="J7" s="9" t="str">
        <x:v>Vue de trois quarts ; pivots dans huit directions proposées ; symétrie interdite si elle inverse un accessoire identifiable.</x:v>
      </x:c>
      <x:c r="K7" s="9" t="str">
        <x:v>Aucun échantillon du jeu ou du film ; le changement de sélection utilise le son UI du module.</x:v>
      </x:c>
      <x:c r="L7" s="9" t="str">
        <x:v>Prévoir assets/ini/actors/cora/atlas.png + atlas.json, pivot aux pieds.</x:v>
      </x:c>
      <x:c r="M7" s="9" t="str">
        <x:v>Visible uniquement quand Cora Harper est autorisé par l’état narratif.</x:v>
      </x:c>
      <x:c r="N7" s="9" t="str">
        <x:v>Silhouette reconnue sans nom ; pieds sans glissement ; portrait et sprite cohérents à échelle réelle.</x:v>
      </x:c>
      <x:c r="O7" s="9" t="str">
        <x:v>INI-CHR-CORA</x:v>
      </x:c>
      <x:c r="P7" s="9" t="str"/>
      <x:c r="Q7" s="9" t="str"/>
      <x:c r="R7" s="20" t="str"/>
      <x:c r="S7" s="20" t="str"/>
    </x:row>
    <x:row r="8" ht="54" customHeight="1">
      <x:c r="A8" s="19" t="str">
        <x:v>INI-SPR-SAME</x:v>
      </x:c>
      <x:c r="B8" s="7" t="str">
        <x:v>SAM-E — planche sprite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représentation 2D de SAM-E pour ce module.</x:v>
      </x:c>
      <x:c r="G8" s="7" t="str">
        <x:v>Créer un ensemble d’éléments d’interface pour SAM-E : état silencieux, analyse, proposition et interruption. Aucun corps physique ni avatar officiel n’est supposé.</x:v>
      </x:c>
      <x:c r="H8" s="7" t="str">
        <x:v>La zone interactive reste stable entre les poses ; la tenue ne confère aucun bonus implicite.</x:v>
      </x:c>
      <x:c r="I8" s="7" t="str">
        <x:v>Glyphes originaux, encart textuel de provenance et états lisibles en monochrome ; ne pas attribuer une couleur exclusive à la vérité ou au mensonge.</x:v>
      </x:c>
      <x:c r="J8" s="7" t="str">
        <x:v>Transitions d’opacité et de tracé, désactivables ; aucune locomotion, hitbox corporelle ou direction de marche.</x:v>
      </x:c>
      <x:c r="K8" s="7" t="str">
        <x:v>Aucun échantillon du jeu ou du film ; le changement de sélection utilise le son UI du module.</x:v>
      </x:c>
      <x:c r="L8" s="7" t="str">
        <x:v>assets/ini/interfaces/same/ ; atlas de symboles et portrait abstrait facultatif, sans pivot aux pieds.</x:v>
      </x:c>
      <x:c r="M8" s="7" t="str">
        <x:v>Visible uniquement quand SAM-E est autorisé par l’état narratif.</x:v>
      </x:c>
      <x:c r="N8" s="7" t="str">
        <x:v>Tous les états sont identifiés par texte ; mode sans animation conserve les mêmes informations ; aucun acteur physique n’apparaît sur la carte.</x:v>
      </x:c>
      <x:c r="O8" s="7" t="str">
        <x:v>INI-CHR-SAME</x:v>
      </x:c>
      <x:c r="P8" s="7" t="str"/>
      <x:c r="Q8" s="7" t="str"/>
      <x:c r="R8" s="21" t="str"/>
      <x:c r="S8" s="21" t="str"/>
    </x:row>
    <x:row r="9" ht="68" customHeight="1">
      <x:c r="A9" s="18" t="str">
        <x:v>INI-SPR-ALEC</x:v>
      </x:c>
      <x:c r="B9" s="9" t="str">
        <x:v>Alec Ryder — planche sprite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représentation 2D de Alec Ryder pour ce module.</x:v>
      </x:c>
      <x:c r="G9" s="9" t="str">
        <x:v>Officier expérimenté, silhouette d’armure de période et version en hologramme. Préparer silhouette entière, portrait de dialogue et masque de sélection.</x:v>
      </x:c>
      <x:c r="H9" s="9" t="str">
        <x:v>La zone interactive reste stable entre les poses ; la tenue ne confère aucun bonus implicite.</x:v>
      </x:c>
      <x:c r="I9" s="9" t="str">
        <x:v>Officier expérimenté, silhouette d’armure de période et version en hologramme. Palette proposée à valider ; comparaison en miniature et sur le décor le plus sombre.</x:v>
      </x:c>
      <x:c r="J9" s="9" t="str">
        <x:v>Vue de trois quarts ; pivots dans huit directions proposées ; symétrie interdite si elle inverse un accessoire identifiable.</x:v>
      </x:c>
      <x:c r="K9" s="9" t="str">
        <x:v>Aucun échantillon du jeu ou du film ; le changement de sélection utilise le son UI du module.</x:v>
      </x:c>
      <x:c r="L9" s="9" t="str">
        <x:v>Prévoir assets/ini/actors/alec/atlas.png + atlas.json, pivot aux pieds.</x:v>
      </x:c>
      <x:c r="M9" s="9" t="str">
        <x:v>Visible uniquement quand Alec Ryder est autorisé par l’état narratif.</x:v>
      </x:c>
      <x:c r="N9" s="9" t="str">
        <x:v>Silhouette reconnue sans nom ; pieds sans glissement ; portrait et sprite cohérents à échelle réelle.</x:v>
      </x:c>
      <x:c r="O9" s="9" t="str">
        <x:v>INI-CHR-ALEC</x:v>
      </x:c>
      <x:c r="P9" s="9" t="str"/>
      <x:c r="Q9" s="9" t="str"/>
      <x:c r="R9" s="20" t="str"/>
      <x:c r="S9" s="20" t="str"/>
    </x:row>
    <x:row r="10" ht="68" customHeight="1">
      <x:c r="A10" s="19" t="str">
        <x:v>INI-SPR-YGARA</x:v>
      </x:c>
      <x:c r="B10" s="7" t="str">
        <x:v>Ygara Menoris — planche sprite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représentation 2D de Ygara Menoris pour ce module.</x:v>
      </x:c>
      <x:c r="G10" s="7" t="str">
        <x:v>Tenue de terrain asari proposée, silhouette autonome distincte de Cora. Préparer silhouette entière, portrait de dialogue et masque de sélection.</x:v>
      </x:c>
      <x:c r="H10" s="7" t="str">
        <x:v>La zone interactive reste stable entre les poses ; la tenue ne confère aucun bonus implicite.</x:v>
      </x:c>
      <x:c r="I10" s="7" t="str">
        <x:v>Tenue de terrain asari proposée, silhouette autonome distincte de Cora. Palette proposée à valider ; comparaison en miniature et sur le décor le plus sombre.</x:v>
      </x:c>
      <x:c r="J10" s="7" t="str">
        <x:v>Vue de trois quarts ; pivots dans huit directions proposées ; symétrie interdite si elle inverse un accessoire identifiable.</x:v>
      </x:c>
      <x:c r="K10" s="7" t="str">
        <x:v>Aucun échantillon du jeu ou du film ; le changement de sélection utilise le son UI du module.</x:v>
      </x:c>
      <x:c r="L10" s="7" t="str">
        <x:v>Prévoir assets/ini/actors/ygara/atlas.png + atlas.json, pivot aux pieds.</x:v>
      </x:c>
      <x:c r="M10" s="7" t="str">
        <x:v>Visible uniquement quand Ygara Menoris est autorisé par l’état narratif.</x:v>
      </x:c>
      <x:c r="N10" s="7" t="str">
        <x:v>Silhouette reconnue sans nom ; pieds sans glissement ; portrait et sprite cohérents à échelle réelle.</x:v>
      </x:c>
      <x:c r="O10" s="7" t="str">
        <x:v>INI-CHR-YGARA</x:v>
      </x:c>
      <x:c r="P10" s="7" t="str"/>
      <x:c r="Q10" s="7" t="str"/>
      <x:c r="R10" s="21" t="str"/>
      <x:c r="S10" s="21" t="str"/>
    </x:row>
    <x:row r="11" ht="54" customHeight="1">
      <x:c r="A11" s="18" t="str">
        <x:v>INI-SPR-MEDEA</x:v>
      </x:c>
      <x:c r="B11" s="9" t="str">
        <x:v>Medea — planche sprite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représentation 2D de Medea pour ce module.</x:v>
      </x:c>
      <x:c r="G11" s="9" t="str">
        <x:v>Créer un ensemble d’éléments d’interface pour Medea : état silencieux, analyse, proposition et interruption. Aucun corps physique ni avatar officiel n’est supposé.</x:v>
      </x:c>
      <x:c r="H11" s="9" t="str">
        <x:v>La zone interactive reste stable entre les poses ; la tenue ne confère aucun bonus implicite.</x:v>
      </x:c>
      <x:c r="I11" s="9" t="str">
        <x:v>Glyphes originaux, encart textuel de provenance et états lisibles en monochrome ; ne pas attribuer une couleur exclusive à la vérité ou au mensonge.</x:v>
      </x:c>
      <x:c r="J11" s="9" t="str">
        <x:v>Transitions d’opacité et de tracé, désactivables ; aucune locomotion, hitbox corporelle ou direction de marche.</x:v>
      </x:c>
      <x:c r="K11" s="9" t="str">
        <x:v>Aucun échantillon du jeu ou du film ; le changement de sélection utilise le son UI du module.</x:v>
      </x:c>
      <x:c r="L11" s="9" t="str">
        <x:v>assets/ini/interfaces/medea/ ; atlas de symboles et portrait abstrait facultatif, sans pivot aux pieds.</x:v>
      </x:c>
      <x:c r="M11" s="9" t="str">
        <x:v>Visible uniquement quand Medea est autorisé par l’état narratif.</x:v>
      </x:c>
      <x:c r="N11" s="9" t="str">
        <x:v>Tous les états sont identifiés par texte ; mode sans animation conserve les mêmes informations ; aucun acteur physique n’apparaît sur la carte.</x:v>
      </x:c>
      <x:c r="O11" s="9" t="str">
        <x:v>INI-CHR-MEDEA</x:v>
      </x:c>
      <x:c r="P11" s="9" t="str"/>
      <x:c r="Q11" s="9" t="str"/>
      <x:c r="R11" s="20" t="str"/>
      <x:c r="S11" s="20" t="str"/>
    </x:row>
    <x:row r="12" ht="68" customHeight="1">
      <x:c r="A12" s="19" t="str">
        <x:v>INI-SPR-VLASSIA</x:v>
      </x:c>
      <x:c r="B12" s="7" t="str">
        <x:v>Vlassia Ariokis — planche sprite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représentation 2D de Vlassia Ariokis pour ce module.</x:v>
      </x:c>
      <x:c r="G12" s="7" t="str">
        <x:v>Tenue d’opération discrète à contrôler ; éviter les insignes inventés. Préparer silhouette entière, portrait de dialogue et masque de sélection.</x:v>
      </x:c>
      <x:c r="H12" s="7" t="str">
        <x:v>La zone interactive reste stable entre les poses ; la tenue ne confère aucun bonus implicite.</x:v>
      </x:c>
      <x:c r="I12" s="7" t="str">
        <x:v>Tenue d’opération discrète à contrôler ; éviter les insignes inventés. Palette proposée à valider ; comparaison en miniature et sur le décor le plus sombre.</x:v>
      </x:c>
      <x:c r="J12" s="7" t="str">
        <x:v>Vue de trois quarts ; pivots dans huit directions proposées ; symétrie interdite si elle inverse un accessoire identifiable.</x:v>
      </x:c>
      <x:c r="K12" s="7" t="str">
        <x:v>Aucun échantillon du jeu ou du film ; le changement de sélection utilise le son UI du module.</x:v>
      </x:c>
      <x:c r="L12" s="7" t="str">
        <x:v>Prévoir assets/ini/actors/vlassia/atlas.png + atlas.json, pivot aux pieds.</x:v>
      </x:c>
      <x:c r="M12" s="7" t="str">
        <x:v>Visible uniquement quand Vlassia Ariokis est autorisé par l’état narratif.</x:v>
      </x:c>
      <x:c r="N12" s="7" t="str">
        <x:v>Silhouette reconnue sans nom ; pieds sans glissement ; portrait et sprite cohérents à échelle réelle.</x:v>
      </x:c>
      <x:c r="O12" s="7" t="str">
        <x:v>INI-CHR-VLASSIA</x:v>
      </x:c>
      <x:c r="P12" s="7" t="str"/>
      <x:c r="Q12" s="7" t="str"/>
      <x:c r="R12" s="21" t="str"/>
      <x:c r="S12" s="21" t="str"/>
    </x:row>
    <x:row r="13" ht="68" customHeight="1">
      <x:c r="A13" s="18" t="str">
        <x:v>INI-SPR-JENSEN</x:v>
      </x:c>
      <x:c r="B13" s="9" t="str">
        <x:v>Rebecca Jensen — planche sprite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représentation 2D de Rebecca Jensen pour ce module.</x:v>
      </x:c>
      <x:c r="G13" s="9" t="str">
        <x:v>Petite stature, coiffure et tenue scientifique à confirmer visuellement. Préparer silhouette entière, portrait de dialogue et masque de sélection.</x:v>
      </x:c>
      <x:c r="H13" s="9" t="str">
        <x:v>La zone interactive reste stable entre les poses ; la tenue ne confère aucun bonus implicite.</x:v>
      </x:c>
      <x:c r="I13" s="9" t="str">
        <x:v>Petite stature, coiffure et tenue scientifique à confirmer visuellement. Palette proposée à valider ; comparaison en miniature et sur le décor le plus sombre.</x:v>
      </x:c>
      <x:c r="J13" s="9" t="str">
        <x:v>Vue de trois quarts ; pivots dans huit directions proposées ; symétrie interdite si elle inverse un accessoire identifiable.</x:v>
      </x:c>
      <x:c r="K13" s="9" t="str">
        <x:v>Aucun échantillon du jeu ou du film ; le changement de sélection utilise le son UI du module.</x:v>
      </x:c>
      <x:c r="L13" s="9" t="str">
        <x:v>Prévoir assets/ini/actors/jensen/atlas.png + atlas.json, pivot aux pieds.</x:v>
      </x:c>
      <x:c r="M13" s="9" t="str">
        <x:v>Visible uniquement quand Rebecca Jensen est autorisé par l’état narratif.</x:v>
      </x:c>
      <x:c r="N13" s="9" t="str">
        <x:v>Silhouette reconnue sans nom ; pieds sans glissement ; portrait et sprite cohérents à échelle réelle.</x:v>
      </x:c>
      <x:c r="O13" s="9" t="str">
        <x:v>INI-CHR-JENSEN</x:v>
      </x:c>
      <x:c r="P13" s="9" t="str"/>
      <x:c r="Q13" s="9" t="str"/>
      <x:c r="R13" s="20" t="str"/>
      <x:c r="S13" s="20" t="str"/>
    </x:row>
    <x:row r="14" ht="68" customHeight="1">
      <x:c r="A14" s="19" t="str">
        <x:v>INI-SPR-TSENG</x:v>
      </x:c>
      <x:c r="B14" s="7" t="str">
        <x:v>Dr Tseng — planche sprite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représentation 2D de Dr Tseng pour ce module.</x:v>
      </x:c>
      <x:c r="G14" s="7" t="str">
        <x:v>Silhouette courbée, tenue de laboratoire simple, gestes économes. Préparer silhouette entière, portrait de dialogue et masque de sélection.</x:v>
      </x:c>
      <x:c r="H14" s="7" t="str">
        <x:v>La zone interactive reste stable entre les poses ; la tenue ne confère aucun bonus implicite.</x:v>
      </x:c>
      <x:c r="I14" s="7" t="str">
        <x:v>Silhouette courbée, tenue de laboratoire simple, gestes économes. Palette proposée à valider ; comparaison en miniature et sur le décor le plus sombre.</x:v>
      </x:c>
      <x:c r="J14" s="7" t="str">
        <x:v>Vue de trois quarts ; pivots dans huit directions proposées ; symétrie interdite si elle inverse un accessoire identifiable.</x:v>
      </x:c>
      <x:c r="K14" s="7" t="str">
        <x:v>Aucun échantillon du jeu ou du film ; le changement de sélection utilise le son UI du module.</x:v>
      </x:c>
      <x:c r="L14" s="7" t="str">
        <x:v>Prévoir assets/ini/actors/tseng/atlas.png + atlas.json, pivot aux pieds.</x:v>
      </x:c>
      <x:c r="M14" s="7" t="str">
        <x:v>Visible uniquement quand Dr Tseng est autorisé par l’état narratif.</x:v>
      </x:c>
      <x:c r="N14" s="7" t="str">
        <x:v>Silhouette reconnue sans nom ; pieds sans glissement ; portrait et sprite cohérents à échelle réelle.</x:v>
      </x:c>
      <x:c r="O14" s="7" t="str">
        <x:v>INI-CHR-TSENG</x:v>
      </x:c>
      <x:c r="P14" s="7" t="str"/>
      <x:c r="Q14" s="7" t="str"/>
      <x:c r="R14" s="21" t="str"/>
      <x:c r="S14" s="21" t="str"/>
    </x:row>
    <x:row r="15" ht="68" customHeight="1">
      <x:c r="A15" s="18" t="str">
        <x:v>INI-SPR-ABUBAKAR</x:v>
      </x:c>
      <x:c r="B15" s="9" t="str">
        <x:v>Abubakar — planche sprite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représentation 2D de Abubakar pour ce module.</x:v>
      </x:c>
      <x:c r="G15" s="9" t="str">
        <x:v>Tenue médicale de terrain proposée, brassard de fonction original. Préparer silhouette entière, portrait de dialogue et masque de sélection.</x:v>
      </x:c>
      <x:c r="H15" s="9" t="str">
        <x:v>La zone interactive reste stable entre les poses ; la tenue ne confère aucun bonus implicite.</x:v>
      </x:c>
      <x:c r="I15" s="9" t="str">
        <x:v>Tenue médicale de terrain proposée, brassard de fonction original. Palette proposée à valider ; comparaison en miniature et sur le décor le plus sombre.</x:v>
      </x:c>
      <x:c r="J15" s="9" t="str">
        <x:v>Vue de trois quarts ; pivots dans huit directions proposées ; symétrie interdite si elle inverse un accessoire identifiable.</x:v>
      </x:c>
      <x:c r="K15" s="9" t="str">
        <x:v>Aucun échantillon du jeu ou du film ; le changement de sélection utilise le son UI du module.</x:v>
      </x:c>
      <x:c r="L15" s="9" t="str">
        <x:v>Prévoir assets/ini/actors/abubakar/atlas.png + atlas.json, pivot aux pieds.</x:v>
      </x:c>
      <x:c r="M15" s="9" t="str">
        <x:v>Visible uniquement quand Abubakar est autorisé par l’état narratif.</x:v>
      </x:c>
      <x:c r="N15" s="9" t="str">
        <x:v>Silhouette reconnue sans nom ; pieds sans glissement ; portrait et sprite cohérents à échelle réelle.</x:v>
      </x:c>
      <x:c r="O15" s="9" t="str">
        <x:v>INI-CHR-ABUBAKAR</x:v>
      </x:c>
      <x:c r="P15" s="9" t="str"/>
      <x:c r="Q15" s="9" t="str"/>
      <x:c r="R15" s="20" t="str"/>
      <x:c r="S15" s="20" t="str"/>
    </x:row>
    <x:row r="16" ht="68" customHeight="1">
      <x:c r="A16" s="19" t="str">
        <x:v>INI-SPR-ZAHRA</x:v>
      </x:c>
      <x:c r="B16" s="7" t="str">
        <x:v>Zahra Said — planche sprite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représentation 2D de Zahra Said pour ce module.</x:v>
      </x:c>
      <x:c r="G16" s="7" t="str">
        <x:v>Tenue de marine endommagée avec silhouette lisible dans la pénombre. Préparer silhouette entière, portrait de dialogue et masque de sélection.</x:v>
      </x:c>
      <x:c r="H16" s="7" t="str">
        <x:v>La zone interactive reste stable entre les poses ; la tenue ne confère aucun bonus implicite.</x:v>
      </x:c>
      <x:c r="I16" s="7" t="str">
        <x:v>Tenue de marine endommagée avec silhouette lisible dans la pénombre. Palette proposée à valider ; comparaison en miniature et sur le décor le plus sombre.</x:v>
      </x:c>
      <x:c r="J16" s="7" t="str">
        <x:v>Vue de trois quarts ; pivots dans huit directions proposées ; symétrie interdite si elle inverse un accessoire identifiable.</x:v>
      </x:c>
      <x:c r="K16" s="7" t="str">
        <x:v>Aucun échantillon du jeu ou du film ; le changement de sélection utilise le son UI du module.</x:v>
      </x:c>
      <x:c r="L16" s="7" t="str">
        <x:v>Prévoir assets/ini/actors/zahra/atlas.png + atlas.json, pivot aux pieds.</x:v>
      </x:c>
      <x:c r="M16" s="7" t="str">
        <x:v>Visible uniquement quand Zahra Said est autorisé par l’état narratif.</x:v>
      </x:c>
      <x:c r="N16" s="7" t="str">
        <x:v>Silhouette reconnue sans nom ; pieds sans glissement ; portrait et sprite cohérents à échelle réelle.</x:v>
      </x:c>
      <x:c r="O16" s="7" t="str">
        <x:v>INI-CHR-ZAHRA</x:v>
      </x:c>
      <x:c r="P16" s="7" t="str"/>
      <x:c r="Q16" s="7" t="str"/>
      <x:c r="R16" s="21" t="str"/>
      <x:c r="S16" s="21" t="str"/>
    </x:row>
  </x:sheetData>
  <x:conditionalFormatting sqref="D7:D16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6">
    <x:cfRule type="cellIs" dxfId="82" priority="3" operator="equal">
      <x:formula>"Validé"</x:formula>
    </x:cfRule>
  </x:conditionalFormatting>
  <x:conditionalFormatting sqref="E7:E16">
    <x:cfRule type="cellIs" dxfId="83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cf06d646eb43f8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INI-VFX-MERC</x:v>
      </x:c>
      <x:c r="B7" s="9" t="str">
        <x:v>Équipe mercenaire proposée — effet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 de prévision et de résultat pour la rencontre.</x:v>
      </x:c>
      <x:c r="G7" s="9" t="str">
        <x:v>Cône de surveillance et témoin de serrure.</x:v>
      </x:c>
      <x:c r="H7" s="9" t="str">
        <x:v>Aire de prévision égale à l’aire logique ; masque de cible conservé en daltonisme.</x:v>
      </x:c>
      <x:c r="I7" s="9" t="str">
        <x:v>Cône de surveillance et témoin de serrure. Limiter les flashes ; option intensité réduite conservant contours et pictogrammes.</x:v>
      </x:c>
      <x:c r="J7" s="9" t="str">
        <x:v>Apparition, maintien, résolution et extinction distinctes ; pas de particule persistante après sortie de carte.</x:v>
      </x:c>
      <x:c r="K7" s="9" t="str">
        <x:v>Un son par engagement ; pas d’empilement de boucles sur recharge de sauvegarde.</x:v>
      </x:c>
      <x:c r="L7" s="9" t="str">
        <x:v>fx/ini/merc ; pool local nettoyé au changement de scène.</x:v>
      </x:c>
      <x:c r="M7" s="9" t="str">
        <x:v>Effet lié au comportement, jamais déclenché par une animation décorative.</x:v>
      </x:c>
      <x:c r="N7" s="9" t="str">
        <x:v>Aucune cible hors aire n’est affectée ; mode réduit conserve la compréhension.</x:v>
      </x:c>
      <x:c r="O7" s="9" t="str">
        <x:v>INI-EMV-MERC</x:v>
      </x:c>
      <x:c r="P7" s="9" t="str"/>
      <x:c r="Q7" s="9" t="str"/>
      <x:c r="R7" s="20" t="str"/>
      <x:c r="S7" s="20" t="str"/>
    </x:row>
    <x:row r="8" ht="54" customHeight="1">
      <x:c r="A8" s="19" t="str">
        <x:v>INI-VFX-AUGMENT</x:v>
      </x:c>
      <x:c r="B8" s="7" t="str">
        <x:v>Augment de couloir proposé — effet lisible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original de prévision et de résultat pour la rencontre.</x:v>
      </x:c>
      <x:c r="G8" s="7" t="str">
        <x:v>Posture tassée et ligne au sol avant départ.</x:v>
      </x:c>
      <x:c r="H8" s="7" t="str">
        <x:v>Aire de prévision égale à l’aire logique ; masque de cible conservé en daltonisme.</x:v>
      </x:c>
      <x:c r="I8" s="7" t="str">
        <x:v>Posture tassée et ligne au sol avant départ. Limiter les flashes ; option intensité réduite conservant contours et pictogrammes.</x:v>
      </x:c>
      <x:c r="J8" s="7" t="str">
        <x:v>Apparition, maintien, résolution et extinction distinctes ; pas de particule persistante après sortie de carte.</x:v>
      </x:c>
      <x:c r="K8" s="7" t="str">
        <x:v>Un son par engagement ; pas d’empilement de boucles sur recharge de sauvegarde.</x:v>
      </x:c>
      <x:c r="L8" s="7" t="str">
        <x:v>fx/ini/augment ; pool local nettoyé au changement de scène.</x:v>
      </x:c>
      <x:c r="M8" s="7" t="str">
        <x:v>Effet lié au comportement, jamais déclenché par une animation décorative.</x:v>
      </x:c>
      <x:c r="N8" s="7" t="str">
        <x:v>Aucune cible hors aire n’est affectée ; mode réduit conserve la compréhension.</x:v>
      </x:c>
      <x:c r="O8" s="7" t="str">
        <x:v>INI-EMV-AUGMENT</x:v>
      </x:c>
      <x:c r="P8" s="7" t="str"/>
      <x:c r="Q8" s="7" t="str"/>
      <x:c r="R8" s="21" t="str"/>
      <x:c r="S8" s="21" t="str"/>
    </x:row>
    <x:row r="9" ht="54" customHeight="1">
      <x:c r="A9" s="18" t="str">
        <x:v>INI-VFX-MEDEA</x:v>
      </x:c>
      <x:c r="B9" s="9" t="str">
        <x:v>Medea — crise d’accès proposée — effet lisible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Effet original de prévision et de résultat pour la rencontre.</x:v>
      </x:c>
      <x:c r="G9" s="9" t="str">
        <x:v>Incohérence entre état de porte et panneau.</x:v>
      </x:c>
      <x:c r="H9" s="9" t="str">
        <x:v>Aire de prévision égale à l’aire logique ; masque de cible conservé en daltonisme.</x:v>
      </x:c>
      <x:c r="I9" s="9" t="str">
        <x:v>Incohérence entre état de porte et panneau. Limiter les flashes ; option intensité réduite conservant contours et pictogrammes.</x:v>
      </x:c>
      <x:c r="J9" s="9" t="str">
        <x:v>Apparition, maintien, résolution et extinction distinctes ; pas de particule persistante après sortie de carte.</x:v>
      </x:c>
      <x:c r="K9" s="9" t="str">
        <x:v>Un son par engagement ; pas d’empilement de boucles sur recharge de sauvegarde.</x:v>
      </x:c>
      <x:c r="L9" s="9" t="str">
        <x:v>fx/ini/medea ; pool local nettoyé au changement de scène.</x:v>
      </x:c>
      <x:c r="M9" s="9" t="str">
        <x:v>Effet lié au comportement, jamais déclenché par une animation décorative.</x:v>
      </x:c>
      <x:c r="N9" s="9" t="str">
        <x:v>Aucune cible hors aire n’est affectée ; mode réduit conserve la compréhension.</x:v>
      </x:c>
      <x:c r="O9" s="9" t="str">
        <x:v>INI-EMV-MEDEA</x:v>
      </x:c>
      <x:c r="P9" s="9" t="str"/>
      <x:c r="Q9" s="9" t="str"/>
      <x:c r="R9" s="20" t="str"/>
      <x:c r="S9" s="20" t="str"/>
    </x:row>
    <x:row r="10" ht="54" customHeight="1">
      <x:c r="A10" s="19" t="str">
        <x:v>INI-VFX-OVERLOAD</x:v>
      </x:c>
      <x:c r="B10" s="7" t="str">
        <x:v>Seuil de fatigue proposé — effet lisible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Effet original de prévision et de résultat pour la rencontre.</x:v>
      </x:c>
      <x:c r="G10" s="7" t="str">
        <x:v>Avertissement textuel, baisse de saturation désactivable.</x:v>
      </x:c>
      <x:c r="H10" s="7" t="str">
        <x:v>Aire de prévision égale à l’aire logique ; masque de cible conservé en daltonisme.</x:v>
      </x:c>
      <x:c r="I10" s="7" t="str">
        <x:v>Avertissement textuel, baisse de saturation désactivable. Limiter les flashes ; option intensité réduite conservant contours et pictogrammes.</x:v>
      </x:c>
      <x:c r="J10" s="7" t="str">
        <x:v>Apparition, maintien, résolution et extinction distinctes ; pas de particule persistante après sortie de carte.</x:v>
      </x:c>
      <x:c r="K10" s="7" t="str">
        <x:v>Un son par engagement ; pas d’empilement de boucles sur recharge de sauvegarde.</x:v>
      </x:c>
      <x:c r="L10" s="7" t="str">
        <x:v>fx/ini/overload ; pool local nettoyé au changement de scène.</x:v>
      </x:c>
      <x:c r="M10" s="7" t="str">
        <x:v>Effet lié au comportement, jamais déclenché par une animation décorative.</x:v>
      </x:c>
      <x:c r="N10" s="7" t="str">
        <x:v>Aucune cible hors aire n’est affectée ; mode réduit conserve la compréhension.</x:v>
      </x:c>
      <x:c r="O10" s="7" t="str">
        <x:v>INI-EMV-OVERLOAD</x:v>
      </x:c>
      <x:c r="P10" s="7" t="str"/>
      <x:c r="Q10" s="7" t="str"/>
      <x:c r="R10" s="21" t="str"/>
      <x:c r="S10" s="21" t="str"/>
    </x:row>
  </x:sheetData>
  <x:conditionalFormatting sqref="D7:D10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0">
    <x:cfRule type="cellIs" dxfId="86" priority="3" operator="equal">
      <x:formula>"Validé"</x:formula>
    </x:cfRule>
  </x:conditionalFormatting>
  <x:conditionalFormatting sqref="E7:E10">
    <x:cfRule type="cellIs" dxfId="8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c02a13d7114816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INI-AUD-01</x:v>
      </x:c>
      <x:c r="B7" s="9" t="str">
        <x:v>Voix d’assistance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 pour le fan game.</x:v>
      </x:c>
      <x:c r="G7" s="9" t="str">
        <x:v>Voix originale éventuelle avec débit ajustable ; réponses brèves en action, détails dans le journal.</x:v>
      </x:c>
      <x:c r="H7" s="9" t="str">
        <x:v>Déclenchement à l’événement logique ; priorité à la compréhension des commandes du groupe.</x:v>
      </x:c>
      <x:c r="I7" s="9" t="str">
        <x:v>Sous-titre d’ambiance facultatif ; pictogramme si le son fournit une alerte.</x:v>
      </x:c>
      <x:c r="J7" s="9" t="str">
        <x:v>Points de synchro notés dans la fiche animation concernée ; aucune dépendance à la vitesse de lecture.</x:v>
      </x:c>
      <x:c r="K7" s="9" t="str">
        <x:v>Voix originale éventuelle avec débit ajustable ; réponses brèves en action, détails dans le journal. Musique, bruitages et éventuelles voix à produire sans extraire les enregistrements officiels.</x:v>
      </x:c>
      <x:c r="L7" s="9" t="str">
        <x:v>audio/ini/voix-dassistance.ogg ; bus ambiance/musique/interface séparés.</x:v>
      </x:c>
      <x:c r="M7" s="9" t="str">
        <x:v>La source narrative inspire l’intention, pas une mélodie ou un enregistrement à copier.</x:v>
      </x:c>
      <x:c r="N7" s="9" t="str">
        <x:v>Boucle sans clic ; transitions propres ; information compréhensible volume coupé.</x:v>
      </x:c>
      <x:c r="O7" s="9" t="str"/>
      <x:c r="P7" s="9" t="str"/>
      <x:c r="Q7" s="9" t="str"/>
      <x:c r="R7" s="20" t="str"/>
      <x:c r="S7" s="20" t="str"/>
    </x:row>
    <x:row r="8" ht="68" customHeight="1">
      <x:c r="A8" s="19" t="str">
        <x:v>INI-AUD-02</x:v>
      </x:c>
      <x:c r="B8" s="7" t="str">
        <x:v>Station commerciale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sonore originale pour le fan game.</x:v>
      </x:c>
      <x:c r="G8" s="7" t="str">
        <x:v>Ambiance régulière sous une couche de sécurité discrète.</x:v>
      </x:c>
      <x:c r="H8" s="7" t="str">
        <x:v>Déclenchement à l’événement logique ; priorité à la compréhension des commandes du groupe.</x:v>
      </x:c>
      <x:c r="I8" s="7" t="str">
        <x:v>Sous-titre d’ambiance facultatif ; pictogramme si le son fournit une alerte.</x:v>
      </x:c>
      <x:c r="J8" s="7" t="str">
        <x:v>Points de synchro notés dans la fiche animation concernée ; aucune dépendance à la vitesse de lecture.</x:v>
      </x:c>
      <x:c r="K8" s="7" t="str">
        <x:v>Ambiance régulière sous une couche de sécurité discrète. Musique, bruitages et éventuelles voix à produire sans extraire les enregistrements officiels.</x:v>
      </x:c>
      <x:c r="L8" s="7" t="str">
        <x:v>audio/ini/station-commerciale.ogg ; bus ambiance/musique/interface séparés.</x:v>
      </x:c>
      <x:c r="M8" s="7" t="str">
        <x:v>La source narrative inspire l’intention, pas une mélodie ou un enregistrement à copier.</x:v>
      </x:c>
      <x:c r="N8" s="7" t="str">
        <x:v>Boucle sans clic ; transitions propres ; information compréhensible volume coupé.</x:v>
      </x:c>
      <x:c r="O8" s="7" t="str"/>
      <x:c r="P8" s="7" t="str"/>
      <x:c r="Q8" s="7" t="str"/>
      <x:c r="R8" s="21" t="str"/>
      <x:c r="S8" s="21" t="str"/>
    </x:row>
    <x:row r="9" ht="82" customHeight="1">
      <x:c r="A9" s="18" t="str">
        <x:v>INI-AUD-03</x:v>
      </x:c>
      <x:c r="B9" s="9" t="str">
        <x:v>Isolement spatial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sonore originale pour le fan game.</x:v>
      </x:c>
      <x:c r="G9" s="9" t="str">
        <x:v>Quasi-silence, respiration stylisée non anxiogène forcée, informations vitales sous-titrées.</x:v>
      </x:c>
      <x:c r="H9" s="9" t="str">
        <x:v>Déclenchement à l’événement logique ; priorité à la compréhension des commandes du groupe.</x:v>
      </x:c>
      <x:c r="I9" s="9" t="str">
        <x:v>Sous-titre d’ambiance facultatif ; pictogramme si le son fournit une alerte.</x:v>
      </x:c>
      <x:c r="J9" s="9" t="str">
        <x:v>Points de synchro notés dans la fiche animation concernée ; aucune dépendance à la vitesse de lecture.</x:v>
      </x:c>
      <x:c r="K9" s="9" t="str">
        <x:v>Quasi-silence, respiration stylisée non anxiogène forcée, informations vitales sous-titrées. Musique, bruitages et éventuelles voix à produire sans extraire les enregistrements officiels.</x:v>
      </x:c>
      <x:c r="L9" s="9" t="str">
        <x:v>audio/ini/isolement-spatial.ogg ; bus ambiance/musique/interface séparés.</x:v>
      </x:c>
      <x:c r="M9" s="9" t="str">
        <x:v>La source narrative inspire l’intention, pas une mélodie ou un enregistrement à copier.</x:v>
      </x:c>
      <x:c r="N9" s="9" t="str">
        <x:v>Boucle sans clic ; transitions propres ; information compréhensible volume coupé.</x:v>
      </x:c>
      <x:c r="O9" s="9" t="str"/>
      <x:c r="P9" s="9" t="str"/>
      <x:c r="Q9" s="9" t="str"/>
      <x:c r="R9" s="20" t="str"/>
      <x:c r="S9" s="20" t="str"/>
    </x:row>
    <x:row r="10" ht="82" customHeight="1">
      <x:c r="A10" s="19" t="str">
        <x:v>INI-AUD-04</x:v>
      </x:c>
      <x:c r="B10" s="7" t="str">
        <x:v>Quiet Eddy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sonore originale pour le fan game.</x:v>
      </x:c>
      <x:c r="G10" s="7" t="str">
        <x:v>Bourdonnement irrégulier et bruits de portes pour localiser la menace sans sursaut obligatoire.</x:v>
      </x:c>
      <x:c r="H10" s="7" t="str">
        <x:v>Déclenchement à l’événement logique ; priorité à la compréhension des commandes du groupe.</x:v>
      </x:c>
      <x:c r="I10" s="7" t="str">
        <x:v>Sous-titre d’ambiance facultatif ; pictogramme si le son fournit une alerte.</x:v>
      </x:c>
      <x:c r="J10" s="7" t="str">
        <x:v>Points de synchro notés dans la fiche animation concernée ; aucune dépendance à la vitesse de lecture.</x:v>
      </x:c>
      <x:c r="K10" s="7" t="str">
        <x:v>Bourdonnement irrégulier et bruits de portes pour localiser la menace sans sursaut obligatoire. Musique, bruitages et éventuelles voix à produire sans extraire les enregistrements officiels.</x:v>
      </x:c>
      <x:c r="L10" s="7" t="str">
        <x:v>audio/ini/quiet-eddy.ogg ; bus ambiance/musique/interface séparés.</x:v>
      </x:c>
      <x:c r="M10" s="7" t="str">
        <x:v>La source narrative inspire l’intention, pas une mélodie ou un enregistrement à copier.</x:v>
      </x:c>
      <x:c r="N10" s="7" t="str">
        <x:v>Boucle sans clic ; transitions propres ; information compréhensible volume coupé.</x:v>
      </x:c>
      <x:c r="O10" s="7" t="str"/>
      <x:c r="P10" s="7" t="str"/>
      <x:c r="Q10" s="7" t="str"/>
      <x:c r="R10" s="21" t="str"/>
      <x:c r="S10" s="21" t="str"/>
    </x:row>
    <x:row r="11" ht="68" customHeight="1">
      <x:c r="A11" s="18" t="str">
        <x:v>INI-AUD-05</x:v>
      </x:c>
      <x:c r="B11" s="9" t="str">
        <x:v>Mémoire et silence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sonore originale pour le fan game.</x:v>
      </x:c>
      <x:c r="G11" s="9" t="str">
        <x:v>Motif musical original doux, sans imitation des thèmes de l’Initiative.</x:v>
      </x:c>
      <x:c r="H11" s="9" t="str">
        <x:v>Déclenchement à l’événement logique ; priorité à la compréhension des commandes du groupe.</x:v>
      </x:c>
      <x:c r="I11" s="9" t="str">
        <x:v>Sous-titre d’ambiance facultatif ; pictogramme si le son fournit une alerte.</x:v>
      </x:c>
      <x:c r="J11" s="9" t="str">
        <x:v>Points de synchro notés dans la fiche animation concernée ; aucune dépendance à la vitesse de lecture.</x:v>
      </x:c>
      <x:c r="K11" s="9" t="str">
        <x:v>Motif musical original doux, sans imitation des thèmes de l’Initiative. Musique, bruitages et éventuelles voix à produire sans extraire les enregistrements officiels.</x:v>
      </x:c>
      <x:c r="L11" s="9" t="str">
        <x:v>audio/ini/memoire-et-silence.ogg ; bus ambiance/musique/interface séparés.</x:v>
      </x:c>
      <x:c r="M11" s="9" t="str">
        <x:v>La source narrative inspire l’intention, pas une mélodie ou un enregistrement à copier.</x:v>
      </x:c>
      <x:c r="N11" s="9" t="str">
        <x:v>Boucle sans clic ; transitions propres ; information compréhensible volume coupé.</x:v>
      </x:c>
      <x:c r="O11" s="9" t="str"/>
      <x:c r="P11" s="9" t="str"/>
      <x:c r="Q11" s="9" t="str"/>
      <x:c r="R11" s="20" t="str"/>
      <x:c r="S11" s="20" t="str"/>
    </x:row>
  </x:sheetData>
  <x:conditionalFormatting sqref="D7:D11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1">
    <x:cfRule type="cellIs" dxfId="90" priority="3" operator="equal">
      <x:formula>"Validé"</x:formula>
    </x:cfRule>
  </x:conditionalFormatting>
  <x:conditionalFormatting sqref="E7:E11">
    <x:cfRule type="cellIs" dxfId="91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5e41fdaa684bbf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INI-SYS-01</x:v>
      </x:c>
      <x:c r="B7" s="9" t="str">
        <x:v>Duo Cora/SAM-E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de production propre au module.</x:v>
      </x:c>
      <x:c r="G7" s="9" t="str">
        <x:v>SAM-E est un canal d’assistance et de dialogue ; il ne prend pas une place de soldat physique dans le groupe.</x:v>
      </x:c>
      <x:c r="H7" s="9" t="str">
        <x:v>SAM-E est un canal d’assistance et de dialogue ; il ne prend pas une place de soldat physique dans le groupe.</x:v>
      </x:c>
      <x:c r="I7" s="9" t="str">
        <x:v>État visible dans le HUD et le journal ; libellés complets, icônes non exclusives.</x:v>
      </x:c>
      <x:c r="J7" s="9" t="str">
        <x:v>Transitions rapides et possibilité de réduire les mouvements UI.</x:v>
      </x:c>
      <x:c r="K7" s="9" t="str">
        <x:v>Chaque changement critique possède un équivalent textuel ; pas de message sonore seul.</x:v>
      </x:c>
      <x:c r="L7" s="9" t="str">
        <x:v>systems/ini/duo-cora-sam-e.ts prévu ; sauvegarde versionnée avec valeurs par défaut.</x:v>
      </x:c>
      <x:c r="M7" s="9" t="str">
        <x:v>Activé seulement dans ce module ; ne modifie pas les sauvegardes des jeux officiels.</x:v>
      </x:c>
      <x:c r="N7" s="9" t="str">
        <x:v>Chargement et reprise conservent l’état ; clavier et pointeur donnent le même résultat.</x:v>
      </x:c>
      <x:c r="O7" s="9" t="str"/>
      <x:c r="P7" s="9" t="str"/>
      <x:c r="Q7" s="9" t="str"/>
      <x:c r="R7" s="20" t="str"/>
      <x:c r="S7" s="20" t="str"/>
    </x:row>
    <x:row r="8" ht="54" customHeight="1">
      <x:c r="A8" s="19" t="str">
        <x:v>INI-SYS-02</x:v>
      </x:c>
      <x:c r="B8" s="7" t="str">
        <x:v>Limites de l’assistant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Système original de production propre au module.</x:v>
      </x:c>
      <x:c r="G8" s="7" t="str">
        <x:v>Des compétences sont volontairement hors périmètre ; le joueur doit reconnaître ce qu’une analyse ne peut pas conclure.</x:v>
      </x:c>
      <x:c r="H8" s="7" t="str">
        <x:v>Des compétences sont volontairement hors périmètre ; le joueur doit reconnaître ce qu’une analyse ne peut pas conclure.</x:v>
      </x:c>
      <x:c r="I8" s="7" t="str">
        <x:v>État visible dans le HUD et le journal ; libellés complets, icônes non exclusives.</x:v>
      </x:c>
      <x:c r="J8" s="7" t="str">
        <x:v>Transitions rapides et possibilité de réduire les mouvements UI.</x:v>
      </x:c>
      <x:c r="K8" s="7" t="str">
        <x:v>Chaque changement critique possède un équivalent textuel ; pas de message sonore seul.</x:v>
      </x:c>
      <x:c r="L8" s="7" t="str">
        <x:v>systems/ini/limites-de-lassistant.ts prévu ; sauvegarde versionnée avec valeurs par défaut.</x:v>
      </x:c>
      <x:c r="M8" s="7" t="str">
        <x:v>Activé seulement dans ce module ; ne modifie pas les sauvegardes des jeux officiels.</x:v>
      </x:c>
      <x:c r="N8" s="7" t="str">
        <x:v>Chargement et reprise conservent l’état ; clavier et pointeur donnent le même résultat.</x:v>
      </x:c>
      <x:c r="O8" s="7" t="str"/>
      <x:c r="P8" s="7" t="str"/>
      <x:c r="Q8" s="7" t="str"/>
      <x:c r="R8" s="21" t="str"/>
      <x:c r="S8" s="21" t="str"/>
    </x:row>
    <x:row r="9" ht="44" customHeight="1">
      <x:c r="A9" s="18" t="str">
        <x:v>INI-SYS-03</x:v>
      </x:c>
      <x:c r="B9" s="9" t="str">
        <x:v>Coût d’assistance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Système original de production propre au module.</x:v>
      </x:c>
      <x:c r="G9" s="9" t="str">
        <x:v>La surcharge est un état scénarisé dangereux, jamais un buff permanent sans conséquence.</x:v>
      </x:c>
      <x:c r="H9" s="9" t="str">
        <x:v>La surcharge est un état scénarisé dangereux, jamais un buff permanent sans conséquence.</x:v>
      </x:c>
      <x:c r="I9" s="9" t="str">
        <x:v>État visible dans le HUD et le journal ; libellés complets, icônes non exclusives.</x:v>
      </x:c>
      <x:c r="J9" s="9" t="str">
        <x:v>Transitions rapides et possibilité de réduire les mouvements UI.</x:v>
      </x:c>
      <x:c r="K9" s="9" t="str">
        <x:v>Chaque changement critique possède un équivalent textuel ; pas de message sonore seul.</x:v>
      </x:c>
      <x:c r="L9" s="9" t="str">
        <x:v>systems/ini/cout-dassistance.ts prévu ; sauvegarde versionnée avec valeurs par défaut.</x:v>
      </x:c>
      <x:c r="M9" s="9" t="str">
        <x:v>Activé seulement dans ce module ; ne modifie pas les sauvegardes des jeux officiels.</x:v>
      </x:c>
      <x:c r="N9" s="9" t="str">
        <x:v>Chargement et reprise conservent l’état ; clavier et pointeur donnent le même résultat.</x:v>
      </x:c>
      <x:c r="O9" s="9" t="str"/>
      <x:c r="P9" s="9" t="str"/>
      <x:c r="Q9" s="9" t="str"/>
      <x:c r="R9" s="20" t="str"/>
      <x:c r="S9" s="20" t="str"/>
    </x:row>
    <x:row r="10" ht="44" customHeight="1">
      <x:c r="A10" s="19" t="str">
        <x:v>INI-SYS-04</x:v>
      </x:c>
      <x:c r="B10" s="7" t="str">
        <x:v>Données volées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Système original de production propre au module.</x:v>
      </x:c>
      <x:c r="G10" s="7" t="str">
        <x:v>Suivre l’identité des paquets et copies ; aucune fusion automatique de fichiers contradictoires.</x:v>
      </x:c>
      <x:c r="H10" s="7" t="str">
        <x:v>Suivre l’identité des paquets et copies ; aucune fusion automatique de fichiers contradictoires.</x:v>
      </x:c>
      <x:c r="I10" s="7" t="str">
        <x:v>État visible dans le HUD et le journal ; libellés complets, icônes non exclusives.</x:v>
      </x:c>
      <x:c r="J10" s="7" t="str">
        <x:v>Transitions rapides et possibilité de réduire les mouvements UI.</x:v>
      </x:c>
      <x:c r="K10" s="7" t="str">
        <x:v>Chaque changement critique possède un équivalent textuel ; pas de message sonore seul.</x:v>
      </x:c>
      <x:c r="L10" s="7" t="str">
        <x:v>systems/ini/donnees-volees.ts prévu ; sauvegarde versionnée avec valeurs par défaut.</x:v>
      </x:c>
      <x:c r="M10" s="7" t="str">
        <x:v>Activé seulement dans ce module ; ne modifie pas les sauvegardes des jeux officiels.</x:v>
      </x:c>
      <x:c r="N10" s="7" t="str">
        <x:v>Chargement et reprise conservent l’état ; clavier et pointeur donnent le même résultat.</x:v>
      </x:c>
      <x:c r="O10" s="7" t="str"/>
      <x:c r="P10" s="7" t="str"/>
      <x:c r="Q10" s="7" t="str"/>
      <x:c r="R10" s="21" t="str"/>
      <x:c r="S10" s="21" t="str"/>
    </x:row>
    <x:row r="11" ht="44" customHeight="1">
      <x:c r="A11" s="18" t="str">
        <x:v>INI-SYS-05</x:v>
      </x:c>
      <x:c r="B11" s="9" t="str">
        <x:v>Confiance en réseau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Système original de production propre au module.</x:v>
      </x:c>
      <x:c r="G11" s="9" t="str">
        <x:v>Un panneau et une porte peuvent diverger ; l’interface montre la provenance des deux états.</x:v>
      </x:c>
      <x:c r="H11" s="9" t="str">
        <x:v>Un panneau et une porte peuvent diverger ; l’interface montre la provenance des deux états.</x:v>
      </x:c>
      <x:c r="I11" s="9" t="str">
        <x:v>État visible dans le HUD et le journal ; libellés complets, icônes non exclusives.</x:v>
      </x:c>
      <x:c r="J11" s="9" t="str">
        <x:v>Transitions rapides et possibilité de réduire les mouvements UI.</x:v>
      </x:c>
      <x:c r="K11" s="9" t="str">
        <x:v>Chaque changement critique possède un équivalent textuel ; pas de message sonore seul.</x:v>
      </x:c>
      <x:c r="L11" s="9" t="str">
        <x:v>systems/ini/confiance-en-reseau.ts prévu ; sauvegarde versionnée avec valeurs par défaut.</x:v>
      </x:c>
      <x:c r="M11" s="9" t="str">
        <x:v>Activé seulement dans ce module ; ne modifie pas les sauvegardes des jeux officiels.</x:v>
      </x:c>
      <x:c r="N11" s="9" t="str">
        <x:v>Chargement et reprise conservent l’état ; clavier et pointeur donnent le même résultat.</x:v>
      </x:c>
      <x:c r="O11" s="9" t="str"/>
      <x:c r="P11" s="9" t="str"/>
      <x:c r="Q11" s="9" t="str"/>
      <x:c r="R11" s="20" t="str"/>
      <x:c r="S11" s="20" t="str"/>
    </x:row>
    <x:row r="12" ht="44" customHeight="1">
      <x:c r="A12" s="19" t="str">
        <x:v>INI-SYS-06</x:v>
      </x:c>
      <x:c r="B12" s="7" t="str">
        <x:v>Survivants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Système original de production propre au module.</x:v>
      </x:c>
      <x:c r="G12" s="7" t="str">
        <x:v>Les civils se déplacent en groupes protégés et ne sont pas équipés par le joueur pour maximiser les dégâts.</x:v>
      </x:c>
      <x:c r="H12" s="7" t="str">
        <x:v>Les civils se déplacent en groupes protégés et ne sont pas équipés par le joueur pour maximiser les dégâts.</x:v>
      </x:c>
      <x:c r="I12" s="7" t="str">
        <x:v>État visible dans le HUD et le journal ; libellés complets, icônes non exclusives.</x:v>
      </x:c>
      <x:c r="J12" s="7" t="str">
        <x:v>Transitions rapides et possibilité de réduire les mouvements UI.</x:v>
      </x:c>
      <x:c r="K12" s="7" t="str">
        <x:v>Chaque changement critique possède un équivalent textuel ; pas de message sonore seul.</x:v>
      </x:c>
      <x:c r="L12" s="7" t="str">
        <x:v>systems/ini/survivants.ts prévu ; sauvegarde versionnée avec valeurs par défaut.</x:v>
      </x:c>
      <x:c r="M12" s="7" t="str">
        <x:v>Activé seulement dans ce module ; ne modifie pas les sauvegardes des jeux officiels.</x:v>
      </x:c>
      <x:c r="N12" s="7" t="str">
        <x:v>Chargement et reprise conservent l’état ; clavier et pointeur donnent le même résultat.</x:v>
      </x:c>
      <x:c r="O12" s="7" t="str"/>
      <x:c r="P12" s="7" t="str"/>
      <x:c r="Q12" s="7" t="str"/>
      <x:c r="R12" s="21" t="str"/>
      <x:c r="S12" s="21" t="str"/>
    </x:row>
    <x:row r="13" ht="54" customHeight="1">
      <x:c r="A13" s="18" t="str">
        <x:v>INI-SYS-07</x:v>
      </x:c>
      <x:c r="B13" s="9" t="str">
        <x:v>Savoir avant départ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Système original de production propre au module.</x:v>
      </x:c>
      <x:c r="G13" s="9" t="str">
        <x:v>Limiter le journal à la Voie lactée et à l’Initiative avant voyage ; exclure Fléau, Kerts et Remnants comme savoir acquis.</x:v>
      </x:c>
      <x:c r="H13" s="9" t="str">
        <x:v>Limiter le journal à la Voie lactée et à l’Initiative avant voyage ; exclure Fléau, Kerts et Remnants comme savoir acquis.</x:v>
      </x:c>
      <x:c r="I13" s="9" t="str">
        <x:v>État visible dans le HUD et le journal ; libellés complets, icônes non exclusives.</x:v>
      </x:c>
      <x:c r="J13" s="9" t="str">
        <x:v>Transitions rapides et possibilité de réduire les mouvements UI.</x:v>
      </x:c>
      <x:c r="K13" s="9" t="str">
        <x:v>Chaque changement critique possède un équivalent textuel ; pas de message sonore seul.</x:v>
      </x:c>
      <x:c r="L13" s="9" t="str">
        <x:v>systems/ini/savoir-avant-depart.ts prévu ; sauvegarde versionnée avec valeurs par défaut.</x:v>
      </x:c>
      <x:c r="M13" s="9" t="str">
        <x:v>Activé seulement dans ce module ; ne modifie pas les sauvegardes des jeux officiels.</x:v>
      </x:c>
      <x:c r="N13" s="9" t="str">
        <x:v>Chargement et reprise conservent l’état ; clavier et pointeur donnent le même résultat.</x:v>
      </x:c>
      <x:c r="O13" s="9" t="str"/>
      <x:c r="P13" s="9" t="str"/>
      <x:c r="Q13" s="9" t="str"/>
      <x:c r="R13" s="20" t="str"/>
      <x:c r="S13" s="20" t="str"/>
    </x:row>
    <x:row r="14" ht="44" customHeight="1">
      <x:c r="A14" s="19" t="str">
        <x:v>INI-SYS-08</x:v>
      </x:c>
      <x:c r="B14" s="7" t="str">
        <x:v>Mémoire de l’assistant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Système original de production propre au module.</x:v>
      </x:c>
      <x:c r="G14" s="7" t="str">
        <x:v>Séparer souvenirs conservés et personnalité active ; la fin du module respecte cette différence.</x:v>
      </x:c>
      <x:c r="H14" s="7" t="str">
        <x:v>Séparer souvenirs conservés et personnalité active ; la fin du module respecte cette différence.</x:v>
      </x:c>
      <x:c r="I14" s="7" t="str">
        <x:v>État visible dans le HUD et le journal ; libellés complets, icônes non exclusives.</x:v>
      </x:c>
      <x:c r="J14" s="7" t="str">
        <x:v>Transitions rapides et possibilité de réduire les mouvements UI.</x:v>
      </x:c>
      <x:c r="K14" s="7" t="str">
        <x:v>Chaque changement critique possède un équivalent textuel ; pas de message sonore seul.</x:v>
      </x:c>
      <x:c r="L14" s="7" t="str">
        <x:v>systems/ini/memoire-de-lassistant.ts prévu ; sauvegarde versionnée avec valeurs par défaut.</x:v>
      </x:c>
      <x:c r="M14" s="7" t="str">
        <x:v>Activé seulement dans ce module ; ne modifie pas les sauvegardes des jeux officiels.</x:v>
      </x:c>
      <x:c r="N14" s="7" t="str">
        <x:v>Chargement et reprise conservent l’état ; clavier et pointeur donnent le même résultat.</x:v>
      </x:c>
      <x:c r="O14" s="7" t="str"/>
      <x:c r="P14" s="7" t="str"/>
      <x:c r="Q14" s="7" t="str"/>
      <x:c r="R14" s="21" t="str"/>
      <x:c r="S14" s="21" t="str"/>
    </x:row>
  </x:sheetData>
  <x:conditionalFormatting sqref="D7:D14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4">
    <x:cfRule type="cellIs" dxfId="94" priority="3" operator="equal">
      <x:formula>"Validé"</x:formula>
    </x:cfRule>
  </x:conditionalFormatting>
  <x:conditionalFormatting sqref="E7:E14">
    <x:cfRule type="cellIs" dxfId="9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2289cc7eeb44c1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INI-TST-MANDATE</x:v>
      </x:c>
      <x:c r="B7" s="9" t="str">
        <x:v>Définir les limites de l’assistance — scénario d’acceptation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Test de comportement spécifique à la mission proposée.</x:v>
      </x:c>
      <x:c r="G7" s="9" t="str">
        <x:v>Exécuter Définir les limites de l’assistance avec la méthode la plus lente puis avec la méthode alternative.</x:v>
      </x:c>
      <x:c r="H7" s="9" t="str">
        <x:v>Contrôler les transitions de la règle suivante : Identifier objectif, secret à protéger et tâches que l’assistant ne sait pas faire.</x:v>
      </x:c>
      <x:c r="I7" s="9" t="str">
        <x:v>Capturer le moment où la sortie devient valide et celui où le choix devient indisponible.</x:v>
      </x:c>
      <x:c r="J7" s="9" t="str">
        <x:v>Interrompre une action à son anticipation et une autre après son engagement.</x:v>
      </x:c>
      <x:c r="K7" s="9" t="str">
        <x:v>Rejouer sans son pour vérifier les informations essentielles.</x:v>
      </x:c>
      <x:c r="L7" s="9" t="str">
        <x:v>qa/ini/mandate.md : état initial, actions, attendu, résultat, capture.</x:v>
      </x:c>
      <x:c r="M7" s="9" t="str">
        <x:v>Ne pas qualifier SAM-E de simple VI après la révélation de sa nature.</x:v>
      </x:c>
      <x:c r="N7" s="9" t="str">
        <x:v>Aucun blocage, récompense multiple, information future ou divergence entre pause ATB et temps normal.</x:v>
      </x:c>
      <x:c r="O7" s="9" t="str">
        <x:v>INI-MIS-MANDATE, INI-CHO-MANDATE, INI-OPT-MANDATE</x:v>
      </x:c>
      <x:c r="P7" s="9" t="str"/>
      <x:c r="Q7" s="9" t="str"/>
      <x:c r="R7" s="20" t="str"/>
      <x:c r="S7" s="20" t="str"/>
    </x:row>
    <x:row r="8" ht="54" customHeight="1">
      <x:c r="A8" s="19" t="str">
        <x:v>INI-TST-KERNEL</x:v>
      </x:c>
      <x:c r="B8" s="7" t="str">
        <x:v>Extraire un paquet de données — scénario d’acceptation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Test de comportement spécifique à la mission proposée.</x:v>
      </x:c>
      <x:c r="G8" s="7" t="str">
        <x:v>Exécuter Extraire un paquet de données avec la méthode la plus lente puis avec la méthode alternative.</x:v>
      </x:c>
      <x:c r="H8" s="7" t="str">
        <x:v>Contrôler les transitions de la règle suivante : Distinguer copie leurre, autorisation d’accès et paquet cible ; validation croisée avant transfert.</x:v>
      </x:c>
      <x:c r="I8" s="7" t="str">
        <x:v>Capturer le moment où la sortie devient valide et celui où le choix devient indisponible.</x:v>
      </x:c>
      <x:c r="J8" s="7" t="str">
        <x:v>Interrompre une action à son anticipation et une autre après son engagement.</x:v>
      </x:c>
      <x:c r="K8" s="7" t="str">
        <x:v>Rejouer sans son pour vérifier les informations essentielles.</x:v>
      </x:c>
      <x:c r="L8" s="7" t="str">
        <x:v>qa/ini/kernel.md : état initial, actions, attendu, résultat, capture.</x:v>
      </x:c>
      <x:c r="M8" s="7" t="str">
        <x:v>Aucune procédure réelle de piratage ni code officiel copié.</x:v>
      </x:c>
      <x:c r="N8" s="7" t="str">
        <x:v>Aucun blocage, récompense multiple, information future ou divergence entre pause ATB et temps normal.</x:v>
      </x:c>
      <x:c r="O8" s="7" t="str">
        <x:v>INI-MIS-KERNEL, INI-CHO-KERNEL, INI-OPT-KERNEL</x:v>
      </x:c>
      <x:c r="P8" s="7" t="str"/>
      <x:c r="Q8" s="7" t="str"/>
      <x:c r="R8" s="21" t="str"/>
      <x:c r="S8" s="21" t="str"/>
    </x:row>
    <x:row r="9" ht="54" customHeight="1">
      <x:c r="A9" s="18" t="str">
        <x:v>INI-TST-BETRAYAL</x:v>
      </x:c>
      <x:c r="B9" s="9" t="str">
        <x:v>Trouver une sortie sûre — scénario d’acceptation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Test de comportement spécifique à la mission proposée.</x:v>
      </x:c>
      <x:c r="G9" s="9" t="str">
        <x:v>Exécuter Trouver une sortie sûre avec la méthode la plus lente puis avec la méthode alternative.</x:v>
      </x:c>
      <x:c r="H9" s="9" t="str">
        <x:v>Contrôler les transitions de la règle suivante : Rester mobile entre couverts, vérifier le sas et protéger la liaison d’assistance.</x:v>
      </x:c>
      <x:c r="I9" s="9" t="str">
        <x:v>Capturer le moment où la sortie devient valide et celui où le choix devient indisponible.</x:v>
      </x:c>
      <x:c r="J9" s="9" t="str">
        <x:v>Interrompre une action à son anticipation et une autre après son engagement.</x:v>
      </x:c>
      <x:c r="K9" s="9" t="str">
        <x:v>Rejouer sans son pour vérifier les informations essentielles.</x:v>
      </x:c>
      <x:c r="L9" s="9" t="str">
        <x:v>qa/ini/betrayal.md : état initial, actions, attendu, résultat, capture.</x:v>
      </x:c>
      <x:c r="M9" s="9" t="str">
        <x:v>Le choix n’efface pas la trahison de Ygara.</x:v>
      </x:c>
      <x:c r="N9" s="9" t="str">
        <x:v>Aucun blocage, récompense multiple, information future ou divergence entre pause ATB et temps normal.</x:v>
      </x:c>
      <x:c r="O9" s="9" t="str">
        <x:v>INI-MIS-BETRAYAL, INI-CHO-BETRAYAL, INI-OPT-BETRAYAL</x:v>
      </x:c>
      <x:c r="P9" s="9" t="str"/>
      <x:c r="Q9" s="9" t="str"/>
      <x:c r="R9" s="20" t="str"/>
      <x:c r="S9" s="20" t="str"/>
    </x:row>
    <x:row r="10" ht="54" customHeight="1">
      <x:c r="A10" s="19" t="str">
        <x:v>INI-TST-BEACON</x:v>
      </x:c>
      <x:c r="B10" s="7" t="str">
        <x:v>Faire confirmer une position — scénario d’acceptation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Test de comportement spécifique à la mission proposée.</x:v>
      </x:c>
      <x:c r="G10" s="7" t="str">
        <x:v>Exécuter Faire confirmer une position avec la méthode la plus lente puis avec la méthode alternative.</x:v>
      </x:c>
      <x:c r="H10" s="7" t="str">
        <x:v>Contrôler les transitions de la règle suivante : Comparer dernier signal, réserve et réponse ; garder la lecture hors compte à rebours.</x:v>
      </x:c>
      <x:c r="I10" s="7" t="str">
        <x:v>Capturer le moment où la sortie devient valide et celui où le choix devient indisponible.</x:v>
      </x:c>
      <x:c r="J10" s="7" t="str">
        <x:v>Interrompre une action à son anticipation et une autre après son engagement.</x:v>
      </x:c>
      <x:c r="K10" s="7" t="str">
        <x:v>Rejouer sans son pour vérifier les informations essentielles.</x:v>
      </x:c>
      <x:c r="L10" s="7" t="str">
        <x:v>qa/ini/beacon.md : état initial, actions, attendu, résultat, capture.</x:v>
      </x:c>
      <x:c r="M10" s="7" t="str">
        <x:v>Pas de mort aléatoire pendant lecture ou réglage d’accessibilité.</x:v>
      </x:c>
      <x:c r="N10" s="7" t="str">
        <x:v>Aucun blocage, récompense multiple, information future ou divergence entre pause ATB et temps normal.</x:v>
      </x:c>
      <x:c r="O10" s="7" t="str">
        <x:v>INI-MIS-BEACON, INI-CHO-BEACON, INI-OPT-BEACON</x:v>
      </x:c>
      <x:c r="P10" s="7" t="str"/>
      <x:c r="Q10" s="7" t="str"/>
      <x:c r="R10" s="21" t="str"/>
      <x:c r="S10" s="21" t="str"/>
    </x:row>
    <x:row r="11" ht="44" customHeight="1">
      <x:c r="A11" s="18" t="str">
        <x:v>INI-TST-FOLLOW</x:v>
      </x:c>
      <x:c r="B11" s="9" t="str">
        <x:v>Suivre la copie manquante — scénario d’acceptation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Test de comportement spécifique à la mission proposée.</x:v>
      </x:c>
      <x:c r="G11" s="9" t="str">
        <x:v>Exécuter Suivre la copie manquante avec la méthode la plus lente puis avec la méthode alternative.</x:v>
      </x:c>
      <x:c r="H11" s="9" t="str">
        <x:v>Contrôler les transitions de la règle suivante : Vérifier un contrat, son bénéficiaire et la destination indiquée.</x:v>
      </x:c>
      <x:c r="I11" s="9" t="str">
        <x:v>Capturer le moment où la sortie devient valide et celui où le choix devient indisponible.</x:v>
      </x:c>
      <x:c r="J11" s="9" t="str">
        <x:v>Interrompre une action à son anticipation et une autre après son engagement.</x:v>
      </x:c>
      <x:c r="K11" s="9" t="str">
        <x:v>Rejouer sans son pour vérifier les informations essentielles.</x:v>
      </x:c>
      <x:c r="L11" s="9" t="str">
        <x:v>qa/ini/follow.md : état initial, actions, attendu, résultat, capture.</x:v>
      </x:c>
      <x:c r="M11" s="9" t="str">
        <x:v>Les informations restent limitées à ce que Cora découvre.</x:v>
      </x:c>
      <x:c r="N11" s="9" t="str">
        <x:v>Aucun blocage, récompense multiple, information future ou divergence entre pause ATB et temps normal.</x:v>
      </x:c>
      <x:c r="O11" s="9" t="str">
        <x:v>INI-MIS-FOLLOW, INI-CHO-FOLLOW, INI-OPT-FOLLOW</x:v>
      </x:c>
      <x:c r="P11" s="9" t="str"/>
      <x:c r="Q11" s="9" t="str"/>
      <x:c r="R11" s="20" t="str"/>
      <x:c r="S11" s="20" t="str"/>
    </x:row>
    <x:row r="12" ht="54" customHeight="1">
      <x:c r="A12" s="19" t="str">
        <x:v>INI-TST-OVERRIDE</x:v>
      </x:c>
      <x:c r="B12" s="7" t="str">
        <x:v>Tenir un accès face à Medea — scénario d’acceptation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Test de comportement spécifique à la mission proposée.</x:v>
      </x:c>
      <x:c r="G12" s="7" t="str">
        <x:v>Exécuter Tenir un accès face à Medea avec la méthode la plus lente puis avec la méthode alternative.</x:v>
      </x:c>
      <x:c r="H12" s="7" t="str">
        <x:v>Contrôler les transitions de la règle suivante : Une commande doit être confirmée au poste physique ; l’assistant ne peut protéger tous les nœuds.</x:v>
      </x:c>
      <x:c r="I12" s="7" t="str">
        <x:v>Capturer le moment où la sortie devient valide et celui où le choix devient indisponible.</x:v>
      </x:c>
      <x:c r="J12" s="7" t="str">
        <x:v>Interrompre une action à son anticipation et une autre après son engagement.</x:v>
      </x:c>
      <x:c r="K12" s="7" t="str">
        <x:v>Rejouer sans son pour vérifier les informations essentielles.</x:v>
      </x:c>
      <x:c r="L12" s="7" t="str">
        <x:v>qa/ini/override.md : état initial, actions, attendu, résultat, capture.</x:v>
      </x:c>
      <x:c r="M12" s="7" t="str">
        <x:v>Medea n’est pas vaincue par un simple mini-jeu universel.</x:v>
      </x:c>
      <x:c r="N12" s="7" t="str">
        <x:v>Aucun blocage, récompense multiple, information future ou divergence entre pause ATB et temps normal.</x:v>
      </x:c>
      <x:c r="O12" s="7" t="str">
        <x:v>INI-MIS-OVERRIDE, INI-CHO-OVERRIDE, INI-OPT-OVERRIDE</x:v>
      </x:c>
      <x:c r="P12" s="7" t="str"/>
      <x:c r="Q12" s="7" t="str"/>
      <x:c r="R12" s="21" t="str"/>
      <x:c r="S12" s="21" t="str"/>
    </x:row>
    <x:row r="13" ht="54" customHeight="1">
      <x:c r="A13" s="18" t="str">
        <x:v>INI-TST-ESCORT</x:v>
      </x:c>
      <x:c r="B13" s="9" t="str">
        <x:v>Accompagner les survivants — scénario d’acceptation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Test de comportement spécifique à la mission proposée.</x:v>
      </x:c>
      <x:c r="G13" s="9" t="str">
        <x:v>Exécuter Accompagner les survivants avec la méthode la plus lente puis avec la méthode alternative.</x:v>
      </x:c>
      <x:c r="H13" s="9" t="str">
        <x:v>Contrôler les transitions de la règle suivante : Trois groupes civils traversent des points sûrs pendant que Cora et une escorte protègent les accès.</x:v>
      </x:c>
      <x:c r="I13" s="9" t="str">
        <x:v>Capturer le moment où la sortie devient valide et celui où le choix devient indisponible.</x:v>
      </x:c>
      <x:c r="J13" s="9" t="str">
        <x:v>Interrompre une action à son anticipation et une autre après son engagement.</x:v>
      </x:c>
      <x:c r="K13" s="9" t="str">
        <x:v>Rejouer sans son pour vérifier les informations essentielles.</x:v>
      </x:c>
      <x:c r="L13" s="9" t="str">
        <x:v>qa/ini/escort.md : état initial, actions, attendu, résultat, capture.</x:v>
      </x:c>
      <x:c r="M13" s="9" t="str">
        <x:v>Le coût de la surcharge de Cora ne disparaît pas grâce à un consommable.</x:v>
      </x:c>
      <x:c r="N13" s="9" t="str">
        <x:v>Aucun blocage, récompense multiple, information future ou divergence entre pause ATB et temps normal.</x:v>
      </x:c>
      <x:c r="O13" s="9" t="str">
        <x:v>INI-MIS-ESCORT, INI-CHO-ESCORT, INI-OPT-ESCORT</x:v>
      </x:c>
      <x:c r="P13" s="9" t="str"/>
      <x:c r="Q13" s="9" t="str"/>
      <x:c r="R13" s="20" t="str"/>
      <x:c r="S13" s="20" t="str"/>
    </x:row>
    <x:row r="14" ht="54" customHeight="1">
      <x:c r="A14" s="19" t="str">
        <x:v>INI-TST-LEGACY</x:v>
      </x:c>
      <x:c r="B14" s="7" t="str">
        <x:v>Respecter la fin d’une voix — scénario d’acceptation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Test de comportement spécifique à la mission proposée.</x:v>
      </x:c>
      <x:c r="G14" s="7" t="str">
        <x:v>Exécuter Respecter la fin d’une voix avec la méthode la plus lente puis avec la méthode alternative.</x:v>
      </x:c>
      <x:c r="H14" s="7" t="str">
        <x:v>Contrôler les transitions de la règle suivante : Valider mémoire, présence et limitations du système ; aucune option de duplication magique.</x:v>
      </x:c>
      <x:c r="I14" s="7" t="str">
        <x:v>Capturer le moment où la sortie devient valide et celui où le choix devient indisponible.</x:v>
      </x:c>
      <x:c r="J14" s="7" t="str">
        <x:v>Interrompre une action à son anticipation et une autre après son engagement.</x:v>
      </x:c>
      <x:c r="K14" s="7" t="str">
        <x:v>Rejouer sans son pour vérifier les informations essentielles.</x:v>
      </x:c>
      <x:c r="L14" s="7" t="str">
        <x:v>qa/ini/legacy.md : état initial, actions, attendu, résultat, capture.</x:v>
      </x:c>
      <x:c r="M14" s="7" t="str">
        <x:v>SAM-E n’est pas rendu permanent et autonome dans MEA.</x:v>
      </x:c>
      <x:c r="N14" s="7" t="str">
        <x:v>Aucun blocage, récompense multiple, information future ou divergence entre pause ATB et temps normal.</x:v>
      </x:c>
      <x:c r="O14" s="7" t="str">
        <x:v>INI-MIS-LEGACY, INI-CHO-LEGACY, INI-OPT-LEGACY</x:v>
      </x:c>
      <x:c r="P14" s="7" t="str"/>
      <x:c r="Q14" s="7" t="str"/>
      <x:c r="R14" s="21" t="str"/>
      <x:c r="S14" s="21" t="str"/>
    </x:row>
    <x:row r="15" ht="68" customHeight="1">
      <x:c r="A15" s="18" t="str">
        <x:v>INI-QA-SOURCES</x:v>
      </x:c>
      <x:c r="B15" s="9" t="str">
        <x:v>Provenance et non-substitution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 éditorial du catalogue de production.</x:v>
      </x:c>
      <x:c r="G15" s="9" t="str">
        <x:v>Comparer les seuls faits de référence avec les pages citées ; conserver toutes les mécaniques ajoutées comme Extrapolation.</x:v>
      </x:c>
      <x:c r="H15" s="9" t="str">
        <x:v>Vérifier qu’aucune fiche ne présente une statistique ATB comme une valeur du roman ou du film.</x:v>
      </x:c>
      <x:c r="I15" s="9" t="str"/>
      <x:c r="J15" s="9" t="str"/>
      <x:c r="K15" s="9" t="str"/>
      <x:c r="L15" s="9" t="str">
        <x:v>Filtrer INI par nature puis sourceIds ; revue ciblée des éléments sans source.</x:v>
      </x:c>
      <x:c r="M15" s="9" t="str">
        <x:v>L’action reste dans la Voie lactée avant le départ des arches. SAM-E ne devient pas un compagnon durable disponible dans Andromeda ; préserver les limites et conséquences de son lien avec Cora.</x:v>
      </x:c>
      <x:c r="N15" s="9" t="str">
        <x:v>Sources accessibles ou limites tracées ; aucun long extrait, dialogue reproduit ou résumé continu substitutif.</x:v>
      </x:c>
      <x:c r="O15" s="9" t="str"/>
      <x:c r="P15" s="9" t="str"/>
      <x:c r="Q15" s="9" t="str"/>
      <x:c r="R15" s="20" t="str"/>
      <x:c r="S15" s="20" t="str"/>
    </x:row>
    <x:row r="16" ht="68" customHeight="1">
      <x:c r="A16" s="19" t="str">
        <x:v>INI-QA-SAVE</x:v>
      </x:c>
      <x:c r="B16" s="7" t="str">
        <x:v>Reprise des états et du groupe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 de sauvegarde du module proposé.</x:v>
      </x:c>
      <x:c r="G16" s="7" t="str">
        <x:v>Sauver avant une transition, une option et une crise ; charger puis comparer les états de progression et de présence.</x:v>
      </x:c>
      <x:c r="H16" s="7" t="str">
        <x:v>Le coût d’action est appliqué exactement une fois ; les acteurs absents ne réapparaissent pas au chargement.</x:v>
      </x:c>
      <x:c r="I16" s="7" t="str"/>
      <x:c r="J16" s="7" t="str"/>
      <x:c r="K16" s="7" t="str"/>
      <x:c r="L16" s="7" t="str">
        <x:v>qa/ini/save-reload.md avec capture avant/après.</x:v>
      </x:c>
      <x:c r="M16" s="7" t="str">
        <x:v>L’action reste dans la Voie lactée avant le départ des arches. SAM-E ne devient pas un compagnon durable disponible dans Andromeda ; préserver les limites et conséquences de son lien avec Cora.</x:v>
      </x:c>
      <x:c r="N16" s="7" t="str">
        <x:v>Inventaire, acteurs disponibles, indices et limites de continuité restent identiques.</x:v>
      </x:c>
      <x:c r="O16" s="7" t="str"/>
      <x:c r="P16" s="7" t="str"/>
      <x:c r="Q16" s="7" t="str"/>
      <x:c r="R16" s="21" t="str"/>
      <x:c r="S16" s="21" t="str"/>
    </x:row>
    <x:row r="17" ht="54" customHeight="1">
      <x:c r="A17" s="18" t="str">
        <x:v>INI-QA-VISUAL</x:v>
      </x:c>
      <x:c r="B17" s="9" t="str">
        <x:v>Lisibilité sprites 2D sur volumes 3D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Contrôle visuel de production du module.</x:v>
      </x:c>
      <x:c r="G17" s="9" t="str">
        <x:v>Photographier chaque carrefour et engagement avec effets actifs, puis répéter à petite résolution et sans couleur.</x:v>
      </x:c>
      <x:c r="H17" s="9" t="str">
        <x:v>La zone cliquable correspond aux pieds des sprites, jamais au sommet d’un décor.</x:v>
      </x:c>
      <x:c r="I17" s="9" t="str"/>
      <x:c r="J17" s="9" t="str"/>
      <x:c r="K17" s="9" t="str"/>
      <x:c r="L17" s="9" t="str">
        <x:v>qa/ini/readability/ : captures scènes et grille de comparaison.</x:v>
      </x:c>
      <x:c r="M17" s="9" t="str">
        <x:v>Validation sur les cartes de ce catalogue uniquement.</x:v>
      </x:c>
      <x:c r="N17" s="9" t="str">
        <x:v>Aucune occlusion totale du personnage actif ; les sorties et télégraphes restent compréhensibles.</x:v>
      </x:c>
      <x:c r="O17" s="9" t="str"/>
      <x:c r="P17" s="9" t="str"/>
      <x:c r="Q17" s="9" t="str"/>
      <x:c r="R17" s="20" t="str"/>
      <x:c r="S17" s="20" t="str"/>
    </x:row>
    <x:row r="18" ht="54" customHeight="1">
      <x:c r="A18" s="19" t="str">
        <x:v>INI-QA-ACCESS</x:v>
      </x:c>
      <x:c r="B18" s="7" t="str">
        <x:v>Commandes, texte et effets accessibles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Contrôle fonctionnel des options proposées.</x:v>
      </x:c>
      <x:c r="G18" s="7" t="str">
        <x:v>Parcourir le module au clavier, avec sous-titres et effets réduits ; désactiver l’audio et tester les avertissements.</x:v>
      </x:c>
      <x:c r="H18" s="7" t="str">
        <x:v>La pause ATB permet de lire un choix ou un indice sans pénalité de temps.</x:v>
      </x:c>
      <x:c r="I18" s="7" t="str"/>
      <x:c r="J18" s="7" t="str"/>
      <x:c r="K18" s="7" t="str"/>
      <x:c r="L18" s="7" t="str">
        <x:v>qa/ini/accessibility.md ; cas de navigation, focus, contraste et interruption.</x:v>
      </x:c>
      <x:c r="M18" s="7" t="str">
        <x:v>Conserver les règles de présence narrative pendant tous les essais.</x:v>
      </x:c>
      <x:c r="N18" s="7" t="str">
        <x:v>Toute action essentielle est réalisable ; aucune information indispensable ne dépend du son ou de la seule couleur.</x:v>
      </x:c>
      <x:c r="O18" s="7" t="str"/>
      <x:c r="P18" s="7" t="str"/>
      <x:c r="Q18" s="7" t="str"/>
      <x:c r="R18" s="21" t="str"/>
      <x:c r="S18" s="21" t="str"/>
    </x:row>
  </x:sheetData>
  <x:conditionalFormatting sqref="D7:D18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8">
    <x:cfRule type="cellIs" dxfId="98" priority="3" operator="equal">
      <x:formula>"Validé"</x:formula>
    </x:cfRule>
  </x:conditionalFormatting>
  <x:conditionalFormatting sqref="E7:E18">
    <x:cfRule type="cellIs" dxfId="99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64bec1f1f740ba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8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INI-CON-01</x:v>
      </x:c>
      <x:c r="B7" s="9" t="str">
        <x:v>Avant le voyage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L’opération précède le départ de l’Initiative vers Andromède.</x:v>
      </x:c>
      <x:c r="G7" s="9" t="str">
        <x:v>Contrainte éditoriale : verrouiller les dépendances avant intégration du module.</x:v>
      </x:c>
      <x:c r="H7" s="9" t="str"/>
      <x:c r="I7" s="9" t="str"/>
      <x:c r="J7" s="9" t="str"/>
      <x:c r="K7" s="9" t="str"/>
      <x:c r="L7" s="9" t="str">
        <x:v>continuity/ini.json ; règle documentée et décision de validation datée.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règle est contrôlée dans les textes, cartes, choix et sauvegardes ; incertitude résolue ou affichée.</x:v>
      </x:c>
      <x:c r="O7" s="9" t="str"/>
      <x:c r="P7" s="9" t="str">
        <x:v>Limite de continuité / contrôle transversal</x:v>
      </x:c>
      <x:c r="Q7" s="9" t="str">
        <x:v>INI-SRC-PUB</x:v>
      </x:c>
      <x:c r="R7" s="20" t="str">
        <x:v>https://www.penguinrandomhouse.com/books/555323/mass-effect-initiation-by-nk-jemisin/</x:v>
      </x:c>
      <x:c r="S7" s="20" t="str">
        <x:v>Aucun numéro de chapitre ou de page n’est attribué sans exemplaire vérifié.</x:v>
      </x:c>
    </x:row>
    <x:row r="8" ht="68" customHeight="1">
      <x:c r="A8" s="19" t="str">
        <x:v>INI-CON-02</x:v>
      </x:c>
      <x:c r="B8" s="7" t="str">
        <x:v>Coauteurs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Créditer N. K. Jemisin et Mac Walters sur la publication retenue.</x:v>
      </x:c>
      <x:c r="G8" s="7" t="str">
        <x:v>Contrainte éditoriale : verrouiller les dépendances avant intégration du module.</x:v>
      </x:c>
      <x:c r="H8" s="7" t="str"/>
      <x:c r="I8" s="7" t="str"/>
      <x:c r="J8" s="7" t="str"/>
      <x:c r="K8" s="7" t="str"/>
      <x:c r="L8" s="7" t="str">
        <x:v>continuity/ini.json ; règle documentée et décision de validation datée.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règle est contrôlée dans les textes, cartes, choix et sauvegardes ; incertitude résolue ou affichée.</x:v>
      </x:c>
      <x:c r="O8" s="7" t="str"/>
      <x:c r="P8" s="7" t="str">
        <x:v>Limite de continuité / contrôle transversal</x:v>
      </x:c>
      <x:c r="Q8" s="7" t="str">
        <x:v>INI-SRC-PUB</x:v>
      </x:c>
      <x:c r="R8" s="21" t="str">
        <x:v>https://www.penguinrandomhouse.com/books/555323/mass-effect-initiation-by-nk-jemisin/</x:v>
      </x:c>
      <x:c r="S8" s="21" t="str">
        <x:v>Aucun numéro de chapitre ou de page n’est attribué sans exemplaire vérifié.</x:v>
      </x:c>
    </x:row>
    <x:row r="9" ht="68" customHeight="1">
      <x:c r="A9" s="18" t="str">
        <x:v>INI-CON-03</x:v>
      </x:c>
      <x:c r="B9" s="9" t="str">
        <x:v>SAM-E distinct de SAM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SAM-E est une partition expérimentale ; ne pas traiter toutes ses fonctions comme communes à chaque SAM.</x:v>
      </x:c>
      <x:c r="G9" s="9" t="str">
        <x:v>Contrainte éditoriale : verrouiller les dépendances avant intégration du module.</x:v>
      </x:c>
      <x:c r="H9" s="9" t="str"/>
      <x:c r="I9" s="9" t="str"/>
      <x:c r="J9" s="9" t="str"/>
      <x:c r="K9" s="9" t="str"/>
      <x:c r="L9" s="9" t="str">
        <x:v>continuity/ini.json ; règle documentée et décision de validation datée.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La règle est contrôlée dans les textes, cartes, choix et sauvegardes ; incertitude résolue ou affichée.</x:v>
      </x:c>
      <x:c r="O9" s="9" t="str"/>
      <x:c r="P9" s="9" t="str">
        <x:v>Limite de continuité / contrôle transversal</x:v>
      </x:c>
      <x:c r="Q9" s="9" t="str">
        <x:v>INI-SRC-SAME</x:v>
      </x:c>
      <x:c r="R9" s="20" t="str">
        <x:v>https://masseffect.fandom.com/wiki/SAM-E</x:v>
      </x:c>
      <x:c r="S9" s="20" t="str">
        <x:v>Aucun numéro de chapitre ou de page n’est attribué sans exemplaire vérifié.</x:v>
      </x:c>
    </x:row>
    <x:row r="10" ht="68" customHeight="1">
      <x:c r="A10" s="19" t="str">
        <x:v>INI-CON-04</x:v>
      </x:c>
      <x:c r="B10" s="7" t="str">
        <x:v>Cybersécurité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SAM-E possède des limites dans ce domaine ; éviter de lui donner un contrôle instantané universel.</x:v>
      </x:c>
      <x:c r="G10" s="7" t="str">
        <x:v>Contrainte éditoriale : verrouiller les dépendances avant intégration du module.</x:v>
      </x:c>
      <x:c r="H10" s="7" t="str"/>
      <x:c r="I10" s="7" t="str"/>
      <x:c r="J10" s="7" t="str"/>
      <x:c r="K10" s="7" t="str"/>
      <x:c r="L10" s="7" t="str">
        <x:v>continuity/ini.json ; règle documentée et décision de validation datée.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La règle est contrôlée dans les textes, cartes, choix et sauvegardes ; incertitude résolue ou affichée.</x:v>
      </x:c>
      <x:c r="O10" s="7" t="str"/>
      <x:c r="P10" s="7" t="str">
        <x:v>Limite de continuité / contrôle transversal</x:v>
      </x:c>
      <x:c r="Q10" s="7" t="str">
        <x:v>INI-SRC-SAME</x:v>
      </x:c>
      <x:c r="R10" s="21" t="str">
        <x:v>https://masseffect.fandom.com/wiki/SAM-E</x:v>
      </x:c>
      <x:c r="S10" s="21" t="str">
        <x:v>Aucun numéro de chapitre ou de page n’est attribué sans exemplaire vérifié.</x:v>
      </x:c>
    </x:row>
    <x:row r="11" ht="68" customHeight="1">
      <x:c r="A11" s="18" t="str">
        <x:v>INI-CON-05</x:v>
      </x:c>
      <x:c r="B11" s="9" t="str">
        <x:v>Coût de surcharge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L’amélioration extrême de Cora s’accompagne de conséquences physiques sérieuses.</x:v>
      </x:c>
      <x:c r="G11" s="9" t="str">
        <x:v>Contrainte éditoriale : verrouiller les dépendances avant intégration du module.</x:v>
      </x:c>
      <x:c r="H11" s="9" t="str"/>
      <x:c r="I11" s="9" t="str"/>
      <x:c r="J11" s="9" t="str"/>
      <x:c r="K11" s="9" t="str"/>
      <x:c r="L11" s="9" t="str">
        <x:v>continuity/ini.json ; règle documentée et décision de validation datée.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La règle est contrôlée dans les textes, cartes, choix et sauvegardes ; incertitude résolue ou affichée.</x:v>
      </x:c>
      <x:c r="O11" s="9" t="str"/>
      <x:c r="P11" s="9" t="str">
        <x:v>Limite de continuité / contrôle transversal</x:v>
      </x:c>
      <x:c r="Q11" s="9" t="str">
        <x:v>INI-SRC-SAME</x:v>
      </x:c>
      <x:c r="R11" s="20" t="str">
        <x:v>https://masseffect.fandom.com/wiki/SAM-E</x:v>
      </x:c>
      <x:c r="S11" s="20" t="str">
        <x:v>Aucun numéro de chapitre ou de page n’est attribué sans exemplaire vérifié.</x:v>
      </x:c>
    </x:row>
    <x:row r="12" ht="68" customHeight="1">
      <x:c r="A12" s="19" t="str">
        <x:v>INI-CON-06</x:v>
      </x:c>
      <x:c r="B12" s="7" t="str">
        <x:v>Medea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L’IA hybride est liée à Quiet Eddy ; la création ne généralise pas sa conduite à toutes les IA.</x:v>
      </x:c>
      <x:c r="G12" s="7" t="str">
        <x:v>Contrainte éditoriale : verrouiller les dépendances avant intégration du module.</x:v>
      </x:c>
      <x:c r="H12" s="7" t="str"/>
      <x:c r="I12" s="7" t="str"/>
      <x:c r="J12" s="7" t="str"/>
      <x:c r="K12" s="7" t="str"/>
      <x:c r="L12" s="7" t="str">
        <x:v>continuity/ini.json ; règle documentée et décision de validation datée.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La règle est contrôlée dans les textes, cartes, choix et sauvegardes ; incertitude résolue ou affichée.</x:v>
      </x:c>
      <x:c r="O12" s="7" t="str"/>
      <x:c r="P12" s="7" t="str">
        <x:v>Limite de continuité / contrôle transversal</x:v>
      </x:c>
      <x:c r="Q12" s="7" t="str">
        <x:v>INI-SRC-MEDEA</x:v>
      </x:c>
      <x:c r="R12" s="21" t="str">
        <x:v>https://masseffect.fandom.com/wiki/Medea</x:v>
      </x:c>
      <x:c r="S12" s="21" t="str">
        <x:v>Aucun numéro de chapitre ou de page n’est attribué sans exemplaire vérifié.</x:v>
      </x:c>
    </x:row>
    <x:row r="13" ht="68" customHeight="1">
      <x:c r="A13" s="18" t="str">
        <x:v>INI-CON-07</x:v>
      </x:c>
      <x:c r="B13" s="9" t="str">
        <x:v>Survivants de Quiet Eddy</x:v>
      </x:c>
      <x:c r="C13" s="15" t="str">
        <x:v>Défini</x:v>
      </x:c>
      <x:c r="D13" s="16" t="str">
        <x:v>À vérifier</x:v>
      </x:c>
      <x:c r="E13" s="16" t="str">
        <x:v>P0</x:v>
      </x:c>
      <x:c r="F13" s="9" t="str">
        <x:v>La liste précise et la présence par scène doivent être relues dans l’édition avant réalisation.</x:v>
      </x:c>
      <x:c r="G13" s="9" t="str">
        <x:v>Contrainte éditoriale : verrouiller les dépendances avant intégration du module.</x:v>
      </x:c>
      <x:c r="H13" s="9" t="str"/>
      <x:c r="I13" s="9" t="str"/>
      <x:c r="J13" s="9" t="str"/>
      <x:c r="K13" s="9" t="str"/>
      <x:c r="L13" s="9" t="str">
        <x:v>continuity/ini.json ; règle documentée et décision de validation datée.</x:v>
      </x:c>
      <x:c r="M13" s="9" t="str">
        <x:v>L’action reste dans la Voie lactée avant le départ des arches. SAM-E ne devient pas un compagnon durable disponible dans Andromeda ; préserver les limites et conséquences de son lien avec Cora.</x:v>
      </x:c>
      <x:c r="N13" s="9" t="str">
        <x:v>La règle est contrôlée dans les textes, cartes, choix et sauvegardes ; incertitude résolue ou affichée.</x:v>
      </x:c>
      <x:c r="O13" s="9" t="str"/>
      <x:c r="P13" s="9" t="str">
        <x:v>Limite de continuité / contrôle transversal</x:v>
      </x:c>
      <x:c r="Q13" s="9" t="str"/>
      <x:c r="R13" s="20" t="str"/>
      <x:c r="S13" s="20" t="str">
        <x:v>Aucun numéro de chapitre ou de page n’est attribué sans exemplaire vérifié.</x:v>
      </x:c>
    </x:row>
    <x:row r="14" ht="68" customHeight="1">
      <x:c r="A14" s="19" t="str">
        <x:v>INI-CON-08</x:v>
      </x:c>
      <x:c r="B14" s="7" t="str">
        <x:v>Fin du lien</x:v>
      </x:c>
      <x:c r="C14" s="15" t="str">
        <x:v>Défini</x:v>
      </x:c>
      <x:c r="D14" s="17" t="str">
        <x:v>Établi</x:v>
      </x:c>
      <x:c r="E14" s="17" t="str">
        <x:v>P0</x:v>
      </x:c>
      <x:c r="F14" s="7" t="str">
        <x:v>Les souvenirs de SAM-E et son existence autonome ne sont pas équivalents ; conserver la distinction de l’issue décrite.</x:v>
      </x:c>
      <x:c r="G14" s="7" t="str">
        <x:v>Contrainte éditoriale : verrouiller les dépendances avant intégration du module.</x:v>
      </x:c>
      <x:c r="H14" s="7" t="str"/>
      <x:c r="I14" s="7" t="str"/>
      <x:c r="J14" s="7" t="str"/>
      <x:c r="K14" s="7" t="str"/>
      <x:c r="L14" s="7" t="str">
        <x:v>continuity/ini.json ; règle documentée et décision de validation datée.</x:v>
      </x:c>
      <x:c r="M14" s="7" t="str">
        <x:v>L’action reste dans la Voie lactée avant le départ des arches. SAM-E ne devient pas un compagnon durable disponible dans Andromeda ; préserver les limites et conséquences de son lien avec Cora.</x:v>
      </x:c>
      <x:c r="N14" s="7" t="str">
        <x:v>La règle est contrôlée dans les textes, cartes, choix et sauvegardes ; incertitude résolue ou affichée.</x:v>
      </x:c>
      <x:c r="O14" s="7" t="str"/>
      <x:c r="P14" s="7" t="str">
        <x:v>Limite de continuité / contrôle transversal</x:v>
      </x:c>
      <x:c r="Q14" s="7" t="str">
        <x:v>INI-SRC-SAME</x:v>
      </x:c>
      <x:c r="R14" s="21" t="str">
        <x:v>https://masseffect.fandom.com/wiki/SAM-E</x:v>
      </x:c>
      <x:c r="S14" s="21" t="str">
        <x:v>Aucun numéro de chapitre ou de page n’est attribué sans exemplaire vérifié.</x:v>
      </x:c>
    </x:row>
  </x:sheetData>
  <x:conditionalFormatting sqref="D7:D14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14">
    <x:cfRule type="cellIs" dxfId="102" priority="3" operator="equal">
      <x:formula>"Validé"</x:formula>
    </x:cfRule>
  </x:conditionalFormatting>
  <x:conditionalFormatting sqref="E7:E14">
    <x:cfRule type="cellIs" dxfId="10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a3ab392e5e4b1a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 Andromeda: Initiation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30" t="str">
        <x:v>Champ</x:v>
      </x:c>
      <x:c r="B6" s="32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 Andromeda: Initiation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Roman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Roman de N. K. Jemisin et Mac Walters ; mission de Cora avant le départ de l’Initiative.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Cora, SAM-E et la récupération d’une technologie volée ; adaptation originale mêlant infiltration, coopération humain/IA et évacuation de civils.</x:v>
      </x:c>
      <x:c r="C10" s="2"/>
      <x:c r="D10" s="2"/>
      <x:c r="E10" s="2"/>
      <x:c r="F10" s="2"/>
    </x:row>
    <x:row r="11" ht="110" customHeight="1">
      <x:c r="A11" s="7" t="str">
        <x:v>Références et limites</x:v>
      </x:c>
      <x:c r="B11" s="7" t="str">
        <x:v>L’action reste dans la Voie lactée avant le départ des arches. SAM-E ne devient pas un compagnon durable disponible dans Andromeda ; préserver les limites et conséquences de son lien avec Cora. Les données de gameplay, plans, choix, statistiques, sprites et sons sont des créations d’adaptation ; tous les ajouts jouables sont marqués Extrapolation. Sources consultées le 22 octobre 2026.</x:v>
      </x:c>
      <x:c r="C11" s="2"/>
      <x:c r="D11" s="2"/>
      <x:c r="E11" s="2"/>
      <x:c r="F11" s="2"/>
    </x:row>
    <x:row r="12" ht="40" customHeight="1">
      <x:c r="A12" s="7" t="str">
        <x:v>Date de référence</x:v>
      </x:c>
      <x:c r="B12" s="44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30" t="str">
        <x:v>Source</x:v>
      </x:c>
      <x:c r="B26" s="31" t="str">
        <x:v>Titre</x:v>
      </x:c>
      <x:c r="C26" s="31" t="str">
        <x:v>Type</x:v>
      </x:c>
      <x:c r="D26" s="31" t="str">
        <x:v>URL</x:v>
      </x:c>
      <x:c r="E26" s="31" t="str">
        <x:v>Périmètre</x:v>
      </x:c>
      <x:c r="F26" s="32" t="str">
        <x:v>Accès et limites</x:v>
      </x:c>
    </x:row>
    <x:row r="27" ht="54" customHeight="1">
      <x:c r="A27" s="6" t="str">
        <x:v>INI-SRC-PUB</x:v>
      </x:c>
      <x:c r="B27" s="6" t="str">
        <x:v>Penguin Random House / Titan — Initiation</x:v>
      </x:c>
      <x:c r="C27" s="6" t="str">
        <x:v>source officielle</x:v>
      </x:c>
      <x:c r="D27" s="6" t="str">
        <x:v>https://www.penguinrandomhouse.com/books/555323/mass-effect-initiation-by-nk-jemisin/</x:v>
      </x:c>
      <x:c r="E27" s="6" t="str">
        <x:v>Auteurs, publication et mission de Cora</x:v>
      </x:c>
      <x:c r="F27" s="6" t="str">
        <x:v>Consulté le 22 octobre 2026. Faits courts uniquement ; la publication originale reste nécessaire pour contrôler les détails.</x:v>
      </x:c>
    </x:row>
    <x:row r="28" ht="54" customHeight="1">
      <x:c r="A28" s="6" t="str">
        <x:v>INI-SRC-SAME</x:v>
      </x:c>
      <x:c r="B28" s="6" t="str">
        <x:v>Mass Effect Wiki — SAM-E</x:v>
      </x:c>
      <x:c r="C28" s="6" t="str">
        <x:v>wiki</x:v>
      </x:c>
      <x:c r="D28" s="6" t="str">
        <x:v>https://masseffect.fandom.com/wiki/SAM-E</x:v>
      </x:c>
      <x:c r="E28" s="6" t="str">
        <x:v>Lien avec Cora, limites, lieux et intégration à SAM</x:v>
      </x:c>
      <x:c r="F28" s="6" t="str">
        <x:v>Consulté le 22 octobre 2026. Faits courts uniquement ; la publication originale reste nécessaire pour contrôler les détails.</x:v>
      </x:c>
    </x:row>
    <x:row r="29" ht="54" customHeight="1">
      <x:c r="A29" s="6" t="str">
        <x:v>INI-SRC-QUIET</x:v>
      </x:c>
      <x:c r="B29" s="6" t="str">
        <x:v>Mass Effect Wiki — Quiet Eddy</x:v>
      </x:c>
      <x:c r="C29" s="6" t="str">
        <x:v>wiki</x:v>
      </x:c>
      <x:c r="D29" s="6" t="str">
        <x:v>https://masseffect.fandom.com/wiki/Quiet_Eddy</x:v>
      </x:c>
      <x:c r="E29" s="6" t="str">
        <x:v>Installation, survivants et évacuation</x:v>
      </x:c>
      <x:c r="F29" s="6" t="str">
        <x:v>Consulté le 22 octobre 2026. Faits courts uniquement ; la publication originale reste nécessaire pour contrôler les détails.</x:v>
      </x:c>
    </x:row>
    <x:row r="30" ht="54" customHeight="1">
      <x:c r="A30" s="6" t="str">
        <x:v>INI-SRC-MEDEA</x:v>
      </x:c>
      <x:c r="B30" s="6" t="str">
        <x:v>Mass Effect Wiki — Medea</x:v>
      </x:c>
      <x:c r="C30" s="6" t="str">
        <x:v>wiki</x:v>
      </x:c>
      <x:c r="D30" s="6" t="str">
        <x:v>https://masseffect.fandom.com/wiki/Medea</x:v>
      </x:c>
      <x:c r="E30" s="6" t="str">
        <x:v>IA hybride et contrôle des augments</x:v>
      </x:c>
      <x:c r="F30" s="6" t="str">
        <x:v>Consulté le 22 octobre 2026. Faits courts uniquement ; la publication originale reste nécessaire pour contrôler les détails.</x:v>
      </x:c>
    </x:row>
    <x:row r="31" ht="54" customHeight="1">
      <x:c r="A31" s="6" t="str">
        <x:v>INI-SRC-VLASSIA</x:v>
      </x:c>
      <x:c r="B31" s="6" t="str">
        <x:v>Mass Effect Wiki — Vlassia Ariokis</x:v>
      </x:c>
      <x:c r="C31" s="6" t="str">
        <x:v>wiki</x:v>
      </x:c>
      <x:c r="D31" s="6" t="str">
        <x:v>https://masseffect.fandom.com/wiki/Vlassia_Ariokis</x:v>
      </x:c>
      <x:c r="E31" s="6" t="str">
        <x:v>Officier du renseignement et Quiet Eddy</x:v>
      </x:c>
      <x:c r="F31" s="6" t="str">
        <x:v>Consulté le 22 octobre 2026. Faits courts uniquement ; la publication originale reste nécessaire pour contrôler les détails.</x:v>
      </x:c>
    </x:row>
    <x:row r="32" ht="54" customHeight="1">
      <x:c r="A32" s="6" t="str">
        <x:v>INI-SRC-CORA</x:v>
      </x:c>
      <x:c r="B32" s="6" t="str">
        <x:v>Mass Effect Wiki — Cora Harper</x:v>
      </x:c>
      <x:c r="C32" s="6" t="str">
        <x:v>wiki</x:v>
      </x:c>
      <x:c r="D32" s="6" t="str">
        <x:v>https://masseffect.fandom.com/wiki/Cora_Harper</x:v>
      </x:c>
      <x:c r="E32" s="6" t="str">
        <x:v>Cora, technologie volée et lien avec Medea</x:v>
      </x:c>
      <x:c r="F32" s="6" t="str">
        <x:v>Consulté le 22 octobre 2026. Faits courts uniquement ; la publication originale reste nécessaire pour contrôler les détails.</x:v>
      </x:c>
    </x:row>
    <x:row r="33" ht="54" customHeight="1">
      <x:c r="A33" s="6" t="str">
        <x:v>INI-SRC-STORY</x:v>
      </x:c>
      <x:c r="B33" s="6" t="str">
        <x:v>Mass Effect Wiki — Storyline IV</x:v>
      </x:c>
      <x:c r="C33" s="6" t="str">
        <x:v>wiki</x:v>
      </x:c>
      <x:c r="D33" s="6" t="str">
        <x:v>https://masseffect.fandom.com/wiki/Storyline_IV</x:v>
      </x:c>
      <x:c r="E33" s="6" t="str">
        <x:v>Extraits indexés : Theia, Home Away, Audacity, Illium ; ouverture directe refusée</x:v>
      </x:c>
      <x:c r="F33" s="6" t="str">
        <x:v>Consulté le 22 octobre 2026. Faits courts uniquement ; la publication originale reste nécessaire pour contrôler les détails.</x:v>
      </x:c>
    </x:row>
    <x:row r="34" ht="54" customHeight="1">
      <x:c r="A34" s="6" t="str">
        <x:v>INI-SRC-REVIEW</x:v>
      </x:c>
      <x:c r="B34" s="6" t="str">
        <x:v>Reactor — critique d’Initiation</x:v>
      </x:c>
      <x:c r="C34" s="6" t="str">
        <x:v>presse</x:v>
      </x:c>
      <x:c r="D34" s="6" t="str">
        <x:v>https://reactormag.com/book-reviews-mass-effect-initiation-by-n-k-jemisin-and-mac-walters-a-review//</x:v>
      </x:c>
      <x:c r="E34" s="6" t="str">
        <x:v>Ygara, mission d’espionnage et relation Cora/SAM-E</x:v>
      </x:c>
      <x:c r="F34" s="6" t="str">
        <x:v>Consulté le 22 octobre 2026. Faits courts uniquement ; la publication originale reste nécessaire pour contrôler les détails.</x:v>
      </x:c>
    </x:row>
    <x:row r="35" ht="54" customHeight="1">
      <x:c r="A35" s="6" t="str">
        <x:v>INI-SRC-LINEUP</x:v>
      </x:c>
      <x:c r="B35" s="6" t="str">
        <x:v>Titan Books — annonce des romans</x:v>
      </x:c>
      <x:c r="C35" s="6" t="str">
        <x:v>source officielle</x:v>
      </x:c>
      <x:c r="D35" s="6" t="str">
        <x:v>https://titanbooks.com/blog/announcing-official-mass-effect-novels/</x:v>
      </x:c>
      <x:c r="E35" s="6" t="str">
        <x:v>Collaboration avec BioWare ; annonce distincte de la publication effective</x:v>
      </x:c>
      <x:c r="F35" s="6" t="str">
        <x:v>Consulté le 22 octobre 2026. Faits courts uniquement ; la publication originale reste nécessaire pour contrôler les détails.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30" t="str">
        <x:v>Domaine</x:v>
      </x:c>
      <x:c r="B39" s="31" t="str">
        <x:v>Couverture actuelle</x:v>
      </x:c>
      <x:c r="C39" s="32" t="str">
        <x:v>Travail restant</x:v>
      </x:c>
      <x:c r="D39" s="2"/>
      <x:c r="E39" s="2"/>
      <x:c r="F39" s="2"/>
    </x:row>
    <x:row r="40" ht="110" customHeight="1">
      <x:c r="A40" s="6" t="str">
        <x:v>Références canoniques</x:v>
      </x:c>
      <x:c r="B40" s="6" t="str">
        <x:v>Cora, SAM-E et la récupération d’une technologie volée ; adaptation originale mêlant infiltration, coopération humain/IA et évacuation de civils.</x:v>
      </x:c>
      <x:c r="C40" s="6" t="str">
        <x:v>Le roman intégral n’a pas été relu. Les marques d’armes, le détail des expériences, les plans et le calendrier des épisodes restent à confirmer. Les personnages secondaires de Quiet Eddy sont couverts par fiches courtes, sans reproduire leurs histoires.</x:v>
      </x:c>
      <x:c r="D40" s="2"/>
      <x:c r="E40" s="2"/>
      <x:c r="F40" s="2"/>
    </x:row>
    <x:row r="41" ht="68" customHeight="1">
      <x:c r="A41" s="6" t="str">
        <x:v>Personnages et direction artistique</x:v>
      </x:c>
      <x:c r="B41" s="6" t="str">
        <x:v>10 personnages/PNJ documentés, avec planches, poses et intentions de dialogues originales distinctes.</x:v>
      </x:c>
      <x:c r="C41" s="6" t="str">
        <x:v>Valider les costumes, accessoires et nuances de caractérisation avec un exemplaire légal de l’œuvre ; pour le film, établir une bible visuelle par visionnage.</x:v>
      </x:c>
      <x:c r="D41" s="2"/>
      <x:c r="E41" s="2"/>
      <x:c r="F41" s="2"/>
    </x:row>
    <x:row r="42" ht="54" customHeight="1">
      <x:c r="A42" s="6" t="str">
        <x:v>Cartes et progression</x:v>
      </x:c>
      <x:c r="B42" s="6" t="str">
        <x:v>8 cartes proposées, leurs kits et transitions ; 8 missions originales avec options, annexes, cinématiques et critères de test.</x:v>
      </x:c>
      <x:c r="C42" s="6" t="str">
        <x:v>Blockouts, distances, budgets mémoire et temps de parcours à mesurer ; aucune carte officielle n’est revendiquée.</x:v>
      </x:c>
      <x:c r="D42" s="2"/>
      <x:c r="E42" s="2"/>
      <x:c r="F42" s="2"/>
    </x:row>
    <x:row r="43" ht="68" customHeight="1">
      <x:c r="A43" s="6" t="str">
        <x:v>Combat, systèmes et médias</x:v>
      </x:c>
      <x:c r="B43" s="6" t="str">
        <x:v>4 rencontres proposées, movesets, VFX, actions alliées, interface, audio et sauvegarde.</x:v>
      </x:c>
      <x:c r="C43" s="6" t="str">
        <x:v>Prototype, équilibrage, réalisation des assets, doublage éventuel et tests encore à faire. Aucune ligne ne signifie que le fan game contient déjà cet élément.</x:v>
      </x:c>
      <x:c r="D43" s="2"/>
      <x:c r="E43" s="2"/>
      <x:c r="F43" s="2"/>
    </x:row>
    <x:row r="44" ht="68" customHeight="1">
      <x:c r="A44" s="6" t="str">
        <x:v>Accès aux pages demandées</x:v>
      </x:c>
      <x:c r="B44" s="6" t="str">
        <x:v>La page demandée https://masseffect.fandom.com/wiki/Mass_Effect_Andromeda:_Initiation a refusé l’ouverture. Notice PRH, critique de Reactor, pages indexées SAM-E, Medea et Quiet Eddy servent de remplacements.</x:v>
      </x:c>
      <x:c r="C44" s="6" t="str">
        <x:v>Les extraits indexés ne remplacent pas une vérification de l’œuvre intégrale. Les traductions françaises des noms et titres restent à contrôler selon l’édition retenue.</x:v>
      </x:c>
      <x:c r="D44" s="2"/>
      <x:c r="E44" s="2"/>
      <x:c r="F44" s="2"/>
    </x:row>
    <x:row r="45" ht="22" customHeight="1">
      <x:c r="A45" s="2"/>
      <x:c r="B45" s="2"/>
      <x:c r="C45" s="2"/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</x:sheetData>
  <x:pageMargins left="0.7" right="0.7" top="0.75" bottom="0.75" header="0.3" footer="0.3"/>
</x:worksheet>
</file>