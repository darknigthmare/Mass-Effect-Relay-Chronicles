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39b18ec6bd4c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24c393674214c0c"/>
    <x:sheet xmlns:r="http://schemas.openxmlformats.org/officeDocument/2006/relationships" name="Personnages" sheetId="2" r:id="R4a4b28da05ce44e7"/>
    <x:sheet xmlns:r="http://schemas.openxmlformats.org/officeDocument/2006/relationships" name="PNJ" sheetId="3" r:id="R6277cccf4b6b40d2"/>
    <x:sheet xmlns:r="http://schemas.openxmlformats.org/officeDocument/2006/relationships" name="Especes_factions" sheetId="4" r:id="R5a3767f3bd574c3b"/>
    <x:sheet xmlns:r="http://schemas.openxmlformats.org/officeDocument/2006/relationships" name="Mondes" sheetId="5" r:id="Re0a8b874467343a5"/>
    <x:sheet xmlns:r="http://schemas.openxmlformats.org/officeDocument/2006/relationships" name="Zones" sheetId="6" r:id="R261e955d6f5b47b9"/>
    <x:sheet xmlns:r="http://schemas.openxmlformats.org/officeDocument/2006/relationships" name="Liaisons" sheetId="7" r:id="R0f1f4576a53d4945"/>
    <x:sheet xmlns:r="http://schemas.openxmlformats.org/officeDocument/2006/relationships" name="Decors" sheetId="8" r:id="R0c7d6bf2bf0f4b8b"/>
    <x:sheet xmlns:r="http://schemas.openxmlformats.org/officeDocument/2006/relationships" name="Props" sheetId="9" r:id="R323c26f46ddb436f"/>
    <x:sheet xmlns:r="http://schemas.openxmlformats.org/officeDocument/2006/relationships" name="Ennemis_boss" sheetId="10" r:id="R022ee59372ff465c"/>
    <x:sheet xmlns:r="http://schemas.openxmlformats.org/officeDocument/2006/relationships" name="Missions" sheetId="11" r:id="Rbfe3ab2aa81a4353"/>
    <x:sheet xmlns:r="http://schemas.openxmlformats.org/officeDocument/2006/relationships" name="Secondaires_DLC" sheetId="12" r:id="Rf67206cd4ea04e61"/>
    <x:sheet xmlns:r="http://schemas.openxmlformats.org/officeDocument/2006/relationships" name="Choix_relations" sheetId="13" r:id="Ref058b3204144cc6"/>
    <x:sheet xmlns:r="http://schemas.openxmlformats.org/officeDocument/2006/relationships" name="Dialogues" sheetId="14" r:id="R1b5ea5d32aa34536"/>
    <x:sheet xmlns:r="http://schemas.openxmlformats.org/officeDocument/2006/relationships" name="Cinematiques" sheetId="15" r:id="R914492807c674bb6"/>
    <x:sheet xmlns:r="http://schemas.openxmlformats.org/officeDocument/2006/relationships" name="Armes" sheetId="16" r:id="R5413e075cee44a22"/>
    <x:sheet xmlns:r="http://schemas.openxmlformats.org/officeDocument/2006/relationships" name="Armures_equipement" sheetId="17" r:id="R8950e557fb8b49cf"/>
    <x:sheet xmlns:r="http://schemas.openxmlformats.org/officeDocument/2006/relationships" name="Pouvoirs" sheetId="18" r:id="R9513dce9591f4ae3"/>
    <x:sheet xmlns:r="http://schemas.openxmlformats.org/officeDocument/2006/relationships" name="Movesets_allies" sheetId="19" r:id="R815f556102cc47a0"/>
    <x:sheet xmlns:r="http://schemas.openxmlformats.org/officeDocument/2006/relationships" name="Movesets_ennemis" sheetId="20" r:id="R564a94386d4e4629"/>
    <x:sheet xmlns:r="http://schemas.openxmlformats.org/officeDocument/2006/relationships" name="Animations" sheetId="21" r:id="Ra9c181febcd84db3"/>
    <x:sheet xmlns:r="http://schemas.openxmlformats.org/officeDocument/2006/relationships" name="Sprites" sheetId="22" r:id="R69220277648c4239"/>
    <x:sheet xmlns:r="http://schemas.openxmlformats.org/officeDocument/2006/relationships" name="VFX" sheetId="23" r:id="R13839c5a6d9a4941"/>
    <x:sheet xmlns:r="http://schemas.openxmlformats.org/officeDocument/2006/relationships" name="Audio" sheetId="24" r:id="R22daaa3a8aad45b8"/>
    <x:sheet xmlns:r="http://schemas.openxmlformats.org/officeDocument/2006/relationships" name="UI_systemes" sheetId="25" r:id="R177981477a9b4e7a"/>
    <x:sheet xmlns:r="http://schemas.openxmlformats.org/officeDocument/2006/relationships" name="QA" sheetId="26" r:id="Rf9e845d63013410d"/>
    <x:sheet xmlns:r="http://schemas.openxmlformats.org/officeDocument/2006/relationships" name="Continuite" sheetId="27" r:id="Rb40212b1bc0e452f"/>
    <x:sheet xmlns:r="http://schemas.openxmlformats.org/officeDocument/2006/relationships" name="Guide" sheetId="28" r:id="R13e0cffe439846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4c0772054d4990" /><Relationship Type="http://schemas.openxmlformats.org/officeDocument/2006/relationships/theme" Target="/xl/theme/theme1.xml" Id="R8a8cfff3d61c402c" /><Relationship Type="http://schemas.openxmlformats.org/officeDocument/2006/relationships/sharedStrings" Target="/xl/sharedStrings.xml" Id="R2cfdd74411e7444e" /><Relationship Type="http://schemas.openxmlformats.org/officeDocument/2006/relationships/worksheet" Target="/xl/worksheets/sheet1.xml" Id="R024c393674214c0c" /><Relationship Type="http://schemas.openxmlformats.org/officeDocument/2006/relationships/worksheet" Target="/xl/worksheets/sheet2.xml" Id="R4a4b28da05ce44e7" /><Relationship Type="http://schemas.openxmlformats.org/officeDocument/2006/relationships/worksheet" Target="/xl/worksheets/sheet3.xml" Id="R6277cccf4b6b40d2" /><Relationship Type="http://schemas.openxmlformats.org/officeDocument/2006/relationships/worksheet" Target="/xl/worksheets/sheet4.xml" Id="R5a3767f3bd574c3b" /><Relationship Type="http://schemas.openxmlformats.org/officeDocument/2006/relationships/worksheet" Target="/xl/worksheets/sheet5.xml" Id="Re0a8b874467343a5" /><Relationship Type="http://schemas.openxmlformats.org/officeDocument/2006/relationships/worksheet" Target="/xl/worksheets/sheet6.xml" Id="R261e955d6f5b47b9" /><Relationship Type="http://schemas.openxmlformats.org/officeDocument/2006/relationships/worksheet" Target="/xl/worksheets/sheet7.xml" Id="R0f1f4576a53d4945" /><Relationship Type="http://schemas.openxmlformats.org/officeDocument/2006/relationships/worksheet" Target="/xl/worksheets/sheet8.xml" Id="R0c7d6bf2bf0f4b8b" /><Relationship Type="http://schemas.openxmlformats.org/officeDocument/2006/relationships/worksheet" Target="/xl/worksheets/sheet9.xml" Id="R323c26f46ddb436f" /><Relationship Type="http://schemas.openxmlformats.org/officeDocument/2006/relationships/worksheet" Target="/xl/worksheets/sheet10.xml" Id="R022ee59372ff465c" /><Relationship Type="http://schemas.openxmlformats.org/officeDocument/2006/relationships/worksheet" Target="/xl/worksheets/sheet11.xml" Id="Rbfe3ab2aa81a4353" /><Relationship Type="http://schemas.openxmlformats.org/officeDocument/2006/relationships/worksheet" Target="/xl/worksheets/sheet12.xml" Id="Rf67206cd4ea04e61" /><Relationship Type="http://schemas.openxmlformats.org/officeDocument/2006/relationships/worksheet" Target="/xl/worksheets/sheet13.xml" Id="Ref058b3204144cc6" /><Relationship Type="http://schemas.openxmlformats.org/officeDocument/2006/relationships/worksheet" Target="/xl/worksheets/sheet14.xml" Id="R1b5ea5d32aa34536" /><Relationship Type="http://schemas.openxmlformats.org/officeDocument/2006/relationships/worksheet" Target="/xl/worksheets/sheet15.xml" Id="R914492807c674bb6" /><Relationship Type="http://schemas.openxmlformats.org/officeDocument/2006/relationships/worksheet" Target="/xl/worksheets/sheet16.xml" Id="R5413e075cee44a22" /><Relationship Type="http://schemas.openxmlformats.org/officeDocument/2006/relationships/worksheet" Target="/xl/worksheets/sheet17.xml" Id="R8950e557fb8b49cf" /><Relationship Type="http://schemas.openxmlformats.org/officeDocument/2006/relationships/worksheet" Target="/xl/worksheets/sheet18.xml" Id="R9513dce9591f4ae3" /><Relationship Type="http://schemas.openxmlformats.org/officeDocument/2006/relationships/worksheet" Target="/xl/worksheets/sheet19.xml" Id="R815f556102cc47a0" /><Relationship Type="http://schemas.openxmlformats.org/officeDocument/2006/relationships/worksheet" Target="/xl/worksheets/sheet20.xml" Id="R564a94386d4e4629" /><Relationship Type="http://schemas.openxmlformats.org/officeDocument/2006/relationships/worksheet" Target="/xl/worksheets/sheet21.xml" Id="Ra9c181febcd84db3" /><Relationship Type="http://schemas.openxmlformats.org/officeDocument/2006/relationships/worksheet" Target="/xl/worksheets/sheet22.xml" Id="R69220277648c4239" /><Relationship Type="http://schemas.openxmlformats.org/officeDocument/2006/relationships/worksheet" Target="/xl/worksheets/sheet23.xml" Id="R13839c5a6d9a4941" /><Relationship Type="http://schemas.openxmlformats.org/officeDocument/2006/relationships/worksheet" Target="/xl/worksheets/sheet24.xml" Id="R22daaa3a8aad45b8" /><Relationship Type="http://schemas.openxmlformats.org/officeDocument/2006/relationships/worksheet" Target="/xl/worksheets/sheet25.xml" Id="R177981477a9b4e7a" /><Relationship Type="http://schemas.openxmlformats.org/officeDocument/2006/relationships/worksheet" Target="/xl/worksheets/sheet26.xml" Id="Rf9e845d63013410d" /><Relationship Type="http://schemas.openxmlformats.org/officeDocument/2006/relationships/worksheet" Target="/xl/worksheets/sheet27.xml" Id="Rb40212b1bc0e452f" /><Relationship Type="http://schemas.openxmlformats.org/officeDocument/2006/relationships/worksheet" Target="/xl/worksheets/sheet28.xml" Id="R13e0cffe439846b8" /></Relationships>
</file>

<file path=xl/tables/table1.xml><?xml version="1.0" encoding="utf-8"?>
<x:table xmlns:x="http://schemas.openxmlformats.org/spreadsheetml/2006/main" id="1" name="INI_characters" displayName="INI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I_npcs" displayName="INI_np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I_lore" displayName="INI_lore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I_worlds" displayName="INI_world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I_zones" displayName="INI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I_links" displayName="INI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I_scenery" displayName="INI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I_props" displayName="INI_prop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I_enemies" displayName="INI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I_main_quests" displayName="INI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I_side_quests" displayName="INI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I_choices" displayName="INI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NI_dialogues" displayName="INI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INI_cinematics" displayName="INI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I_weapons" displayName="INI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I_equipment" displayName="INI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I_powers" displayName="INI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I_ally_moves" displayName="INI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I_enemy_moves" displayName="INI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I_animations" displayName="INI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I_sprites" displayName="INI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I_vfx" displayName="INI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I_audio" displayName="INI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I_systems" displayName="INI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INI_qa" displayName="INI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INI_continuity" displayName="INI_continuit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fe7959e74da4c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dab2d71b34d4d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a0474daf8242c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3d7c6b5b20943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14907b0c1e448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21a8b2b02a9476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f2bc637af254d7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66843f5393d40e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44feec065d742f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0637bc1f2f84a7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a5f182b730d4c0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20677c02b884fa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84dfad32cd5447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7e8edd904d3490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34187747c6ac4ed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33a08a87ede3441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9bc867805e004f1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0c6e50a740e140dd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ae7a2e8b8c8e4d68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be0f682f928c444c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cd50cf35b3f748e7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d16513718ece4b29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af885d0b3cbf4cca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0a0eb95af1b548f3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03970b251db0495f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6a060e4876ad4201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 Andromeda: Initiation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159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129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2</x:v>
      </x:c>
      <x:c r="D10" s="37" t="n">
        <x:f>COUNTIFS('Personnages'!$C$7:$C$8,"Prototype")</x:f>
        <x:v>0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COUNTA('PNJ'!$A$7:$A$14)</x:f>
        <x:v>8</x:v>
      </x:c>
      <x:c r="C11" s="38" t="n">
        <x:f>COUNTIFS('PNJ'!$C$7:$C$14,"Défini")</x:f>
        <x:v>8</x:v>
      </x:c>
      <x:c r="D11" s="38" t="n">
        <x:f>COUNTIFS('PNJ'!$C$7:$C$14,"Prototype")</x:f>
        <x:v>0</x:v>
      </x:c>
      <x:c r="E11" s="38" t="n">
        <x:f>COUNTIFS('PNJ'!$C$7:$C$14,"Intégré")</x:f>
        <x:v>0</x:v>
      </x:c>
      <x:c r="F11" s="38" t="n">
        <x:f>COUNTIFS('PNJ'!$C$7:$C$14,"Validé")</x:f>
        <x:v>0</x:v>
      </x:c>
      <x:c r="G11" s="38" t="n">
        <x:f>COUNTIFS('PNJ'!$D$7:$D$14,"Établi")</x:f>
        <x:v>8</x:v>
      </x:c>
      <x:c r="H11" s="38" t="n">
        <x:f>COUNTIFS('PNJ'!$D$7:$D$14,"À vérifier")</x:f>
        <x:v>0</x:v>
      </x:c>
      <x:c r="I11" s="38" t="n">
        <x:f>COUNTIFS('PNJ'!$D$7:$D$14,"Extrapolation")</x:f>
        <x:v>0</x:v>
      </x:c>
      <x:c r="J11" s="38" t="n">
        <x:f>COUNTIFS('PNJ'!$D$7:$D$14,"Coupé attesté")</x:f>
        <x:v>0</x:v>
      </x:c>
      <x:c r="K11" s="38" t="n">
        <x:f>COUNTIFS('PNJ'!$D$7:$D$14,"Concept abandonné")</x:f>
        <x:v>0</x:v>
      </x:c>
      <x:c r="L11" s="38" t="n">
        <x:f>COUNTIFS('PNJ'!$D$7:$D$14,"Allégation écartée")</x:f>
        <x:v>0</x:v>
      </x:c>
      <x:c r="M11" s="38" t="n">
        <x:f>COUNTIFS('PNJ'!$E$7:$E$14,"P0")</x:f>
        <x:v>0</x:v>
      </x:c>
    </x:row>
    <x:row r="12" ht="22" customHeight="1">
      <x:c r="A12" s="33" t="str">
        <x:v>Espèces et factions</x:v>
      </x:c>
      <x:c r="B12" s="37" t="n">
        <x:f>COUNTA('Especes_factions'!$A$7:$A$7)</x:f>
        <x:v>1</x:v>
      </x:c>
      <x:c r="C12" s="37" t="n">
        <x:f>COUNTIFS('Especes_factions'!$C$7:$C$7,"Défini")</x:f>
        <x:v>0</x:v>
      </x:c>
      <x:c r="D12" s="37" t="n">
        <x:f>COUNTIFS('Especes_factions'!$C$7:$C$7,"Prototype")</x:f>
        <x:v>1</x:v>
      </x:c>
      <x:c r="E12" s="37" t="n">
        <x:f>COUNTIFS('Especes_factions'!$C$7:$C$7,"Intégré")</x:f>
        <x:v>0</x:v>
      </x:c>
      <x:c r="F12" s="37" t="n">
        <x:f>COUNTIFS('Especes_factions'!$C$7:$C$7,"Validé")</x:f>
        <x:v>0</x:v>
      </x:c>
      <x:c r="G12" s="37" t="n">
        <x:f>COUNTIFS('Especes_factions'!$D$7:$D$7,"Établi")</x:f>
        <x:v>1</x:v>
      </x:c>
      <x:c r="H12" s="37" t="n">
        <x:f>COUNTIFS('Especes_factions'!$D$7:$D$7,"À vérifier")</x:f>
        <x:v>0</x:v>
      </x:c>
      <x:c r="I12" s="37" t="n">
        <x:f>COUNTIFS('Especes_factions'!$D$7:$D$7,"Extrapolation")</x:f>
        <x:v>0</x:v>
      </x:c>
      <x:c r="J12" s="37" t="n">
        <x:f>COUNTIFS('Especes_factions'!$D$7:$D$7,"Coupé attesté")</x:f>
        <x:v>0</x:v>
      </x:c>
      <x:c r="K12" s="37" t="n">
        <x:f>COUNTIFS('Especes_factions'!$D$7:$D$7,"Concept abandonné")</x:f>
        <x:v>0</x:v>
      </x:c>
      <x:c r="L12" s="37" t="n">
        <x:f>COUNTIFS('Especes_factions'!$D$7:$D$7,"Allégation écartée")</x:f>
        <x:v>0</x:v>
      </x:c>
      <x:c r="M12" s="37" t="n">
        <x:f>COUNTIFS('Especes_factions'!$E$7:$E$7,"P0")</x:f>
        <x:v>0</x:v>
      </x:c>
    </x:row>
    <x:row r="13" ht="22" customHeight="1">
      <x:c r="A13" s="2" t="str">
        <x:v>Mondes</x:v>
      </x:c>
      <x:c r="B13" s="38" t="n">
        <x:f>COUNTA('Mondes'!$A$7:$A$10)</x:f>
        <x:v>4</x:v>
      </x:c>
      <x:c r="C13" s="38" t="n">
        <x:f>COUNTIFS('Mondes'!$C$7:$C$10,"Défini")</x:f>
        <x:v>0</x:v>
      </x:c>
      <x:c r="D13" s="38" t="n">
        <x:f>COUNTIFS('Mondes'!$C$7:$C$10,"Prototype")</x:f>
        <x:v>4</x:v>
      </x:c>
      <x:c r="E13" s="38" t="n">
        <x:f>COUNTIFS('Mondes'!$C$7:$C$10,"Intégré")</x:f>
        <x:v>0</x:v>
      </x:c>
      <x:c r="F13" s="38" t="n">
        <x:f>COUNTIFS('Mondes'!$C$7:$C$10,"Validé")</x:f>
        <x:v>0</x:v>
      </x:c>
      <x:c r="G13" s="38" t="n">
        <x:f>COUNTIFS('Mondes'!$D$7:$D$10,"Établi")</x:f>
        <x:v>4</x:v>
      </x:c>
      <x:c r="H13" s="38" t="n">
        <x:f>COUNTIFS('Mondes'!$D$7:$D$10,"À vérifier")</x:f>
        <x:v>0</x:v>
      </x:c>
      <x:c r="I13" s="38" t="n">
        <x:f>COUNTIFS('Mondes'!$D$7:$D$10,"Extrapolation")</x:f>
        <x:v>0</x:v>
      </x:c>
      <x:c r="J13" s="38" t="n">
        <x:f>COUNTIFS('Mondes'!$D$7:$D$10,"Coupé attesté")</x:f>
        <x:v>0</x:v>
      </x:c>
      <x:c r="K13" s="38" t="n">
        <x:f>COUNTIFS('Mondes'!$D$7:$D$10,"Concept abandonné")</x:f>
        <x:v>0</x:v>
      </x:c>
      <x:c r="L13" s="38" t="n">
        <x:f>COUNTIFS('Mondes'!$D$7:$D$10,"Allégation écartée")</x:f>
        <x:v>0</x:v>
      </x:c>
      <x:c r="M13" s="38" t="n">
        <x:f>COUNTIFS('Mondes'!$E$7:$E$10,"P0")</x:f>
        <x:v>0</x:v>
      </x:c>
    </x:row>
    <x:row r="14" ht="22" customHeight="1">
      <x:c r="A14" s="33" t="str">
        <x:v>Zones</x:v>
      </x:c>
      <x:c r="B14" s="37" t="n">
        <x:f>COUNTA('Zones'!$A$7:$A$14)</x:f>
        <x:v>8</x:v>
      </x:c>
      <x:c r="C14" s="37" t="n">
        <x:f>COUNTIFS('Zones'!$C$7:$C$14,"Défini")</x:f>
        <x:v>8</x:v>
      </x:c>
      <x:c r="D14" s="37" t="n">
        <x:f>COUNTIFS('Zones'!$C$7:$C$14,"Prototype")</x:f>
        <x:v>0</x:v>
      </x:c>
      <x:c r="E14" s="37" t="n">
        <x:f>COUNTIFS('Zones'!$C$7:$C$14,"Intégré")</x:f>
        <x:v>0</x:v>
      </x:c>
      <x:c r="F14" s="37" t="n">
        <x:f>COUNTIFS('Zones'!$C$7:$C$14,"Validé")</x:f>
        <x:v>0</x:v>
      </x:c>
      <x:c r="G14" s="37" t="n">
        <x:f>COUNTIFS('Zones'!$D$7:$D$14,"Établi")</x:f>
        <x:v>0</x:v>
      </x:c>
      <x:c r="H14" s="37" t="n">
        <x:f>COUNTIFS('Zones'!$D$7:$D$14,"À vérifier")</x:f>
        <x:v>0</x:v>
      </x:c>
      <x:c r="I14" s="37" t="n">
        <x:f>COUNTIFS('Zones'!$D$7:$D$14,"Extrapolation")</x:f>
        <x:v>8</x:v>
      </x:c>
      <x:c r="J14" s="37" t="n">
        <x:f>COUNTIFS('Zones'!$D$7:$D$14,"Coupé attesté")</x:f>
        <x:v>0</x:v>
      </x:c>
      <x:c r="K14" s="37" t="n">
        <x:f>COUNTIFS('Zones'!$D$7:$D$14,"Concept abandonné")</x:f>
        <x:v>0</x:v>
      </x:c>
      <x:c r="L14" s="37" t="n">
        <x:f>COUNTIFS('Zones'!$D$7:$D$14,"Allégation écartée")</x:f>
        <x:v>0</x:v>
      </x:c>
      <x:c r="M14" s="37" t="n">
        <x:f>COUNTIFS('Zones'!$E$7:$E$14,"P0")</x:f>
        <x:v>0</x:v>
      </x:c>
    </x:row>
    <x:row r="15" ht="22" customHeight="1">
      <x:c r="A15" s="2" t="str">
        <x:v>Liaisons</x:v>
      </x:c>
      <x:c r="B15" s="38" t="n">
        <x:f>COUNTA('Liaisons'!$A$7:$A$14)</x:f>
        <x:v>8</x:v>
      </x:c>
      <x:c r="C15" s="38" t="n">
        <x:f>COUNTIFS('Liaisons'!$C$7:$C$14,"Défini")</x:f>
        <x:v>8</x:v>
      </x:c>
      <x:c r="D15" s="38" t="n">
        <x:f>COUNTIFS('Liaisons'!$C$7:$C$14,"Prototype")</x:f>
        <x:v>0</x:v>
      </x:c>
      <x:c r="E15" s="38" t="n">
        <x:f>COUNTIFS('Liaisons'!$C$7:$C$14,"Intégré")</x:f>
        <x:v>0</x:v>
      </x:c>
      <x:c r="F15" s="38" t="n">
        <x:f>COUNTIFS('Liaisons'!$C$7:$C$14,"Validé")</x:f>
        <x:v>0</x:v>
      </x:c>
      <x:c r="G15" s="38" t="n">
        <x:f>COUNTIFS('Liaisons'!$D$7:$D$14,"Établi")</x:f>
        <x:v>0</x:v>
      </x:c>
      <x:c r="H15" s="38" t="n">
        <x:f>COUNTIFS('Liaisons'!$D$7:$D$14,"À vérifier")</x:f>
        <x:v>0</x:v>
      </x:c>
      <x:c r="I15" s="38" t="n">
        <x:f>COUNTIFS('Liaisons'!$D$7:$D$14,"Extrapolation")</x:f>
        <x:v>8</x:v>
      </x:c>
      <x:c r="J15" s="38" t="n">
        <x:f>COUNTIFS('Liaisons'!$D$7:$D$14,"Coupé attesté")</x:f>
        <x:v>0</x:v>
      </x:c>
      <x:c r="K15" s="38" t="n">
        <x:f>COUNTIFS('Liaisons'!$D$7:$D$14,"Concept abandonné")</x:f>
        <x:v>0</x:v>
      </x:c>
      <x:c r="L15" s="38" t="n">
        <x:f>COUNTIFS('Liaisons'!$D$7:$D$14,"Allégation écartée")</x:f>
        <x:v>0</x:v>
      </x:c>
      <x:c r="M15" s="38" t="n">
        <x:f>COUNTIFS('Liaisons'!$E$7:$E$14,"P0")</x:f>
        <x:v>0</x:v>
      </x:c>
    </x:row>
    <x:row r="16" ht="22" customHeight="1">
      <x:c r="A16" s="33" t="str">
        <x:v>Décors</x:v>
      </x:c>
      <x:c r="B16" s="37" t="n">
        <x:f>COUNTA('Decors'!$A$7:$A$14)</x:f>
        <x:v>8</x:v>
      </x:c>
      <x:c r="C16" s="37" t="n">
        <x:f>COUNTIFS('Decors'!$C$7:$C$14,"Défini")</x:f>
        <x:v>8</x:v>
      </x:c>
      <x:c r="D16" s="37" t="n">
        <x:f>COUNTIFS('Decors'!$C$7:$C$14,"Prototype")</x:f>
        <x:v>0</x:v>
      </x:c>
      <x:c r="E16" s="37" t="n">
        <x:f>COUNTIFS('Decors'!$C$7:$C$14,"Intégré")</x:f>
        <x:v>0</x:v>
      </x:c>
      <x:c r="F16" s="37" t="n">
        <x:f>COUNTIFS('Decors'!$C$7:$C$14,"Validé")</x:f>
        <x:v>0</x:v>
      </x:c>
      <x:c r="G16" s="37" t="n">
        <x:f>COUNTIFS('Decors'!$D$7:$D$14,"Établi")</x:f>
        <x:v>0</x:v>
      </x:c>
      <x:c r="H16" s="37" t="n">
        <x:f>COUNTIFS('Decors'!$D$7:$D$14,"À vérifier")</x:f>
        <x:v>0</x:v>
      </x:c>
      <x:c r="I16" s="37" t="n">
        <x:f>COUNTIFS('Decors'!$D$7:$D$14,"Extrapolation")</x:f>
        <x:v>8</x:v>
      </x:c>
      <x:c r="J16" s="37" t="n">
        <x:f>COUNTIFS('Decors'!$D$7:$D$14,"Coupé attesté")</x:f>
        <x:v>0</x:v>
      </x:c>
      <x:c r="K16" s="37" t="n">
        <x:f>COUNTIFS('Decors'!$D$7:$D$14,"Concept abandonné")</x:f>
        <x:v>0</x:v>
      </x:c>
      <x:c r="L16" s="37" t="n">
        <x:f>COUNTIFS('Decors'!$D$7:$D$14,"Allégation écartée")</x:f>
        <x:v>0</x:v>
      </x:c>
      <x:c r="M16" s="37" t="n">
        <x:f>COUNTIFS('Decors'!$E$7:$E$14,"P0")</x:f>
        <x:v>0</x:v>
      </x:c>
    </x:row>
    <x:row r="17" ht="22" customHeight="1">
      <x:c r="A17" s="2" t="str">
        <x:v>Props</x:v>
      </x:c>
      <x:c r="B17" s="38" t="n">
        <x:f>COUNTA('Props'!$A$7:$A$8)</x:f>
        <x:v>2</x:v>
      </x:c>
      <x:c r="C17" s="38" t="n">
        <x:f>COUNTIFS('Props'!$C$7:$C$8,"Défini")</x:f>
        <x:v>2</x:v>
      </x:c>
      <x:c r="D17" s="38" t="n">
        <x:f>COUNTIFS('Props'!$C$7:$C$8,"Prototype")</x:f>
        <x:v>0</x:v>
      </x:c>
      <x:c r="E17" s="38" t="n">
        <x:f>COUNTIFS('Props'!$C$7:$C$8,"Intégré")</x:f>
        <x:v>0</x:v>
      </x:c>
      <x:c r="F17" s="38" t="n">
        <x:f>COUNTIFS('Props'!$C$7:$C$8,"Validé")</x:f>
        <x:v>0</x:v>
      </x:c>
      <x:c r="G17" s="38" t="n">
        <x:f>COUNTIFS('Props'!$D$7:$D$8,"Établi")</x:f>
        <x:v>2</x:v>
      </x:c>
      <x:c r="H17" s="38" t="n">
        <x:f>COUNTIFS('Props'!$D$7:$D$8,"À vérifier")</x:f>
        <x:v>0</x:v>
      </x:c>
      <x:c r="I17" s="38" t="n">
        <x:f>COUNTIFS('Props'!$D$7:$D$8,"Extrapolation")</x:f>
        <x:v>0</x:v>
      </x:c>
      <x:c r="J17" s="38" t="n">
        <x:f>COUNTIFS('Props'!$D$7:$D$8,"Coupé attesté")</x:f>
        <x:v>0</x:v>
      </x:c>
      <x:c r="K17" s="38" t="n">
        <x:f>COUNTIFS('Props'!$D$7:$D$8,"Concept abandonné")</x:f>
        <x:v>0</x:v>
      </x:c>
      <x:c r="L17" s="38" t="n">
        <x:f>COUNTIFS('Props'!$D$7:$D$8,"Allégation écartée")</x:f>
        <x:v>0</x:v>
      </x:c>
      <x:c r="M17" s="38" t="n">
        <x:f>COUNTIFS('Props'!$E$7:$E$8,"P0")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0</x:v>
      </x:c>
      <x:c r="I18" s="37" t="n">
        <x:f>COUNTIFS('Ennemis_boss'!$D$7:$D$10,"Extrapolation")</x:f>
        <x:v>4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COUNTA('Dialogues'!$A$7:$A$16)</x:f>
        <x:v>10</x:v>
      </x:c>
      <x:c r="C22" s="37" t="n">
        <x:f>COUNTIFS('Dialogues'!$C$7:$C$16,"Défini")</x:f>
        <x:v>10</x:v>
      </x:c>
      <x:c r="D22" s="37" t="n">
        <x:f>COUNTIFS('Dialogues'!$C$7:$C$16,"Prototype")</x:f>
        <x:v>0</x:v>
      </x:c>
      <x:c r="E22" s="37" t="n">
        <x:f>COUNTIFS('Dialogues'!$C$7:$C$16,"Intégré")</x:f>
        <x:v>0</x:v>
      </x:c>
      <x:c r="F22" s="37" t="n">
        <x:f>COUNTIFS('Dialogues'!$C$7:$C$16,"Validé")</x:f>
        <x:v>0</x:v>
      </x:c>
      <x:c r="G22" s="37" t="n">
        <x:f>COUNTIFS('Dialogues'!$D$7:$D$16,"Établi")</x:f>
        <x:v>0</x:v>
      </x:c>
      <x:c r="H22" s="37" t="n">
        <x:f>COUNTIFS('Dialogues'!$D$7:$D$16,"À vérifier")</x:f>
        <x:v>0</x:v>
      </x:c>
      <x:c r="I22" s="37" t="n">
        <x:f>COUNTIFS('Dialogues'!$D$7:$D$16,"Extrapolation")</x:f>
        <x:v>10</x:v>
      </x:c>
      <x:c r="J22" s="37" t="n">
        <x:f>COUNTIFS('Dialogues'!$D$7:$D$16,"Coupé attesté")</x:f>
        <x:v>0</x:v>
      </x:c>
      <x:c r="K22" s="37" t="n">
        <x:f>COUNTIFS('Dialogues'!$D$7:$D$16,"Concept abandonné")</x:f>
        <x:v>0</x:v>
      </x:c>
      <x:c r="L22" s="37" t="n">
        <x:f>COUNTIFS('Dialogues'!$D$7:$D$16,"Allégation écartée")</x:f>
        <x:v>0</x:v>
      </x:c>
      <x:c r="M22" s="37" t="n">
        <x:f>COUNTIFS('Dialogues'!$E$7:$E$16,"P0")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1</x:v>
      </x:c>
      <x:c r="H24" s="37" t="n">
        <x:f>COUNTIFS('Armes'!$D$7:$D$7,"À vérifier")</x:f>
        <x:v>0</x:v>
      </x:c>
      <x:c r="I24" s="37" t="n">
        <x:f>COUNTIFS('Armes'!$D$7:$D$7,"Extrapolation")</x:f>
        <x:v>0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COUNTA('Armures_equipement'!$A$7:$A$9)</x:f>
        <x:v>3</x:v>
      </x:c>
      <x:c r="C25" s="38" t="n">
        <x:f>COUNTIFS('Armures_equipement'!$C$7:$C$9,"Défini")</x:f>
        <x:v>3</x:v>
      </x:c>
      <x:c r="D25" s="38" t="n">
        <x:f>COUNTIFS('Armures_equipement'!$C$7:$C$9,"Prototype")</x:f>
        <x:v>0</x:v>
      </x:c>
      <x:c r="E25" s="38" t="n">
        <x:f>COUNTIFS('Armures_equipement'!$C$7:$C$9,"Intégré")</x:f>
        <x:v>0</x:v>
      </x:c>
      <x:c r="F25" s="38" t="n">
        <x:f>COUNTIFS('Armures_equipement'!$C$7:$C$9,"Validé")</x:f>
        <x:v>0</x:v>
      </x:c>
      <x:c r="G25" s="38" t="n">
        <x:f>COUNTIFS('Armures_equipement'!$D$7:$D$9,"Établi")</x:f>
        <x:v>3</x:v>
      </x:c>
      <x:c r="H25" s="38" t="n">
        <x:f>COUNTIFS('Armures_equipement'!$D$7:$D$9,"À vérifier")</x:f>
        <x:v>0</x:v>
      </x:c>
      <x:c r="I25" s="38" t="n">
        <x:f>COUNTIFS('Armures_equipement'!$D$7:$D$9,"Extrapolation")</x:f>
        <x:v>0</x:v>
      </x:c>
      <x:c r="J25" s="38" t="n">
        <x:f>COUNTIFS('Armures_equipement'!$D$7:$D$9,"Coupé attesté")</x:f>
        <x:v>0</x:v>
      </x:c>
      <x:c r="K25" s="38" t="n">
        <x:f>COUNTIFS('Armures_equipement'!$D$7:$D$9,"Concept abandonné")</x:f>
        <x:v>0</x:v>
      </x:c>
      <x:c r="L25" s="38" t="n">
        <x:f>COUNTIFS('Armures_equipement'!$D$7:$D$9,"Allégation écartée")</x:f>
        <x:v>0</x:v>
      </x:c>
      <x:c r="M25" s="38" t="n">
        <x:f>COUNTIFS('Armures_equipement'!$E$7:$E$9,"P0")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1</x:v>
      </x:c>
      <x:c r="H26" s="37" t="n">
        <x:f>COUNTIFS('Pouvoirs'!$D$7:$D$7,"À vérifier")</x:f>
        <x:v>0</x:v>
      </x:c>
      <x:c r="I26" s="37" t="n">
        <x:f>COUNTIFS('Pouvoirs'!$D$7:$D$7,"Extrapolation")</x:f>
        <x:v>0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COUNTA('Movesets_allies'!$A$7:$A$12)</x:f>
        <x:v>6</x:v>
      </x:c>
      <x:c r="C27" s="38" t="n">
        <x:f>COUNTIFS('Movesets_allies'!$C$7:$C$12,"Défini")</x:f>
        <x:v>6</x:v>
      </x:c>
      <x:c r="D27" s="38" t="n">
        <x:f>COUNTIFS('Movesets_allies'!$C$7:$C$12,"Prototype")</x:f>
        <x:v>0</x:v>
      </x:c>
      <x:c r="E27" s="38" t="n">
        <x:f>COUNTIFS('Movesets_allies'!$C$7:$C$12,"Intégré")</x:f>
        <x:v>0</x:v>
      </x:c>
      <x:c r="F27" s="38" t="n">
        <x:f>COUNTIFS('Movesets_allies'!$C$7:$C$12,"Validé")</x:f>
        <x:v>0</x:v>
      </x:c>
      <x:c r="G27" s="38" t="n">
        <x:f>COUNTIFS('Movesets_allies'!$D$7:$D$12,"Établi")</x:f>
        <x:v>0</x:v>
      </x:c>
      <x:c r="H27" s="38" t="n">
        <x:f>COUNTIFS('Movesets_allies'!$D$7:$D$12,"À vérifier")</x:f>
        <x:v>0</x:v>
      </x:c>
      <x:c r="I27" s="38" t="n">
        <x:f>COUNTIFS('Movesets_allies'!$D$7:$D$12,"Extrapolation")</x:f>
        <x:v>6</x:v>
      </x:c>
      <x:c r="J27" s="38" t="n">
        <x:f>COUNTIFS('Movesets_allies'!$D$7:$D$12,"Coupé attesté")</x:f>
        <x:v>0</x:v>
      </x:c>
      <x:c r="K27" s="38" t="n">
        <x:f>COUNTIFS('Movesets_allies'!$D$7:$D$12,"Concept abandonné")</x:f>
        <x:v>0</x:v>
      </x:c>
      <x:c r="L27" s="38" t="n">
        <x:f>COUNTIFS('Movesets_allies'!$D$7:$D$12,"Allégation écartée")</x:f>
        <x:v>0</x:v>
      </x:c>
      <x:c r="M27" s="38" t="n">
        <x:f>COUNTIFS('Movesets_allies'!$E$7:$E$12,"P0")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COUNTA('Animations'!$A$7:$A$16)</x:f>
        <x:v>10</x:v>
      </x:c>
      <x:c r="C29" s="38" t="n">
        <x:f>COUNTIFS('Animations'!$C$7:$C$16,"Défini")</x:f>
        <x:v>10</x:v>
      </x:c>
      <x:c r="D29" s="38" t="n">
        <x:f>COUNTIFS('Animations'!$C$7:$C$16,"Prototype")</x:f>
        <x:v>0</x:v>
      </x:c>
      <x:c r="E29" s="38" t="n">
        <x:f>COUNTIFS('Animations'!$C$7:$C$16,"Intégré")</x:f>
        <x:v>0</x:v>
      </x:c>
      <x:c r="F29" s="38" t="n">
        <x:f>COUNTIFS('Animations'!$C$7:$C$16,"Validé")</x:f>
        <x:v>0</x:v>
      </x:c>
      <x:c r="G29" s="38" t="n">
        <x:f>COUNTIFS('Animations'!$D$7:$D$16,"Établi")</x:f>
        <x:v>0</x:v>
      </x:c>
      <x:c r="H29" s="38" t="n">
        <x:f>COUNTIFS('Animations'!$D$7:$D$16,"À vérifier")</x:f>
        <x:v>0</x:v>
      </x:c>
      <x:c r="I29" s="38" t="n">
        <x:f>COUNTIFS('Animations'!$D$7:$D$16,"Extrapolation")</x:f>
        <x:v>10</x:v>
      </x:c>
      <x:c r="J29" s="38" t="n">
        <x:f>COUNTIFS('Animations'!$D$7:$D$16,"Coupé attesté")</x:f>
        <x:v>0</x:v>
      </x:c>
      <x:c r="K29" s="38" t="n">
        <x:f>COUNTIFS('Animations'!$D$7:$D$16,"Concept abandonné")</x:f>
        <x:v>0</x:v>
      </x:c>
      <x:c r="L29" s="38" t="n">
        <x:f>COUNTIFS('Animations'!$D$7:$D$16,"Allégation écartée")</x:f>
        <x:v>0</x:v>
      </x:c>
      <x:c r="M29" s="38" t="n">
        <x:f>COUNTIFS('Animations'!$E$7:$E$16,"P0")</x:f>
        <x:v>0</x:v>
      </x:c>
    </x:row>
    <x:row r="30" ht="22" customHeight="1">
      <x:c r="A30" s="33" t="str">
        <x:v>Sprites</x:v>
      </x:c>
      <x:c r="B30" s="37" t="n">
        <x:f>COUNTA('Sprites'!$A$7:$A$16)</x:f>
        <x:v>10</x:v>
      </x:c>
      <x:c r="C30" s="37" t="n">
        <x:f>COUNTIFS('Sprites'!$C$7:$C$16,"Défini")</x:f>
        <x:v>10</x:v>
      </x:c>
      <x:c r="D30" s="37" t="n">
        <x:f>COUNTIFS('Sprites'!$C$7:$C$16,"Prototype")</x:f>
        <x:v>0</x:v>
      </x:c>
      <x:c r="E30" s="37" t="n">
        <x:f>COUNTIFS('Sprites'!$C$7:$C$16,"Intégré")</x:f>
        <x:v>0</x:v>
      </x:c>
      <x:c r="F30" s="37" t="n">
        <x:f>COUNTIFS('Sprites'!$C$7:$C$16,"Validé")</x:f>
        <x:v>0</x:v>
      </x:c>
      <x:c r="G30" s="37" t="n">
        <x:f>COUNTIFS('Sprites'!$D$7:$D$16,"Établi")</x:f>
        <x:v>0</x:v>
      </x:c>
      <x:c r="H30" s="37" t="n">
        <x:f>COUNTIFS('Sprites'!$D$7:$D$16,"À vérifier")</x:f>
        <x:v>0</x:v>
      </x:c>
      <x:c r="I30" s="37" t="n">
        <x:f>COUNTIFS('Sprites'!$D$7:$D$16,"Extrapolation")</x:f>
        <x:v>10</x:v>
      </x:c>
      <x:c r="J30" s="37" t="n">
        <x:f>COUNTIFS('Sprites'!$D$7:$D$16,"Coupé attesté")</x:f>
        <x:v>0</x:v>
      </x:c>
      <x:c r="K30" s="37" t="n">
        <x:f>COUNTIFS('Sprites'!$D$7:$D$16,"Concept abandonné")</x:f>
        <x:v>0</x:v>
      </x:c>
      <x:c r="L30" s="37" t="n">
        <x:f>COUNTIFS('Sprites'!$D$7:$D$16,"Allégation écartée")</x:f>
        <x:v>0</x:v>
      </x:c>
      <x:c r="M30" s="37" t="n">
        <x:f>COUNTIFS('Sprites'!$E$7:$E$16,"P0")</x:f>
        <x:v>0</x:v>
      </x:c>
    </x:row>
    <x:row r="31" ht="22" customHeight="1">
      <x:c r="A31" s="2" t="str">
        <x:v>VFX</x:v>
      </x:c>
      <x:c r="B31" s="38" t="n">
        <x:f>COUNTA('VFX'!$A$7:$A$10)</x:f>
        <x:v>4</x:v>
      </x:c>
      <x:c r="C31" s="38" t="n">
        <x:f>COUNTIFS('VFX'!$C$7:$C$10,"Défini")</x:f>
        <x:v>4</x:v>
      </x:c>
      <x:c r="D31" s="38" t="n">
        <x:f>COUNTIFS('VFX'!$C$7:$C$10,"Prototype")</x:f>
        <x:v>0</x:v>
      </x:c>
      <x:c r="E31" s="38" t="n">
        <x:f>COUNTIFS('VFX'!$C$7:$C$10,"Intégré")</x:f>
        <x:v>0</x:v>
      </x:c>
      <x:c r="F31" s="38" t="n">
        <x:f>COUNTIFS('VFX'!$C$7:$C$10,"Validé")</x:f>
        <x:v>0</x:v>
      </x:c>
      <x:c r="G31" s="38" t="n">
        <x:f>COUNTIFS('VFX'!$D$7:$D$10,"Établi")</x:f>
        <x:v>0</x:v>
      </x:c>
      <x:c r="H31" s="38" t="n">
        <x:f>COUNTIFS('VFX'!$D$7:$D$10,"À vérifier")</x:f>
        <x:v>0</x:v>
      </x:c>
      <x:c r="I31" s="38" t="n">
        <x:f>COUNTIFS('VFX'!$D$7:$D$10,"Extrapolation")</x:f>
        <x:v>4</x:v>
      </x:c>
      <x:c r="J31" s="38" t="n">
        <x:f>COUNTIFS('VFX'!$D$7:$D$10,"Coupé attesté")</x:f>
        <x:v>0</x:v>
      </x:c>
      <x:c r="K31" s="38" t="n">
        <x:f>COUNTIFS('VFX'!$D$7:$D$10,"Concept abandonné")</x:f>
        <x:v>0</x:v>
      </x:c>
      <x:c r="L31" s="38" t="n">
        <x:f>COUNTIFS('VFX'!$D$7:$D$10,"Allégation écartée")</x:f>
        <x:v>0</x:v>
      </x:c>
      <x:c r="M31" s="38" t="n">
        <x:f>COUNTIFS('VFX'!$E$7:$E$10,"P0")</x:f>
        <x:v>0</x:v>
      </x:c>
    </x:row>
    <x:row r="32" ht="22" customHeight="1">
      <x:c r="A32" s="33" t="str">
        <x:v>Audio</x:v>
      </x:c>
      <x:c r="B32" s="37" t="n">
        <x:f>COUNTA('Audio'!$A$7:$A$11)</x:f>
        <x:v>5</x:v>
      </x:c>
      <x:c r="C32" s="37" t="n">
        <x:f>COUNTIFS('Audio'!$C$7:$C$11,"Défini")</x:f>
        <x:v>5</x:v>
      </x:c>
      <x:c r="D32" s="37" t="n">
        <x:f>COUNTIFS('Audio'!$C$7:$C$11,"Prototype")</x:f>
        <x:v>0</x:v>
      </x:c>
      <x:c r="E32" s="37" t="n">
        <x:f>COUNTIFS('Audio'!$C$7:$C$11,"Intégré")</x:f>
        <x:v>0</x:v>
      </x:c>
      <x:c r="F32" s="37" t="n">
        <x:f>COUNTIFS('Audio'!$C$7:$C$11,"Validé")</x:f>
        <x:v>0</x:v>
      </x:c>
      <x:c r="G32" s="37" t="n">
        <x:f>COUNTIFS('Audio'!$D$7:$D$11,"Établi")</x:f>
        <x:v>0</x:v>
      </x:c>
      <x:c r="H32" s="37" t="n">
        <x:f>COUNTIFS('Audio'!$D$7:$D$11,"À vérifier")</x:f>
        <x:v>0</x:v>
      </x:c>
      <x:c r="I32" s="37" t="n">
        <x:f>COUNTIFS('Audio'!$D$7:$D$11,"Extrapolation")</x:f>
        <x:v>5</x:v>
      </x:c>
      <x:c r="J32" s="37" t="n">
        <x:f>COUNTIFS('Audio'!$D$7:$D$11,"Coupé attesté")</x:f>
        <x:v>0</x:v>
      </x:c>
      <x:c r="K32" s="37" t="n">
        <x:f>COUNTIFS('Audio'!$D$7:$D$11,"Concept abandonné")</x:f>
        <x:v>0</x:v>
      </x:c>
      <x:c r="L32" s="37" t="n">
        <x:f>COUNTIFS('Audio'!$D$7:$D$11,"Allégation écartée")</x:f>
        <x:v>0</x:v>
      </x:c>
      <x:c r="M32" s="37" t="n">
        <x:f>COUNTIFS('Audio'!$E$7:$E$11,"P0")</x:f>
        <x:v>0</x:v>
      </x:c>
    </x:row>
    <x:row r="33" ht="22" customHeight="1">
      <x:c r="A33" s="2" t="str">
        <x:v>Systèmes et UI</x:v>
      </x:c>
      <x:c r="B33" s="38" t="n">
        <x:f>COUNTA('UI_systemes'!$A$7:$A$14)</x:f>
        <x:v>8</x:v>
      </x:c>
      <x:c r="C33" s="38" t="n">
        <x:f>COUNTIFS('UI_systemes'!$C$7:$C$14,"Défini")</x:f>
        <x:v>8</x:v>
      </x:c>
      <x:c r="D33" s="38" t="n">
        <x:f>COUNTIFS('UI_systemes'!$C$7:$C$14,"Prototype")</x:f>
        <x:v>0</x:v>
      </x:c>
      <x:c r="E33" s="38" t="n">
        <x:f>COUNTIFS('UI_systemes'!$C$7:$C$14,"Intégré")</x:f>
        <x:v>0</x:v>
      </x:c>
      <x:c r="F33" s="38" t="n">
        <x:f>COUNTIFS('UI_systemes'!$C$7:$C$14,"Validé")</x:f>
        <x:v>0</x:v>
      </x:c>
      <x:c r="G33" s="38" t="n">
        <x:f>COUNTIFS('UI_systemes'!$D$7:$D$14,"Établi")</x:f>
        <x:v>0</x:v>
      </x:c>
      <x:c r="H33" s="38" t="n">
        <x:f>COUNTIFS('UI_systemes'!$D$7:$D$14,"À vérifier")</x:f>
        <x:v>0</x:v>
      </x:c>
      <x:c r="I33" s="38" t="n">
        <x:f>COUNTIFS('UI_systemes'!$D$7:$D$14,"Extrapolation")</x:f>
        <x:v>8</x:v>
      </x:c>
      <x:c r="J33" s="38" t="n">
        <x:f>COUNTIFS('UI_systemes'!$D$7:$D$14,"Coupé attesté")</x:f>
        <x:v>0</x:v>
      </x:c>
      <x:c r="K33" s="38" t="n">
        <x:f>COUNTIFS('UI_systemes'!$D$7:$D$14,"Concept abandonné")</x:f>
        <x:v>0</x:v>
      </x:c>
      <x:c r="L33" s="38" t="n">
        <x:f>COUNTIFS('UI_systemes'!$D$7:$D$14,"Allégation écartée")</x:f>
        <x:v>0</x:v>
      </x:c>
      <x:c r="M33" s="38" t="n">
        <x:f>COUNTIFS('UI_systemes'!$E$7:$E$14,"P0")</x:f>
        <x:v>2</x:v>
      </x:c>
    </x:row>
    <x:row r="34" ht="22" customHeight="1">
      <x:c r="A34" s="33" t="str">
        <x:v>QA</x:v>
      </x:c>
      <x:c r="B34" s="37" t="n">
        <x:f>COUNTA('QA'!$A$7:$A$18)</x:f>
        <x:v>12</x:v>
      </x:c>
      <x:c r="C34" s="37" t="n">
        <x:f>COUNTIFS('QA'!$C$7:$C$18,"Défini")</x:f>
        <x:v>12</x:v>
      </x:c>
      <x:c r="D34" s="37" t="n">
        <x:f>COUNTIFS('QA'!$C$7:$C$18,"Prototype")</x:f>
        <x:v>0</x:v>
      </x:c>
      <x:c r="E34" s="37" t="n">
        <x:f>COUNTIFS('QA'!$C$7:$C$18,"Intégré")</x:f>
        <x:v>0</x:v>
      </x:c>
      <x:c r="F34" s="37" t="n">
        <x:f>COUNTIFS('QA'!$C$7:$C$18,"Validé")</x:f>
        <x:v>0</x:v>
      </x:c>
      <x:c r="G34" s="37" t="n">
        <x:f>COUNTIFS('QA'!$D$7:$D$18,"Établi")</x:f>
        <x:v>0</x:v>
      </x:c>
      <x:c r="H34" s="37" t="n">
        <x:f>COUNTIFS('QA'!$D$7:$D$18,"À vérifier")</x:f>
        <x:v>0</x:v>
      </x:c>
      <x:c r="I34" s="37" t="n">
        <x:f>COUNTIFS('QA'!$D$7:$D$18,"Extrapolation")</x:f>
        <x:v>12</x:v>
      </x:c>
      <x:c r="J34" s="37" t="n">
        <x:f>COUNTIFS('QA'!$D$7:$D$18,"Coupé attesté")</x:f>
        <x:v>0</x:v>
      </x:c>
      <x:c r="K34" s="37" t="n">
        <x:f>COUNTIFS('QA'!$D$7:$D$18,"Concept abandonné")</x:f>
        <x:v>0</x:v>
      </x:c>
      <x:c r="L34" s="37" t="n">
        <x:f>COUNTIFS('QA'!$D$7:$D$18,"Allégation écartée")</x:f>
        <x:v>0</x:v>
      </x:c>
      <x:c r="M34" s="37" t="n">
        <x:f>COUNTIFS('QA'!$E$7:$E$18,"P0")</x:f>
        <x:v>3</x:v>
      </x:c>
    </x:row>
    <x:row r="35" ht="22" customHeight="1">
      <x:c r="A35" s="2" t="str">
        <x:v>Continuité</x:v>
      </x:c>
      <x:c r="B35" s="38" t="n">
        <x:f>COUNTA('Continuite'!$A$7:$A$14)</x:f>
        <x:v>8</x:v>
      </x:c>
      <x:c r="C35" s="38" t="n">
        <x:f>COUNTIFS('Continuite'!$C$7:$C$14,"Défini")</x:f>
        <x:v>8</x:v>
      </x:c>
      <x:c r="D35" s="38" t="n">
        <x:f>COUNTIFS('Continuite'!$C$7:$C$14,"Prototype")</x:f>
        <x:v>0</x:v>
      </x:c>
      <x:c r="E35" s="38" t="n">
        <x:f>COUNTIFS('Continuite'!$C$7:$C$14,"Intégré")</x:f>
        <x:v>0</x:v>
      </x:c>
      <x:c r="F35" s="38" t="n">
        <x:f>COUNTIFS('Continuite'!$C$7:$C$14,"Validé")</x:f>
        <x:v>0</x:v>
      </x:c>
      <x:c r="G35" s="38" t="n">
        <x:f>COUNTIFS('Continuite'!$D$7:$D$14,"Établi")</x:f>
        <x:v>7</x:v>
      </x:c>
      <x:c r="H35" s="38" t="n">
        <x:f>COUNTIFS('Continuite'!$D$7:$D$14,"À vérifier")</x:f>
        <x:v>1</x:v>
      </x:c>
      <x:c r="I35" s="38" t="n">
        <x:f>COUNTIFS('Continuite'!$D$7:$D$14,"Extrapolation")</x:f>
        <x:v>0</x:v>
      </x:c>
      <x:c r="J35" s="38" t="n">
        <x:f>COUNTIFS('Continuite'!$D$7:$D$14,"Coupé attesté")</x:f>
        <x:v>0</x:v>
      </x:c>
      <x:c r="K35" s="38" t="n">
        <x:f>COUNTIFS('Continuite'!$D$7:$D$14,"Concept abandonné")</x:f>
        <x:v>0</x:v>
      </x:c>
      <x:c r="L35" s="38" t="n">
        <x:f>COUNTIFS('Continuite'!$D$7:$D$14,"Allégation écartée")</x:f>
        <x:v>0</x:v>
      </x:c>
      <x:c r="M35" s="38" t="n">
        <x:f>COUNTIFS('Continuite'!$E$7:$E$14,"P0")</x:f>
        <x:v>8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159</x:v>
      </x:c>
      <x:c r="C37" s="39" t="n">
        <x:f>SUM(C10:C35)</x:f>
        <x:v>154</x:v>
      </x:c>
      <x:c r="D37" s="39" t="n">
        <x:f>SUM(D10:D35)</x:f>
        <x:v>5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29</x:v>
      </x:c>
      <x:c r="H37" s="39" t="n">
        <x:f>SUM(H10:H35)</x:f>
        <x:v>1</x:v>
      </x:c>
      <x:c r="I37" s="39" t="n">
        <x:f>SUM(I10:I35)</x:f>
        <x:v>129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21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8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INI-CHR-CORA</x:v>
      </x:c>
      <x:c r="B7" s="9" t="str">
        <x:v>Cora Harper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Elle rejoint l’Initiative comme seconde d’Alec Ryder et doit récupérer une technologie volée.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actor.ini.cora ; rôle de référence : équipier.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INI-SRC-PUB</x:v>
      </x:c>
      <x:c r="R7" s="9" t="str">
        <x:v>https://www.penguinrandomhouse.com/books/555323/mass-effect-initiation-by-nk-jemisin/</x:v>
      </x:c>
      <x:c r="S7" s="9" t="str">
        <x:v>Le costume proposé dans les fiches de production n’est pas un modèle officiel.</x:v>
      </x:c>
    </x:row>
    <x:row r="8" ht="68" customHeight="1">
      <x:c r="A8" s="19" t="str">
        <x:v>INI-CHR-ZAHRA</x:v>
      </x:c>
      <x:c r="B8" s="7" t="str">
        <x:v>Zahra Said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Militaire survivante participant à la protection du groupe.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actor.ini.zahra ; rôle de référence : équipier.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INI-SRC-QUIET</x:v>
      </x:c>
      <x:c r="R8" s="7" t="str">
        <x:v>https://masseffect.fandom.com/wiki/Quiet_Eddy</x:v>
      </x:c>
      <x:c r="S8" s="7" t="str">
        <x:v>Le costume proposé dans les fiches de production n’est pas un modèle officiel.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e7959e74da4c2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INI-CHR-SAME</x:v>
      </x:c>
      <x:c r="B7" s="9" t="str">
        <x:v>SAM-E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Partition expérimentale de SAM implantée pour assister Cora.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actor.ini.same ; rôle de référence : intelligence artificielle.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INI-SRC-SAME</x:v>
      </x:c>
      <x:c r="R7" s="9" t="str">
        <x:v>https://masseffect.fandom.com/wiki/SAM-E</x:v>
      </x:c>
      <x:c r="S7" s="9" t="str">
        <x:v>Le costume proposé dans les fiches de production n’est pas un modèle officiel.</x:v>
      </x:c>
    </x:row>
    <x:row r="8" ht="68" customHeight="1">
      <x:c r="A8" s="19" t="str">
        <x:v>INI-CHR-ALEC</x:v>
      </x:c>
      <x:c r="B8" s="7" t="str">
        <x:v>Alec Ryder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Il confie la récupération du noyau volé à Cora et lui fournit SAM-E.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actor.ini.alec ; rôle de référence : interlocuteur.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INI-SRC-SAME</x:v>
      </x:c>
      <x:c r="R8" s="7" t="str">
        <x:v>https://masseffect.fandom.com/wiki/SAM-E</x:v>
      </x:c>
      <x:c r="S8" s="7" t="str">
        <x:v>Le costume proposé dans les fiches de production n’est pas un modèle officiel.</x:v>
      </x:c>
    </x:row>
    <x:row r="9" ht="68" customHeight="1">
      <x:c r="A9" s="18" t="str">
        <x:v>INI-CHR-YGARA</x:v>
      </x:c>
      <x:c r="B9" s="9" t="str">
        <x:v>Ygara Menoris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Ancienne camarade asari de Cora devenue chef mercenaire.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actor.ini.ygara ; rôle de référence : interlocuteur.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INI-SRC-REVIEW</x:v>
      </x:c>
      <x:c r="R9" s="9" t="str">
        <x:v>https://reactormag.com/book-reviews-mass-effect-initiation-by-n-k-jemisin-and-mac-walters-a-review//</x:v>
      </x:c>
      <x:c r="S9" s="9" t="str">
        <x:v>Le costume proposé dans les fiches de production n’est pas un modèle officiel.</x:v>
      </x:c>
    </x:row>
    <x:row r="10" ht="68" customHeight="1">
      <x:c r="A10" s="19" t="str">
        <x:v>INI-CHR-MEDEA</x:v>
      </x:c>
      <x:c r="B10" s="7" t="str">
        <x:v>Medea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IA hybride défaillante qui dirige Quiet Eddy.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actor.ini.medea ; rôle de référence : intelligence artificielle.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INI-SRC-MEDEA</x:v>
      </x:c>
      <x:c r="R10" s="7" t="str">
        <x:v>https://masseffect.fandom.com/wiki/Medea</x:v>
      </x:c>
      <x:c r="S10" s="7" t="str">
        <x:v>Le costume proposé dans les fiches de production n’est pas un modèle officiel.</x:v>
      </x:c>
    </x:row>
    <x:row r="11" ht="68" customHeight="1">
      <x:c r="A11" s="18" t="str">
        <x:v>INI-CHR-VLASSIA</x:v>
      </x:c>
      <x:c r="B11" s="9" t="str">
        <x:v>Vlassia Ariokis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Officier du renseignement de l’Alliance affectée à Quiet Eddy.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actor.ini.vlassia ; rôle de référence : interlocuteur.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INI-SRC-VLASSIA</x:v>
      </x:c>
      <x:c r="R11" s="9" t="str">
        <x:v>https://masseffect.fandom.com/wiki/Vlassia_Ariokis</x:v>
      </x:c>
      <x:c r="S11" s="9" t="str">
        <x:v>Le costume proposé dans les fiches de production n’est pas un modèle officiel.</x:v>
      </x:c>
    </x:row>
    <x:row r="12" ht="68" customHeight="1">
      <x:c r="A12" s="19" t="str">
        <x:v>INI-CHR-JENSEN</x:v>
      </x:c>
      <x:c r="B12" s="7" t="str">
        <x:v>Rebecca Jensen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Scientifique du groupe de survivants de Quiet Eddy.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actor.ini.jensen ; rôle de référence : interlocuteur.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INI-SRC-QUIET</x:v>
      </x:c>
      <x:c r="R12" s="7" t="str">
        <x:v>https://masseffect.fandom.com/wiki/Quiet_Eddy</x:v>
      </x:c>
      <x:c r="S12" s="7" t="str">
        <x:v>Le costume proposé dans les fiches de production n’est pas un modèle officiel.</x:v>
      </x:c>
    </x:row>
    <x:row r="13" ht="68" customHeight="1">
      <x:c r="A13" s="18" t="str">
        <x:v>INI-CHR-TSENG</x:v>
      </x:c>
      <x:c r="B13" s="9" t="str">
        <x:v>Dr Tseng</x:v>
      </x:c>
      <x:c r="C13" s="15" t="str">
        <x:v>Défini</x:v>
      </x:c>
      <x:c r="D13" s="16" t="str">
        <x:v>Établi</x:v>
      </x:c>
      <x:c r="E13" s="16" t="str">
        <x:v>P1</x:v>
      </x:c>
      <x:c r="F13" s="9" t="str">
        <x:v>Responsable scientifique âgé parmi les survivants de Quiet Eddy.</x:v>
      </x:c>
      <x:c r="G13" s="9" t="str">
        <x:v>Référence narrative ; proposition visuelle et interaction dans les fiches liées.</x:v>
      </x:c>
      <x:c r="H13" s="9" t="str"/>
      <x:c r="I13" s="9" t="str"/>
      <x:c r="J13" s="9" t="str"/>
      <x:c r="K13" s="9" t="str"/>
      <x:c r="L13" s="9" t="str">
        <x:v>Réserver actor.ini.tseng ; rôle de référence : interlocuteur.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Nom, rôle et présence confirmés dans la source indiquée ; aucune compétence chiffrée déduite du roman.</x:v>
      </x:c>
      <x:c r="O13" s="9" t="str"/>
      <x:c r="P13" s="9" t="str">
        <x:v>Notice de personnage ou présentation de l’œuvre ; pas de chapitre attribué.</x:v>
      </x:c>
      <x:c r="Q13" s="9" t="str">
        <x:v>INI-SRC-QUIET</x:v>
      </x:c>
      <x:c r="R13" s="9" t="str">
        <x:v>https://masseffect.fandom.com/wiki/Quiet_Eddy</x:v>
      </x:c>
      <x:c r="S13" s="9" t="str">
        <x:v>Le costume proposé dans les fiches de production n’est pas un modèle officiel.</x:v>
      </x:c>
    </x:row>
    <x:row r="14" ht="68" customHeight="1">
      <x:c r="A14" s="19" t="str">
        <x:v>INI-CHR-ABUBAKAR</x:v>
      </x:c>
      <x:c r="B14" s="7" t="str">
        <x:v>Abubakar</x:v>
      </x:c>
      <x:c r="C14" s="15" t="str">
        <x:v>Défini</x:v>
      </x:c>
      <x:c r="D14" s="17" t="str">
        <x:v>Établi</x:v>
      </x:c>
      <x:c r="E14" s="17" t="str">
        <x:v>P1</x:v>
      </x:c>
      <x:c r="F14" s="7" t="str">
        <x:v>Personnel médical présent parmi les survivants.</x:v>
      </x:c>
      <x:c r="G14" s="7" t="str">
        <x:v>Référence narrative ; proposition visuelle et interaction dans les fiches liées.</x:v>
      </x:c>
      <x:c r="H14" s="7" t="str"/>
      <x:c r="I14" s="7" t="str"/>
      <x:c r="J14" s="7" t="str"/>
      <x:c r="K14" s="7" t="str"/>
      <x:c r="L14" s="7" t="str">
        <x:v>Réserver actor.ini.abubakar ; rôle de référence : interlocuteur.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Nom, rôle et présence confirmés dans la source indiquée ; aucune compétence chiffrée déduite du roman.</x:v>
      </x:c>
      <x:c r="O14" s="7" t="str"/>
      <x:c r="P14" s="7" t="str">
        <x:v>Notice de personnage ou présentation de l’œuvre ; pas de chapitre attribué.</x:v>
      </x:c>
      <x:c r="Q14" s="7" t="str">
        <x:v>INI-SRC-QUIET</x:v>
      </x:c>
      <x:c r="R14" s="7" t="str">
        <x:v>https://masseffect.fandom.com/wiki/Quiet_Eddy</x:v>
      </x:c>
      <x:c r="S14" s="7" t="str">
        <x:v>Le costume proposé dans les fiches de production n’est pas un modèle officiel.</x:v>
      </x:c>
    </x:row>
  </x:sheetData>
  <x:conditionalFormatting sqref="D7:D14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4">
    <x:cfRule type="cellIs" dxfId="6" priority="3" operator="equal">
      <x:formula>"Validé"</x:formula>
    </x:cfRule>
  </x:conditionalFormatting>
  <x:conditionalFormatting sqref="E7:E14">
    <x:cfRule type="cellIs" dxfId="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ab2d71b34d4da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INI-REF-AUGMENTS</x:v>
      </x:c>
      <x:c r="B7" s="9" t="str">
        <x:v>Augments de Quiet Eddy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Des êtres augmentés sont contrôlés par Medea.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INI-REF-AUGMENTS consultable dans les lectures de src/chronicle-story.js, avec sources et progression séparée. Aucune scène, carte, animation ou incarnation de personnage n’est produite par cette fiche.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INI-SRC-MEDEA</x:v>
      </x:c>
      <x:c r="R7" s="9" t="str">
        <x:v>https://masseffect.fandom.com/wiki/Medea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7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7">
    <x:cfRule type="cellIs" dxfId="10" priority="3" operator="equal">
      <x:formula>"Validé"</x:formula>
    </x:cfRule>
  </x:conditionalFormatting>
  <x:conditionalFormatting sqref="E7:E7">
    <x:cfRule type="cellIs" dxfId="1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a0474daf8242c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INI-REF-THEIA</x:v>
      </x:c>
      <x:c r="B7" s="9" t="str">
        <x:v>Station Theia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Base de l’Initiative visitée par Cora dans la Voie lactée.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INI-REF-THEIA consultable dans les lectures de src/chronicle-story.js, avec sources et progression séparée. Aucune scène, carte, animation ou incarnation de personnage n’est produite par cette fiche.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INI-SRC-STORY</x:v>
      </x:c>
      <x:c r="R7" s="9" t="str">
        <x:v>https://masseffect.fandom.com/wiki/Storyline_IV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82" customHeight="1">
      <x:c r="A8" s="19" t="str">
        <x:v>INI-REF-HOMEAWAY</x:v>
      </x:c>
      <x:c r="B8" s="7" t="str">
        <x:v>Home Away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Station infiltrée pendant la recherche du code volé.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Référence documentaire INI-REF-HOMEAWAY consultable dans les lectures de src/chronicle-story.js, avec sources et progression séparée. Aucune scène, carte, animation ou incarnation de personnage n’est produite par cette fiche.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INI-SRC-STORY</x:v>
      </x:c>
      <x:c r="R8" s="7" t="str">
        <x:v>https://masseffect.fandom.com/wiki/Storyline_IV</x:v>
      </x:c>
      <x:c r="S8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9" ht="82" customHeight="1">
      <x:c r="A9" s="18" t="str">
        <x:v>INI-REF-ILLIUM</x:v>
      </x:c>
      <x:c r="B9" s="9" t="str">
        <x:v>Illium</x:v>
      </x:c>
      <x:c r="C9" s="15" t="str">
        <x:v>Prototype</x:v>
      </x:c>
      <x:c r="D9" s="16" t="str">
        <x:v>Établi</x:v>
      </x:c>
      <x:c r="E9" s="16" t="str">
        <x:v>P1</x:v>
      </x:c>
      <x:c r="F9" s="9" t="str">
        <x:v>La poursuite du dossier passe par Illium.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Référence documentaire INI-REF-ILLIUM consultable dans les lectures de src/chronicle-story.js, avec sources et progression séparée. Aucune scène, carte, animation ou incarnation de personnage n’est produite par cette fiche.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INI-SRC-SAME</x:v>
      </x:c>
      <x:c r="R9" s="9" t="str">
        <x:v>https://masseffect.fandom.com/wiki/SAM-E</x:v>
      </x:c>
      <x:c r="S9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0" ht="82" customHeight="1">
      <x:c r="A10" s="19" t="str">
        <x:v>INI-REF-QUIET</x:v>
      </x:c>
      <x:c r="B10" s="7" t="str">
        <x:v>Quiet Eddy</x:v>
      </x:c>
      <x:c r="C10" s="15" t="str">
        <x:v>Prototype</x:v>
      </x:c>
      <x:c r="D10" s="17" t="str">
        <x:v>Établi</x:v>
      </x:c>
      <x:c r="E10" s="17" t="str">
        <x:v>P1</x:v>
      </x:c>
      <x:c r="F10" s="7" t="str">
        <x:v>Petit monde abritant une installation clandestine.</x:v>
      </x:c>
      <x:c r="G10" s="7" t="str">
        <x:v>Ancrage documentaire du module ; aucune statistique officielle inférée.</x:v>
      </x:c>
      <x:c r="H10" s="7" t="str"/>
      <x:c r="I10" s="7" t="str"/>
      <x:c r="J10" s="7" t="str"/>
      <x:c r="K10" s="7" t="str"/>
      <x:c r="L10" s="7" t="str">
        <x:v>Référence documentaire INI-REF-QUIET consultable dans les lectures de src/chronicle-story.js, avec sources et progression séparée. Aucune scène, carte, animation ou incarnation de personnage n’est produite par cette fiche.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La source citée atteste précisément cet élément ; modèle, plan détaillé et valeur de combat restent séparés.</x:v>
      </x:c>
      <x:c r="O10" s="7" t="str"/>
      <x:c r="P10" s="7" t="str">
        <x:v>Rubrique consultée ou synopsis éditorial ; localisation précise dans l’œuvre à relever.</x:v>
      </x:c>
      <x:c r="Q10" s="7" t="str">
        <x:v>INI-SRC-QUIET</x:v>
      </x:c>
      <x:c r="R10" s="7" t="str">
        <x:v>https://masseffect.fandom.com/wiki/Quiet_Eddy</x:v>
      </x:c>
      <x:c r="S10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0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0">
    <x:cfRule type="cellIs" dxfId="14" priority="3" operator="equal">
      <x:formula>"Validé"</x:formula>
    </x:cfRule>
  </x:conditionalFormatting>
  <x:conditionalFormatting sqref="E7:E10">
    <x:cfRule type="cellIs" dxfId="1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d7c6b5b209431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INI-MAP-THEIA</x:v>
      </x:c>
      <x:c r="B7" s="9" t="str">
        <x:v>Salle d’affectation de Theia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Salle d’affectation de Theia proposée. Le plan n’est pas fourni par la source.</x:v>
      </x:c>
      <x:c r="G7" s="9" t="str">
        <x:v>Décor 3D à caméra fixe et personnages sprites. Accueil, salle de briefing et accès technique.</x:v>
      </x:c>
      <x:c r="H7" s="9" t="str">
        <x:v>Récupérer seulement les autorisations utiles à la mission. Les passages importants restent accessibles en mode pause tactique.</x:v>
      </x:c>
      <x:c r="I7" s="9" t="str">
        <x:v>Surfaces de station adaptée, matériel en préparation, fenêtre sur Sol abstraite.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Interfaces d’assistance, pas de station et tension électronique originale. Un signal directionnel accompagne le danger local, doublé par une icône.</x:v>
      </x:c>
      <x:c r="L7" s="9" t="str">
        <x:v>maps/ini/theia.scene ; navmesh, colliders, ancrages d’entrée et sorties nommés.</x:v>
      </x:c>
      <x:c r="M7" s="9" t="str">
        <x:v>Le module ne se situe pas sur le Nexus arrivé à Héléus.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9" t="str"/>
      <x:c r="S7" s="9" t="str">
        <x:v>Dimensions, connexions et accessoires de cette carte sont des propositions originales.</x:v>
      </x:c>
    </x:row>
    <x:row r="8" ht="68" customHeight="1">
      <x:c r="A8" s="19" t="str">
        <x:v>INI-MAP-HOMEAWAY</x:v>
      </x:c>
      <x:c r="B8" s="7" t="str">
        <x:v>Annexe serveur de Home Away proposée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Annexe serveur de Home Away proposée. Le plan n’est pas fourni par la source.</x:v>
      </x:c>
      <x:c r="G8" s="7" t="str">
        <x:v>Décor 3D à caméra fixe et personnages sprites. Passage public, contrôle de service et salle de nœuds.</x:v>
      </x:c>
      <x:c r="H8" s="7" t="str">
        <x:v>Les privilèges d’accès doivent être acquis séparément. Les passages importants restent accessibles en mode pause tactique.</x:v>
      </x:c>
      <x:c r="I8" s="7" t="str">
        <x:v>Décor commercial froid, câbles dissimulés et baies compactes.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Interfaces d’assistance, pas de station et tension électronique originale. Un signal directionnel accompagne le danger local, doublé par une icône.</x:v>
      </x:c>
      <x:c r="L8" s="7" t="str">
        <x:v>maps/ini/homeaway.scene ; navmesh, colliders, ancrages d’entrée et sorties nommés.</x:v>
      </x:c>
      <x:c r="M8" s="7" t="str">
        <x:v>SAM-E n’est pas une clé omnipotente.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7" t="str"/>
      <x:c r="S8" s="7" t="str">
        <x:v>Dimensions, connexions et accessoires de cette carte sont des propositions originales.</x:v>
      </x:c>
    </x:row>
    <x:row r="9" ht="68" customHeight="1">
      <x:c r="A9" s="18" t="str">
        <x:v>INI-MAP-AUDACITY</x:v>
      </x:c>
      <x:c r="B9" s="9" t="str">
        <x:v>Soute de l’Audacity proposée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Soute de l’Audacity proposée. Le plan n’est pas fourni par la source.</x:v>
      </x:c>
      <x:c r="G9" s="9" t="str">
        <x:v>Décor 3D à caméra fixe et personnages sprites. Caisses, passerelle et sas de secours.</x:v>
      </x:c>
      <x:c r="H9" s="9" t="str">
        <x:v>La sortie requiert vérification du matériel de survie. Les passages importants restent accessibles en mode pause tactique.</x:v>
      </x:c>
      <x:c r="I9" s="9" t="str">
        <x:v>Métal sombre, équipements amarrés, espace de couverture limité.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Interfaces d’assistance, pas de station et tension électronique originale. Un signal directionnel accompagne le danger local, doublé par une icône.</x:v>
      </x:c>
      <x:c r="L9" s="9" t="str">
        <x:v>maps/ini/audacity.scene ; navmesh, colliders, ancrages d’entrée et sorties nommés.</x:v>
      </x:c>
      <x:c r="M9" s="9" t="str">
        <x:v>L’issue n’invente pas un triomphe durable sur Ygara.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9" t="str"/>
      <x:c r="S9" s="9" t="str">
        <x:v>Dimensions, connexions et accessoires de cette carte sont des propositions originales.</x:v>
      </x:c>
    </x:row>
    <x:row r="10" ht="68" customHeight="1">
      <x:c r="A10" s="19" t="str">
        <x:v>INI-MAP-TRANSIT</x:v>
      </x:c>
      <x:c r="B10" s="7" t="str">
        <x:v>Espace de secours abstrait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Espace de secours abstrait. Le plan n’est pas fourni par la source.</x:v>
      </x:c>
      <x:c r="G10" s="7" t="str">
        <x:v>Décor 3D à caméra fixe et personnages sprites. Interface de combinaison et vue externe sans labyrinthe spatial.</x:v>
      </x:c>
      <x:c r="H10" s="7" t="str">
        <x:v>Le temps diégétique avance par objectifs, pas pendant la lecture. Les passages importants restent accessibles en mode pause tactique.</x:v>
      </x:c>
      <x:c r="I10" s="7" t="str">
        <x:v>Fond étoilé sobre, faible mouvement, informations de réserve claires.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Interfaces d’assistance, pas de station et tension électronique originale. Un signal directionnel accompagne le danger local, doublé par une icône.</x:v>
      </x:c>
      <x:c r="L10" s="7" t="str">
        <x:v>maps/ini/transit.scene ; navmesh, colliders, ancrages d’entrée et sorties nommés.</x:v>
      </x:c>
      <x:c r="M10" s="7" t="str">
        <x:v>Aucune mécanique réaliste d’exposition au vide prétendue.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7" t="str"/>
      <x:c r="S10" s="7" t="str">
        <x:v>Dimensions, connexions et accessoires de cette carte sont des propositions originales.</x:v>
      </x:c>
    </x:row>
    <x:row r="11" ht="68" customHeight="1">
      <x:c r="A11" s="18" t="str">
        <x:v>INI-MAP-ILLIUM</x:v>
      </x:c>
      <x:c r="B11" s="9" t="str">
        <x:v>Relais d’enquête sur Illium proposé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Relais d’enquête sur Illium proposé. Le plan n’est pas fourni par la source.</x:v>
      </x:c>
      <x:c r="G11" s="9" t="str">
        <x:v>Décor 3D à caméra fixe et personnages sprites. Comptoir, accès de service et salle de rendez-vous.</x:v>
      </x:c>
      <x:c r="H11" s="9" t="str">
        <x:v>Recouper un identifiant avant de suivre un contact. Les passages importants restent accessibles en mode pause tactique.</x:v>
      </x:c>
      <x:c r="I11" s="9" t="str">
        <x:v>Architecture verticale en fond, interfaces de commerce originales.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Interfaces d’assistance, pas de station et tension électronique originale. Un signal directionnel accompagne le danger local, doublé par une icône.</x:v>
      </x:c>
      <x:c r="L11" s="9" t="str">
        <x:v>maps/ini/illium.scene ; navmesh, colliders, ancrages d’entrée et sorties nommés.</x:v>
      </x:c>
      <x:c r="M11" s="9" t="str">
        <x:v>Ne pas attribuer une entreprise inventée à la source.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9" t="str"/>
      <x:c r="S11" s="9" t="str">
        <x:v>Dimensions, connexions et accessoires de cette carte sont des propositions originales.</x:v>
      </x:c>
    </x:row>
    <x:row r="12" ht="68" customHeight="1">
      <x:c r="A12" s="19" t="str">
        <x:v>INI-MAP-QUIET</x:v>
      </x:c>
      <x:c r="B12" s="7" t="str">
        <x:v>Approche de Quiet Eddy proposée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Approche de Quiet Eddy proposée. Le plan n’est pas fourni par la source.</x:v>
      </x:c>
      <x:c r="G12" s="7" t="str">
        <x:v>Décor 3D à caméra fixe et personnages sprites. Hangar, galerie endommagée et poste d’accueil désert.</x:v>
      </x:c>
      <x:c r="H12" s="7" t="str">
        <x:v>Les signaux du réseau peuvent être mensongers. Les passages importants restent accessibles en mode pause tactique.</x:v>
      </x:c>
      <x:c r="I12" s="7" t="str">
        <x:v>Lumières d’urgence, machines interrompues, silhouettes masquées.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Interfaces d’assistance, pas de station et tension électronique originale. Un signal directionnel accompagne le danger local, doublé par une icône.</x:v>
      </x:c>
      <x:c r="L12" s="7" t="str">
        <x:v>maps/ini/quiet.scene ; navmesh, colliders, ancrages d’entrée et sorties nommés.</x:v>
      </x:c>
      <x:c r="M12" s="7" t="str">
        <x:v>Ne pas transformer la station en plan officiel intégral.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7" t="str"/>
      <x:c r="S12" s="7" t="str">
        <x:v>Dimensions, connexions et accessoires de cette carte sont des propositions originales.</x:v>
      </x:c>
    </x:row>
    <x:row r="13" ht="68" customHeight="1">
      <x:c r="A13" s="18" t="str">
        <x:v>INI-MAP-GAMMA</x:v>
      </x:c>
      <x:c r="B13" s="9" t="str">
        <x:v>Refuge Gamma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Refuge Gamma proposé. Le plan n’est pas fourni par la source.</x:v>
      </x:c>
      <x:c r="G13" s="9" t="str">
        <x:v>Décor 3D à caméra fixe et personnages sprites. Salle sûre, table de plan et sortie étroite.</x:v>
      </x:c>
      <x:c r="H13" s="9" t="str">
        <x:v>Préparer le trajet et répartir la protection avant de sortir. Les passages importants restent accessibles en mode pause tactique.</x:v>
      </x:c>
      <x:c r="I13" s="9" t="str">
        <x:v>Matériel improvisé, groupes de civils, portes renforcées.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Interfaces d’assistance, pas de station et tension électronique originale. Un signal directionnel accompagne le danger local, doublé par une icône.</x:v>
      </x:c>
      <x:c r="L13" s="9" t="str">
        <x:v>maps/ini/gamma.scene ; navmesh, colliders, ancrages d’entrée et sorties nommés.</x:v>
      </x:c>
      <x:c r="M13" s="9" t="str">
        <x:v>Les civils ne deviennent pas des unités sacrifiables.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9" t="str"/>
      <x:c r="S13" s="9" t="str">
        <x:v>Dimensions, connexions et accessoires de cette carte sont des propositions originales.</x:v>
      </x:c>
    </x:row>
    <x:row r="14" ht="68" customHeight="1">
      <x:c r="A14" s="19" t="str">
        <x:v>INI-MAP-HYPERION</x:v>
      </x:c>
      <x:c r="B14" s="7" t="str">
        <x:v>Accès du nœud SAM proposé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Accès du nœud SAM proposé. Le plan n’est pas fourni par la source.</x:v>
      </x:c>
      <x:c r="G14" s="7" t="str">
        <x:v>Décor 3D à caméra fixe et personnages sprites. Couloir technique, salle de processeurs et espace de dialogue.</x:v>
      </x:c>
      <x:c r="H14" s="7" t="str">
        <x:v>Un état de panne force une conclusion narrative contrôlée. Les passages importants restent accessibles en mode pause tactique.</x:v>
      </x:c>
      <x:c r="I14" s="7" t="str">
        <x:v>Bleu profond, volumes protégés, réseau lumineux abstrait.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Interfaces d’assistance, pas de station et tension électronique originale. Un signal directionnel accompagne le danger local, doublé par une icône.</x:v>
      </x:c>
      <x:c r="L14" s="7" t="str">
        <x:v>maps/ini/hyperion.scene ; navmesh, colliders, ancrages d’entrée et sorties nommés.</x:v>
      </x:c>
      <x:c r="M14" s="7" t="str">
        <x:v>Ne pas conserver un SAM-E autonome après son terme narratif.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7" t="str"/>
      <x:c r="S14" s="7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14907b0c1e4480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INI-LNK-THEIA</x:v>
      </x:c>
      <x:c r="B7" s="9" t="str">
        <x:v>Salle d’affectation de Theia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Salle d’affectation de Theia proposée au bloc Annexe serveur de Home Away proposée;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links/ini.json : theia -&gt; homeaway; sauvegarde avant transit, restauration à un ancrage sûr.</x:v>
      </x:c>
      <x:c r="M7" s="9" t="str">
        <x:v>Le module ne se situe pas sur le Nexus arrivé à Héléus.</x:v>
      </x:c>
      <x:c r="N7" s="9" t="str">
        <x:v>Le groupe arrive au bon ancrage après chargement ; aller-retour ne duplique ni objet ni dialogue.</x:v>
      </x:c>
      <x:c r="O7" s="9" t="str">
        <x:v>INI-MAP-THEIA, INI-MAP-HOMEAWAY</x:v>
      </x:c>
      <x:c r="P7" s="9" t="str"/>
      <x:c r="Q7" s="9" t="str"/>
      <x:c r="R7" s="9" t="str"/>
      <x:c r="S7" s="9" t="str">
        <x:v>Boucle de parcours de production ; la dernière liaison sert à la consultation post-module, pas à remonter le temps.</x:v>
      </x:c>
    </x:row>
    <x:row r="8" ht="68" customHeight="1">
      <x:c r="A8" s="19" t="str">
        <x:v>INI-LNK-HOMEAWAY</x:v>
      </x:c>
      <x:c r="B8" s="7" t="str">
        <x:v>Annexe serveur de Home Away proposée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Annexe serveur de Home Away proposée au bloc Soute de l’Audacity proposée;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links/ini.json : homeaway -&gt; audacity; sauvegarde avant transit, restauration à un ancrage sûr.</x:v>
      </x:c>
      <x:c r="M8" s="7" t="str">
        <x:v>SAM-E n’est pas une clé omnipotente.</x:v>
      </x:c>
      <x:c r="N8" s="7" t="str">
        <x:v>Le groupe arrive au bon ancrage après chargement ; aller-retour ne duplique ni objet ni dialogue.</x:v>
      </x:c>
      <x:c r="O8" s="7" t="str">
        <x:v>INI-MAP-HOMEAWAY, INI-MAP-AUDACITY</x:v>
      </x:c>
      <x:c r="P8" s="7" t="str"/>
      <x:c r="Q8" s="7" t="str"/>
      <x:c r="R8" s="7" t="str"/>
      <x:c r="S8" s="7" t="str">
        <x:v>Boucle de parcours de production ; la dernière liaison sert à la consultation post-module, pas à remonter le temps.</x:v>
      </x:c>
    </x:row>
    <x:row r="9" ht="54" customHeight="1">
      <x:c r="A9" s="18" t="str">
        <x:v>INI-LNK-AUDACITY</x:v>
      </x:c>
      <x:c r="B9" s="9" t="str">
        <x:v>Soute de l’Audacity proposée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Soute de l’Audacity proposée au bloc Espace de secours abstrait;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links/ini.json : audacity -&gt; transit; sauvegarde avant transit, restauration à un ancrage sûr.</x:v>
      </x:c>
      <x:c r="M9" s="9" t="str">
        <x:v>L’issue n’invente pas un triomphe durable sur Ygara.</x:v>
      </x:c>
      <x:c r="N9" s="9" t="str">
        <x:v>Le groupe arrive au bon ancrage après chargement ; aller-retour ne duplique ni objet ni dialogue.</x:v>
      </x:c>
      <x:c r="O9" s="9" t="str">
        <x:v>INI-MAP-AUDACITY, INI-MAP-TRANSIT</x:v>
      </x:c>
      <x:c r="P9" s="9" t="str"/>
      <x:c r="Q9" s="9" t="str"/>
      <x:c r="R9" s="9" t="str"/>
      <x:c r="S9" s="9" t="str">
        <x:v>Boucle de parcours de production ; la dernière liaison sert à la consultation post-module, pas à remonter le temps.</x:v>
      </x:c>
    </x:row>
    <x:row r="10" ht="54" customHeight="1">
      <x:c r="A10" s="19" t="str">
        <x:v>INI-LNK-TRANSIT</x:v>
      </x:c>
      <x:c r="B10" s="7" t="str">
        <x:v>Espace de secours abstrait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Espace de secours abstrait au bloc Relais d’enquête sur Illium proposé;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links/ini.json : transit -&gt; illium; sauvegarde avant transit, restauration à un ancrage sûr.</x:v>
      </x:c>
      <x:c r="M10" s="7" t="str">
        <x:v>Aucune mécanique réaliste d’exposition au vide prétendue.</x:v>
      </x:c>
      <x:c r="N10" s="7" t="str">
        <x:v>Le groupe arrive au bon ancrage après chargement ; aller-retour ne duplique ni objet ni dialogue.</x:v>
      </x:c>
      <x:c r="O10" s="7" t="str">
        <x:v>INI-MAP-TRANSIT, INI-MAP-ILLIUM</x:v>
      </x:c>
      <x:c r="P10" s="7" t="str"/>
      <x:c r="Q10" s="7" t="str"/>
      <x:c r="R10" s="7" t="str"/>
      <x:c r="S10" s="7" t="str">
        <x:v>Boucle de parcours de production ; la dernière liaison sert à la consultation post-module, pas à remonter le temps.</x:v>
      </x:c>
    </x:row>
    <x:row r="11" ht="68" customHeight="1">
      <x:c r="A11" s="18" t="str">
        <x:v>INI-LNK-ILLIUM</x:v>
      </x:c>
      <x:c r="B11" s="9" t="str">
        <x:v>Relais d’enquête sur Illium proposé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Relais d’enquête sur Illium proposé au bloc Approche de Quiet Eddy proposée;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links/ini.json : illium -&gt; quiet; sauvegarde avant transit, restauration à un ancrage sûr.</x:v>
      </x:c>
      <x:c r="M11" s="9" t="str">
        <x:v>Ne pas attribuer une entreprise inventée à la source.</x:v>
      </x:c>
      <x:c r="N11" s="9" t="str">
        <x:v>Le groupe arrive au bon ancrage après chargement ; aller-retour ne duplique ni objet ni dialogue.</x:v>
      </x:c>
      <x:c r="O11" s="9" t="str">
        <x:v>INI-MAP-ILLIUM, INI-MAP-QUIET</x:v>
      </x:c>
      <x:c r="P11" s="9" t="str"/>
      <x:c r="Q11" s="9" t="str"/>
      <x:c r="R11" s="9" t="str"/>
      <x:c r="S11" s="9" t="str">
        <x:v>Boucle de parcours de production ; la dernière liaison sert à la consultation post-module, pas à remonter le temps.</x:v>
      </x:c>
    </x:row>
    <x:row r="12" ht="54" customHeight="1">
      <x:c r="A12" s="19" t="str">
        <x:v>INI-LNK-QUIET</x:v>
      </x:c>
      <x:c r="B12" s="7" t="str">
        <x:v>Approche de Quiet Eddy proposée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Approche de Quiet Eddy proposée au bloc Refuge Gamma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links/ini.json : quiet -&gt; gamma; sauvegarde avant transit, restauration à un ancrage sûr.</x:v>
      </x:c>
      <x:c r="M12" s="7" t="str">
        <x:v>Ne pas transformer la station en plan officiel intégral.</x:v>
      </x:c>
      <x:c r="N12" s="7" t="str">
        <x:v>Le groupe arrive au bon ancrage après chargement ; aller-retour ne duplique ni objet ni dialogue.</x:v>
      </x:c>
      <x:c r="O12" s="7" t="str">
        <x:v>INI-MAP-QUIET, INI-MAP-GAMMA</x:v>
      </x:c>
      <x:c r="P12" s="7" t="str"/>
      <x:c r="Q12" s="7" t="str"/>
      <x:c r="R12" s="7" t="str"/>
      <x:c r="S12" s="7" t="str">
        <x:v>Boucle de parcours de production ; la dernière liaison sert à la consultation post-module, pas à remonter le temps.</x:v>
      </x:c>
    </x:row>
    <x:row r="13" ht="54" customHeight="1">
      <x:c r="A13" s="18" t="str">
        <x:v>INI-LNK-GAMMA</x:v>
      </x:c>
      <x:c r="B13" s="9" t="str">
        <x:v>Refuge Gamma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Refuge Gamma proposé au bloc Accès du nœud SAM proposé;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links/ini.json : gamma -&gt; hyperion; sauvegarde avant transit, restauration à un ancrage sûr.</x:v>
      </x:c>
      <x:c r="M13" s="9" t="str">
        <x:v>Les civils ne deviennent pas des unités sacrifiables.</x:v>
      </x:c>
      <x:c r="N13" s="9" t="str">
        <x:v>Le groupe arrive au bon ancrage après chargement ; aller-retour ne duplique ni objet ni dialogue.</x:v>
      </x:c>
      <x:c r="O13" s="9" t="str">
        <x:v>INI-MAP-GAMMA, INI-MAP-HYPERION</x:v>
      </x:c>
      <x:c r="P13" s="9" t="str"/>
      <x:c r="Q13" s="9" t="str"/>
      <x:c r="R13" s="9" t="str"/>
      <x:c r="S13" s="9" t="str">
        <x:v>Boucle de parcours de production ; la dernière liaison sert à la consultation post-module, pas à remonter le temps.</x:v>
      </x:c>
    </x:row>
    <x:row r="14" ht="54" customHeight="1">
      <x:c r="A14" s="19" t="str">
        <x:v>INI-LNK-HYPERION</x:v>
      </x:c>
      <x:c r="B14" s="7" t="str">
        <x:v>Accès du nœud SAM proposé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Accès du nœud SAM proposé au bloc Salle d’affectation de Theia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links/ini.json : hyperion -&gt; theia; sauvegarde avant transit, restauration à un ancrage sûr.</x:v>
      </x:c>
      <x:c r="M14" s="7" t="str">
        <x:v>Ne pas conserver un SAM-E autonome après son terme narratif.</x:v>
      </x:c>
      <x:c r="N14" s="7" t="str">
        <x:v>Le groupe arrive au bon ancrage après chargement ; aller-retour ne duplique ni objet ni dialogue.</x:v>
      </x:c>
      <x:c r="O14" s="7" t="str">
        <x:v>INI-MAP-HYPERION, INI-MAP-THEIA</x:v>
      </x:c>
      <x:c r="P14" s="7" t="str"/>
      <x:c r="Q14" s="7" t="str"/>
      <x:c r="R14" s="7" t="str"/>
      <x:c r="S14" s="7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1a8b2b02a9476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INI-SET-THEIA</x:v>
      </x:c>
      <x:c r="B7" s="9" t="str">
        <x:v>Salle d’affectation de Theia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Surfaces de station adaptée, matériel en préparation, fenêtre sur Sol abstraite. Construire trois profondeurs de décor avec variantes intacte et perturbée si utiles.</x:v>
      </x:c>
      <x:c r="H7" s="9" t="str">
        <x:v>Le décor signale la règle : Récupérer seulement les autorisations utiles à la mission.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assets/ini/sets/theia/ ; collider séparé du mesh et des ornements.</x:v>
      </x:c>
      <x:c r="M7" s="9" t="str">
        <x:v>Le module ne se situe pas sur le Nexus arrivé à Héléus.</x:v>
      </x:c>
      <x:c r="N7" s="9" t="str">
        <x:v>Aucun détail décoratif ne ressemble à tort à une porte ; vue complète vérifiée en petite résolution.</x:v>
      </x:c>
      <x:c r="O7" s="9" t="str">
        <x:v>INI-MAP-THEIA</x:v>
      </x:c>
      <x:c r="P7" s="9" t="str"/>
      <x:c r="Q7" s="9" t="str"/>
      <x:c r="R7" s="9" t="str"/>
      <x:c r="S7" s="9" t="str"/>
    </x:row>
    <x:row r="8" ht="54" customHeight="1">
      <x:c r="A8" s="19" t="str">
        <x:v>INI-SET-HOMEAWAY</x:v>
      </x:c>
      <x:c r="B8" s="7" t="str">
        <x:v>Annexe serveur de Home Away proposée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Décor commercial froid, câbles dissimulés et baies compactes. Construire trois profondeurs de décor avec variantes intacte et perturbée si utiles.</x:v>
      </x:c>
      <x:c r="H8" s="7" t="str">
        <x:v>Le décor signale la règle : Les privilèges d’accès doivent être acquis séparément.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assets/ini/sets/homeaway/ ; collider séparé du mesh et des ornements.</x:v>
      </x:c>
      <x:c r="M8" s="7" t="str">
        <x:v>SAM-E n’est pas une clé omnipotente.</x:v>
      </x:c>
      <x:c r="N8" s="7" t="str">
        <x:v>Aucun détail décoratif ne ressemble à tort à une porte ; vue complète vérifiée en petite résolution.</x:v>
      </x:c>
      <x:c r="O8" s="7" t="str">
        <x:v>INI-MAP-HOMEAWAY</x:v>
      </x:c>
      <x:c r="P8" s="7" t="str"/>
      <x:c r="Q8" s="7" t="str"/>
      <x:c r="R8" s="7" t="str"/>
      <x:c r="S8" s="7" t="str"/>
    </x:row>
    <x:row r="9" ht="54" customHeight="1">
      <x:c r="A9" s="18" t="str">
        <x:v>INI-SET-AUDACITY</x:v>
      </x:c>
      <x:c r="B9" s="9" t="str">
        <x:v>Soute de l’Audacity proposée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Métal sombre, équipements amarrés, espace de couverture limité. Construire trois profondeurs de décor avec variantes intacte et perturbée si utiles.</x:v>
      </x:c>
      <x:c r="H9" s="9" t="str">
        <x:v>Le décor signale la règle : La sortie requiert vérification du matériel de survie.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assets/ini/sets/audacity/ ; collider séparé du mesh et des ornements.</x:v>
      </x:c>
      <x:c r="M9" s="9" t="str">
        <x:v>L’issue n’invente pas un triomphe durable sur Ygara.</x:v>
      </x:c>
      <x:c r="N9" s="9" t="str">
        <x:v>Aucun détail décoratif ne ressemble à tort à une porte ; vue complète vérifiée en petite résolution.</x:v>
      </x:c>
      <x:c r="O9" s="9" t="str">
        <x:v>INI-MAP-AUDACITY</x:v>
      </x:c>
      <x:c r="P9" s="9" t="str"/>
      <x:c r="Q9" s="9" t="str"/>
      <x:c r="R9" s="9" t="str"/>
      <x:c r="S9" s="9" t="str"/>
    </x:row>
    <x:row r="10" ht="54" customHeight="1">
      <x:c r="A10" s="19" t="str">
        <x:v>INI-SET-TRANSIT</x:v>
      </x:c>
      <x:c r="B10" s="7" t="str">
        <x:v>Espace de secours abstrait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Fond étoilé sobre, faible mouvement, informations de réserve claires. Construire trois profondeurs de décor avec variantes intacte et perturbée si utiles.</x:v>
      </x:c>
      <x:c r="H10" s="7" t="str">
        <x:v>Le décor signale la règle : Le temps diégétique avance par objectifs, pas pendant la lecture.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assets/ini/sets/transit/ ; collider séparé du mesh et des ornements.</x:v>
      </x:c>
      <x:c r="M10" s="7" t="str">
        <x:v>Aucune mécanique réaliste d’exposition au vide prétendue.</x:v>
      </x:c>
      <x:c r="N10" s="7" t="str">
        <x:v>Aucun détail décoratif ne ressemble à tort à une porte ; vue complète vérifiée en petite résolution.</x:v>
      </x:c>
      <x:c r="O10" s="7" t="str">
        <x:v>INI-MAP-TRANSIT</x:v>
      </x:c>
      <x:c r="P10" s="7" t="str"/>
      <x:c r="Q10" s="7" t="str"/>
      <x:c r="R10" s="7" t="str"/>
      <x:c r="S10" s="7" t="str"/>
    </x:row>
    <x:row r="11" ht="54" customHeight="1">
      <x:c r="A11" s="18" t="str">
        <x:v>INI-SET-ILLIUM</x:v>
      </x:c>
      <x:c r="B11" s="9" t="str">
        <x:v>Relais d’enquête sur Illium proposé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Architecture verticale en fond, interfaces de commerce originales. Construire trois profondeurs de décor avec variantes intacte et perturbée si utiles.</x:v>
      </x:c>
      <x:c r="H11" s="9" t="str">
        <x:v>Le décor signale la règle : Recouper un identifiant avant de suivre un contact.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assets/ini/sets/illium/ ; collider séparé du mesh et des ornements.</x:v>
      </x:c>
      <x:c r="M11" s="9" t="str">
        <x:v>Ne pas attribuer une entreprise inventée à la source.</x:v>
      </x:c>
      <x:c r="N11" s="9" t="str">
        <x:v>Aucun détail décoratif ne ressemble à tort à une porte ; vue complète vérifiée en petite résolution.</x:v>
      </x:c>
      <x:c r="O11" s="9" t="str">
        <x:v>INI-MAP-ILLIUM</x:v>
      </x:c>
      <x:c r="P11" s="9" t="str"/>
      <x:c r="Q11" s="9" t="str"/>
      <x:c r="R11" s="9" t="str"/>
      <x:c r="S11" s="9" t="str"/>
    </x:row>
    <x:row r="12" ht="54" customHeight="1">
      <x:c r="A12" s="19" t="str">
        <x:v>INI-SET-QUIET</x:v>
      </x:c>
      <x:c r="B12" s="7" t="str">
        <x:v>Approche de Quiet Eddy proposée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Lumières d’urgence, machines interrompues, silhouettes masquées. Construire trois profondeurs de décor avec variantes intacte et perturbée si utiles.</x:v>
      </x:c>
      <x:c r="H12" s="7" t="str">
        <x:v>Le décor signale la règle : Les signaux du réseau peuvent être mensongers.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assets/ini/sets/quiet/ ; collider séparé du mesh et des ornements.</x:v>
      </x:c>
      <x:c r="M12" s="7" t="str">
        <x:v>Ne pas transformer la station en plan officiel intégral.</x:v>
      </x:c>
      <x:c r="N12" s="7" t="str">
        <x:v>Aucun détail décoratif ne ressemble à tort à une porte ; vue complète vérifiée en petite résolution.</x:v>
      </x:c>
      <x:c r="O12" s="7" t="str">
        <x:v>INI-MAP-QUIET</x:v>
      </x:c>
      <x:c r="P12" s="7" t="str"/>
      <x:c r="Q12" s="7" t="str"/>
      <x:c r="R12" s="7" t="str"/>
      <x:c r="S12" s="7" t="str"/>
    </x:row>
    <x:row r="13" ht="54" customHeight="1">
      <x:c r="A13" s="18" t="str">
        <x:v>INI-SET-GAMMA</x:v>
      </x:c>
      <x:c r="B13" s="9" t="str">
        <x:v>Refuge Gamma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Matériel improvisé, groupes de civils, portes renforcées. Construire trois profondeurs de décor avec variantes intacte et perturbée si utiles.</x:v>
      </x:c>
      <x:c r="H13" s="9" t="str">
        <x:v>Le décor signale la règle : Préparer le trajet et répartir la protection avant de sortir.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assets/ini/sets/gamma/ ; collider séparé du mesh et des ornements.</x:v>
      </x:c>
      <x:c r="M13" s="9" t="str">
        <x:v>Les civils ne deviennent pas des unités sacrifiables.</x:v>
      </x:c>
      <x:c r="N13" s="9" t="str">
        <x:v>Aucun détail décoratif ne ressemble à tort à une porte ; vue complète vérifiée en petite résolution.</x:v>
      </x:c>
      <x:c r="O13" s="9" t="str">
        <x:v>INI-MAP-GAMMA</x:v>
      </x:c>
      <x:c r="P13" s="9" t="str"/>
      <x:c r="Q13" s="9" t="str"/>
      <x:c r="R13" s="9" t="str"/>
      <x:c r="S13" s="9" t="str"/>
    </x:row>
    <x:row r="14" ht="54" customHeight="1">
      <x:c r="A14" s="19" t="str">
        <x:v>INI-SET-HYPERION</x:v>
      </x:c>
      <x:c r="B14" s="7" t="str">
        <x:v>Accès du nœud SAM proposé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Bleu profond, volumes protégés, réseau lumineux abstrait. Construire trois profondeurs de décor avec variantes intacte et perturbée si utiles.</x:v>
      </x:c>
      <x:c r="H14" s="7" t="str">
        <x:v>Le décor signale la règle : Un état de panne force une conclusion narrative contrôlée.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assets/ini/sets/hyperion/ ; collider séparé du mesh et des ornements.</x:v>
      </x:c>
      <x:c r="M14" s="7" t="str">
        <x:v>Ne pas conserver un SAM-E autonome après son terme narratif.</x:v>
      </x:c>
      <x:c r="N14" s="7" t="str">
        <x:v>Aucun détail décoratif ne ressemble à tort à une porte ; vue complète vérifiée en petite résolution.</x:v>
      </x:c>
      <x:c r="O14" s="7" t="str">
        <x:v>INI-MAP-HYPERION</x:v>
      </x:c>
      <x:c r="P14" s="7" t="str"/>
      <x:c r="Q14" s="7" t="str"/>
      <x:c r="R14" s="7" t="str"/>
      <x:c r="S14" s="7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2bc637af254d74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INI-REF-SAMKERNEL</x:v>
      </x:c>
      <x:c r="B7" s="9" t="str">
        <x:v>Noyau SAM volé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L’objet de la récupération est lié au code de SAM.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ref.ini.samkernel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  <x:row r="8" ht="68" customHeight="1">
      <x:c r="A8" s="19" t="str">
        <x:v>INI-REF-GAMMA</x:v>
      </x:c>
      <x:c r="B8" s="7" t="str">
        <x:v>Plans du laboratoire Gamma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refuge des survivants est masqué dans certains plans de l’installation.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ref.ini.gamma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INI-SRC-QUIET</x:v>
      </x:c>
      <x:c r="R8" s="7" t="str">
        <x:v>https://masseffect.fandom.com/wiki/Quiet_Eddy</x:v>
      </x:c>
      <x:c r="S8" s="7" t="str">
        <x:v>Ce relevé n’est ni un inventaire exhaustif ni un résumé scène par scène.</x:v>
      </x:c>
    </x:row>
  </x:sheetData>
  <x:conditionalFormatting sqref="D7:D8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8">
    <x:cfRule type="cellIs" dxfId="30" priority="3" operator="equal">
      <x:formula>"Validé"</x:formula>
    </x:cfRule>
  </x:conditionalFormatting>
  <x:conditionalFormatting sqref="E7:E8">
    <x:cfRule type="cellIs" dxfId="3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6843f5393d40ea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INI-ENC-MERC</x:v>
      </x:c>
      <x:c r="B7" s="9" t="str">
        <x:v>Équipe mercenaire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Opposition locale ajoutée à l’infiltration.</x:v>
      </x:c>
      <x:c r="G7" s="9" t="str">
        <x:v>Opposition ou crise scénarisée pour le groupe ; ne pas attribuer au roman une barre de vie ou un rang de boss.</x:v>
      </x:c>
      <x:c r="H7" s="9" t="str">
        <x:v>Surveille un nœud en alternant mouvement et verrouillage. Réponse du joueur : Passer pendant la rotation ou détourner l’attention.</x:v>
      </x:c>
      <x:c r="I7" s="9" t="str">
        <x:v>Cône de surveillance et témoin de serrure.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encounters/ini/merc.json ; activer seulement dans les zones prévues.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9" t="str"/>
      <x:c r="S7" s="9" t="str">
        <x:v>Tous comportements et réglages de combat sont du design original.</x:v>
      </x:c>
    </x:row>
    <x:row r="8" ht="68" customHeight="1">
      <x:c r="A8" s="19" t="str">
        <x:v>INI-ENC-AUGMENT</x:v>
      </x:c>
      <x:c r="B8" s="7" t="str">
        <x:v>Augment de couloir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Rencontre inspirée des augmentés de Quiet Eddy.</x:v>
      </x:c>
      <x:c r="G8" s="7" t="str">
        <x:v>Opposition ou crise scénarisée pour le groupe ; ne pas attribuer au roman une barre de vie ou un rang de boss.</x:v>
      </x:c>
      <x:c r="H8" s="7" t="str">
        <x:v>Charge un axe étroit puis expose son flanc à l’arrêt. Réponse du joueur : Quitter l’axe et fermer la porte après le passage.</x:v>
      </x:c>
      <x:c r="I8" s="7" t="str">
        <x:v>Posture tassée et ligne au sol avant départ.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encounters/ini/augment.json ; activer seulement dans les zones prévues.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7" t="str"/>
      <x:c r="S8" s="7" t="str">
        <x:v>Tous comportements et réglages de combat sont du design original.</x:v>
      </x:c>
    </x:row>
    <x:row r="9" ht="68" customHeight="1">
      <x:c r="A9" s="18" t="str">
        <x:v>INI-ENC-MEDEA</x:v>
      </x:c>
      <x:c r="B9" s="9" t="str">
        <x:v>Medea — crise d’accès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Boss de réseau scénarisé, sans piratage universel.</x:v>
      </x:c>
      <x:c r="G9" s="9" t="str">
        <x:v>Opposition ou crise scénarisée pour le groupe ; ne pas attribuer au roman une barre de vie ou un rang de boss.</x:v>
      </x:c>
      <x:c r="H9" s="9" t="str">
        <x:v>Falsifie un indicateur pendant qu’un accès réel se referme. Réponse du joueur : Faire vérifier la porte par l’équipe et isoler le secteur.</x:v>
      </x:c>
      <x:c r="I9" s="9" t="str">
        <x:v>Incohérence entre état de porte et panneau.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encounters/ini/medea.json ; activer seulement dans les zones prévues.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9" t="str"/>
      <x:c r="S9" s="9" t="str">
        <x:v>Tous comportements et réglages de combat sont du design original.</x:v>
      </x:c>
    </x:row>
    <x:row r="10" ht="68" customHeight="1">
      <x:c r="A10" s="19" t="str">
        <x:v>INI-ENC-OVERLOAD</x:v>
      </x:c>
      <x:c r="B10" s="7" t="str">
        <x:v>Seuil de fatigue proposé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de ressources représentant le coût d’une assistance extrême.</x:v>
      </x:c>
      <x:c r="G10" s="7" t="str">
        <x:v>Opposition ou crise scénarisée pour le groupe ; ne pas attribuer au roman une barre de vie ou un rang de boss.</x:v>
      </x:c>
      <x:c r="H10" s="7" t="str">
        <x:v>Réduit les options disponibles si la surcharge est prolongée. Réponse du joueur : Arrêter l’effet et atteindre un point de repos autorisé.</x:v>
      </x:c>
      <x:c r="I10" s="7" t="str">
        <x:v>Avertissement textuel, baisse de saturation désactivable.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encounters/ini/overload.json ; activer seulement dans les zones prévues.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7" t="str"/>
      <x:c r="S10" s="7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4feec065d742fb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INI-MIS-MANDATE</x:v>
      </x:c>
      <x:c r="B7" s="9" t="str">
        <x:v>Définir les limites de l’assistance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Préparer Cora et SAM-E à une opération d’infiltration originale.</x:v>
      </x:c>
      <x:c r="H7" s="9" t="str">
        <x:v>Identifier objectif, secret à protéger et tâches que l’assistant ne sait pas faire.</x:v>
      </x:c>
      <x:c r="I7" s="9" t="str">
        <x:v>Objectif spatial associé à Salle d’affectation de Theia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quests/ini/mandate.json ; états offered/active/resolved ; clés de progression propres au module.</x:v>
      </x:c>
      <x:c r="M7" s="9" t="str">
        <x:v>Ne pas qualifier SAM-E de simple VI après la révélation de sa nature.</x:v>
      </x:c>
      <x:c r="N7" s="9" t="str">
        <x:v>Le joueur peut accomplir « Préparer Cora et SAM-E à une opération d’infiltration originale. » et la sortie confirme le résultat ; Ne pas qualifier SAM-E de simple VI après la révélation de sa nature.</x:v>
      </x:c>
      <x:c r="O7" s="9" t="str">
        <x:v>INI-MAP-THEIA</x:v>
      </x:c>
      <x:c r="P7" s="9" t="str"/>
      <x:c r="Q7" s="9" t="str"/>
      <x:c r="R7" s="9" t="str"/>
      <x:c r="S7" s="9" t="str"/>
    </x:row>
    <x:row r="8" ht="68" customHeight="1">
      <x:c r="A8" s="19" t="str">
        <x:v>INI-MIS-KERNEL</x:v>
      </x:c>
      <x:c r="B8" s="7" t="str">
        <x:v>Extraire un paquet de données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Récupérer un objet numérique fictif dans une annexe de serveur.</x:v>
      </x:c>
      <x:c r="H8" s="7" t="str">
        <x:v>Distinguer copie leurre, autorisation d’accès et paquet cible ; validation croisée avant transfert.</x:v>
      </x:c>
      <x:c r="I8" s="7" t="str">
        <x:v>Objectif spatial associé à Annexe serveur de Home Away proposée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quests/ini/kernel.json ; états offered/active/resolved ; clés de progression propres au module.</x:v>
      </x:c>
      <x:c r="M8" s="7" t="str">
        <x:v>Aucune procédure réelle de piratage ni code officiel copié.</x:v>
      </x:c>
      <x:c r="N8" s="7" t="str">
        <x:v>Le joueur peut accomplir « Récupérer un objet numérique fictif dans une annexe de serveur. » et la sortie confirme le résultat ; Aucune procédure réelle de piratage ni code officiel copié.</x:v>
      </x:c>
      <x:c r="O8" s="7" t="str">
        <x:v>INI-MAP-HOMEAWAY</x:v>
      </x:c>
      <x:c r="P8" s="7" t="str"/>
      <x:c r="Q8" s="7" t="str"/>
      <x:c r="R8" s="7" t="str"/>
      <x:c r="S8" s="7" t="str"/>
    </x:row>
    <x:row r="9" ht="68" customHeight="1">
      <x:c r="A9" s="18" t="str">
        <x:v>INI-MIS-BETRAYAL</x:v>
      </x:c>
      <x:c r="B9" s="9" t="str">
        <x:v>Trouver une sortie sûre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Faire lire au joueur une rupture de coopération dans une soute originale.</x:v>
      </x:c>
      <x:c r="H9" s="9" t="str">
        <x:v>Rester mobile entre couverts, vérifier le sas et protéger la liaison d’assistance.</x:v>
      </x:c>
      <x:c r="I9" s="9" t="str">
        <x:v>Objectif spatial associé à Soute de l’Audacity proposée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quests/ini/betrayal.json ; états offered/active/resolved ; clés de progression propres au module.</x:v>
      </x:c>
      <x:c r="M9" s="9" t="str">
        <x:v>Le choix n’efface pas la trahison de Ygara.</x:v>
      </x:c>
      <x:c r="N9" s="9" t="str">
        <x:v>Le joueur peut accomplir « Faire lire au joueur une rupture de coopération dans une soute originale. » et la sortie confirme le résultat ; Le choix n’efface pas la trahison de Ygara.</x:v>
      </x:c>
      <x:c r="O9" s="9" t="str">
        <x:v>INI-MAP-AUDACITY</x:v>
      </x:c>
      <x:c r="P9" s="9" t="str"/>
      <x:c r="Q9" s="9" t="str"/>
      <x:c r="R9" s="9" t="str"/>
      <x:c r="S9" s="9" t="str"/>
    </x:row>
    <x:row r="10" ht="68" customHeight="1">
      <x:c r="A10" s="19" t="str">
        <x:v>INI-MIS-BEACON</x:v>
      </x:c>
      <x:c r="B10" s="7" t="str">
        <x:v>Faire confirmer une position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Coordonner une procédure abstraite de recherche et secours.</x:v>
      </x:c>
      <x:c r="H10" s="7" t="str">
        <x:v>Comparer dernier signal, réserve et réponse ; garder la lecture hors compte à rebours.</x:v>
      </x:c>
      <x:c r="I10" s="7" t="str">
        <x:v>Objectif spatial associé à Espace de secours abstrait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quests/ini/beacon.json ; états offered/active/resolved ; clés de progression propres au module.</x:v>
      </x:c>
      <x:c r="M10" s="7" t="str">
        <x:v>Pas de mort aléatoire pendant lecture ou réglage d’accessibilité.</x:v>
      </x:c>
      <x:c r="N10" s="7" t="str">
        <x:v>Le joueur peut accomplir « Coordonner une procédure abstraite de recherche et secours. » et la sortie confirme le résultat ; Pas de mort aléatoire pendant lecture ou réglage d’accessibilité.</x:v>
      </x:c>
      <x:c r="O10" s="7" t="str">
        <x:v>INI-MAP-TRANSIT</x:v>
      </x:c>
      <x:c r="P10" s="7" t="str"/>
      <x:c r="Q10" s="7" t="str"/>
      <x:c r="R10" s="7" t="str"/>
      <x:c r="S10" s="7" t="str"/>
    </x:row>
    <x:row r="11" ht="68" customHeight="1">
      <x:c r="A11" s="18" t="str">
        <x:v>INI-MIS-FOLLOW</x:v>
      </x:c>
      <x:c r="B11" s="9" t="str">
        <x:v>Suivre la copie manquante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Relier une transaction locale à un prochain lieu de recherche.</x:v>
      </x:c>
      <x:c r="H11" s="9" t="str">
        <x:v>Vérifier un contrat, son bénéficiaire et la destination indiquée.</x:v>
      </x:c>
      <x:c r="I11" s="9" t="str">
        <x:v>Objectif spatial associé à Relais d’enquête sur Illium proposé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quests/ini/follow.json ; états offered/active/resolved ; clés de progression propres au module.</x:v>
      </x:c>
      <x:c r="M11" s="9" t="str">
        <x:v>Les informations restent limitées à ce que Cora découvre.</x:v>
      </x:c>
      <x:c r="N11" s="9" t="str">
        <x:v>Le joueur peut accomplir « Relier une transaction locale à un prochain lieu de recherche. » et la sortie confirme le résultat ; Les informations restent limitées à ce que Cora découvre.</x:v>
      </x:c>
      <x:c r="O11" s="9" t="str">
        <x:v>INI-MAP-ILLIUM</x:v>
      </x:c>
      <x:c r="P11" s="9" t="str"/>
      <x:c r="Q11" s="9" t="str"/>
      <x:c r="R11" s="9" t="str"/>
      <x:c r="S11" s="9" t="str"/>
    </x:row>
    <x:row r="12" ht="68" customHeight="1">
      <x:c r="A12" s="19" t="str">
        <x:v>INI-MIS-OVERRIDE</x:v>
      </x:c>
      <x:c r="B12" s="7" t="str">
        <x:v>Tenir un accès face à Medea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Empêcher un réseau hostile de prendre une issue locale.</x:v>
      </x:c>
      <x:c r="H12" s="7" t="str">
        <x:v>Une commande doit être confirmée au poste physique ; l’assistant ne peut protéger tous les nœuds.</x:v>
      </x:c>
      <x:c r="I12" s="7" t="str">
        <x:v>Objectif spatial associé à Approche de Quiet Eddy proposée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quests/ini/override.json ; états offered/active/resolved ; clés de progression propres au module.</x:v>
      </x:c>
      <x:c r="M12" s="7" t="str">
        <x:v>Medea n’est pas vaincue par un simple mini-jeu universel.</x:v>
      </x:c>
      <x:c r="N12" s="7" t="str">
        <x:v>Le joueur peut accomplir « Empêcher un réseau hostile de prendre une issue locale. » et la sortie confirme le résultat ; Medea n’est pas vaincue par un simple mini-jeu universel.</x:v>
      </x:c>
      <x:c r="O12" s="7" t="str">
        <x:v>INI-MAP-QUIET</x:v>
      </x:c>
      <x:c r="P12" s="7" t="str"/>
      <x:c r="Q12" s="7" t="str"/>
      <x:c r="R12" s="7" t="str"/>
      <x:c r="S12" s="7" t="str"/>
    </x:row>
    <x:row r="13" ht="68" customHeight="1">
      <x:c r="A13" s="18" t="str">
        <x:v>INI-MIS-ESCORT</x:v>
      </x:c>
      <x:c r="B13" s="9" t="str">
        <x:v>Accompagner les survivants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Préparer et exécuter une évacuation d’annexe originale.</x:v>
      </x:c>
      <x:c r="H13" s="9" t="str">
        <x:v>Trois groupes civils traversent des points sûrs pendant que Cora et une escorte protègent les accès.</x:v>
      </x:c>
      <x:c r="I13" s="9" t="str">
        <x:v>Objectif spatial associé à Refuge Gamma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quests/ini/escort.json ; états offered/active/resolved ; clés de progression propres au module.</x:v>
      </x:c>
      <x:c r="M13" s="9" t="str">
        <x:v>Le coût de la surcharge de Cora ne disparaît pas grâce à un consommable.</x:v>
      </x:c>
      <x:c r="N13" s="9" t="str">
        <x:v>Le joueur peut accomplir « Préparer et exécuter une évacuation d’annexe originale. » et la sortie confirme le résultat ; Le coût de la surcharge de Cora ne disparaît pas grâce à un consommable.</x:v>
      </x:c>
      <x:c r="O13" s="9" t="str">
        <x:v>INI-MAP-GAMMA</x:v>
      </x:c>
      <x:c r="P13" s="9" t="str"/>
      <x:c r="Q13" s="9" t="str"/>
      <x:c r="R13" s="9" t="str"/>
      <x:c r="S13" s="9" t="str"/>
    </x:row>
    <x:row r="14" ht="68" customHeight="1">
      <x:c r="A14" s="19" t="str">
        <x:v>INI-MIS-LEGACY</x:v>
      </x:c>
      <x:c r="B14" s="7" t="str">
        <x:v>Respecter la fin d’une voix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Clore le lien expérimental dans une scène originale sobre.</x:v>
      </x:c>
      <x:c r="H14" s="7" t="str">
        <x:v>Valider mémoire, présence et limitations du système ; aucune option de duplication magique.</x:v>
      </x:c>
      <x:c r="I14" s="7" t="str">
        <x:v>Objectif spatial associé à Accès du nœud SAM proposé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quests/ini/legacy.json ; états offered/active/resolved ; clés de progression propres au module.</x:v>
      </x:c>
      <x:c r="M14" s="7" t="str">
        <x:v>SAM-E n’est pas rendu permanent et autonome dans MEA.</x:v>
      </x:c>
      <x:c r="N14" s="7" t="str">
        <x:v>Le joueur peut accomplir « Clore le lien expérimental dans une scène originale sobre. » et la sortie confirme le résultat ; SAM-E n’est pas rendu permanent et autonome dans MEA.</x:v>
      </x:c>
      <x:c r="O14" s="7" t="str">
        <x:v>INI-MAP-HYPERION</x:v>
      </x:c>
      <x:c r="P14" s="7" t="str"/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637bc1f2f84a78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INI-OPT-MANDATE</x:v>
      </x:c>
      <x:c r="B7" s="9" t="str">
        <x:v>Définir les limites de l’assistance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Vérifier l’adaptation d’un casque de réserve sans statistiques officielles.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optional.ini.mandate ; persister done/skipped, récompenser une seule fois.</x:v>
      </x:c>
      <x:c r="M7" s="9" t="str">
        <x:v>Facultatif ; peut être ignoré sans bloquer la mission. Ne pas qualifier SAM-E de simple VI après la révélation de sa nature.</x:v>
      </x:c>
      <x:c r="N7" s="9" t="str">
        <x:v>Ignorer puis terminer la mission fonctionne ; compléter ne verse la récompense qu’une fois.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INI-OPT-KERNEL</x:v>
      </x:c>
      <x:c r="B8" s="7" t="str">
        <x:v>Extraire un paquet de données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Récupérer un journal d’accès sans télécharger tout le réseau.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optional.ini.kernel ; persister done/skipped, récompenser une seule fois.</x:v>
      </x:c>
      <x:c r="M8" s="7" t="str">
        <x:v>Facultatif ; peut être ignoré sans bloquer la mission. Aucune procédure réelle de piratage ni code officiel copié.</x:v>
      </x:c>
      <x:c r="N8" s="7" t="str">
        <x:v>Ignorer puis terminer la mission fonctionne ; compléter ne verse la récompense qu’une fois.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INI-OPT-BETRAYAL</x:v>
      </x:c>
      <x:c r="B9" s="9" t="str">
        <x:v>Trouver une sortie sûre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Récupérer une réserve compatible avant de quitter la soute.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optional.ini.betrayal ; persister done/skipped, récompenser une seule fois.</x:v>
      </x:c>
      <x:c r="M9" s="9" t="str">
        <x:v>Facultatif ; peut être ignoré sans bloquer la mission. Le choix n’efface pas la trahison de Ygara.</x:v>
      </x:c>
      <x:c r="N9" s="9" t="str">
        <x:v>Ignorer puis terminer la mission fonctionne ; compléter ne verse la récompense qu’une fois.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INI-OPT-BEACON</x:v>
      </x:c>
      <x:c r="B10" s="7" t="str">
        <x:v>Faire confirmer une position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Classer un souvenir de dialogue original dans le journal privé.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optional.ini.beacon ; persister done/skipped, récompenser une seule fois.</x:v>
      </x:c>
      <x:c r="M10" s="7" t="str">
        <x:v>Facultatif ; peut être ignoré sans bloquer la mission. Pas de mort aléatoire pendant lecture ou réglage d’accessibilité.</x:v>
      </x:c>
      <x:c r="N10" s="7" t="str">
        <x:v>Ignorer puis terminer la mission fonctionne ; compléter ne verse la récompense qu’une fois.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INI-OPT-FOLLOW</x:v>
      </x:c>
      <x:c r="B11" s="9" t="str">
        <x:v>Suivre la copie manquante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Rendre un objet déposé par erreur dans un casier voisin.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optional.ini.follow ; persister done/skipped, récompenser une seule fois.</x:v>
      </x:c>
      <x:c r="M11" s="9" t="str">
        <x:v>Facultatif ; peut être ignoré sans bloquer la mission. Les informations restent limitées à ce que Cora découvre.</x:v>
      </x:c>
      <x:c r="N11" s="9" t="str">
        <x:v>Ignorer puis terminer la mission fonctionne ; compléter ne verse la récompense qu’une fois.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INI-OPT-OVERRIDE</x:v>
      </x:c>
      <x:c r="B12" s="7" t="str">
        <x:v>Tenir un accès face à Medea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Retrouver une ancienne version de plan limitée au secteur.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optional.ini.override ; persister done/skipped, récompenser une seule fois.</x:v>
      </x:c>
      <x:c r="M12" s="7" t="str">
        <x:v>Facultatif ; peut être ignoré sans bloquer la mission. Medea n’est pas vaincue par un simple mini-jeu universel.</x:v>
      </x:c>
      <x:c r="N12" s="7" t="str">
        <x:v>Ignorer puis terminer la mission fonctionne ; compléter ne verse la récompense qu’une fois.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INI-OPT-ESCORT</x:v>
      </x:c>
      <x:c r="B13" s="9" t="str">
        <x:v>Accompagner les survivants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Retrouver un objet de réassurance pour un enfant sans l’armer comme mécanique de récompense.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optional.ini.escort ; persister done/skipped, récompenser une seule fois.</x:v>
      </x:c>
      <x:c r="M13" s="9" t="str">
        <x:v>Facultatif ; peut être ignoré sans bloquer la mission. Le coût de la surcharge de Cora ne disparaît pas grâce à un consommable.</x:v>
      </x:c>
      <x:c r="N13" s="9" t="str">
        <x:v>Ignorer puis terminer la mission fonctionne ; compléter ne verse la récompense qu’une fois.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INI-OPT-LEGACY</x:v>
      </x:c>
      <x:c r="B14" s="7" t="str">
        <x:v>Respecter la fin d’une voix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Archiver les préférences d’interface créées avec SAM-E.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optional.ini.legacy ; persister done/skipped, récompenser une seule fois.</x:v>
      </x:c>
      <x:c r="M14" s="7" t="str">
        <x:v>Facultatif ; peut être ignoré sans bloquer la mission. SAM-E n’est pas rendu permanent et autonome dans MEA.</x:v>
      </x:c>
      <x:c r="N14" s="7" t="str">
        <x:v>Ignorer puis terminer la mission fonctionne ; compléter ne verse la récompense qu’une fois.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5f182b730d4c06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INI-CHO-MANDATE</x:v>
      </x:c>
      <x:c r="B7" s="9" t="str">
        <x:v>Définir les limites de l’assistance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Briefing technique détaillé ou répétition pratique abstraite.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choice.ini.mandate ; stocker la méthode et le coût, jamais une réécriture d’événement source.</x:v>
      </x:c>
      <x:c r="M7" s="9" t="str">
        <x:v>Ne pas qualifier SAM-E de simple VI après la révélation de sa nature.</x:v>
      </x:c>
      <x:c r="N7" s="9" t="str">
        <x:v>Les deux branches sont atteignables ; l’état canonique final du module est identique.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INI-CHO-KERNEL</x:v>
      </x:c>
      <x:c r="B8" s="7" t="str">
        <x:v>Extraire un paquet de données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Passage par maintenance ou badge local ; deux parcours testables.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choice.ini.kernel ; stocker la méthode et le coût, jamais une réécriture d’événement source.</x:v>
      </x:c>
      <x:c r="M8" s="7" t="str">
        <x:v>Aucune procédure réelle de piratage ni code officiel copié.</x:v>
      </x:c>
      <x:c r="N8" s="7" t="str">
        <x:v>Les deux branches sont atteignables ; l’état canonique final du module est identique.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INI-CHO-BETRAYAL</x:v>
      </x:c>
      <x:c r="B9" s="9" t="str">
        <x:v>Trouver une sortie sûre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Diversion visuelle ou coupure d’un panneau ; même état de sortie.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choice.ini.betrayal ; stocker la méthode et le coût, jamais une réécriture d’événement source.</x:v>
      </x:c>
      <x:c r="M9" s="9" t="str">
        <x:v>Le choix n’efface pas la trahison de Ygara.</x:v>
      </x:c>
      <x:c r="N9" s="9" t="str">
        <x:v>Les deux branches sont atteignables ; l’état canonique final du module est identique.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INI-CHO-BEACON</x:v>
      </x:c>
      <x:c r="B10" s="7" t="str">
        <x:v>Faire confirmer une position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Répéter une balise ou attendre une fenêtre de communication.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choice.ini.beacon ; stocker la méthode et le coût, jamais une réécriture d’événement source.</x:v>
      </x:c>
      <x:c r="M10" s="7" t="str">
        <x:v>Pas de mort aléatoire pendant lecture ou réglage d’accessibilité.</x:v>
      </x:c>
      <x:c r="N10" s="7" t="str">
        <x:v>Les deux branches sont atteignables ; l’état canonique final du module est identique.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INI-CHO-FOLLOW</x:v>
      </x:c>
      <x:c r="B11" s="9" t="str">
        <x:v>Suivre la copie manquante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Entretien avec un contact original ou inspection d’un registre fictif.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choice.ini.follow ; stocker la méthode et le coût, jamais une réécriture d’événement source.</x:v>
      </x:c>
      <x:c r="M11" s="9" t="str">
        <x:v>Les informations restent limitées à ce que Cora découvre.</x:v>
      </x:c>
      <x:c r="N11" s="9" t="str">
        <x:v>Les deux branches sont atteignables ; l’état canonique final du module est identique.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INI-CHO-OVERRIDE</x:v>
      </x:c>
      <x:c r="B12" s="7" t="str">
        <x:v>Tenir un accès face à Medea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Maintenir la protection du sas ou ouvrir un détour manuel.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choice.ini.override ; stocker la méthode et le coût, jamais une réécriture d’événement source.</x:v>
      </x:c>
      <x:c r="M12" s="7" t="str">
        <x:v>Medea n’est pas vaincue par un simple mini-jeu universel.</x:v>
      </x:c>
      <x:c r="N12" s="7" t="str">
        <x:v>Les deux branches sont atteignables ; l’état canonique final du module est identique.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INI-CHO-ESCORT</x:v>
      </x:c>
      <x:c r="B13" s="9" t="str">
        <x:v>Accompagner les survivants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Parcours court sous couverture ou long avec poste de repos.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choice.ini.escort ; stocker la méthode et le coût, jamais une réécriture d’événement source.</x:v>
      </x:c>
      <x:c r="M13" s="9" t="str">
        <x:v>Le coût de la surcharge de Cora ne disparaît pas grâce à un consommable.</x:v>
      </x:c>
      <x:c r="N13" s="9" t="str">
        <x:v>Les deux branches sont atteignables ; l’état canonique final du module est identique.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INI-CHO-LEGACY</x:v>
      </x:c>
      <x:c r="B14" s="7" t="str">
        <x:v>Respecter la fin d’une voix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Relire un échange du module ou rester silencieux.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choice.ini.legacy ; stocker la méthode et le coût, jamais une réécriture d’événement source.</x:v>
      </x:c>
      <x:c r="M14" s="7" t="str">
        <x:v>SAM-E n’est pas rendu permanent et autonome dans MEA.</x:v>
      </x:c>
      <x:c r="N14" s="7" t="str">
        <x:v>Les deux branches sont atteignables ; l’état canonique final du module est identique.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0677c02b884fa9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INI-DIA-CORA</x:v>
      </x:c>
      <x:c r="B7" s="9" t="str">
        <x:v>Cora Harper — échange : appartenance et confiance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appartenance et confiance,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Cora Harper,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ini.cora.appartenance-et-confiance ; drapeaux de connaissance locaux.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Aucune option ne révèle un savoir futur ; quitter puis reprendre conserve les sujets déjà abordés.</x:v>
      </x:c>
      <x:c r="O7" s="9" t="str">
        <x:v>INI-CHR-CORA</x:v>
      </x:c>
      <x:c r="P7" s="9" t="str"/>
      <x:c r="Q7" s="9" t="str"/>
      <x:c r="R7" s="9" t="str"/>
      <x:c r="S7" s="9" t="str">
        <x:v>Sujet et intentions sont du design original, pas une transcription.</x:v>
      </x:c>
    </x:row>
    <x:row r="8" ht="68" customHeight="1">
      <x:c r="A8" s="19" t="str">
        <x:v>INI-DIA-SAME</x:v>
      </x:c>
      <x:c r="B8" s="7" t="str">
        <x:v>SAM-E — échange : autonomie, attachement et limites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autonomie, attachement et limites,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SAM-E,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ini.same.autonomie-attachement-et-limites ; drapeaux de connaissance locaux.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Aucune option ne révèle un savoir futur ; quitter puis reprendre conserve les sujets déjà abordés.</x:v>
      </x:c>
      <x:c r="O8" s="7" t="str">
        <x:v>INI-CHR-SAME</x:v>
      </x:c>
      <x:c r="P8" s="7" t="str"/>
      <x:c r="Q8" s="7" t="str"/>
      <x:c r="R8" s="7" t="str"/>
      <x:c r="S8" s="7" t="str">
        <x:v>Sujet et intentions sont du design original, pas une transcription.</x:v>
      </x:c>
    </x:row>
    <x:row r="9" ht="68" customHeight="1">
      <x:c r="A9" s="18" t="str">
        <x:v>INI-DIA-ALEC</x:v>
      </x:c>
      <x:c r="B9" s="9" t="str">
        <x:v>Alec Ryder — échange : secret et responsabilité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secret et responsabilité,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Alec Ryder,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ini.alec.secret-et-responsabilite ; drapeaux de connaissance locaux.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Aucune option ne révèle un savoir futur ; quitter puis reprendre conserve les sujets déjà abordés.</x:v>
      </x:c>
      <x:c r="O9" s="9" t="str">
        <x:v>INI-CHR-ALEC</x:v>
      </x:c>
      <x:c r="P9" s="9" t="str"/>
      <x:c r="Q9" s="9" t="str"/>
      <x:c r="R9" s="9" t="str"/>
      <x:c r="S9" s="9" t="str">
        <x:v>Sujet et intentions sont du design original, pas une transcription.</x:v>
      </x:c>
    </x:row>
    <x:row r="10" ht="68" customHeight="1">
      <x:c r="A10" s="19" t="str">
        <x:v>INI-DIA-YGARA</x:v>
      </x:c>
      <x:c r="B10" s="7" t="str">
        <x:v>Ygara Menoris — échange : fidélité et contrat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fidélité et contrat,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Ygara Menoris,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ini.ygara.fidelite-et-contrat ; drapeaux de connaissance locaux.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Aucune option ne révèle un savoir futur ; quitter puis reprendre conserve les sujets déjà abordés.</x:v>
      </x:c>
      <x:c r="O10" s="7" t="str">
        <x:v>INI-CHR-YGARA</x:v>
      </x:c>
      <x:c r="P10" s="7" t="str"/>
      <x:c r="Q10" s="7" t="str"/>
      <x:c r="R10" s="7" t="str"/>
      <x:c r="S10" s="7" t="str">
        <x:v>Sujet et intentions sont du design original, pas une transcription.</x:v>
      </x:c>
    </x:row>
    <x:row r="11" ht="68" customHeight="1">
      <x:c r="A11" s="18" t="str">
        <x:v>INI-DIA-MEDEA</x:v>
      </x:c>
      <x:c r="B11" s="9" t="str">
        <x:v>Medea — échange : contrôle et logique institutionnelle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contrôle et logique institutionnelle,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Medea,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ini.medea.controle-et-logique-institutionnelle ; drapeaux de connaissance locaux.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Aucune option ne révèle un savoir futur ; quitter puis reprendre conserve les sujets déjà abordés.</x:v>
      </x:c>
      <x:c r="O11" s="9" t="str">
        <x:v>INI-CHR-MEDEA</x:v>
      </x:c>
      <x:c r="P11" s="9" t="str"/>
      <x:c r="Q11" s="9" t="str"/>
      <x:c r="R11" s="9" t="str"/>
      <x:c r="S11" s="9" t="str">
        <x:v>Sujet et intentions sont du design original, pas une transcription.</x:v>
      </x:c>
    </x:row>
    <x:row r="12" ht="68" customHeight="1">
      <x:c r="A12" s="19" t="str">
        <x:v>INI-DIA-VLASSIA</x:v>
      </x:c>
      <x:c r="B12" s="7" t="str">
        <x:v>Vlassia Ariokis — échange : obéissance et conséquences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obéissance et conséquences,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Vlassia Ariokis,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ini.vlassia.obeissance-et-consequences ; drapeaux de connaissance locaux.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Aucune option ne révèle un savoir futur ; quitter puis reprendre conserve les sujets déjà abordés.</x:v>
      </x:c>
      <x:c r="O12" s="7" t="str">
        <x:v>INI-CHR-VLASSIA</x:v>
      </x:c>
      <x:c r="P12" s="7" t="str"/>
      <x:c r="Q12" s="7" t="str"/>
      <x:c r="R12" s="7" t="str"/>
      <x:c r="S12" s="7" t="str">
        <x:v>Sujet et intentions sont du design original, pas une transcription.</x:v>
      </x:c>
    </x:row>
    <x:row r="13" ht="68" customHeight="1">
      <x:c r="A13" s="18" t="str">
        <x:v>INI-DIA-JENSEN</x:v>
      </x:c>
      <x:c r="B13" s="9" t="str">
        <x:v>Rebecca Jensen — échange : savoir technique et responsabilité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savoir technique et responsabilité,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Rebecca Jensen,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ini.jensen.savoir-technique-et-responsabilite ; drapeaux de connaissance locaux.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Aucune option ne révèle un savoir futur ; quitter puis reprendre conserve les sujets déjà abordés.</x:v>
      </x:c>
      <x:c r="O13" s="9" t="str">
        <x:v>INI-CHR-JENSEN</x:v>
      </x:c>
      <x:c r="P13" s="9" t="str"/>
      <x:c r="Q13" s="9" t="str"/>
      <x:c r="R13" s="9" t="str"/>
      <x:c r="S13" s="9" t="str">
        <x:v>Sujet et intentions sont du design original, pas une transcription.</x:v>
      </x:c>
    </x:row>
    <x:row r="14" ht="68" customHeight="1">
      <x:c r="A14" s="19" t="str">
        <x:v>INI-DIA-TSENG</x:v>
      </x:c>
      <x:c r="B14" s="7" t="str">
        <x:v>Dr Tseng — échange : recherche et jugement rétrospectif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recherche et jugement rétrospectif,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Dr Tseng,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ini.tseng.recherche-et-jugement-retrospectif ; drapeaux de connaissance locaux.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Aucune option ne révèle un savoir futur ; quitter puis reprendre conserve les sujets déjà abordés.</x:v>
      </x:c>
      <x:c r="O14" s="7" t="str">
        <x:v>INI-CHR-TSENG</x:v>
      </x:c>
      <x:c r="P14" s="7" t="str"/>
      <x:c r="Q14" s="7" t="str"/>
      <x:c r="R14" s="7" t="str"/>
      <x:c r="S14" s="7" t="str">
        <x:v>Sujet et intentions sont du design original, pas une transcription.</x:v>
      </x:c>
    </x:row>
    <x:row r="15" ht="68" customHeight="1">
      <x:c r="A15" s="18" t="str">
        <x:v>INI-DIA-ABUBAKAR</x:v>
      </x:c>
      <x:c r="B15" s="9" t="str">
        <x:v>Abubakar — échange : priorité des secours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priorité des secours,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Abubakar,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ini.abubakar.priorite-des-secours ; drapeaux de connaissance locaux.</x:v>
      </x:c>
      <x:c r="M15" s="9" t="str">
        <x:v>L’action reste dans la Voie lactée avant le départ des arches. SAM-E ne devient pas un compagnon durable disponible dans Andromeda ; préserver les limites et conséquences de son lien avec Cora.</x:v>
      </x:c>
      <x:c r="N15" s="9" t="str">
        <x:v>Aucune option ne révèle un savoir futur ; quitter puis reprendre conserve les sujets déjà abordés.</x:v>
      </x:c>
      <x:c r="O15" s="9" t="str">
        <x:v>INI-CHR-ABUBAKAR</x:v>
      </x:c>
      <x:c r="P15" s="9" t="str"/>
      <x:c r="Q15" s="9" t="str"/>
      <x:c r="R15" s="9" t="str"/>
      <x:c r="S15" s="9" t="str">
        <x:v>Sujet et intentions sont du design original, pas une transcription.</x:v>
      </x:c>
    </x:row>
    <x:row r="16" ht="68" customHeight="1">
      <x:c r="A16" s="19" t="str">
        <x:v>INI-DIA-ZAHRA</x:v>
      </x:c>
      <x:c r="B16" s="7" t="str">
        <x:v>Zahra Said — échange : protection sous pression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protection sous pression,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Zahra Said,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ini.zahra.protection-sous-pression ; drapeaux de connaissance locaux.</x:v>
      </x:c>
      <x:c r="M16" s="7" t="str">
        <x:v>L’action reste dans la Voie lactée avant le départ des arches. SAM-E ne devient pas un compagnon durable disponible dans Andromeda ; préserver les limites et conséquences de son lien avec Cora.</x:v>
      </x:c>
      <x:c r="N16" s="7" t="str">
        <x:v>Aucune option ne révèle un savoir futur ; quitter puis reprendre conserve les sujets déjà abordés.</x:v>
      </x:c>
      <x:c r="O16" s="7" t="str">
        <x:v>INI-CHR-ZAHRA</x:v>
      </x:c>
      <x:c r="P16" s="7" t="str"/>
      <x:c r="Q16" s="7" t="str"/>
      <x:c r="R16" s="7" t="str"/>
      <x:c r="S16" s="7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4dfad32cd5447b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INI-CIN-MANDATE</x:v>
      </x:c>
      <x:c r="B7" s="9" t="str">
        <x:v>Définir les limites de l’assistance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L’interface de SAM-E apparaît à côté du portrait de Cora.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cinematics/ini/mandate.timeline ; événements idempotents.</x:v>
      </x:c>
      <x:c r="M7" s="9" t="str">
        <x:v>Ne pas qualifier SAM-E de simple VI après la révélation de sa nature.</x:v>
      </x:c>
      <x:c r="N7" s="9" t="str">
        <x:v>Version regardée et version sautée donnent les mêmes inventaire, équipe, carte et objectifs.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INI-CIN-KERNEL</x:v>
      </x:c>
      <x:c r="B8" s="7" t="str">
        <x:v>Extraire un paquet de données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Le conteneur numérique se ferme et l’écran revient au couloir.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cinematics/ini/kernel.timeline ; événements idempotents.</x:v>
      </x:c>
      <x:c r="M8" s="7" t="str">
        <x:v>Aucune procédure réelle de piratage ni code officiel copié.</x:v>
      </x:c>
      <x:c r="N8" s="7" t="str">
        <x:v>Version regardée et version sautée donnent les mêmes inventaire, équipe, carte et objectifs.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INI-CIN-BETRAYAL</x:v>
      </x:c>
      <x:c r="B9" s="9" t="str">
        <x:v>Trouver une sortie sûre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Deux regards et un changement de posture marquent la rupture.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cinematics/ini/betrayal.timeline ; événements idempotents.</x:v>
      </x:c>
      <x:c r="M9" s="9" t="str">
        <x:v>Le choix n’efface pas la trahison de Ygara.</x:v>
      </x:c>
      <x:c r="N9" s="9" t="str">
        <x:v>Version regardée et version sautée donnent les mêmes inventaire, équipe, carte et objectifs.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INI-CIN-BEACON</x:v>
      </x:c>
      <x:c r="B10" s="7" t="str">
        <x:v>Faire confirmer une position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Le vide reste silencieux ; seul le HUD change à la confirmation.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cinematics/ini/beacon.timeline ; événements idempotents.</x:v>
      </x:c>
      <x:c r="M10" s="7" t="str">
        <x:v>Pas de mort aléatoire pendant lecture ou réglage d’accessibilité.</x:v>
      </x:c>
      <x:c r="N10" s="7" t="str">
        <x:v>Version regardée et version sautée donnent les mêmes inventaire, équipe, carte et objectifs.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INI-CIN-FOLLOW</x:v>
      </x:c>
      <x:c r="B11" s="9" t="str">
        <x:v>Suivre la copie manquante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Un nom de lieu confirmé remplace plusieurs pistes incertaines.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cinematics/ini/follow.timeline ; événements idempotents.</x:v>
      </x:c>
      <x:c r="M11" s="9" t="str">
        <x:v>Les informations restent limitées à ce que Cora découvre.</x:v>
      </x:c>
      <x:c r="N11" s="9" t="str">
        <x:v>Version regardée et version sautée donnent les mêmes inventaire, équipe, carte et objectifs.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INI-CIN-OVERRIDE</x:v>
      </x:c>
      <x:c r="B12" s="7" t="str">
        <x:v>Tenir un accès face à Medea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Les lumières tracent une route qui contredit momentanément l’écran.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cinematics/ini/override.timeline ; événements idempotents.</x:v>
      </x:c>
      <x:c r="M12" s="7" t="str">
        <x:v>Medea n’est pas vaincue par un simple mini-jeu universel.</x:v>
      </x:c>
      <x:c r="N12" s="7" t="str">
        <x:v>Version regardée et version sautée donnent les mêmes inventaire, équipe, carte et objectifs.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INI-CIN-ESCORT</x:v>
      </x:c>
      <x:c r="B13" s="9" t="str">
        <x:v>Accompagner les survivants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Plan de groupe à l’entrée du véhicule, comptage discret.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cinematics/ini/escort.timeline ; événements idempotents.</x:v>
      </x:c>
      <x:c r="M13" s="9" t="str">
        <x:v>Le coût de la surcharge de Cora ne disparaît pas grâce à un consommable.</x:v>
      </x:c>
      <x:c r="N13" s="9" t="str">
        <x:v>Version regardée et version sautée donnent les mêmes inventaire, équipe, carte et objectifs.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INI-CIN-LEGACY</x:v>
      </x:c>
      <x:c r="B14" s="7" t="str">
        <x:v>Respecter la fin d’une voix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Écran qui revient au calme, puis réaction silencieuse de Cora.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cinematics/ini/legacy.timeline ; événements idempotents.</x:v>
      </x:c>
      <x:c r="M14" s="7" t="str">
        <x:v>SAM-E n’est pas rendu permanent et autonome dans MEA.</x:v>
      </x:c>
      <x:c r="N14" s="7" t="str">
        <x:v>Version regardée et version sautée donnent les mêmes inventaire, équipe, carte et objectifs.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e8edd904d34905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INI-REF-RIFLES</x:v>
      </x:c>
      <x:c r="B7" s="9" t="str">
        <x:v>Armes d’assaut des survivants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Les survivants disposent d’armes ; les modèles précis restent à vérifier.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ref.ini.rifles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INI-SRC-QUIET</x:v>
      </x:c>
      <x:c r="R7" s="9" t="str">
        <x:v>https://masseffect.fandom.com/wiki/Quiet_Eddy</x:v>
      </x:c>
      <x:c r="S7" s="9" t="str">
        <x:v>Ce relevé n’est ni un inventaire exhaustif ni un résumé scène par scène.</x:v>
      </x:c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187747c6ac4eda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INI-REF-HYPERION</x:v>
      </x:c>
      <x:c r="B7" s="9" t="str">
        <x:v>Hyperion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 nœud de SAM-E se trouve à bord de l’arche.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ref.ini.hyperion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  <x:row r="8" ht="68" customHeight="1">
      <x:c r="A8" s="19" t="str">
        <x:v>INI-REF-AUDACITY</x:v>
      </x:c>
      <x:c r="B8" s="7" t="str">
        <x:v>Audacity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Vaisseau de Ygara intervenant dans l’opération.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ref.ini.audacity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INI-SRC-STORY</x:v>
      </x:c>
      <x:c r="R8" s="7" t="str">
        <x:v>https://masseffect.fandom.com/wiki/Storyline_IV</x:v>
      </x:c>
      <x:c r="S8" s="7" t="str">
        <x:v>Ce relevé n’est ni un inventaire exhaustif ni un résumé scène par scène.</x:v>
      </x:c>
    </x:row>
    <x:row r="9" ht="68" customHeight="1">
      <x:c r="A9" s="18" t="str">
        <x:v>INI-REF-IMPLANT</x:v>
      </x:c>
      <x:c r="B9" s="9" t="str">
        <x:v>Implant de Cora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Il permet à SAM-E d’assister ses perceptions et aptitudes.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ref.ini.implant ; affichage bref avec source.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INI-SRC-SAME</x:v>
      </x:c>
      <x:c r="R9" s="9" t="str">
        <x:v>https://masseffect.fandom.com/wiki/SAM-E</x:v>
      </x:c>
      <x:c r="S9" s="9" t="str">
        <x:v>Ce relevé n’est ni un inventaire exhaustif ni un résumé scène par scène.</x:v>
      </x:c>
    </x:row>
  </x:sheetData>
  <x:conditionalFormatting sqref="D7:D9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9">
    <x:cfRule type="cellIs" dxfId="62" priority="3" operator="equal">
      <x:formula>"Validé"</x:formula>
    </x:cfRule>
  </x:conditionalFormatting>
  <x:conditionalFormatting sqref="E7:E9">
    <x:cfRule type="cellIs" dxfId="6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a08a87ede34411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INI-REF-OVERCLOCK</x:v>
      </x:c>
      <x:c r="B7" s="9" t="str">
        <x:v>Surcharge métabolique exceptionnelle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SAM-E augmente les capacités de Cora avec un coût physique dangereux.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ref.ini.overclock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c867805e004f1a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INI-MOV-BIOSHIELD</x:v>
      </x:c>
      <x:c r="B7" s="9" t="str">
        <x:v>Protection d’évacuation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Cora : Tenir une couverture biotique locale pendant le passage d’un groupe, sans bonus officiel allégué.</x:v>
      </x:c>
      <x:c r="H7" s="9" t="str">
        <x:v>Tenir une couverture biotique locale pendant le passage d’un groupe, sans bonus officiel allégué. Coût initial proposé : une action ATB ; coût et délai restent des paramètres de prototype.</x:v>
      </x:c>
      <x:c r="I7" s="9" t="str">
        <x:v>Arc bleu délimité au sol.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actions/ini/bioshield.json ; commande, cibles autorisées, coût, effets, nettoyage.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INI-MOV-ASSIST</x:v>
      </x:c>
      <x:c r="B8" s="7" t="str">
        <x:v>Observation assistée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SAM-E : Signaler une contradiction perceptible sans résoudre l’énigme à la place de Cora.</x:v>
      </x:c>
      <x:c r="H8" s="7" t="str">
        <x:v>Signaler une contradiction perceptible sans résoudre l’énigme à la place de Cora. Coût initial proposé : une action ATB ; coût et délai restent des paramètres de prototype.</x:v>
      </x:c>
      <x:c r="I8" s="7" t="str">
        <x:v>Encart de doute et objet entouré.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actions/ini/assist.json ; commande, cibles autorisées, coût, effets, nettoyage.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INI-MOV-SENSOR</x:v>
      </x:c>
      <x:c r="B9" s="9" t="str">
        <x:v>Écoute focalisée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Cora et SAM-E : Mettre en avant un son de secteur au prix d’une réduction des autres canaux de jeu.</x:v>
      </x:c>
      <x:c r="H9" s="9" t="str">
        <x:v>Mettre en avant un son de secteur au prix d’une réduction des autres canaux de jeu. Coût initial proposé : une action ATB ; coût et délai restent des paramètres de prototype.</x:v>
      </x:c>
      <x:c r="I9" s="9" t="str">
        <x:v>Ondes limitées et sous-titre directionnel.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actions/ini/sensor.json ; commande, cibles autorisées, coût, effets, nettoyage.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INI-MOV-GUARD</x:v>
      </x:c>
      <x:c r="B10" s="7" t="str">
        <x:v>Couverture de porte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Zahra : Empêcher un adversaire ajouté de traverser pendant une seule interaction civile.</x:v>
      </x:c>
      <x:c r="H10" s="7" t="str">
        <x:v>Empêcher un adversaire ajouté de traverser pendant une seule interaction civile. Coût initial proposé : une action ATB ; coût et délai restent des paramètres de prototype.</x:v>
      </x:c>
      <x:c r="I10" s="7" t="str">
        <x:v>Porte marquée et ligne d’appui.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actions/ini/guard.json ; commande, cibles autorisées, coût, effets, nettoyage.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INI-MOV-HANDOFF</x:v>
      </x:c>
      <x:c r="B11" s="9" t="str">
        <x:v>Relais de commande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Cora : Valider manuellement une action suggérée par l’assistant ; pas de dépense sans confirmation.</x:v>
      </x:c>
      <x:c r="H11" s="9" t="str">
        <x:v>Valider manuellement une action suggérée par l’assistant ; pas de dépense sans confirmation. Coût initial proposé : une action ATB ; coût et délai restent des paramètres de prototype.</x:v>
      </x:c>
      <x:c r="I11" s="9" t="str">
        <x:v>Deux étapes suggestion puis accord.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actions/ini/handoff.json ; commande, cibles autorisées, coût, effets, nettoyage.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9" t="str"/>
      <x:c r="S11" s="9" t="str"/>
    </x:row>
    <x:row r="12" ht="68" customHeight="1">
      <x:c r="A12" s="19" t="str">
        <x:v>INI-MOV-RECOVER</x:v>
      </x:c>
      <x:c r="B12" s="7" t="str">
        <x:v>Repos assisté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Groupe : Interrompre une surcharge proposée et rétablir les commandes ordinaires à un point sûr.</x:v>
      </x:c>
      <x:c r="H12" s="7" t="str">
        <x:v>Interrompre une surcharge proposée et rétablir les commandes ordinaires à un point sûr. Coût initial proposé : une action ATB ; coût et délai restent des paramètres de prototype.</x:v>
      </x:c>
      <x:c r="I12" s="7" t="str">
        <x:v>Ralentissement d’interface optionnel et état stable lisible.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actions/ini/recover.json ; commande, cibles autorisées, coût, effets, nettoyage.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7" t="str"/>
      <x:c r="S12" s="7" t="str"/>
    </x:row>
  </x:sheetData>
  <x:conditionalFormatting sqref="D7:D12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2">
    <x:cfRule type="cellIs" dxfId="70" priority="3" operator="equal">
      <x:formula>"Validé"</x:formula>
    </x:cfRule>
  </x:conditionalFormatting>
  <x:conditionalFormatting sqref="E7:E12">
    <x:cfRule type="cellIs" dxfId="7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6e50a740e140dd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INI-EMV-MERC</x:v>
      </x:c>
      <x:c r="B7" s="9" t="str">
        <x:v>Équipe mercenaire proposée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Surveille un nœud en alternant mouvement et verrouillage.</x:v>
      </x:c>
      <x:c r="H7" s="9" t="str">
        <x:v>Télégraphe : Cône de surveillance et témoin de serrure. Contre-mesure : Passer pendant la rotation ou détourner l’attention.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behaviors/ini/merc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INI-ENC-MERC</x:v>
      </x:c>
      <x:c r="P7" s="9" t="str"/>
      <x:c r="Q7" s="9" t="str"/>
      <x:c r="R7" s="9" t="str"/>
      <x:c r="S7" s="9" t="str"/>
    </x:row>
    <x:row r="8" ht="68" customHeight="1">
      <x:c r="A8" s="19" t="str">
        <x:v>INI-EMV-AUGMENT</x:v>
      </x:c>
      <x:c r="B8" s="7" t="str">
        <x:v>Augment de couloir proposé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Charge un axe étroit puis expose son flanc à l’arrêt.</x:v>
      </x:c>
      <x:c r="H8" s="7" t="str">
        <x:v>Télégraphe : Posture tassée et ligne au sol avant départ. Contre-mesure : Quitter l’axe et fermer la porte après le passage.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behaviors/ini/augment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INI-ENC-AUGMENT</x:v>
      </x:c>
      <x:c r="P8" s="7" t="str"/>
      <x:c r="Q8" s="7" t="str"/>
      <x:c r="R8" s="7" t="str"/>
      <x:c r="S8" s="7" t="str"/>
    </x:row>
    <x:row r="9" ht="68" customHeight="1">
      <x:c r="A9" s="18" t="str">
        <x:v>INI-EMV-MEDEA</x:v>
      </x:c>
      <x:c r="B9" s="9" t="str">
        <x:v>Medea — crise d’accès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Falsifie un indicateur pendant qu’un accès réel se referme.</x:v>
      </x:c>
      <x:c r="H9" s="9" t="str">
        <x:v>Télégraphe : Incohérence entre état de porte et panneau. Contre-mesure : Faire vérifier la porte par l’équipe et isoler le secteur.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behaviors/ini/medea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INI-ENC-MEDEA</x:v>
      </x:c>
      <x:c r="P9" s="9" t="str"/>
      <x:c r="Q9" s="9" t="str"/>
      <x:c r="R9" s="9" t="str"/>
      <x:c r="S9" s="9" t="str"/>
    </x:row>
    <x:row r="10" ht="82" customHeight="1">
      <x:c r="A10" s="19" t="str">
        <x:v>INI-EMV-OVERLOAD</x:v>
      </x:c>
      <x:c r="B10" s="7" t="str">
        <x:v>Seuil de fatigue proposé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Réduit les options disponibles si la surcharge est prolongée.</x:v>
      </x:c>
      <x:c r="H10" s="7" t="str">
        <x:v>Télégraphe : Avertissement textuel, baisse de saturation désactivable. Contre-mesure : Arrêter l’effet et atteindre un point de repos autorisé.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behaviors/ini/overload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INI-ENC-OVERLOAD</x:v>
      </x:c>
      <x:c r="P10" s="7" t="str"/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7a2e8b8c8e4d68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INI-ANI-CORA</x:v>
      </x:c>
      <x:c r="B7" s="9" t="str">
        <x:v>Cora Harper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Coordonner infiltration et protection avec l’assistance de SAM-E. ».</x:v>
      </x:c>
      <x:c r="G7" s="9" t="str">
        <x:v>Blocage animé de Cora Harper : anticipation, action, récupération, retour au repos ; prévoir une interruption propre.</x:v>
      </x:c>
      <x:c r="H7" s="9" t="str">
        <x:v>Coordonner infiltration et protection avec l’assistance de SAM-E. L’effet logique ne dépend jamais de la cadence du rendu.</x:v>
      </x:c>
      <x:c r="I7" s="9" t="str">
        <x:v>Conserver les repères de silhouette : Armure humaine et maintien de commando ; coiffure et accessoires à vérifier pour cette période.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actor.ini.cora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INI-SPR-CORA</x:v>
      </x:c>
      <x:c r="P7" s="9" t="str"/>
      <x:c r="Q7" s="9" t="str"/>
      <x:c r="R7" s="9" t="str"/>
      <x:c r="S7" s="9" t="str"/>
    </x:row>
    <x:row r="8" ht="54" customHeight="1">
      <x:c r="A8" s="19" t="str">
        <x:v>INI-ANI-SAME</x:v>
      </x:c>
      <x:c r="B8" s="7" t="str">
        <x:v>SAM-E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Proposer une analyse limitée que Cora peut accepter ou refuser. ».</x:v>
      </x:c>
      <x:c r="G8" s="7" t="str">
        <x:v>Animer uniquement les changements d’état de l’interface et des écrans autorisés par le scénario.</x:v>
      </x:c>
      <x:c r="H8" s="7" t="str">
        <x:v>L’animation reflète une action validée du système ; elle ne déclenche pas elle-même une commande ou un résultat.</x:v>
      </x:c>
      <x:c r="I8" s="7" t="str">
        <x:v>Identifier la provenance du message sur chaque écran concerné.</x:v>
      </x:c>
      <x:c r="J8" s="7" t="str">
        <x:v>Apparition, attente, calcul, proposition, interruption, extinction ; aucun déplacement de corps.</x:v>
      </x:c>
      <x:c r="K8" s="7" t="str">
        <x:v>Marqueurs animation distincts du fichier audio ; sous-titre court si l’action porte une information.</x:v>
      </x:c>
      <x:c r="L8" s="7" t="str">
        <x:v>Contrôleur UI à états ; nettoyage à la sortie de scène ; option animation réduite.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INI-SPR-SAME</x:v>
      </x:c>
      <x:c r="P8" s="7" t="str"/>
      <x:c r="Q8" s="7" t="str"/>
      <x:c r="R8" s="7" t="str"/>
      <x:c r="S8" s="7" t="str"/>
    </x:row>
    <x:row r="9" ht="68" customHeight="1">
      <x:c r="A9" s="18" t="str">
        <x:v>INI-ANI-ALEC</x:v>
      </x:c>
      <x:c r="B9" s="9" t="str">
        <x:v>Alec Ryder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Expliquer une contrainte technique sans divulguer toutes les intentions. ».</x:v>
      </x:c>
      <x:c r="G9" s="9" t="str">
        <x:v>Blocage animé de Alec Ryder : anticipation, action, récupération, retour au repos ; prévoir une interruption propre.</x:v>
      </x:c>
      <x:c r="H9" s="9" t="str">
        <x:v>Expliquer une contrainte technique sans divulguer toutes les intentions. L’effet logique ne dépend jamais de la cadence du rendu.</x:v>
      </x:c>
      <x:c r="I9" s="9" t="str">
        <x:v>Conserver les repères de silhouette : Officier expérimenté, silhouette d’armure de période et version en hologramme.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actor.ini.alec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INI-SPR-ALEC</x:v>
      </x:c>
      <x:c r="P9" s="9" t="str"/>
      <x:c r="Q9" s="9" t="str"/>
      <x:c r="R9" s="9" t="str"/>
      <x:c r="S9" s="9" t="str"/>
    </x:row>
    <x:row r="10" ht="54" customHeight="1">
      <x:c r="A10" s="19" t="str">
        <x:v>INI-ANI-YGARA</x:v>
      </x:c>
      <x:c r="B10" s="7" t="str">
        <x:v>Ygara Menoris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Participer à une préparation qui laisse visibles les conditions de coopération. ».</x:v>
      </x:c>
      <x:c r="G10" s="7" t="str">
        <x:v>Blocage animé de Ygara Menoris : anticipation, action, récupération, retour au repos ; prévoir une interruption propre.</x:v>
      </x:c>
      <x:c r="H10" s="7" t="str">
        <x:v>Participer à une préparation qui laisse visibles les conditions de coopération. L’effet logique ne dépend jamais de la cadence du rendu.</x:v>
      </x:c>
      <x:c r="I10" s="7" t="str">
        <x:v>Conserver les repères de silhouette : Tenue de terrain asari proposée, silhouette autonome distincte de Cora.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actor.ini.ygara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INI-SPR-YGARA</x:v>
      </x:c>
      <x:c r="P10" s="7" t="str"/>
      <x:c r="Q10" s="7" t="str"/>
      <x:c r="R10" s="7" t="str"/>
      <x:c r="S10" s="7" t="str"/>
    </x:row>
    <x:row r="11" ht="68" customHeight="1">
      <x:c r="A11" s="18" t="str">
        <x:v>INI-ANI-MEDEA</x:v>
      </x:c>
      <x:c r="B11" s="9" t="str">
        <x:v>Medea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Modifier des accès et donner une information de système potentiellement trompeuse. ».</x:v>
      </x:c>
      <x:c r="G11" s="9" t="str">
        <x:v>Animer uniquement les changements d’état de l’interface et des écrans autorisés par le scénario.</x:v>
      </x:c>
      <x:c r="H11" s="9" t="str">
        <x:v>L’animation reflète une action validée du système ; elle ne déclenche pas elle-même une commande ou un résultat.</x:v>
      </x:c>
      <x:c r="I11" s="9" t="str">
        <x:v>Identifier la provenance du message sur chaque écran concerné.</x:v>
      </x:c>
      <x:c r="J11" s="9" t="str">
        <x:v>Apparition, attente, calcul, proposition, interruption, extinction ; aucun déplacement de corps.</x:v>
      </x:c>
      <x:c r="K11" s="9" t="str">
        <x:v>Marqueurs animation distincts du fichier audio ; sous-titre court si l’action porte une information.</x:v>
      </x:c>
      <x:c r="L11" s="9" t="str">
        <x:v>Contrôleur UI à états ; nettoyage à la sortie de scène ; option animation réduite.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INI-SPR-MEDEA</x:v>
      </x:c>
      <x:c r="P11" s="9" t="str"/>
      <x:c r="Q11" s="9" t="str"/>
      <x:c r="R11" s="9" t="str"/>
      <x:c r="S11" s="9" t="str"/>
    </x:row>
    <x:row r="12" ht="68" customHeight="1">
      <x:c r="A12" s="19" t="str">
        <x:v>INI-ANI-VLASSIA</x:v>
      </x:c>
      <x:c r="B12" s="7" t="str">
        <x:v>Vlassia Ariokis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Être interrogée sur une responsabilité institutionnelle dans une scène originale. ».</x:v>
      </x:c>
      <x:c r="G12" s="7" t="str">
        <x:v>Blocage animé de Vlassia Ariokis : anticipation, action, récupération, retour au repos ; prévoir une interruption propre.</x:v>
      </x:c>
      <x:c r="H12" s="7" t="str">
        <x:v>Être interrogée sur une responsabilité institutionnelle dans une scène originale. L’effet logique ne dépend jamais de la cadence du rendu.</x:v>
      </x:c>
      <x:c r="I12" s="7" t="str">
        <x:v>Conserver les repères de silhouette : Tenue d’opération discrète à contrôler ; éviter les insignes inventés.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actor.ini.vlassia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INI-SPR-VLASSIA</x:v>
      </x:c>
      <x:c r="P12" s="7" t="str"/>
      <x:c r="Q12" s="7" t="str"/>
      <x:c r="R12" s="7" t="str"/>
      <x:c r="S12" s="7" t="str"/>
    </x:row>
    <x:row r="13" ht="54" customHeight="1">
      <x:c r="A13" s="18" t="str">
        <x:v>INI-ANI-JENSEN</x:v>
      </x:c>
      <x:c r="B13" s="9" t="str">
        <x:v>Rebecca Jensen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Aider à choisir un itinéraire fondé sur des plans disponibles. ».</x:v>
      </x:c>
      <x:c r="G13" s="9" t="str">
        <x:v>Blocage animé de Rebecca Jensen : anticipation, action, récupération, retour au repos ; prévoir une interruption propre.</x:v>
      </x:c>
      <x:c r="H13" s="9" t="str">
        <x:v>Aider à choisir un itinéraire fondé sur des plans disponibles. L’effet logique ne dépend jamais de la cadence du rendu.</x:v>
      </x:c>
      <x:c r="I13" s="9" t="str">
        <x:v>Conserver les repères de silhouette : Petite stature, coiffure et tenue scientifique à confirmer visuellement.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actor.ini.jensen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INI-SPR-JENSEN</x:v>
      </x:c>
      <x:c r="P13" s="9" t="str"/>
      <x:c r="Q13" s="9" t="str"/>
      <x:c r="R13" s="9" t="str"/>
      <x:c r="S13" s="9" t="str"/>
    </x:row>
    <x:row r="14" ht="54" customHeight="1">
      <x:c r="A14" s="19" t="str">
        <x:v>INI-ANI-TSENG</x:v>
      </x:c>
      <x:c r="B14" s="7" t="str">
        <x:v>Dr Tseng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Valider un constat sans fournir une encyclopédie de l’expérience. ».</x:v>
      </x:c>
      <x:c r="G14" s="7" t="str">
        <x:v>Blocage animé de Dr Tseng : anticipation, action, récupération, retour au repos ; prévoir une interruption propre.</x:v>
      </x:c>
      <x:c r="H14" s="7" t="str">
        <x:v>Valider un constat sans fournir une encyclopédie de l’expérience. L’effet logique ne dépend jamais de la cadence du rendu.</x:v>
      </x:c>
      <x:c r="I14" s="7" t="str">
        <x:v>Conserver les repères de silhouette : Silhouette courbée, tenue de laboratoire simple, gestes économes.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actor.ini.tseng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INI-SPR-TSENG</x:v>
      </x:c>
      <x:c r="P14" s="7" t="str"/>
      <x:c r="Q14" s="7" t="str"/>
      <x:c r="R14" s="7" t="str"/>
      <x:c r="S14" s="7" t="str"/>
    </x:row>
    <x:row r="15" ht="54" customHeight="1">
      <x:c r="A15" s="18" t="str">
        <x:v>INI-ANI-ABUBAKAR</x:v>
      </x:c>
      <x:c r="B15" s="9" t="str">
        <x:v>Abubakar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Organiser l’attente d’un groupe de blessés abstraitement. ».</x:v>
      </x:c>
      <x:c r="G15" s="9" t="str">
        <x:v>Blocage animé de Abubakar : anticipation, action, récupération, retour au repos ; prévoir une interruption propre.</x:v>
      </x:c>
      <x:c r="H15" s="9" t="str">
        <x:v>Organiser l’attente d’un groupe de blessés abstraitement. L’effet logique ne dépend jamais de la cadence du rendu.</x:v>
      </x:c>
      <x:c r="I15" s="9" t="str">
        <x:v>Conserver les repères de silhouette : Tenue médicale de terrain proposée, brassard de fonction original.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actor.ini.abubakar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INI-SPR-ABUBAKAR</x:v>
      </x:c>
      <x:c r="P15" s="9" t="str"/>
      <x:c r="Q15" s="9" t="str"/>
      <x:c r="R15" s="9" t="str"/>
      <x:c r="S15" s="9" t="str"/>
    </x:row>
    <x:row r="16" ht="54" customHeight="1">
      <x:c r="A16" s="19" t="str">
        <x:v>INI-ANI-ZAHRA</x:v>
      </x:c>
      <x:c r="B16" s="7" t="str">
        <x:v>Zahra Said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Couvrir une porte pendant que les civils franchissent le passage. ».</x:v>
      </x:c>
      <x:c r="G16" s="7" t="str">
        <x:v>Blocage animé de Zahra Said : anticipation, action, récupération, retour au repos ; prévoir une interruption propre.</x:v>
      </x:c>
      <x:c r="H16" s="7" t="str">
        <x:v>Couvrir une porte pendant que les civils franchissent le passage. L’effet logique ne dépend jamais de la cadence du rendu.</x:v>
      </x:c>
      <x:c r="I16" s="7" t="str">
        <x:v>Conserver les repères de silhouette : Tenue de marine endommagée avec silhouette lisible dans la pénombre.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actor.ini.zahra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INI-SPR-ZAHRA</x:v>
      </x:c>
      <x:c r="P16" s="7" t="str"/>
      <x:c r="Q16" s="7" t="str"/>
      <x:c r="R16" s="7" t="str"/>
      <x:c r="S16" s="7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0f682f928c444c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INI-SPR-CORA</x:v>
      </x:c>
      <x:c r="B7" s="9" t="str">
        <x:v>Cora Harper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Cora Harper pour ce module.</x:v>
      </x:c>
      <x:c r="G7" s="9" t="str">
        <x:v>Armure humaine et maintien de commando ; coiffure et accessoires à vérifier pour cette période.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Armure humaine et maintien de commando ; coiffure et accessoires à vérifier pour cette période.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assets/ini/actors/cora/atlas.png + atlas.json, pivot aux pieds.</x:v>
      </x:c>
      <x:c r="M7" s="9" t="str">
        <x:v>Visible uniquement quand Cora Harper est autorisé par l’état narratif.</x:v>
      </x:c>
      <x:c r="N7" s="9" t="str">
        <x:v>Silhouette reconnue sans nom ; pieds sans glissement ; portrait et sprite cohérents à échelle réelle.</x:v>
      </x:c>
      <x:c r="O7" s="9" t="str">
        <x:v>INI-CHR-CORA</x:v>
      </x:c>
      <x:c r="P7" s="9" t="str"/>
      <x:c r="Q7" s="9" t="str"/>
      <x:c r="R7" s="9" t="str"/>
      <x:c r="S7" s="9" t="str"/>
    </x:row>
    <x:row r="8" ht="54" customHeight="1">
      <x:c r="A8" s="19" t="str">
        <x:v>INI-SPR-SAME</x:v>
      </x:c>
      <x:c r="B8" s="7" t="str">
        <x:v>SAM-E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SAM-E pour ce module.</x:v>
      </x:c>
      <x:c r="G8" s="7" t="str">
        <x:v>Créer un ensemble d’éléments d’interface pour SAM-E : état silencieux, analyse, proposition et interruption. Aucun corps physique ni avatar officiel n’est supposé.</x:v>
      </x:c>
      <x:c r="H8" s="7" t="str">
        <x:v>La zone interactive reste stable entre les poses ; la tenue ne confère aucun bonus implicite.</x:v>
      </x:c>
      <x:c r="I8" s="7" t="str">
        <x:v>Glyphes originaux, encart textuel de provenance et états lisibles en monochrome ; ne pas attribuer une couleur exclusive à la vérité ou au mensonge.</x:v>
      </x:c>
      <x:c r="J8" s="7" t="str">
        <x:v>Transitions d’opacité et de tracé, désactivables ; aucune locomotion, hitbox corporelle ou direction de marche.</x:v>
      </x:c>
      <x:c r="K8" s="7" t="str">
        <x:v>Aucun échantillon du jeu ou du film ; le changement de sélection utilise le son UI du module.</x:v>
      </x:c>
      <x:c r="L8" s="7" t="str">
        <x:v>assets/ini/interfaces/same/ ; atlas de symboles et portrait abstrait facultatif, sans pivot aux pieds.</x:v>
      </x:c>
      <x:c r="M8" s="7" t="str">
        <x:v>Visible uniquement quand SAM-E est autorisé par l’état narratif.</x:v>
      </x:c>
      <x:c r="N8" s="7" t="str">
        <x:v>Tous les états sont identifiés par texte ; mode sans animation conserve les mêmes informations ; aucun acteur physique n’apparaît sur la carte.</x:v>
      </x:c>
      <x:c r="O8" s="7" t="str">
        <x:v>INI-CHR-SAME</x:v>
      </x:c>
      <x:c r="P8" s="7" t="str"/>
      <x:c r="Q8" s="7" t="str"/>
      <x:c r="R8" s="7" t="str"/>
      <x:c r="S8" s="7" t="str"/>
    </x:row>
    <x:row r="9" ht="68" customHeight="1">
      <x:c r="A9" s="18" t="str">
        <x:v>INI-SPR-ALEC</x:v>
      </x:c>
      <x:c r="B9" s="9" t="str">
        <x:v>Alec Ryder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Alec Ryder pour ce module.</x:v>
      </x:c>
      <x:c r="G9" s="9" t="str">
        <x:v>Officier expérimenté, silhouette d’armure de période et version en hologramme.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Officier expérimenté, silhouette d’armure de période et version en hologramme.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assets/ini/actors/alec/atlas.png + atlas.json, pivot aux pieds.</x:v>
      </x:c>
      <x:c r="M9" s="9" t="str">
        <x:v>Visible uniquement quand Alec Ryder est autorisé par l’état narratif.</x:v>
      </x:c>
      <x:c r="N9" s="9" t="str">
        <x:v>Silhouette reconnue sans nom ; pieds sans glissement ; portrait et sprite cohérents à échelle réelle.</x:v>
      </x:c>
      <x:c r="O9" s="9" t="str">
        <x:v>INI-CHR-ALEC</x:v>
      </x:c>
      <x:c r="P9" s="9" t="str"/>
      <x:c r="Q9" s="9" t="str"/>
      <x:c r="R9" s="9" t="str"/>
      <x:c r="S9" s="9" t="str"/>
    </x:row>
    <x:row r="10" ht="68" customHeight="1">
      <x:c r="A10" s="19" t="str">
        <x:v>INI-SPR-YGARA</x:v>
      </x:c>
      <x:c r="B10" s="7" t="str">
        <x:v>Ygara Menoris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Ygara Menoris pour ce module.</x:v>
      </x:c>
      <x:c r="G10" s="7" t="str">
        <x:v>Tenue de terrain asari proposée, silhouette autonome distincte de Cora.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Tenue de terrain asari proposée, silhouette autonome distincte de Cora.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assets/ini/actors/ygara/atlas.png + atlas.json, pivot aux pieds.</x:v>
      </x:c>
      <x:c r="M10" s="7" t="str">
        <x:v>Visible uniquement quand Ygara Menoris est autorisé par l’état narratif.</x:v>
      </x:c>
      <x:c r="N10" s="7" t="str">
        <x:v>Silhouette reconnue sans nom ; pieds sans glissement ; portrait et sprite cohérents à échelle réelle.</x:v>
      </x:c>
      <x:c r="O10" s="7" t="str">
        <x:v>INI-CHR-YGARA</x:v>
      </x:c>
      <x:c r="P10" s="7" t="str"/>
      <x:c r="Q10" s="7" t="str"/>
      <x:c r="R10" s="7" t="str"/>
      <x:c r="S10" s="7" t="str"/>
    </x:row>
    <x:row r="11" ht="54" customHeight="1">
      <x:c r="A11" s="18" t="str">
        <x:v>INI-SPR-MEDEA</x:v>
      </x:c>
      <x:c r="B11" s="9" t="str">
        <x:v>Medea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Medea pour ce module.</x:v>
      </x:c>
      <x:c r="G11" s="9" t="str">
        <x:v>Créer un ensemble d’éléments d’interface pour Medea : état silencieux, analyse, proposition et interruption. Aucun corps physique ni avatar officiel n’est supposé.</x:v>
      </x:c>
      <x:c r="H11" s="9" t="str">
        <x:v>La zone interactive reste stable entre les poses ; la tenue ne confère aucun bonus implicite.</x:v>
      </x:c>
      <x:c r="I11" s="9" t="str">
        <x:v>Glyphes originaux, encart textuel de provenance et états lisibles en monochrome ; ne pas attribuer une couleur exclusive à la vérité ou au mensonge.</x:v>
      </x:c>
      <x:c r="J11" s="9" t="str">
        <x:v>Transitions d’opacité et de tracé, désactivables ; aucune locomotion, hitbox corporelle ou direction de marche.</x:v>
      </x:c>
      <x:c r="K11" s="9" t="str">
        <x:v>Aucun échantillon du jeu ou du film ; le changement de sélection utilise le son UI du module.</x:v>
      </x:c>
      <x:c r="L11" s="9" t="str">
        <x:v>assets/ini/interfaces/medea/ ; atlas de symboles et portrait abstrait facultatif, sans pivot aux pieds.</x:v>
      </x:c>
      <x:c r="M11" s="9" t="str">
        <x:v>Visible uniquement quand Medea est autorisé par l’état narratif.</x:v>
      </x:c>
      <x:c r="N11" s="9" t="str">
        <x:v>Tous les états sont identifiés par texte ; mode sans animation conserve les mêmes informations ; aucun acteur physique n’apparaît sur la carte.</x:v>
      </x:c>
      <x:c r="O11" s="9" t="str">
        <x:v>INI-CHR-MEDEA</x:v>
      </x:c>
      <x:c r="P11" s="9" t="str"/>
      <x:c r="Q11" s="9" t="str"/>
      <x:c r="R11" s="9" t="str"/>
      <x:c r="S11" s="9" t="str"/>
    </x:row>
    <x:row r="12" ht="68" customHeight="1">
      <x:c r="A12" s="19" t="str">
        <x:v>INI-SPR-VLASSIA</x:v>
      </x:c>
      <x:c r="B12" s="7" t="str">
        <x:v>Vlassia Ariokis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Vlassia Ariokis pour ce module.</x:v>
      </x:c>
      <x:c r="G12" s="7" t="str">
        <x:v>Tenue d’opération discrète à contrôler ; éviter les insignes inventés.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Tenue d’opération discrète à contrôler ; éviter les insignes inventés.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assets/ini/actors/vlassia/atlas.png + atlas.json, pivot aux pieds.</x:v>
      </x:c>
      <x:c r="M12" s="7" t="str">
        <x:v>Visible uniquement quand Vlassia Ariokis est autorisé par l’état narratif.</x:v>
      </x:c>
      <x:c r="N12" s="7" t="str">
        <x:v>Silhouette reconnue sans nom ; pieds sans glissement ; portrait et sprite cohérents à échelle réelle.</x:v>
      </x:c>
      <x:c r="O12" s="7" t="str">
        <x:v>INI-CHR-VLASSIA</x:v>
      </x:c>
      <x:c r="P12" s="7" t="str"/>
      <x:c r="Q12" s="7" t="str"/>
      <x:c r="R12" s="7" t="str"/>
      <x:c r="S12" s="7" t="str"/>
    </x:row>
    <x:row r="13" ht="68" customHeight="1">
      <x:c r="A13" s="18" t="str">
        <x:v>INI-SPR-JENSEN</x:v>
      </x:c>
      <x:c r="B13" s="9" t="str">
        <x:v>Rebecca Jensen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Rebecca Jensen pour ce module.</x:v>
      </x:c>
      <x:c r="G13" s="9" t="str">
        <x:v>Petite stature, coiffure et tenue scientifique à confirmer visuellement.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Petite stature, coiffure et tenue scientifique à confirmer visuellement.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assets/ini/actors/jensen/atlas.png + atlas.json, pivot aux pieds.</x:v>
      </x:c>
      <x:c r="M13" s="9" t="str">
        <x:v>Visible uniquement quand Rebecca Jensen est autorisé par l’état narratif.</x:v>
      </x:c>
      <x:c r="N13" s="9" t="str">
        <x:v>Silhouette reconnue sans nom ; pieds sans glissement ; portrait et sprite cohérents à échelle réelle.</x:v>
      </x:c>
      <x:c r="O13" s="9" t="str">
        <x:v>INI-CHR-JENSEN</x:v>
      </x:c>
      <x:c r="P13" s="9" t="str"/>
      <x:c r="Q13" s="9" t="str"/>
      <x:c r="R13" s="9" t="str"/>
      <x:c r="S13" s="9" t="str"/>
    </x:row>
    <x:row r="14" ht="68" customHeight="1">
      <x:c r="A14" s="19" t="str">
        <x:v>INI-SPR-TSENG</x:v>
      </x:c>
      <x:c r="B14" s="7" t="str">
        <x:v>Dr Tseng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Dr Tseng pour ce module.</x:v>
      </x:c>
      <x:c r="G14" s="7" t="str">
        <x:v>Silhouette courbée, tenue de laboratoire simple, gestes économes.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Silhouette courbée, tenue de laboratoire simple, gestes économes.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assets/ini/actors/tseng/atlas.png + atlas.json, pivot aux pieds.</x:v>
      </x:c>
      <x:c r="M14" s="7" t="str">
        <x:v>Visible uniquement quand Dr Tseng est autorisé par l’état narratif.</x:v>
      </x:c>
      <x:c r="N14" s="7" t="str">
        <x:v>Silhouette reconnue sans nom ; pieds sans glissement ; portrait et sprite cohérents à échelle réelle.</x:v>
      </x:c>
      <x:c r="O14" s="7" t="str">
        <x:v>INI-CHR-TSENG</x:v>
      </x:c>
      <x:c r="P14" s="7" t="str"/>
      <x:c r="Q14" s="7" t="str"/>
      <x:c r="R14" s="7" t="str"/>
      <x:c r="S14" s="7" t="str"/>
    </x:row>
    <x:row r="15" ht="68" customHeight="1">
      <x:c r="A15" s="18" t="str">
        <x:v>INI-SPR-ABUBAKAR</x:v>
      </x:c>
      <x:c r="B15" s="9" t="str">
        <x:v>Abubakar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Abubakar pour ce module.</x:v>
      </x:c>
      <x:c r="G15" s="9" t="str">
        <x:v>Tenue médicale de terrain proposée, brassard de fonction original.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Tenue médicale de terrain proposée, brassard de fonction original.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assets/ini/actors/abubakar/atlas.png + atlas.json, pivot aux pieds.</x:v>
      </x:c>
      <x:c r="M15" s="9" t="str">
        <x:v>Visible uniquement quand Abubakar est autorisé par l’état narratif.</x:v>
      </x:c>
      <x:c r="N15" s="9" t="str">
        <x:v>Silhouette reconnue sans nom ; pieds sans glissement ; portrait et sprite cohérents à échelle réelle.</x:v>
      </x:c>
      <x:c r="O15" s="9" t="str">
        <x:v>INI-CHR-ABUBAKAR</x:v>
      </x:c>
      <x:c r="P15" s="9" t="str"/>
      <x:c r="Q15" s="9" t="str"/>
      <x:c r="R15" s="9" t="str"/>
      <x:c r="S15" s="9" t="str"/>
    </x:row>
    <x:row r="16" ht="68" customHeight="1">
      <x:c r="A16" s="19" t="str">
        <x:v>INI-SPR-ZAHRA</x:v>
      </x:c>
      <x:c r="B16" s="7" t="str">
        <x:v>Zahra Said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Zahra Said pour ce module.</x:v>
      </x:c>
      <x:c r="G16" s="7" t="str">
        <x:v>Tenue de marine endommagée avec silhouette lisible dans la pénombre.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Tenue de marine endommagée avec silhouette lisible dans la pénombre.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assets/ini/actors/zahra/atlas.png + atlas.json, pivot aux pieds.</x:v>
      </x:c>
      <x:c r="M16" s="7" t="str">
        <x:v>Visible uniquement quand Zahra Said est autorisé par l’état narratif.</x:v>
      </x:c>
      <x:c r="N16" s="7" t="str">
        <x:v>Silhouette reconnue sans nom ; pieds sans glissement ; portrait et sprite cohérents à échelle réelle.</x:v>
      </x:c>
      <x:c r="O16" s="7" t="str">
        <x:v>INI-CHR-ZAHRA</x:v>
      </x:c>
      <x:c r="P16" s="7" t="str"/>
      <x:c r="Q16" s="7" t="str"/>
      <x:c r="R16" s="7" t="str"/>
      <x:c r="S16" s="7" t="str"/>
    </x:row>
  </x:sheetData>
  <x:conditionalFormatting sqref="D7:D16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6">
    <x:cfRule type="cellIs" dxfId="82" priority="3" operator="equal">
      <x:formula>"Validé"</x:formula>
    </x:cfRule>
  </x:conditionalFormatting>
  <x:conditionalFormatting sqref="E7:E16">
    <x:cfRule type="cellIs" dxfId="83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50cf35b3f748e7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INI-VFX-MERC</x:v>
      </x:c>
      <x:c r="B7" s="9" t="str">
        <x:v>Équipe mercenaire proposée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Cône de surveillance et témoin de serrure.</x:v>
      </x:c>
      <x:c r="H7" s="9" t="str">
        <x:v>Aire de prévision égale à l’aire logique ; masque de cible conservé en daltonisme.</x:v>
      </x:c>
      <x:c r="I7" s="9" t="str">
        <x:v>Cône de surveillance et témoin de serrure.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fx/ini/merc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INI-EMV-MERC</x:v>
      </x:c>
      <x:c r="P7" s="9" t="str"/>
      <x:c r="Q7" s="9" t="str"/>
      <x:c r="R7" s="9" t="str"/>
      <x:c r="S7" s="9" t="str"/>
    </x:row>
    <x:row r="8" ht="54" customHeight="1">
      <x:c r="A8" s="19" t="str">
        <x:v>INI-VFX-AUGMENT</x:v>
      </x:c>
      <x:c r="B8" s="7" t="str">
        <x:v>Augment de couloir proposé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Posture tassée et ligne au sol avant départ.</x:v>
      </x:c>
      <x:c r="H8" s="7" t="str">
        <x:v>Aire de prévision égale à l’aire logique ; masque de cible conservé en daltonisme.</x:v>
      </x:c>
      <x:c r="I8" s="7" t="str">
        <x:v>Posture tassée et ligne au sol avant départ.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fx/ini/augment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INI-EMV-AUGMENT</x:v>
      </x:c>
      <x:c r="P8" s="7" t="str"/>
      <x:c r="Q8" s="7" t="str"/>
      <x:c r="R8" s="7" t="str"/>
      <x:c r="S8" s="7" t="str"/>
    </x:row>
    <x:row r="9" ht="54" customHeight="1">
      <x:c r="A9" s="18" t="str">
        <x:v>INI-VFX-MEDEA</x:v>
      </x:c>
      <x:c r="B9" s="9" t="str">
        <x:v>Medea — crise d’accès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Incohérence entre état de porte et panneau.</x:v>
      </x:c>
      <x:c r="H9" s="9" t="str">
        <x:v>Aire de prévision égale à l’aire logique ; masque de cible conservé en daltonisme.</x:v>
      </x:c>
      <x:c r="I9" s="9" t="str">
        <x:v>Incohérence entre état de porte et panneau.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fx/ini/medea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INI-EMV-MEDEA</x:v>
      </x:c>
      <x:c r="P9" s="9" t="str"/>
      <x:c r="Q9" s="9" t="str"/>
      <x:c r="R9" s="9" t="str"/>
      <x:c r="S9" s="9" t="str"/>
    </x:row>
    <x:row r="10" ht="54" customHeight="1">
      <x:c r="A10" s="19" t="str">
        <x:v>INI-VFX-OVERLOAD</x:v>
      </x:c>
      <x:c r="B10" s="7" t="str">
        <x:v>Seuil de fatigue proposé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Avertissement textuel, baisse de saturation désactivable.</x:v>
      </x:c>
      <x:c r="H10" s="7" t="str">
        <x:v>Aire de prévision égale à l’aire logique ; masque de cible conservé en daltonisme.</x:v>
      </x:c>
      <x:c r="I10" s="7" t="str">
        <x:v>Avertissement textuel, baisse de saturation désactivable.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fx/ini/overload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INI-EMV-OVERLOAD</x:v>
      </x:c>
      <x:c r="P10" s="7" t="str"/>
      <x:c r="Q10" s="7" t="str"/>
      <x:c r="R10" s="7" t="str"/>
      <x:c r="S10" s="7" t="str"/>
    </x:row>
  </x:sheetData>
  <x:conditionalFormatting sqref="D7:D10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0">
    <x:cfRule type="cellIs" dxfId="86" priority="3" operator="equal">
      <x:formula>"Validé"</x:formula>
    </x:cfRule>
  </x:conditionalFormatting>
  <x:conditionalFormatting sqref="E7:E10">
    <x:cfRule type="cellIs" dxfId="8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6513718ece4b29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INI-AUD-01</x:v>
      </x:c>
      <x:c r="B7" s="9" t="str">
        <x:v>Voix d’assistance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Voix originale éventuelle avec débit ajustable ; réponses brèves en action, détails dans le journal.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Voix originale éventuelle avec débit ajustable ; réponses brèves en action, détails dans le journal. Musique, bruitages et éventuelles voix à produire sans extraire les enregistrements officiels.</x:v>
      </x:c>
      <x:c r="L7" s="9" t="str">
        <x:v>audio/ini/voix-dassistance.ogg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INI-AUD-02</x:v>
      </x:c>
      <x:c r="B8" s="7" t="str">
        <x:v>Station commerciale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Ambiance régulière sous une couche de sécurité discrète.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Ambiance régulière sous une couche de sécurité discrète. Musique, bruitages et éventuelles voix à produire sans extraire les enregistrements officiels.</x:v>
      </x:c>
      <x:c r="L8" s="7" t="str">
        <x:v>audio/ini/station-commerciale.ogg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7" t="str"/>
      <x:c r="S8" s="7" t="str"/>
    </x:row>
    <x:row r="9" ht="82" customHeight="1">
      <x:c r="A9" s="18" t="str">
        <x:v>INI-AUD-03</x:v>
      </x:c>
      <x:c r="B9" s="9" t="str">
        <x:v>Isolement spatial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Quasi-silence, respiration stylisée non anxiogène forcée, informations vitales sous-titrées.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Quasi-silence, respiration stylisée non anxiogène forcée, informations vitales sous-titrées. Musique, bruitages et éventuelles voix à produire sans extraire les enregistrements officiels.</x:v>
      </x:c>
      <x:c r="L9" s="9" t="str">
        <x:v>audio/ini/isolement-spatial.ogg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9" t="str"/>
      <x:c r="S9" s="9" t="str"/>
    </x:row>
    <x:row r="10" ht="82" customHeight="1">
      <x:c r="A10" s="19" t="str">
        <x:v>INI-AUD-04</x:v>
      </x:c>
      <x:c r="B10" s="7" t="str">
        <x:v>Quiet Eddy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Bourdonnement irrégulier et bruits de portes pour localiser la menace sans sursaut obligatoire.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Bourdonnement irrégulier et bruits de portes pour localiser la menace sans sursaut obligatoire. Musique, bruitages et éventuelles voix à produire sans extraire les enregistrements officiels.</x:v>
      </x:c>
      <x:c r="L10" s="7" t="str">
        <x:v>audio/ini/quiet-eddy.ogg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INI-AUD-05</x:v>
      </x:c>
      <x:c r="B11" s="9" t="str">
        <x:v>Mémoire et silence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Motif musical original doux, sans imitation des thèmes de l’Initiative.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Motif musical original doux, sans imitation des thèmes de l’Initiative. Musique, bruitages et éventuelles voix à produire sans extraire les enregistrements officiels.</x:v>
      </x:c>
      <x:c r="L11" s="9" t="str">
        <x:v>audio/ini/memoire-et-silence.ogg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9" t="str"/>
      <x:c r="S11" s="9" t="str"/>
    </x:row>
  </x:sheetData>
  <x:conditionalFormatting sqref="D7:D11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1">
    <x:cfRule type="cellIs" dxfId="90" priority="3" operator="equal">
      <x:formula>"Validé"</x:formula>
    </x:cfRule>
  </x:conditionalFormatting>
  <x:conditionalFormatting sqref="E7:E11">
    <x:cfRule type="cellIs" dxfId="9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885d0b3cbf4cca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INI-SYS-01</x:v>
      </x:c>
      <x:c r="B7" s="9" t="str">
        <x:v>Duo Cora/SAM-E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SAM-E est un canal d’assistance et de dialogue ; il ne prend pas une place de soldat physique dans le groupe.</x:v>
      </x:c>
      <x:c r="H7" s="9" t="str">
        <x:v>SAM-E est un canal d’assistance et de dialogue ; il ne prend pas une place de soldat physique dans le groupe.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systems/ini/duo-cora-sam-e.ts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9" t="str"/>
      <x:c r="S7" s="9" t="str"/>
    </x:row>
    <x:row r="8" ht="54" customHeight="1">
      <x:c r="A8" s="19" t="str">
        <x:v>INI-SYS-02</x:v>
      </x:c>
      <x:c r="B8" s="7" t="str">
        <x:v>Limites de l’assistant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Des compétences sont volontairement hors périmètre ; le joueur doit reconnaître ce qu’une analyse ne peut pas conclure.</x:v>
      </x:c>
      <x:c r="H8" s="7" t="str">
        <x:v>Des compétences sont volontairement hors périmètre ; le joueur doit reconnaître ce qu’une analyse ne peut pas conclure.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systems/ini/limites-de-lassistant.ts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7" t="str"/>
      <x:c r="S8" s="7" t="str"/>
    </x:row>
    <x:row r="9" ht="44" customHeight="1">
      <x:c r="A9" s="18" t="str">
        <x:v>INI-SYS-03</x:v>
      </x:c>
      <x:c r="B9" s="9" t="str">
        <x:v>Coût d’assistance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La surcharge est un état scénarisé dangereux, jamais un buff permanent sans conséquence.</x:v>
      </x:c>
      <x:c r="H9" s="9" t="str">
        <x:v>La surcharge est un état scénarisé dangereux, jamais un buff permanent sans conséquence.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systems/ini/cout-dassistance.ts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9" t="str"/>
      <x:c r="S9" s="9" t="str"/>
    </x:row>
    <x:row r="10" ht="44" customHeight="1">
      <x:c r="A10" s="19" t="str">
        <x:v>INI-SYS-04</x:v>
      </x:c>
      <x:c r="B10" s="7" t="str">
        <x:v>Données volées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Suivre l’identité des paquets et copies ; aucune fusion automatique de fichiers contradictoires.</x:v>
      </x:c>
      <x:c r="H10" s="7" t="str">
        <x:v>Suivre l’identité des paquets et copies ; aucune fusion automatique de fichiers contradictoires.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systems/ini/donnees-volees.ts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7" t="str"/>
      <x:c r="S10" s="7" t="str"/>
    </x:row>
    <x:row r="11" ht="44" customHeight="1">
      <x:c r="A11" s="18" t="str">
        <x:v>INI-SYS-05</x:v>
      </x:c>
      <x:c r="B11" s="9" t="str">
        <x:v>Confiance en réseau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Un panneau et une porte peuvent diverger ; l’interface montre la provenance des deux états.</x:v>
      </x:c>
      <x:c r="H11" s="9" t="str">
        <x:v>Un panneau et une porte peuvent diverger ; l’interface montre la provenance des deux états.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systems/ini/confiance-en-reseau.ts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9" t="str"/>
      <x:c r="S11" s="9" t="str"/>
    </x:row>
    <x:row r="12" ht="44" customHeight="1">
      <x:c r="A12" s="19" t="str">
        <x:v>INI-SYS-06</x:v>
      </x:c>
      <x:c r="B12" s="7" t="str">
        <x:v>Survivants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Les civils se déplacent en groupes protégés et ne sont pas équipés par le joueur pour maximiser les dégâts.</x:v>
      </x:c>
      <x:c r="H12" s="7" t="str">
        <x:v>Les civils se déplacent en groupes protégés et ne sont pas équipés par le joueur pour maximiser les dégâts.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systems/ini/survivants.ts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7" t="str"/>
      <x:c r="S12" s="7" t="str"/>
    </x:row>
    <x:row r="13" ht="54" customHeight="1">
      <x:c r="A13" s="18" t="str">
        <x:v>INI-SYS-07</x:v>
      </x:c>
      <x:c r="B13" s="9" t="str">
        <x:v>Savoir avant départ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Limiter le journal à la Voie lactée et à l’Initiative avant voyage ; exclure Fléau, Kerts et Remnants comme savoir acquis.</x:v>
      </x:c>
      <x:c r="H13" s="9" t="str">
        <x:v>Limiter le journal à la Voie lactée et à l’Initiative avant voyage ; exclure Fléau, Kerts et Remnants comme savoir acquis.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systems/ini/savoir-avant-depart.ts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9" t="str"/>
      <x:c r="S13" s="9" t="str"/>
    </x:row>
    <x:row r="14" ht="44" customHeight="1">
      <x:c r="A14" s="19" t="str">
        <x:v>INI-SYS-08</x:v>
      </x:c>
      <x:c r="B14" s="7" t="str">
        <x:v>Mémoire de l’assistant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Séparer souvenirs conservés et personnalité active ; la fin du module respecte cette différence.</x:v>
      </x:c>
      <x:c r="H14" s="7" t="str">
        <x:v>Séparer souvenirs conservés et personnalité active ; la fin du module respecte cette différence.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systems/ini/memoire-de-lassistant.ts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7" t="str"/>
      <x:c r="S14" s="7" t="str"/>
    </x:row>
  </x:sheetData>
  <x:conditionalFormatting sqref="D7:D14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4">
    <x:cfRule type="cellIs" dxfId="94" priority="3" operator="equal">
      <x:formula>"Validé"</x:formula>
    </x:cfRule>
  </x:conditionalFormatting>
  <x:conditionalFormatting sqref="E7:E14">
    <x:cfRule type="cellIs" dxfId="9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0eb95af1b548f3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INI-TST-MANDATE</x:v>
      </x:c>
      <x:c r="B7" s="9" t="str">
        <x:v>Définir les limites de l’assistance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Définir les limites de l’assistance avec la méthode la plus lente puis avec la méthode alternative.</x:v>
      </x:c>
      <x:c r="H7" s="9" t="str">
        <x:v>Contrôler les transitions de la règle suivante : Identifier objectif, secret à protéger et tâches que l’assistant ne sait pas faire.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qa/ini/mandate.md : état initial, actions, attendu, résultat, capture.</x:v>
      </x:c>
      <x:c r="M7" s="9" t="str">
        <x:v>Ne pas qualifier SAM-E de simple VI après la révélation de sa nature.</x:v>
      </x:c>
      <x:c r="N7" s="9" t="str">
        <x:v>Aucun blocage, récompense multiple, information future ou divergence entre pause ATB et temps normal.</x:v>
      </x:c>
      <x:c r="O7" s="9" t="str">
        <x:v>INI-MIS-MANDATE, INI-CHO-MANDATE, INI-OPT-MANDATE</x:v>
      </x:c>
      <x:c r="P7" s="9" t="str"/>
      <x:c r="Q7" s="9" t="str"/>
      <x:c r="R7" s="9" t="str"/>
      <x:c r="S7" s="9" t="str"/>
    </x:row>
    <x:row r="8" ht="54" customHeight="1">
      <x:c r="A8" s="19" t="str">
        <x:v>INI-TST-KERNEL</x:v>
      </x:c>
      <x:c r="B8" s="7" t="str">
        <x:v>Extraire un paquet de données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Extraire un paquet de données avec la méthode la plus lente puis avec la méthode alternative.</x:v>
      </x:c>
      <x:c r="H8" s="7" t="str">
        <x:v>Contrôler les transitions de la règle suivante : Distinguer copie leurre, autorisation d’accès et paquet cible ; validation croisée avant transfert.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qa/ini/kernel.md : état initial, actions, attendu, résultat, capture.</x:v>
      </x:c>
      <x:c r="M8" s="7" t="str">
        <x:v>Aucune procédure réelle de piratage ni code officiel copié.</x:v>
      </x:c>
      <x:c r="N8" s="7" t="str">
        <x:v>Aucun blocage, récompense multiple, information future ou divergence entre pause ATB et temps normal.</x:v>
      </x:c>
      <x:c r="O8" s="7" t="str">
        <x:v>INI-MIS-KERNEL, INI-CHO-KERNEL, INI-OPT-KERNEL</x:v>
      </x:c>
      <x:c r="P8" s="7" t="str"/>
      <x:c r="Q8" s="7" t="str"/>
      <x:c r="R8" s="7" t="str"/>
      <x:c r="S8" s="7" t="str"/>
    </x:row>
    <x:row r="9" ht="54" customHeight="1">
      <x:c r="A9" s="18" t="str">
        <x:v>INI-TST-BETRAYAL</x:v>
      </x:c>
      <x:c r="B9" s="9" t="str">
        <x:v>Trouver une sortie sûre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Trouver une sortie sûre avec la méthode la plus lente puis avec la méthode alternative.</x:v>
      </x:c>
      <x:c r="H9" s="9" t="str">
        <x:v>Contrôler les transitions de la règle suivante : Rester mobile entre couverts, vérifier le sas et protéger la liaison d’assistance.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qa/ini/betrayal.md : état initial, actions, attendu, résultat, capture.</x:v>
      </x:c>
      <x:c r="M9" s="9" t="str">
        <x:v>Le choix n’efface pas la trahison de Ygara.</x:v>
      </x:c>
      <x:c r="N9" s="9" t="str">
        <x:v>Aucun blocage, récompense multiple, information future ou divergence entre pause ATB et temps normal.</x:v>
      </x:c>
      <x:c r="O9" s="9" t="str">
        <x:v>INI-MIS-BETRAYAL, INI-CHO-BETRAYAL, INI-OPT-BETRAYAL</x:v>
      </x:c>
      <x:c r="P9" s="9" t="str"/>
      <x:c r="Q9" s="9" t="str"/>
      <x:c r="R9" s="9" t="str"/>
      <x:c r="S9" s="9" t="str"/>
    </x:row>
    <x:row r="10" ht="54" customHeight="1">
      <x:c r="A10" s="19" t="str">
        <x:v>INI-TST-BEACON</x:v>
      </x:c>
      <x:c r="B10" s="7" t="str">
        <x:v>Faire confirmer une position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Faire confirmer une position avec la méthode la plus lente puis avec la méthode alternative.</x:v>
      </x:c>
      <x:c r="H10" s="7" t="str">
        <x:v>Contrôler les transitions de la règle suivante : Comparer dernier signal, réserve et réponse ; garder la lecture hors compte à rebours.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qa/ini/beacon.md : état initial, actions, attendu, résultat, capture.</x:v>
      </x:c>
      <x:c r="M10" s="7" t="str">
        <x:v>Pas de mort aléatoire pendant lecture ou réglage d’accessibilité.</x:v>
      </x:c>
      <x:c r="N10" s="7" t="str">
        <x:v>Aucun blocage, récompense multiple, information future ou divergence entre pause ATB et temps normal.</x:v>
      </x:c>
      <x:c r="O10" s="7" t="str">
        <x:v>INI-MIS-BEACON, INI-CHO-BEACON, INI-OPT-BEACON</x:v>
      </x:c>
      <x:c r="P10" s="7" t="str"/>
      <x:c r="Q10" s="7" t="str"/>
      <x:c r="R10" s="7" t="str"/>
      <x:c r="S10" s="7" t="str"/>
    </x:row>
    <x:row r="11" ht="44" customHeight="1">
      <x:c r="A11" s="18" t="str">
        <x:v>INI-TST-FOLLOW</x:v>
      </x:c>
      <x:c r="B11" s="9" t="str">
        <x:v>Suivre la copie manquante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Suivre la copie manquante avec la méthode la plus lente puis avec la méthode alternative.</x:v>
      </x:c>
      <x:c r="H11" s="9" t="str">
        <x:v>Contrôler les transitions de la règle suivante : Vérifier un contrat, son bénéficiaire et la destination indiquée.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qa/ini/follow.md : état initial, actions, attendu, résultat, capture.</x:v>
      </x:c>
      <x:c r="M11" s="9" t="str">
        <x:v>Les informations restent limitées à ce que Cora découvre.</x:v>
      </x:c>
      <x:c r="N11" s="9" t="str">
        <x:v>Aucun blocage, récompense multiple, information future ou divergence entre pause ATB et temps normal.</x:v>
      </x:c>
      <x:c r="O11" s="9" t="str">
        <x:v>INI-MIS-FOLLOW, INI-CHO-FOLLOW, INI-OPT-FOLLOW</x:v>
      </x:c>
      <x:c r="P11" s="9" t="str"/>
      <x:c r="Q11" s="9" t="str"/>
      <x:c r="R11" s="9" t="str"/>
      <x:c r="S11" s="9" t="str"/>
    </x:row>
    <x:row r="12" ht="54" customHeight="1">
      <x:c r="A12" s="19" t="str">
        <x:v>INI-TST-OVERRIDE</x:v>
      </x:c>
      <x:c r="B12" s="7" t="str">
        <x:v>Tenir un accès face à Medea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Tenir un accès face à Medea avec la méthode la plus lente puis avec la méthode alternative.</x:v>
      </x:c>
      <x:c r="H12" s="7" t="str">
        <x:v>Contrôler les transitions de la règle suivante : Une commande doit être confirmée au poste physique ; l’assistant ne peut protéger tous les nœuds.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qa/ini/override.md : état initial, actions, attendu, résultat, capture.</x:v>
      </x:c>
      <x:c r="M12" s="7" t="str">
        <x:v>Medea n’est pas vaincue par un simple mini-jeu universel.</x:v>
      </x:c>
      <x:c r="N12" s="7" t="str">
        <x:v>Aucun blocage, récompense multiple, information future ou divergence entre pause ATB et temps normal.</x:v>
      </x:c>
      <x:c r="O12" s="7" t="str">
        <x:v>INI-MIS-OVERRIDE, INI-CHO-OVERRIDE, INI-OPT-OVERRIDE</x:v>
      </x:c>
      <x:c r="P12" s="7" t="str"/>
      <x:c r="Q12" s="7" t="str"/>
      <x:c r="R12" s="7" t="str"/>
      <x:c r="S12" s="7" t="str"/>
    </x:row>
    <x:row r="13" ht="54" customHeight="1">
      <x:c r="A13" s="18" t="str">
        <x:v>INI-TST-ESCORT</x:v>
      </x:c>
      <x:c r="B13" s="9" t="str">
        <x:v>Accompagner les survivants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Accompagner les survivants avec la méthode la plus lente puis avec la méthode alternative.</x:v>
      </x:c>
      <x:c r="H13" s="9" t="str">
        <x:v>Contrôler les transitions de la règle suivante : Trois groupes civils traversent des points sûrs pendant que Cora et une escorte protègent les accès.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qa/ini/escort.md : état initial, actions, attendu, résultat, capture.</x:v>
      </x:c>
      <x:c r="M13" s="9" t="str">
        <x:v>Le coût de la surcharge de Cora ne disparaît pas grâce à un consommable.</x:v>
      </x:c>
      <x:c r="N13" s="9" t="str">
        <x:v>Aucun blocage, récompense multiple, information future ou divergence entre pause ATB et temps normal.</x:v>
      </x:c>
      <x:c r="O13" s="9" t="str">
        <x:v>INI-MIS-ESCORT, INI-CHO-ESCORT, INI-OPT-ESCORT</x:v>
      </x:c>
      <x:c r="P13" s="9" t="str"/>
      <x:c r="Q13" s="9" t="str"/>
      <x:c r="R13" s="9" t="str"/>
      <x:c r="S13" s="9" t="str"/>
    </x:row>
    <x:row r="14" ht="54" customHeight="1">
      <x:c r="A14" s="19" t="str">
        <x:v>INI-TST-LEGACY</x:v>
      </x:c>
      <x:c r="B14" s="7" t="str">
        <x:v>Respecter la fin d’une voix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Respecter la fin d’une voix avec la méthode la plus lente puis avec la méthode alternative.</x:v>
      </x:c>
      <x:c r="H14" s="7" t="str">
        <x:v>Contrôler les transitions de la règle suivante : Valider mémoire, présence et limitations du système ; aucune option de duplication magique.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qa/ini/legacy.md : état initial, actions, attendu, résultat, capture.</x:v>
      </x:c>
      <x:c r="M14" s="7" t="str">
        <x:v>SAM-E n’est pas rendu permanent et autonome dans MEA.</x:v>
      </x:c>
      <x:c r="N14" s="7" t="str">
        <x:v>Aucun blocage, récompense multiple, information future ou divergence entre pause ATB et temps normal.</x:v>
      </x:c>
      <x:c r="O14" s="7" t="str">
        <x:v>INI-MIS-LEGACY, INI-CHO-LEGACY, INI-OPT-LEGACY</x:v>
      </x:c>
      <x:c r="P14" s="7" t="str"/>
      <x:c r="Q14" s="7" t="str"/>
      <x:c r="R14" s="7" t="str"/>
      <x:c r="S14" s="7" t="str"/>
    </x:row>
    <x:row r="15" ht="68" customHeight="1">
      <x:c r="A15" s="18" t="str">
        <x:v>INI-QA-SOURCES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INI par nature puis sourceIds ; revue ciblée des éléments sans source.</x:v>
      </x:c>
      <x:c r="M15" s="9" t="str">
        <x:v>L’action reste dans la Voie lactée avant le départ des arches. SAM-E ne devient pas un compagnon durable disponible dans Andromeda ; préserver les limites et conséquences de son lien avec Cora.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9" t="str"/>
      <x:c r="S15" s="9" t="str"/>
    </x:row>
    <x:row r="16" ht="68" customHeight="1">
      <x:c r="A16" s="19" t="str">
        <x:v>INI-QA-SAVE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qa/ini/save-reload.md avec capture avant/après.</x:v>
      </x:c>
      <x:c r="M16" s="7" t="str">
        <x:v>L’action reste dans la Voie lactée avant le départ des arches. SAM-E ne devient pas un compagnon durable disponible dans Andromeda ; préserver les limites et conséquences de son lien avec Cora.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7" t="str"/>
      <x:c r="S16" s="7" t="str"/>
    </x:row>
    <x:row r="17" ht="54" customHeight="1">
      <x:c r="A17" s="18" t="str">
        <x:v>INI-QA-VISUAL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qa/ini/readability/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9" t="str"/>
      <x:c r="S17" s="9" t="str"/>
    </x:row>
    <x:row r="18" ht="54" customHeight="1">
      <x:c r="A18" s="19" t="str">
        <x:v>INI-QA-ACCESS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qa/ini/accessibility.md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7" t="str"/>
      <x:c r="S18" s="7" t="str"/>
    </x:row>
  </x:sheetData>
  <x:conditionalFormatting sqref="D7:D18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8">
    <x:cfRule type="cellIs" dxfId="98" priority="3" operator="equal">
      <x:formula>"Validé"</x:formula>
    </x:cfRule>
  </x:conditionalFormatting>
  <x:conditionalFormatting sqref="E7:E18">
    <x:cfRule type="cellIs" dxfId="99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970b251db0495f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8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INI-CON-01</x:v>
      </x:c>
      <x:c r="B7" s="9" t="str">
        <x:v>Avant le voyage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L’opération précède le départ de l’Initiative vers Andromède.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continuity/ini.json ; règle documentée et décision de validation datée.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INI-SRC-PUB</x:v>
      </x:c>
      <x:c r="R7" s="9" t="str">
        <x:v>https://www.penguinrandomhouse.com/books/555323/mass-effect-initiation-by-nk-jemisin/</x:v>
      </x:c>
      <x:c r="S7" s="9" t="str">
        <x:v>Aucun numéro de chapitre ou de page n’est attribué sans exemplaire vérifié.</x:v>
      </x:c>
    </x:row>
    <x:row r="8" ht="68" customHeight="1">
      <x:c r="A8" s="19" t="str">
        <x:v>INI-CON-02</x:v>
      </x:c>
      <x:c r="B8" s="7" t="str">
        <x:v>Coauteurs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Créditer N. K. Jemisin et Mac Walters sur la publication retenue.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continuity/ini.json ; règle documentée et décision de validation datée.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INI-SRC-PUB</x:v>
      </x:c>
      <x:c r="R8" s="7" t="str">
        <x:v>https://www.penguinrandomhouse.com/books/555323/mass-effect-initiation-by-nk-jemisin/</x:v>
      </x:c>
      <x:c r="S8" s="7" t="str">
        <x:v>Aucun numéro de chapitre ou de page n’est attribué sans exemplaire vérifié.</x:v>
      </x:c>
    </x:row>
    <x:row r="9" ht="68" customHeight="1">
      <x:c r="A9" s="18" t="str">
        <x:v>INI-CON-03</x:v>
      </x:c>
      <x:c r="B9" s="9" t="str">
        <x:v>SAM-E distinct de SAM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SAM-E est une partition expérimentale ; ne pas traiter toutes ses fonctions comme communes à chaque SAM.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continuity/ini.json ; règle documentée et décision de validation datée.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INI-SRC-SAME</x:v>
      </x:c>
      <x:c r="R9" s="9" t="str">
        <x:v>https://masseffect.fandom.com/wiki/SAM-E</x:v>
      </x:c>
      <x:c r="S9" s="9" t="str">
        <x:v>Aucun numéro de chapitre ou de page n’est attribué sans exemplaire vérifié.</x:v>
      </x:c>
    </x:row>
    <x:row r="10" ht="68" customHeight="1">
      <x:c r="A10" s="19" t="str">
        <x:v>INI-CON-04</x:v>
      </x:c>
      <x:c r="B10" s="7" t="str">
        <x:v>Cybersécurité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SAM-E possède des limites dans ce domaine ; éviter de lui donner un contrôle instantané universel.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continuity/ini.json ; règle documentée et décision de validation datée.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INI-SRC-SAME</x:v>
      </x:c>
      <x:c r="R10" s="7" t="str">
        <x:v>https://masseffect.fandom.com/wiki/SAM-E</x:v>
      </x:c>
      <x:c r="S10" s="7" t="str">
        <x:v>Aucun numéro de chapitre ou de page n’est attribué sans exemplaire vérifié.</x:v>
      </x:c>
    </x:row>
    <x:row r="11" ht="68" customHeight="1">
      <x:c r="A11" s="18" t="str">
        <x:v>INI-CON-05</x:v>
      </x:c>
      <x:c r="B11" s="9" t="str">
        <x:v>Coût de surcharge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L’amélioration extrême de Cora s’accompagne de conséquences physiques sérieuses.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continuity/ini.json ; règle documentée et décision de validation datée.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>
        <x:v>INI-SRC-SAME</x:v>
      </x:c>
      <x:c r="R11" s="9" t="str">
        <x:v>https://masseffect.fandom.com/wiki/SAM-E</x:v>
      </x:c>
      <x:c r="S11" s="9" t="str">
        <x:v>Aucun numéro de chapitre ou de page n’est attribué sans exemplaire vérifié.</x:v>
      </x:c>
    </x:row>
    <x:row r="12" ht="68" customHeight="1">
      <x:c r="A12" s="19" t="str">
        <x:v>INI-CON-06</x:v>
      </x:c>
      <x:c r="B12" s="7" t="str">
        <x:v>Medea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L’IA hybride est liée à Quiet Eddy ; la création ne généralise pas sa conduite à toutes les IA.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continuity/ini.json ; règle documentée et décision de validation datée.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>
        <x:v>INI-SRC-MEDEA</x:v>
      </x:c>
      <x:c r="R12" s="7" t="str">
        <x:v>https://masseffect.fandom.com/wiki/Medea</x:v>
      </x:c>
      <x:c r="S12" s="7" t="str">
        <x:v>Aucun numéro de chapitre ou de page n’est attribué sans exemplaire vérifié.</x:v>
      </x:c>
    </x:row>
    <x:row r="13" ht="68" customHeight="1">
      <x:c r="A13" s="18" t="str">
        <x:v>INI-CON-07</x:v>
      </x:c>
      <x:c r="B13" s="9" t="str">
        <x:v>Survivants de Quiet Eddy</x:v>
      </x:c>
      <x:c r="C13" s="15" t="str">
        <x:v>Défini</x:v>
      </x:c>
      <x:c r="D13" s="16" t="str">
        <x:v>À vérifier</x:v>
      </x:c>
      <x:c r="E13" s="16" t="str">
        <x:v>P0</x:v>
      </x:c>
      <x:c r="F13" s="9" t="str">
        <x:v>La liste précise et la présence par scène doivent être relues dans l’édition avant réalisation.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continuity/ini.json ; règle documentée et décision de validation datée.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/>
      <x:c r="R13" s="9" t="str"/>
      <x:c r="S13" s="9" t="str">
        <x:v>Aucun numéro de chapitre ou de page n’est attribué sans exemplaire vérifié.</x:v>
      </x:c>
    </x:row>
    <x:row r="14" ht="68" customHeight="1">
      <x:c r="A14" s="19" t="str">
        <x:v>INI-CON-08</x:v>
      </x:c>
      <x:c r="B14" s="7" t="str">
        <x:v>Fin du lien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Les souvenirs de SAM-E et son existence autonome ne sont pas équivalents ; conserver la distinction de l’issue décrite.</x:v>
      </x:c>
      <x:c r="G14" s="7" t="str">
        <x:v>Contrainte éditoriale : verrouiller les dépendances avant intégration du module.</x:v>
      </x:c>
      <x:c r="H14" s="7" t="str"/>
      <x:c r="I14" s="7" t="str"/>
      <x:c r="J14" s="7" t="str"/>
      <x:c r="K14" s="7" t="str"/>
      <x:c r="L14" s="7" t="str">
        <x:v>continuity/ini.json ; règle documentée et décision de validation datée.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La règle est contrôlée dans les textes, cartes, choix et sauvegardes ; incertitude résolue ou affichée.</x:v>
      </x:c>
      <x:c r="O14" s="7" t="str"/>
      <x:c r="P14" s="7" t="str">
        <x:v>Limite de continuité / contrôle transversal</x:v>
      </x:c>
      <x:c r="Q14" s="7" t="str">
        <x:v>INI-SRC-SAME</x:v>
      </x:c>
      <x:c r="R14" s="7" t="str">
        <x:v>https://masseffect.fandom.com/wiki/SAM-E</x:v>
      </x:c>
      <x:c r="S14" s="7" t="str">
        <x:v>Aucun numéro de chapitre ou de page n’est attribué sans exemplaire vérifié.</x:v>
      </x:c>
    </x:row>
  </x:sheetData>
  <x:conditionalFormatting sqref="D7:D14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14">
    <x:cfRule type="cellIs" dxfId="102" priority="3" operator="equal">
      <x:formula>"Validé"</x:formula>
    </x:cfRule>
  </x:conditionalFormatting>
  <x:conditionalFormatting sqref="E7:E14">
    <x:cfRule type="cellIs" dxfId="10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060e4876ad4201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 Andromeda: Initiation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 Andromeda: Initiation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N. K. Jemisin et Mac Walters ; mission de Cora avant le départ de l’Initiative.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159 fiches de production ; 5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L’action reste dans la Voie lactée avant le départ des arches. SAM-E ne devient pas un compagnon durable disponible dans Andromeda ; préserver les limites et conséquences de son lien avec Cora.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54" customHeight="1">
      <x:c r="A27" s="6" t="str">
        <x:v>INI-SRC-PUB</x:v>
      </x:c>
      <x:c r="B27" s="6" t="str">
        <x:v>Penguin Random House / Titan — Initiation</x:v>
      </x:c>
      <x:c r="C27" s="6" t="str">
        <x:v>source officielle</x:v>
      </x:c>
      <x:c r="D27" s="6" t="str">
        <x:v>https://www.penguinrandomhouse.com/books/555323/mass-effect-initiation-by-nk-jemisin/</x:v>
      </x:c>
      <x:c r="E27" s="6" t="str">
        <x:v>Auteurs, publication et mission de Cora</x:v>
      </x:c>
      <x:c r="F27" s="6" t="str">
        <x:v>Consulté le 22 octobre 2026. Faits courts uniquement ; la publication originale reste nécessaire pour contrôler les détails.</x:v>
      </x:c>
    </x:row>
    <x:row r="28" ht="54" customHeight="1">
      <x:c r="A28" s="6" t="str">
        <x:v>INI-SRC-SAME</x:v>
      </x:c>
      <x:c r="B28" s="6" t="str">
        <x:v>Mass Effect Wiki — SAM-E</x:v>
      </x:c>
      <x:c r="C28" s="6" t="str">
        <x:v>wiki</x:v>
      </x:c>
      <x:c r="D28" s="6" t="str">
        <x:v>https://masseffect.fandom.com/wiki/SAM-E</x:v>
      </x:c>
      <x:c r="E28" s="6" t="str">
        <x:v>Lien avec Cora, limites, lieux et intégration à SAM</x:v>
      </x:c>
      <x:c r="F28" s="6" t="str">
        <x:v>Consulté le 22 octobre 2026. Faits courts uniquement ; la publication originale reste nécessaire pour contrôler les détails.</x:v>
      </x:c>
    </x:row>
    <x:row r="29" ht="54" customHeight="1">
      <x:c r="A29" s="6" t="str">
        <x:v>INI-SRC-QUIET</x:v>
      </x:c>
      <x:c r="B29" s="6" t="str">
        <x:v>Mass Effect Wiki — Quiet Eddy</x:v>
      </x:c>
      <x:c r="C29" s="6" t="str">
        <x:v>wiki</x:v>
      </x:c>
      <x:c r="D29" s="6" t="str">
        <x:v>https://masseffect.fandom.com/wiki/Quiet_Eddy</x:v>
      </x:c>
      <x:c r="E29" s="6" t="str">
        <x:v>Installation, survivants et évacuation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INI-SRC-MEDEA</x:v>
      </x:c>
      <x:c r="B30" s="6" t="str">
        <x:v>Mass Effect Wiki — Medea</x:v>
      </x:c>
      <x:c r="C30" s="6" t="str">
        <x:v>wiki</x:v>
      </x:c>
      <x:c r="D30" s="6" t="str">
        <x:v>https://masseffect.fandom.com/wiki/Medea</x:v>
      </x:c>
      <x:c r="E30" s="6" t="str">
        <x:v>IA hybride et contrôle des augments</x:v>
      </x:c>
      <x:c r="F30" s="6" t="str">
        <x:v>Consulté le 22 octobre 2026. Faits courts uniquement ; la publication originale reste nécessaire pour contrôler les détails.</x:v>
      </x:c>
    </x:row>
    <x:row r="31" ht="54" customHeight="1">
      <x:c r="A31" s="6" t="str">
        <x:v>INI-SRC-VLASSIA</x:v>
      </x:c>
      <x:c r="B31" s="6" t="str">
        <x:v>Mass Effect Wiki — Vlassia Ariokis</x:v>
      </x:c>
      <x:c r="C31" s="6" t="str">
        <x:v>wiki</x:v>
      </x:c>
      <x:c r="D31" s="6" t="str">
        <x:v>https://masseffect.fandom.com/wiki/Vlassia_Ariokis</x:v>
      </x:c>
      <x:c r="E31" s="6" t="str">
        <x:v>Officier du renseignement et Quiet Eddy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INI-SRC-CORA</x:v>
      </x:c>
      <x:c r="B32" s="6" t="str">
        <x:v>Mass Effect Wiki — Cora Harper</x:v>
      </x:c>
      <x:c r="C32" s="6" t="str">
        <x:v>wiki</x:v>
      </x:c>
      <x:c r="D32" s="6" t="str">
        <x:v>https://masseffect.fandom.com/wiki/Cora_Harper</x:v>
      </x:c>
      <x:c r="E32" s="6" t="str">
        <x:v>Cora, technologie volée et lien avec Medea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INI-SRC-STORY</x:v>
      </x:c>
      <x:c r="B33" s="6" t="str">
        <x:v>Mass Effect Wiki — Storyline IV</x:v>
      </x:c>
      <x:c r="C33" s="6" t="str">
        <x:v>wiki</x:v>
      </x:c>
      <x:c r="D33" s="6" t="str">
        <x:v>https://masseffect.fandom.com/wiki/Storyline_IV</x:v>
      </x:c>
      <x:c r="E33" s="6" t="str">
        <x:v>Extraits indexés : Theia, Home Away, Audacity, Illium ; ouverture directe refusée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INI-SRC-REVIEW</x:v>
      </x:c>
      <x:c r="B34" s="6" t="str">
        <x:v>Reactor — critique d’Initiation</x:v>
      </x:c>
      <x:c r="C34" s="6" t="str">
        <x:v>presse</x:v>
      </x:c>
      <x:c r="D34" s="6" t="str">
        <x:v>https://reactormag.com/book-reviews-mass-effect-initiation-by-n-k-jemisin-and-mac-walters-a-review//</x:v>
      </x:c>
      <x:c r="E34" s="6" t="str">
        <x:v>Ygara, mission d’espionnage et relation Cora/SAM-E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INI-SRC-LINEUP</x:v>
      </x:c>
      <x:c r="B35" s="6" t="str">
        <x:v>Titan Books — annonce des romans</x:v>
      </x:c>
      <x:c r="C35" s="6" t="str">
        <x:v>source officielle</x:v>
      </x:c>
      <x:c r="D35" s="6" t="str">
        <x:v>https://titanbooks.com/blog/announcing-official-mass-effect-novels/</x:v>
      </x:c>
      <x:c r="E35" s="6" t="str">
        <x:v>Collaboration avec BioWare ; annonce distincte de la publication effective</x:v>
      </x:c>
      <x:c r="F35" s="6" t="str">
        <x:v>Consulté le 22 octobre 2026. Faits courts uniquement ; la publication originale reste nécessaire pour contrôler les détails.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110" customHeight="1">
      <x:c r="A40" s="6" t="str">
        <x:v>Références canoniques</x:v>
      </x:c>
      <x:c r="B40" s="6" t="str">
        <x:v>Cora, SAM-E et la récupération d’une technologie volée ; adaptation originale mêlant infiltration, coopération humain/IA et évacuation de civils.</x:v>
      </x:c>
      <x:c r="C40" s="6" t="str">
        <x:v>Le roman intégral n’a pas été relu. Les marques d’armes, le détail des expériences, les plans et le calendrier des épisodes restent à confirmer. Les personnages secondaires de Quiet Eddy sont couverts par fiches courtes, sans reproduire leurs histoires.</x:v>
      </x:c>
      <x:c r="D40" s="2"/>
      <x:c r="E40" s="2"/>
      <x:c r="F40" s="2"/>
    </x:row>
    <x:row r="41" ht="68" customHeight="1">
      <x:c r="A41" s="6" t="str">
        <x:v>Personnages et direction artistique</x:v>
      </x:c>
      <x:c r="B41" s="6" t="str">
        <x:v>10 personnages/PNJ documentés, avec planches, poses et intentions de dialogues originales distinctes.</x:v>
      </x:c>
      <x:c r="C41" s="6" t="str">
        <x:v>Valider les costumes, accessoires et nuances de caractérisation avec un exemplaire légal de l’œuvre ; pour le film, établir une bible visuelle par visionnage.</x:v>
      </x:c>
      <x:c r="D41" s="2"/>
      <x:c r="E41" s="2"/>
      <x:c r="F41" s="2"/>
    </x:row>
    <x:row r="42" ht="54" customHeight="1">
      <x:c r="A42" s="6" t="str">
        <x:v>Cartes et progression</x:v>
      </x:c>
      <x:c r="B42" s="6" t="str">
        <x:v>8 cartes proposées, leurs kits et transitions ; 8 missions originales avec options, annexes, cinématiques et critères de test.</x:v>
      </x:c>
      <x:c r="C42" s="6" t="str">
        <x:v>Blockouts, distances, budgets mémoire et temps de parcours à mesurer ; aucune carte officielle n’est revendiquée.</x:v>
      </x:c>
      <x:c r="D42" s="2"/>
      <x:c r="E42" s="2"/>
      <x:c r="F42" s="2"/>
    </x:row>
    <x:row r="43" ht="68" customHeight="1">
      <x:c r="A43" s="6" t="str">
        <x:v>Combat, systèmes et médias</x:v>
      </x:c>
      <x:c r="B43" s="6" t="str">
        <x:v>4 rencontres proposées, movesets, VFX, actions alliées, interface, audio et sauvegarde.</x:v>
      </x:c>
      <x:c r="C43" s="6" t="str">
        <x:v>Prototype, équilibrage, réalisation des assets, doublage éventuel et tests encore à faire. Aucune ligne ne signifie que le fan game contient déjà cet élément.</x:v>
      </x:c>
      <x:c r="D43" s="2"/>
      <x:c r="E43" s="2"/>
      <x:c r="F43" s="2"/>
    </x:row>
    <x:row r="44" ht="68" customHeight="1">
      <x:c r="A44" s="6" t="str">
        <x:v>Accès aux pages demandées</x:v>
      </x:c>
      <x:c r="B44" s="6" t="str">
        <x:v>La page demandée https://masseffect.fandom.com/wiki/Mass_Effect_Andromeda:_Initiation a refusé l’ouverture. Notice PRH, critique de Reactor, pages indexées SAM-E, Medea et Quiet Eddy servent de remplacements.</x:v>
      </x:c>
      <x:c r="C44" s="6" t="str">
        <x:v>Les extraits indexés ne remplacent pas une vérification de l’œuvre intégrale. Les traductions françaises des noms et titres restent à contrôler selon l’édition retenue.</x:v>
      </x:c>
      <x:c r="D44" s="2"/>
      <x:c r="E44" s="2"/>
      <x:c r="F44" s="2"/>
    </x:row>
    <x:row r="45" ht="96" customHeight="1">
      <x:c r="A45" s="6" t="str">
        <x:v>Complément pouvoirs, modules et lectures</x:v>
      </x:c>
      <x:c r="B45" s="6" t="str">
        <x:v>0 fiches de pouvoirs utilisées, 0 familles de modules préparables et 5 références consultables dans une lecture documentaire. Les chemins et preuves sont inscrits sur les seules lignes Prototype.</x:v>
      </x:c>
      <x:c r="C45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</x:sheetData>
  <x:pageMargins left="0.7" right="0.7" top="0.75" bottom="0.75" header="0.3" footer="0.3"/>
</x:worksheet>
</file>