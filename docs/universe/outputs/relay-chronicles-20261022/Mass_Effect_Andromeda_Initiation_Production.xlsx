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eb2a12e26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d52920de784b71"/>
    <x:sheet xmlns:r="http://schemas.openxmlformats.org/officeDocument/2006/relationships" name="Personnages" sheetId="2" r:id="R5dccbd879ec34489"/>
    <x:sheet xmlns:r="http://schemas.openxmlformats.org/officeDocument/2006/relationships" name="PNJ" sheetId="3" r:id="R054a27338c6c41cf"/>
    <x:sheet xmlns:r="http://schemas.openxmlformats.org/officeDocument/2006/relationships" name="Especes_factions" sheetId="4" r:id="Rd3af4130ab464d87"/>
    <x:sheet xmlns:r="http://schemas.openxmlformats.org/officeDocument/2006/relationships" name="Mondes" sheetId="5" r:id="R4e42a256192344a4"/>
    <x:sheet xmlns:r="http://schemas.openxmlformats.org/officeDocument/2006/relationships" name="Zones" sheetId="6" r:id="Rcc141a2221c04d45"/>
    <x:sheet xmlns:r="http://schemas.openxmlformats.org/officeDocument/2006/relationships" name="Liaisons" sheetId="7" r:id="Rf6213436f6534a97"/>
    <x:sheet xmlns:r="http://schemas.openxmlformats.org/officeDocument/2006/relationships" name="Decors" sheetId="8" r:id="R687a34333f84444d"/>
    <x:sheet xmlns:r="http://schemas.openxmlformats.org/officeDocument/2006/relationships" name="Props" sheetId="9" r:id="Rddd649c6de874ee4"/>
    <x:sheet xmlns:r="http://schemas.openxmlformats.org/officeDocument/2006/relationships" name="Ennemis_boss" sheetId="10" r:id="Rfaeffd369a304cec"/>
    <x:sheet xmlns:r="http://schemas.openxmlformats.org/officeDocument/2006/relationships" name="Missions" sheetId="11" r:id="R7760d6bd6bfc40f4"/>
    <x:sheet xmlns:r="http://schemas.openxmlformats.org/officeDocument/2006/relationships" name="Secondaires_DLC" sheetId="12" r:id="Rd3567678a1f64a3b"/>
    <x:sheet xmlns:r="http://schemas.openxmlformats.org/officeDocument/2006/relationships" name="Choix_relations" sheetId="13" r:id="R8de42516e4164834"/>
    <x:sheet xmlns:r="http://schemas.openxmlformats.org/officeDocument/2006/relationships" name="Dialogues" sheetId="14" r:id="Rf29debfa328346f7"/>
    <x:sheet xmlns:r="http://schemas.openxmlformats.org/officeDocument/2006/relationships" name="Cinematiques" sheetId="15" r:id="Rbd077d58a3b44375"/>
    <x:sheet xmlns:r="http://schemas.openxmlformats.org/officeDocument/2006/relationships" name="Armes" sheetId="16" r:id="R411cbf9680c04425"/>
    <x:sheet xmlns:r="http://schemas.openxmlformats.org/officeDocument/2006/relationships" name="Armures_equipement" sheetId="17" r:id="Rac8dc242acd44331"/>
    <x:sheet xmlns:r="http://schemas.openxmlformats.org/officeDocument/2006/relationships" name="Pouvoirs" sheetId="18" r:id="Rac00cf9a03aa4e4a"/>
    <x:sheet xmlns:r="http://schemas.openxmlformats.org/officeDocument/2006/relationships" name="Movesets_allies" sheetId="19" r:id="R00bab44aca3b4a4e"/>
    <x:sheet xmlns:r="http://schemas.openxmlformats.org/officeDocument/2006/relationships" name="Movesets_ennemis" sheetId="20" r:id="R7e208be4e1134e12"/>
    <x:sheet xmlns:r="http://schemas.openxmlformats.org/officeDocument/2006/relationships" name="Animations" sheetId="21" r:id="Rf9ad293bfc7240be"/>
    <x:sheet xmlns:r="http://schemas.openxmlformats.org/officeDocument/2006/relationships" name="Sprites" sheetId="22" r:id="R5b490e54600f45bd"/>
    <x:sheet xmlns:r="http://schemas.openxmlformats.org/officeDocument/2006/relationships" name="VFX" sheetId="23" r:id="Rfce833c6ec1f417a"/>
    <x:sheet xmlns:r="http://schemas.openxmlformats.org/officeDocument/2006/relationships" name="Audio" sheetId="24" r:id="R62c85ea7ca2045f4"/>
    <x:sheet xmlns:r="http://schemas.openxmlformats.org/officeDocument/2006/relationships" name="UI_systemes" sheetId="25" r:id="Rb98272990c024a9a"/>
    <x:sheet xmlns:r="http://schemas.openxmlformats.org/officeDocument/2006/relationships" name="QA" sheetId="26" r:id="Rf2276997b9904eed"/>
    <x:sheet xmlns:r="http://schemas.openxmlformats.org/officeDocument/2006/relationships" name="Continuite" sheetId="27" r:id="R5b9ba12688ee4443"/>
    <x:sheet xmlns:r="http://schemas.openxmlformats.org/officeDocument/2006/relationships" name="Guide" sheetId="28" r:id="R9a5b20ebb4f0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8">
    <x:font>
      <x:sz val="11"/>
      <x:name val="Carlito"/>
    </x:font>
    <x:font>
      <x:sz val="10"/>
      <x:color rgb="FF183044"/>
      <x:name val="Arial"/>
    </x:font>
    <x:font>
      <x:b/>
      <x:sz val="14"/>
      <x:color rgb="FF102438"/>
      <x:name val="Arial"/>
    </x:font>
    <x:font>
      <x:i/>
      <x:sz val="10"/>
      <x:color rgb="FF4A6374"/>
      <x:name val="Arial"/>
    </x:font>
    <x:font>
      <x:sz val="10"/>
      <x:color rgb="FF557283"/>
      <x:name val="Arial"/>
    </x:font>
    <x:font>
      <x:b/>
      <x:sz val="10"/>
      <x:color rgb="FFFFFFFF"/>
      <x:name val="Arial"/>
    </x:font>
    <x:font>
      <x:b/>
      <x:sz val="14"/>
      <x:color rgb="FF087F8C"/>
      <x:name val="Arial"/>
    </x:font>
    <x:font>
      <x:i/>
      <x:sz val="10"/>
      <x:color rgb="FF18304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8FBFC"/>
      </x:patternFill>
    </x:fill>
    <x:fill>
      <x:patternFill patternType="solid">
        <x:fgColor rgb="FFFFF0C7"/>
      </x:patternFill>
    </x:fill>
    <x:fill>
      <x:patternFill patternType="solid">
        <x:fgColor rgb="FF102438"/>
      </x:patternFill>
    </x:fill>
    <x:fill>
      <x:patternFill patternType="solid">
        <x:fgColor rgb="FFEDF5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087F8C"/>
      </x:bottom>
      <x:diagonal/>
    </x:border>
    <x:border>
      <x:left style="thin">
        <x:color rgb="FFFFFFFF"/>
      </x:left>
      <x:right/>
      <x:top/>
      <x:bottom style="thin">
        <x:color rgb="FF087F8C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04"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  <x:dxf>
      <x:font>
        <x:color rgb="FF79520A"/>
      </x:font>
      <x:fill>
        <x:patternFill patternType="solid">
          <x:bgColor rgb="FFFFF2DC"/>
        </x:patternFill>
      </x:fill>
    </x:dxf>
    <x:dxf>
      <x:font>
        <x:color rgb="FF436875"/>
      </x:font>
    </x:dxf>
    <x:dxf>
      <x:font>
        <x:b/>
        <x:color rgb="FF176A4D"/>
      </x:font>
      <x:fill>
        <x:patternFill patternType="solid">
          <x:bgColor rgb="FFDDF1E8"/>
        </x:patternFill>
      </x:fill>
    </x:dxf>
    <x:dxf>
      <x:font>
        <x:b/>
        <x:color rgb="FF087F8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22f6a22d64ff6" /><Relationship Type="http://schemas.openxmlformats.org/officeDocument/2006/relationships/theme" Target="/xl/theme/theme1.xml" Id="Ra94539ce99614987" /><Relationship Type="http://schemas.openxmlformats.org/officeDocument/2006/relationships/sharedStrings" Target="/xl/sharedStrings.xml" Id="R4ed0f5619547466b" /><Relationship Type="http://schemas.openxmlformats.org/officeDocument/2006/relationships/worksheet" Target="/xl/worksheets/sheet1.xml" Id="R20d52920de784b71" /><Relationship Type="http://schemas.openxmlformats.org/officeDocument/2006/relationships/worksheet" Target="/xl/worksheets/sheet2.xml" Id="R5dccbd879ec34489" /><Relationship Type="http://schemas.openxmlformats.org/officeDocument/2006/relationships/worksheet" Target="/xl/worksheets/sheet3.xml" Id="R054a27338c6c41cf" /><Relationship Type="http://schemas.openxmlformats.org/officeDocument/2006/relationships/worksheet" Target="/xl/worksheets/sheet4.xml" Id="Rd3af4130ab464d87" /><Relationship Type="http://schemas.openxmlformats.org/officeDocument/2006/relationships/worksheet" Target="/xl/worksheets/sheet5.xml" Id="R4e42a256192344a4" /><Relationship Type="http://schemas.openxmlformats.org/officeDocument/2006/relationships/worksheet" Target="/xl/worksheets/sheet6.xml" Id="Rcc141a2221c04d45" /><Relationship Type="http://schemas.openxmlformats.org/officeDocument/2006/relationships/worksheet" Target="/xl/worksheets/sheet7.xml" Id="Rf6213436f6534a97" /><Relationship Type="http://schemas.openxmlformats.org/officeDocument/2006/relationships/worksheet" Target="/xl/worksheets/sheet8.xml" Id="R687a34333f84444d" /><Relationship Type="http://schemas.openxmlformats.org/officeDocument/2006/relationships/worksheet" Target="/xl/worksheets/sheet9.xml" Id="Rddd649c6de874ee4" /><Relationship Type="http://schemas.openxmlformats.org/officeDocument/2006/relationships/worksheet" Target="/xl/worksheets/sheet10.xml" Id="Rfaeffd369a304cec" /><Relationship Type="http://schemas.openxmlformats.org/officeDocument/2006/relationships/worksheet" Target="/xl/worksheets/sheet11.xml" Id="R7760d6bd6bfc40f4" /><Relationship Type="http://schemas.openxmlformats.org/officeDocument/2006/relationships/worksheet" Target="/xl/worksheets/sheet12.xml" Id="Rd3567678a1f64a3b" /><Relationship Type="http://schemas.openxmlformats.org/officeDocument/2006/relationships/worksheet" Target="/xl/worksheets/sheet13.xml" Id="R8de42516e4164834" /><Relationship Type="http://schemas.openxmlformats.org/officeDocument/2006/relationships/worksheet" Target="/xl/worksheets/sheet14.xml" Id="Rf29debfa328346f7" /><Relationship Type="http://schemas.openxmlformats.org/officeDocument/2006/relationships/worksheet" Target="/xl/worksheets/sheet15.xml" Id="Rbd077d58a3b44375" /><Relationship Type="http://schemas.openxmlformats.org/officeDocument/2006/relationships/worksheet" Target="/xl/worksheets/sheet16.xml" Id="R411cbf9680c04425" /><Relationship Type="http://schemas.openxmlformats.org/officeDocument/2006/relationships/worksheet" Target="/xl/worksheets/sheet17.xml" Id="Rac8dc242acd44331" /><Relationship Type="http://schemas.openxmlformats.org/officeDocument/2006/relationships/worksheet" Target="/xl/worksheets/sheet18.xml" Id="Rac00cf9a03aa4e4a" /><Relationship Type="http://schemas.openxmlformats.org/officeDocument/2006/relationships/worksheet" Target="/xl/worksheets/sheet19.xml" Id="R00bab44aca3b4a4e" /><Relationship Type="http://schemas.openxmlformats.org/officeDocument/2006/relationships/worksheet" Target="/xl/worksheets/sheet20.xml" Id="R7e208be4e1134e12" /><Relationship Type="http://schemas.openxmlformats.org/officeDocument/2006/relationships/worksheet" Target="/xl/worksheets/sheet21.xml" Id="Rf9ad293bfc7240be" /><Relationship Type="http://schemas.openxmlformats.org/officeDocument/2006/relationships/worksheet" Target="/xl/worksheets/sheet22.xml" Id="R5b490e54600f45bd" /><Relationship Type="http://schemas.openxmlformats.org/officeDocument/2006/relationships/worksheet" Target="/xl/worksheets/sheet23.xml" Id="Rfce833c6ec1f417a" /><Relationship Type="http://schemas.openxmlformats.org/officeDocument/2006/relationships/worksheet" Target="/xl/worksheets/sheet24.xml" Id="R62c85ea7ca2045f4" /><Relationship Type="http://schemas.openxmlformats.org/officeDocument/2006/relationships/worksheet" Target="/xl/worksheets/sheet25.xml" Id="Rb98272990c024a9a" /><Relationship Type="http://schemas.openxmlformats.org/officeDocument/2006/relationships/worksheet" Target="/xl/worksheets/sheet26.xml" Id="Rf2276997b9904eed" /><Relationship Type="http://schemas.openxmlformats.org/officeDocument/2006/relationships/worksheet" Target="/xl/worksheets/sheet27.xml" Id="R5b9ba12688ee4443" /><Relationship Type="http://schemas.openxmlformats.org/officeDocument/2006/relationships/worksheet" Target="/xl/worksheets/sheet28.xml" Id="R9a5b20ebb4f04290" /></Relationships>
</file>

<file path=xl/tables/table1.xml><?xml version="1.0" encoding="utf-8"?>
<x:table xmlns:x="http://schemas.openxmlformats.org/spreadsheetml/2006/main" id="1" name="INI_characters" displayName="INI_character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I_npcs" displayName="INI_npc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I_lore" displayName="INI_lore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I_worlds" displayName="INI_world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I_zones" displayName="INI_zon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I_links" displayName="INI_link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I_scenery" displayName="INI_scenery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I_props" displayName="INI_props" ref="A6:S8" headerRowCount="1" totalsRowCount="0" totalsRowShown="0">
  <x:autoFilter ref="A6:S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I_enemies" displayName="INI_enemi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NI_main_quests" displayName="INI_main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I_side_quests" displayName="INI_side_quest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NI_choices" displayName="INI_choice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NI_dialogues" displayName="INI_dialogu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NI_cinematics" displayName="INI_cinematic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I_weapons" displayName="INI_weapon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INI_equipment" displayName="INI_equipment" ref="A6:S9" headerRowCount="1" totalsRowCount="0" totalsRowShown="0">
  <x:autoFilter ref="A6:S9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INI_powers" displayName="INI_powers" ref="A6:S7" headerRowCount="1" totalsRowCount="0" totalsRowShown="0">
  <x:autoFilter ref="A6:S7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INI_ally_moves" displayName="INI_ally_moves" ref="A6:S12" headerRowCount="1" totalsRowCount="0" totalsRowShown="0">
  <x:autoFilter ref="A6:S12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INI_enemy_moves" displayName="INI_enemy_moves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INI_animations" displayName="INI_animation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INI_sprites" displayName="INI_sprites" ref="A6:S16" headerRowCount="1" totalsRowCount="0" totalsRowShown="0">
  <x:autoFilter ref="A6:S16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INI_vfx" displayName="INI_vfx" ref="A6:S10" headerRowCount="1" totalsRowCount="0" totalsRowShown="0">
  <x:autoFilter ref="A6:S10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INI_audio" displayName="INI_audio" ref="A6:S11" headerRowCount="1" totalsRowCount="0" totalsRowShown="0">
  <x:autoFilter ref="A6:S11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INI_systems" displayName="INI_systems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INI_qa" displayName="INI_qa" ref="A6:S18" headerRowCount="1" totalsRowCount="0" totalsRowShown="0">
  <x:autoFilter ref="A6:S18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INI_continuity" displayName="INI_continuity" ref="A6:S14" headerRowCount="1" totalsRowCount="0" totalsRowShown="0">
  <x:autoFilter ref="A6:S14"/>
  <x:tableColumns count="19">
    <x:tableColumn id="1" name="Identifiant"/>
    <x:tableColumn id="2" name="Élément"/>
    <x:tableColumn id="3" name="Contenu"/>
    <x:tableColumn id="4" name="Nature de la référence"/>
    <x:tableColumn id="5" name="Priorité"/>
    <x:tableColumn id="6" name="Fait ou hypothèse"/>
    <x:tableColumn id="7" name="Adaptation proposée"/>
    <x:tableColumn id="8" name="Règles et moveset proposés"/>
    <x:tableColumn id="9" name="Direction visuelle"/>
    <x:tableColumn id="10" name="Animation"/>
    <x:tableColumn id="11" name="Audio et accessibilité"/>
    <x:tableColumn id="12" name="Mise en œuvre prévue"/>
    <x:tableColumn id="13" name="Conditions et variantes"/>
    <x:tableColumn id="14" name="Critère d’acceptation"/>
    <x:tableColumn id="15" name="Dépendances"/>
    <x:tableColumn id="16" name="Repère dans l’œuvre"/>
    <x:tableColumn id="17" name="Sources"/>
    <x:tableColumn id="18" name="Sources URL"/>
    <x:tableColumn id="19" name="Notes et limi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323fad3eec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5e2ca881904f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709371929b43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f5064cb85046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a23cbb83347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1f63bfda8443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a1141b2ed947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01cbf58f2b486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e1326832914b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ef5878109204c4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c5d98b914e41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e3528a637fe469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998c28fd1054bf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6e61b9089ff146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6a12e4baee94d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37083d94cd84cb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5aa2c9b1c6241b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abaf1096057471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3ea8cef83e15405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9fe678e6c993485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db8650ba51e94c9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1c2bf6ff11e646a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9648514aa75f46b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ec748404d4f046c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9731087d3f544b10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c9d3aea92bac47b0" /></Relationships>
</file>

<file path=xl/worksheets/sheet1.xml><?xml version="1.0" encoding="utf-8"?>
<x:worksheet xmlns:x="http://schemas.openxmlformats.org/spreadsheetml/2006/main">
  <x:sheetPr>
    <x:tabColor rgb="FF102438"/>
  </x:sheetPr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5" hidden="0" customWidth="1"/>
    <x:col min="9" max="9" width="16" hidden="0" customWidth="1"/>
    <x:col min="10" max="10" width="17" hidden="0" customWidth="1"/>
    <x:col min="11" max="11" width="17" hidden="0" customWidth="1"/>
    <x:col min="12" max="12" width="17" hidden="0" customWidth="1"/>
    <x:col min="13" max="13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2" customHeight="1">
      <x:c r="A2" s="3" t="str">
        <x:v>Mass Effect Andromeda: Initiation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" customHeight="1">
      <x:c r="A3" s="4" t="str">
        <x:v>Catalogue de production. Statuts et références calculés depuis les fiches.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2" customHeight="1">
      <x:c r="A5" s="2" t="str">
        <x:v>Fiches suivies</x:v>
      </x:c>
      <x:c r="B5" s="31" t="n">
        <x:f>SUM(B10:B35)</x:f>
        <x:v>159</x:v>
      </x:c>
      <x:c r="C5" s="2"/>
      <x:c r="D5" s="2" t="str">
        <x:v>Intégrés</x:v>
      </x:c>
      <x:c r="E5" s="31" t="n">
        <x:f>SUM(E10:F35)</x:f>
        <x:v>0</x:v>
      </x:c>
      <x:c r="F5" s="2"/>
      <x:c r="G5" s="2" t="str">
        <x:v>À vérifier</x:v>
      </x:c>
      <x:c r="H5" s="31" t="n">
        <x:f>SUM(H10:H35)</x:f>
        <x:v>1</x:v>
      </x:c>
      <x:c r="I5" s="2"/>
      <x:c r="J5" s="2" t="str">
        <x:v>Extrapolations</x:v>
      </x:c>
      <x:c r="K5" s="31" t="n">
        <x:f>SUM(I10:I35)</x:f>
        <x:v>129</x:v>
      </x:c>
      <x:c r="L5" s="2"/>
      <x:c r="M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2" customHeight="1">
      <x:c r="A7" s="32" t="str">
        <x:v>Défini = spécification. Établi = référence documentée. Les colonnes d’adaptation restent des propositions.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2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34" customHeight="1">
      <x:c r="A9" s="28" t="str">
        <x:v>Domaine</x:v>
      </x:c>
      <x:c r="B9" s="29" t="str">
        <x:v>Total</x:v>
      </x:c>
      <x:c r="C9" s="29" t="str">
        <x:v>Défini</x:v>
      </x:c>
      <x:c r="D9" s="29" t="str">
        <x:v>Prototype</x:v>
      </x:c>
      <x:c r="E9" s="29" t="str">
        <x:v>Intégré</x:v>
      </x:c>
      <x:c r="F9" s="29" t="str">
        <x:v>Validé</x:v>
      </x:c>
      <x:c r="G9" s="29" t="str">
        <x:v>Établi</x:v>
      </x:c>
      <x:c r="H9" s="29" t="str">
        <x:v>À vérifier</x:v>
      </x:c>
      <x:c r="I9" s="29" t="str">
        <x:v>Extrapolation</x:v>
      </x:c>
      <x:c r="J9" s="29" t="str">
        <x:v>Coupé attesté</x:v>
      </x:c>
      <x:c r="K9" s="29" t="str">
        <x:v>Concept abandonné</x:v>
      </x:c>
      <x:c r="L9" s="29" t="str">
        <x:v>Allégation écartée</x:v>
      </x:c>
      <x:c r="M9" s="30" t="str">
        <x:v>Priorité P0</x:v>
      </x:c>
    </x:row>
    <x:row r="10" ht="22" customHeight="1">
      <x:c r="A10" s="33" t="str">
        <x:v>Personnages</x:v>
      </x:c>
      <x:c r="B10" s="37" t="n">
        <x:f>COUNTA('Personnages'!$A$7:$A$8)</x:f>
        <x:v>2</x:v>
      </x:c>
      <x:c r="C10" s="37" t="n">
        <x:f>COUNTIFS('Personnages'!$C$7:$C$8,"Défini")</x:f>
        <x:v>2</x:v>
      </x:c>
      <x:c r="D10" s="37" t="n">
        <x:f>COUNTIFS('Personnages'!$C$7:$C$8,"Prototype")</x:f>
        <x:v>0</x:v>
      </x:c>
      <x:c r="E10" s="37" t="n">
        <x:f>COUNTIFS('Personnages'!$C$7:$C$8,"Intégré")</x:f>
        <x:v>0</x:v>
      </x:c>
      <x:c r="F10" s="37" t="n">
        <x:f>COUNTIFS('Personnages'!$C$7:$C$8,"Validé")</x:f>
        <x:v>0</x:v>
      </x:c>
      <x:c r="G10" s="37" t="n">
        <x:f>COUNTIFS('Personnages'!$D$7:$D$8,"Établi")</x:f>
        <x:v>2</x:v>
      </x:c>
      <x:c r="H10" s="37" t="n">
        <x:f>COUNTIFS('Personnages'!$D$7:$D$8,"À vérifier")</x:f>
        <x:v>0</x:v>
      </x:c>
      <x:c r="I10" s="37" t="n">
        <x:f>COUNTIFS('Personnages'!$D$7:$D$8,"Extrapolation")</x:f>
        <x:v>0</x:v>
      </x:c>
      <x:c r="J10" s="37" t="n">
        <x:f>COUNTIFS('Personnages'!$D$7:$D$8,"Coupé attesté")</x:f>
        <x:v>0</x:v>
      </x:c>
      <x:c r="K10" s="37" t="n">
        <x:f>COUNTIFS('Personnages'!$D$7:$D$8,"Concept abandonné")</x:f>
        <x:v>0</x:v>
      </x:c>
      <x:c r="L10" s="37" t="n">
        <x:f>COUNTIFS('Personnages'!$D$7:$D$8,"Allégation écartée")</x:f>
        <x:v>0</x:v>
      </x:c>
      <x:c r="M10" s="37" t="n">
        <x:f>COUNTIFS('Personnages'!$E$7:$E$8,"P0")</x:f>
        <x:v>0</x:v>
      </x:c>
    </x:row>
    <x:row r="11" ht="22" customHeight="1">
      <x:c r="A11" s="2" t="str">
        <x:v>PNJ</x:v>
      </x:c>
      <x:c r="B11" s="38" t="n">
        <x:f>COUNTA('PNJ'!$A$7:$A$14)</x:f>
        <x:v>8</x:v>
      </x:c>
      <x:c r="C11" s="38" t="n">
        <x:f>COUNTIFS('PNJ'!$C$7:$C$14,"Défini")</x:f>
        <x:v>8</x:v>
      </x:c>
      <x:c r="D11" s="38" t="n">
        <x:f>COUNTIFS('PNJ'!$C$7:$C$14,"Prototype")</x:f>
        <x:v>0</x:v>
      </x:c>
      <x:c r="E11" s="38" t="n">
        <x:f>COUNTIFS('PNJ'!$C$7:$C$14,"Intégré")</x:f>
        <x:v>0</x:v>
      </x:c>
      <x:c r="F11" s="38" t="n">
        <x:f>COUNTIFS('PNJ'!$C$7:$C$14,"Validé")</x:f>
        <x:v>0</x:v>
      </x:c>
      <x:c r="G11" s="38" t="n">
        <x:f>COUNTIFS('PNJ'!$D$7:$D$14,"Établi")</x:f>
        <x:v>8</x:v>
      </x:c>
      <x:c r="H11" s="38" t="n">
        <x:f>COUNTIFS('PNJ'!$D$7:$D$14,"À vérifier")</x:f>
        <x:v>0</x:v>
      </x:c>
      <x:c r="I11" s="38" t="n">
        <x:f>COUNTIFS('PNJ'!$D$7:$D$14,"Extrapolation")</x:f>
        <x:v>0</x:v>
      </x:c>
      <x:c r="J11" s="38" t="n">
        <x:f>COUNTIFS('PNJ'!$D$7:$D$14,"Coupé attesté")</x:f>
        <x:v>0</x:v>
      </x:c>
      <x:c r="K11" s="38" t="n">
        <x:f>COUNTIFS('PNJ'!$D$7:$D$14,"Concept abandonné")</x:f>
        <x:v>0</x:v>
      </x:c>
      <x:c r="L11" s="38" t="n">
        <x:f>COUNTIFS('PNJ'!$D$7:$D$14,"Allégation écartée")</x:f>
        <x:v>0</x:v>
      </x:c>
      <x:c r="M11" s="38" t="n">
        <x:f>COUNTIFS('PNJ'!$E$7:$E$14,"P0")</x:f>
        <x:v>0</x:v>
      </x:c>
    </x:row>
    <x:row r="12" ht="22" customHeight="1">
      <x:c r="A12" s="33" t="str">
        <x:v>Espèces et factions</x:v>
      </x:c>
      <x:c r="B12" s="37" t="n">
        <x:f>COUNTA('Especes_factions'!$A$7:$A$7)</x:f>
        <x:v>1</x:v>
      </x:c>
      <x:c r="C12" s="37" t="n">
        <x:f>COUNTIFS('Especes_factions'!$C$7:$C$7,"Défini")</x:f>
        <x:v>0</x:v>
      </x:c>
      <x:c r="D12" s="37" t="n">
        <x:f>COUNTIFS('Especes_factions'!$C$7:$C$7,"Prototype")</x:f>
        <x:v>1</x:v>
      </x:c>
      <x:c r="E12" s="37" t="n">
        <x:f>COUNTIFS('Especes_factions'!$C$7:$C$7,"Intégré")</x:f>
        <x:v>0</x:v>
      </x:c>
      <x:c r="F12" s="37" t="n">
        <x:f>COUNTIFS('Especes_factions'!$C$7:$C$7,"Validé")</x:f>
        <x:v>0</x:v>
      </x:c>
      <x:c r="G12" s="37" t="n">
        <x:f>COUNTIFS('Especes_factions'!$D$7:$D$7,"Établi")</x:f>
        <x:v>1</x:v>
      </x:c>
      <x:c r="H12" s="37" t="n">
        <x:f>COUNTIFS('Especes_factions'!$D$7:$D$7,"À vérifier")</x:f>
        <x:v>0</x:v>
      </x:c>
      <x:c r="I12" s="37" t="n">
        <x:f>COUNTIFS('Especes_factions'!$D$7:$D$7,"Extrapolation")</x:f>
        <x:v>0</x:v>
      </x:c>
      <x:c r="J12" s="37" t="n">
        <x:f>COUNTIFS('Especes_factions'!$D$7:$D$7,"Coupé attesté")</x:f>
        <x:v>0</x:v>
      </x:c>
      <x:c r="K12" s="37" t="n">
        <x:f>COUNTIFS('Especes_factions'!$D$7:$D$7,"Concept abandonné")</x:f>
        <x:v>0</x:v>
      </x:c>
      <x:c r="L12" s="37" t="n">
        <x:f>COUNTIFS('Especes_factions'!$D$7:$D$7,"Allégation écartée")</x:f>
        <x:v>0</x:v>
      </x:c>
      <x:c r="M12" s="37" t="n">
        <x:f>COUNTIFS('Especes_factions'!$E$7:$E$7,"P0")</x:f>
        <x:v>0</x:v>
      </x:c>
    </x:row>
    <x:row r="13" ht="22" customHeight="1">
      <x:c r="A13" s="2" t="str">
        <x:v>Mondes</x:v>
      </x:c>
      <x:c r="B13" s="38" t="n">
        <x:f>COUNTA('Mondes'!$A$7:$A$10)</x:f>
        <x:v>4</x:v>
      </x:c>
      <x:c r="C13" s="38" t="n">
        <x:f>COUNTIFS('Mondes'!$C$7:$C$10,"Défini")</x:f>
        <x:v>0</x:v>
      </x:c>
      <x:c r="D13" s="38" t="n">
        <x:f>COUNTIFS('Mondes'!$C$7:$C$10,"Prototype")</x:f>
        <x:v>4</x:v>
      </x:c>
      <x:c r="E13" s="38" t="n">
        <x:f>COUNTIFS('Mondes'!$C$7:$C$10,"Intégré")</x:f>
        <x:v>0</x:v>
      </x:c>
      <x:c r="F13" s="38" t="n">
        <x:f>COUNTIFS('Mondes'!$C$7:$C$10,"Validé")</x:f>
        <x:v>0</x:v>
      </x:c>
      <x:c r="G13" s="38" t="n">
        <x:f>COUNTIFS('Mondes'!$D$7:$D$10,"Établi")</x:f>
        <x:v>4</x:v>
      </x:c>
      <x:c r="H13" s="38" t="n">
        <x:f>COUNTIFS('Mondes'!$D$7:$D$10,"À vérifier")</x:f>
        <x:v>0</x:v>
      </x:c>
      <x:c r="I13" s="38" t="n">
        <x:f>COUNTIFS('Mondes'!$D$7:$D$10,"Extrapolation")</x:f>
        <x:v>0</x:v>
      </x:c>
      <x:c r="J13" s="38" t="n">
        <x:f>COUNTIFS('Mondes'!$D$7:$D$10,"Coupé attesté")</x:f>
        <x:v>0</x:v>
      </x:c>
      <x:c r="K13" s="38" t="n">
        <x:f>COUNTIFS('Mondes'!$D$7:$D$10,"Concept abandonné")</x:f>
        <x:v>0</x:v>
      </x:c>
      <x:c r="L13" s="38" t="n">
        <x:f>COUNTIFS('Mondes'!$D$7:$D$10,"Allégation écartée")</x:f>
        <x:v>0</x:v>
      </x:c>
      <x:c r="M13" s="38" t="n">
        <x:f>COUNTIFS('Mondes'!$E$7:$E$10,"P0")</x:f>
        <x:v>0</x:v>
      </x:c>
    </x:row>
    <x:row r="14" ht="22" customHeight="1">
      <x:c r="A14" s="33" t="str">
        <x:v>Zones</x:v>
      </x:c>
      <x:c r="B14" s="37" t="n">
        <x:f>COUNTA('Zones'!$A$7:$A$14)</x:f>
        <x:v>8</x:v>
      </x:c>
      <x:c r="C14" s="37" t="n">
        <x:f>COUNTIFS('Zones'!$C$7:$C$14,"Défini")</x:f>
        <x:v>8</x:v>
      </x:c>
      <x:c r="D14" s="37" t="n">
        <x:f>COUNTIFS('Zones'!$C$7:$C$14,"Prototype")</x:f>
        <x:v>0</x:v>
      </x:c>
      <x:c r="E14" s="37" t="n">
        <x:f>COUNTIFS('Zones'!$C$7:$C$14,"Intégré")</x:f>
        <x:v>0</x:v>
      </x:c>
      <x:c r="F14" s="37" t="n">
        <x:f>COUNTIFS('Zones'!$C$7:$C$14,"Validé")</x:f>
        <x:v>0</x:v>
      </x:c>
      <x:c r="G14" s="37" t="n">
        <x:f>COUNTIFS('Zones'!$D$7:$D$14,"Établi")</x:f>
        <x:v>0</x:v>
      </x:c>
      <x:c r="H14" s="37" t="n">
        <x:f>COUNTIFS('Zones'!$D$7:$D$14,"À vérifier")</x:f>
        <x:v>0</x:v>
      </x:c>
      <x:c r="I14" s="37" t="n">
        <x:f>COUNTIFS('Zones'!$D$7:$D$14,"Extrapolation")</x:f>
        <x:v>8</x:v>
      </x:c>
      <x:c r="J14" s="37" t="n">
        <x:f>COUNTIFS('Zones'!$D$7:$D$14,"Coupé attesté")</x:f>
        <x:v>0</x:v>
      </x:c>
      <x:c r="K14" s="37" t="n">
        <x:f>COUNTIFS('Zones'!$D$7:$D$14,"Concept abandonné")</x:f>
        <x:v>0</x:v>
      </x:c>
      <x:c r="L14" s="37" t="n">
        <x:f>COUNTIFS('Zones'!$D$7:$D$14,"Allégation écartée")</x:f>
        <x:v>0</x:v>
      </x:c>
      <x:c r="M14" s="37" t="n">
        <x:f>COUNTIFS('Zones'!$E$7:$E$14,"P0")</x:f>
        <x:v>0</x:v>
      </x:c>
    </x:row>
    <x:row r="15" ht="22" customHeight="1">
      <x:c r="A15" s="2" t="str">
        <x:v>Liaisons</x:v>
      </x:c>
      <x:c r="B15" s="38" t="n">
        <x:f>COUNTA('Liaisons'!$A$7:$A$14)</x:f>
        <x:v>8</x:v>
      </x:c>
      <x:c r="C15" s="38" t="n">
        <x:f>COUNTIFS('Liaisons'!$C$7:$C$14,"Défini")</x:f>
        <x:v>8</x:v>
      </x:c>
      <x:c r="D15" s="38" t="n">
        <x:f>COUNTIFS('Liaisons'!$C$7:$C$14,"Prototype")</x:f>
        <x:v>0</x:v>
      </x:c>
      <x:c r="E15" s="38" t="n">
        <x:f>COUNTIFS('Liaisons'!$C$7:$C$14,"Intégré")</x:f>
        <x:v>0</x:v>
      </x:c>
      <x:c r="F15" s="38" t="n">
        <x:f>COUNTIFS('Liaisons'!$C$7:$C$14,"Validé")</x:f>
        <x:v>0</x:v>
      </x:c>
      <x:c r="G15" s="38" t="n">
        <x:f>COUNTIFS('Liaisons'!$D$7:$D$14,"Établi")</x:f>
        <x:v>0</x:v>
      </x:c>
      <x:c r="H15" s="38" t="n">
        <x:f>COUNTIFS('Liaisons'!$D$7:$D$14,"À vérifier")</x:f>
        <x:v>0</x:v>
      </x:c>
      <x:c r="I15" s="38" t="n">
        <x:f>COUNTIFS('Liaisons'!$D$7:$D$14,"Extrapolation")</x:f>
        <x:v>8</x:v>
      </x:c>
      <x:c r="J15" s="38" t="n">
        <x:f>COUNTIFS('Liaisons'!$D$7:$D$14,"Coupé attesté")</x:f>
        <x:v>0</x:v>
      </x:c>
      <x:c r="K15" s="38" t="n">
        <x:f>COUNTIFS('Liaisons'!$D$7:$D$14,"Concept abandonné")</x:f>
        <x:v>0</x:v>
      </x:c>
      <x:c r="L15" s="38" t="n">
        <x:f>COUNTIFS('Liaisons'!$D$7:$D$14,"Allégation écartée")</x:f>
        <x:v>0</x:v>
      </x:c>
      <x:c r="M15" s="38" t="n">
        <x:f>COUNTIFS('Liaisons'!$E$7:$E$14,"P0")</x:f>
        <x:v>0</x:v>
      </x:c>
    </x:row>
    <x:row r="16" ht="22" customHeight="1">
      <x:c r="A16" s="33" t="str">
        <x:v>Décors</x:v>
      </x:c>
      <x:c r="B16" s="37" t="n">
        <x:f>COUNTA('Decors'!$A$7:$A$14)</x:f>
        <x:v>8</x:v>
      </x:c>
      <x:c r="C16" s="37" t="n">
        <x:f>COUNTIFS('Decors'!$C$7:$C$14,"Défini")</x:f>
        <x:v>8</x:v>
      </x:c>
      <x:c r="D16" s="37" t="n">
        <x:f>COUNTIFS('Decors'!$C$7:$C$14,"Prototype")</x:f>
        <x:v>0</x:v>
      </x:c>
      <x:c r="E16" s="37" t="n">
        <x:f>COUNTIFS('Decors'!$C$7:$C$14,"Intégré")</x:f>
        <x:v>0</x:v>
      </x:c>
      <x:c r="F16" s="37" t="n">
        <x:f>COUNTIFS('Decors'!$C$7:$C$14,"Validé")</x:f>
        <x:v>0</x:v>
      </x:c>
      <x:c r="G16" s="37" t="n">
        <x:f>COUNTIFS('Decors'!$D$7:$D$14,"Établi")</x:f>
        <x:v>0</x:v>
      </x:c>
      <x:c r="H16" s="37" t="n">
        <x:f>COUNTIFS('Decors'!$D$7:$D$14,"À vérifier")</x:f>
        <x:v>0</x:v>
      </x:c>
      <x:c r="I16" s="37" t="n">
        <x:f>COUNTIFS('Decors'!$D$7:$D$14,"Extrapolation")</x:f>
        <x:v>8</x:v>
      </x:c>
      <x:c r="J16" s="37" t="n">
        <x:f>COUNTIFS('Decors'!$D$7:$D$14,"Coupé attesté")</x:f>
        <x:v>0</x:v>
      </x:c>
      <x:c r="K16" s="37" t="n">
        <x:f>COUNTIFS('Decors'!$D$7:$D$14,"Concept abandonné")</x:f>
        <x:v>0</x:v>
      </x:c>
      <x:c r="L16" s="37" t="n">
        <x:f>COUNTIFS('Decors'!$D$7:$D$14,"Allégation écartée")</x:f>
        <x:v>0</x:v>
      </x:c>
      <x:c r="M16" s="37" t="n">
        <x:f>COUNTIFS('Decors'!$E$7:$E$14,"P0")</x:f>
        <x:v>0</x:v>
      </x:c>
    </x:row>
    <x:row r="17" ht="22" customHeight="1">
      <x:c r="A17" s="2" t="str">
        <x:v>Props</x:v>
      </x:c>
      <x:c r="B17" s="38" t="n">
        <x:f>COUNTA('Props'!$A$7:$A$8)</x:f>
        <x:v>2</x:v>
      </x:c>
      <x:c r="C17" s="38" t="n">
        <x:f>COUNTIFS('Props'!$C$7:$C$8,"Défini")</x:f>
        <x:v>2</x:v>
      </x:c>
      <x:c r="D17" s="38" t="n">
        <x:f>COUNTIFS('Props'!$C$7:$C$8,"Prototype")</x:f>
        <x:v>0</x:v>
      </x:c>
      <x:c r="E17" s="38" t="n">
        <x:f>COUNTIFS('Props'!$C$7:$C$8,"Intégré")</x:f>
        <x:v>0</x:v>
      </x:c>
      <x:c r="F17" s="38" t="n">
        <x:f>COUNTIFS('Props'!$C$7:$C$8,"Validé")</x:f>
        <x:v>0</x:v>
      </x:c>
      <x:c r="G17" s="38" t="n">
        <x:f>COUNTIFS('Props'!$D$7:$D$8,"Établi")</x:f>
        <x:v>2</x:v>
      </x:c>
      <x:c r="H17" s="38" t="n">
        <x:f>COUNTIFS('Props'!$D$7:$D$8,"À vérifier")</x:f>
        <x:v>0</x:v>
      </x:c>
      <x:c r="I17" s="38" t="n">
        <x:f>COUNTIFS('Props'!$D$7:$D$8,"Extrapolation")</x:f>
        <x:v>0</x:v>
      </x:c>
      <x:c r="J17" s="38" t="n">
        <x:f>COUNTIFS('Props'!$D$7:$D$8,"Coupé attesté")</x:f>
        <x:v>0</x:v>
      </x:c>
      <x:c r="K17" s="38" t="n">
        <x:f>COUNTIFS('Props'!$D$7:$D$8,"Concept abandonné")</x:f>
        <x:v>0</x:v>
      </x:c>
      <x:c r="L17" s="38" t="n">
        <x:f>COUNTIFS('Props'!$D$7:$D$8,"Allégation écartée")</x:f>
        <x:v>0</x:v>
      </x:c>
      <x:c r="M17" s="38" t="n">
        <x:f>COUNTIFS('Props'!$E$7:$E$8,"P0")</x:f>
        <x:v>0</x:v>
      </x:c>
    </x:row>
    <x:row r="18" ht="22" customHeight="1">
      <x:c r="A18" s="33" t="str">
        <x:v>Ennemis et boss</x:v>
      </x:c>
      <x:c r="B18" s="37" t="n">
        <x:f>COUNTA('Ennemis_boss'!$A$7:$A$10)</x:f>
        <x:v>4</x:v>
      </x:c>
      <x:c r="C18" s="37" t="n">
        <x:f>COUNTIFS('Ennemis_boss'!$C$7:$C$10,"Défini")</x:f>
        <x:v>4</x:v>
      </x:c>
      <x:c r="D18" s="37" t="n">
        <x:f>COUNTIFS('Ennemis_boss'!$C$7:$C$10,"Prototype")</x:f>
        <x:v>0</x:v>
      </x:c>
      <x:c r="E18" s="37" t="n">
        <x:f>COUNTIFS('Ennemis_boss'!$C$7:$C$10,"Intégré")</x:f>
        <x:v>0</x:v>
      </x:c>
      <x:c r="F18" s="37" t="n">
        <x:f>COUNTIFS('Ennemis_boss'!$C$7:$C$10,"Validé")</x:f>
        <x:v>0</x:v>
      </x:c>
      <x:c r="G18" s="37" t="n">
        <x:f>COUNTIFS('Ennemis_boss'!$D$7:$D$10,"Établi")</x:f>
        <x:v>0</x:v>
      </x:c>
      <x:c r="H18" s="37" t="n">
        <x:f>COUNTIFS('Ennemis_boss'!$D$7:$D$10,"À vérifier")</x:f>
        <x:v>0</x:v>
      </x:c>
      <x:c r="I18" s="37" t="n">
        <x:f>COUNTIFS('Ennemis_boss'!$D$7:$D$10,"Extrapolation")</x:f>
        <x:v>4</x:v>
      </x:c>
      <x:c r="J18" s="37" t="n">
        <x:f>COUNTIFS('Ennemis_boss'!$D$7:$D$10,"Coupé attesté")</x:f>
        <x:v>0</x:v>
      </x:c>
      <x:c r="K18" s="37" t="n">
        <x:f>COUNTIFS('Ennemis_boss'!$D$7:$D$10,"Concept abandonné")</x:f>
        <x:v>0</x:v>
      </x:c>
      <x:c r="L18" s="37" t="n">
        <x:f>COUNTIFS('Ennemis_boss'!$D$7:$D$10,"Allégation écartée")</x:f>
        <x:v>0</x:v>
      </x:c>
      <x:c r="M18" s="37" t="n">
        <x:f>COUNTIFS('Ennemis_boss'!$E$7:$E$10,"P0")</x:f>
        <x:v>0</x:v>
      </x:c>
    </x:row>
    <x:row r="19" ht="22" customHeight="1">
      <x:c r="A19" s="2" t="str">
        <x:v>Missions</x:v>
      </x:c>
      <x:c r="B19" s="38" t="n">
        <x:f>COUNTA('Missions'!$A$7:$A$14)</x:f>
        <x:v>8</x:v>
      </x:c>
      <x:c r="C19" s="38" t="n">
        <x:f>COUNTIFS('Missions'!$C$7:$C$14,"Défini")</x:f>
        <x:v>8</x:v>
      </x:c>
      <x:c r="D19" s="38" t="n">
        <x:f>COUNTIFS('Missions'!$C$7:$C$14,"Prototype")</x:f>
        <x:v>0</x:v>
      </x:c>
      <x:c r="E19" s="38" t="n">
        <x:f>COUNTIFS('Missions'!$C$7:$C$14,"Intégré")</x:f>
        <x:v>0</x:v>
      </x:c>
      <x:c r="F19" s="38" t="n">
        <x:f>COUNTIFS('Missions'!$C$7:$C$14,"Validé")</x:f>
        <x:v>0</x:v>
      </x:c>
      <x:c r="G19" s="38" t="n">
        <x:f>COUNTIFS('Missions'!$D$7:$D$14,"Établi")</x:f>
        <x:v>0</x:v>
      </x:c>
      <x:c r="H19" s="38" t="n">
        <x:f>COUNTIFS('Missions'!$D$7:$D$14,"À vérifier")</x:f>
        <x:v>0</x:v>
      </x:c>
      <x:c r="I19" s="38" t="n">
        <x:f>COUNTIFS('Missions'!$D$7:$D$14,"Extrapolation")</x:f>
        <x:v>8</x:v>
      </x:c>
      <x:c r="J19" s="38" t="n">
        <x:f>COUNTIFS('Missions'!$D$7:$D$14,"Coupé attesté")</x:f>
        <x:v>0</x:v>
      </x:c>
      <x:c r="K19" s="38" t="n">
        <x:f>COUNTIFS('Missions'!$D$7:$D$14,"Concept abandonné")</x:f>
        <x:v>0</x:v>
      </x:c>
      <x:c r="L19" s="38" t="n">
        <x:f>COUNTIFS('Missions'!$D$7:$D$14,"Allégation écartée")</x:f>
        <x:v>0</x:v>
      </x:c>
      <x:c r="M19" s="38" t="n">
        <x:f>COUNTIFS('Missions'!$E$7:$E$14,"P0")</x:f>
        <x:v>8</x:v>
      </x:c>
    </x:row>
    <x:row r="20" ht="22" customHeight="1">
      <x:c r="A20" s="33" t="str">
        <x:v>Secondaires et DLC</x:v>
      </x:c>
      <x:c r="B20" s="37" t="n">
        <x:f>COUNTA('Secondaires_DLC'!$A$7:$A$14)</x:f>
        <x:v>8</x:v>
      </x:c>
      <x:c r="C20" s="37" t="n">
        <x:f>COUNTIFS('Secondaires_DLC'!$C$7:$C$14,"Défini")</x:f>
        <x:v>8</x:v>
      </x:c>
      <x:c r="D20" s="37" t="n">
        <x:f>COUNTIFS('Secondaires_DLC'!$C$7:$C$14,"Prototype")</x:f>
        <x:v>0</x:v>
      </x:c>
      <x:c r="E20" s="37" t="n">
        <x:f>COUNTIFS('Secondaires_DLC'!$C$7:$C$14,"Intégré")</x:f>
        <x:v>0</x:v>
      </x:c>
      <x:c r="F20" s="37" t="n">
        <x:f>COUNTIFS('Secondaires_DLC'!$C$7:$C$14,"Validé")</x:f>
        <x:v>0</x:v>
      </x:c>
      <x:c r="G20" s="37" t="n">
        <x:f>COUNTIFS('Secondaires_DLC'!$D$7:$D$14,"Établi")</x:f>
        <x:v>0</x:v>
      </x:c>
      <x:c r="H20" s="37" t="n">
        <x:f>COUNTIFS('Secondaires_DLC'!$D$7:$D$14,"À vérifier")</x:f>
        <x:v>0</x:v>
      </x:c>
      <x:c r="I20" s="37" t="n">
        <x:f>COUNTIFS('Secondaires_DLC'!$D$7:$D$14,"Extrapolation")</x:f>
        <x:v>8</x:v>
      </x:c>
      <x:c r="J20" s="37" t="n">
        <x:f>COUNTIFS('Secondaires_DLC'!$D$7:$D$14,"Coupé attesté")</x:f>
        <x:v>0</x:v>
      </x:c>
      <x:c r="K20" s="37" t="n">
        <x:f>COUNTIFS('Secondaires_DLC'!$D$7:$D$14,"Concept abandonné")</x:f>
        <x:v>0</x:v>
      </x:c>
      <x:c r="L20" s="37" t="n">
        <x:f>COUNTIFS('Secondaires_DLC'!$D$7:$D$14,"Allégation écartée")</x:f>
        <x:v>0</x:v>
      </x:c>
      <x:c r="M20" s="37" t="n">
        <x:f>COUNTIFS('Secondaires_DLC'!$E$7:$E$14,"P0")</x:f>
        <x:v>0</x:v>
      </x:c>
    </x:row>
    <x:row r="21" ht="22" customHeight="1">
      <x:c r="A21" s="2" t="str">
        <x:v>Choix et relations</x:v>
      </x:c>
      <x:c r="B21" s="38" t="n">
        <x:f>COUNTA('Choix_relations'!$A$7:$A$14)</x:f>
        <x:v>8</x:v>
      </x:c>
      <x:c r="C21" s="38" t="n">
        <x:f>COUNTIFS('Choix_relations'!$C$7:$C$14,"Défini")</x:f>
        <x:v>8</x:v>
      </x:c>
      <x:c r="D21" s="38" t="n">
        <x:f>COUNTIFS('Choix_relations'!$C$7:$C$14,"Prototype")</x:f>
        <x:v>0</x:v>
      </x:c>
      <x:c r="E21" s="38" t="n">
        <x:f>COUNTIFS('Choix_relations'!$C$7:$C$14,"Intégré")</x:f>
        <x:v>0</x:v>
      </x:c>
      <x:c r="F21" s="38" t="n">
        <x:f>COUNTIFS('Choix_relations'!$C$7:$C$14,"Validé")</x:f>
        <x:v>0</x:v>
      </x:c>
      <x:c r="G21" s="38" t="n">
        <x:f>COUNTIFS('Choix_relations'!$D$7:$D$14,"Établi")</x:f>
        <x:v>0</x:v>
      </x:c>
      <x:c r="H21" s="38" t="n">
        <x:f>COUNTIFS('Choix_relations'!$D$7:$D$14,"À vérifier")</x:f>
        <x:v>0</x:v>
      </x:c>
      <x:c r="I21" s="38" t="n">
        <x:f>COUNTIFS('Choix_relations'!$D$7:$D$14,"Extrapolation")</x:f>
        <x:v>8</x:v>
      </x:c>
      <x:c r="J21" s="38" t="n">
        <x:f>COUNTIFS('Choix_relations'!$D$7:$D$14,"Coupé attesté")</x:f>
        <x:v>0</x:v>
      </x:c>
      <x:c r="K21" s="38" t="n">
        <x:f>COUNTIFS('Choix_relations'!$D$7:$D$14,"Concept abandonné")</x:f>
        <x:v>0</x:v>
      </x:c>
      <x:c r="L21" s="38" t="n">
        <x:f>COUNTIFS('Choix_relations'!$D$7:$D$14,"Allégation écartée")</x:f>
        <x:v>0</x:v>
      </x:c>
      <x:c r="M21" s="38" t="n">
        <x:f>COUNTIFS('Choix_relations'!$E$7:$E$14,"P0")</x:f>
        <x:v>0</x:v>
      </x:c>
    </x:row>
    <x:row r="22" ht="22" customHeight="1">
      <x:c r="A22" s="33" t="str">
        <x:v>Dialogues</x:v>
      </x:c>
      <x:c r="B22" s="37" t="n">
        <x:f>COUNTA('Dialogues'!$A$7:$A$16)</x:f>
        <x:v>10</x:v>
      </x:c>
      <x:c r="C22" s="37" t="n">
        <x:f>COUNTIFS('Dialogues'!$C$7:$C$16,"Défini")</x:f>
        <x:v>10</x:v>
      </x:c>
      <x:c r="D22" s="37" t="n">
        <x:f>COUNTIFS('Dialogues'!$C$7:$C$16,"Prototype")</x:f>
        <x:v>0</x:v>
      </x:c>
      <x:c r="E22" s="37" t="n">
        <x:f>COUNTIFS('Dialogues'!$C$7:$C$16,"Intégré")</x:f>
        <x:v>0</x:v>
      </x:c>
      <x:c r="F22" s="37" t="n">
        <x:f>COUNTIFS('Dialogues'!$C$7:$C$16,"Validé")</x:f>
        <x:v>0</x:v>
      </x:c>
      <x:c r="G22" s="37" t="n">
        <x:f>COUNTIFS('Dialogues'!$D$7:$D$16,"Établi")</x:f>
        <x:v>0</x:v>
      </x:c>
      <x:c r="H22" s="37" t="n">
        <x:f>COUNTIFS('Dialogues'!$D$7:$D$16,"À vérifier")</x:f>
        <x:v>0</x:v>
      </x:c>
      <x:c r="I22" s="37" t="n">
        <x:f>COUNTIFS('Dialogues'!$D$7:$D$16,"Extrapolation")</x:f>
        <x:v>10</x:v>
      </x:c>
      <x:c r="J22" s="37" t="n">
        <x:f>COUNTIFS('Dialogues'!$D$7:$D$16,"Coupé attesté")</x:f>
        <x:v>0</x:v>
      </x:c>
      <x:c r="K22" s="37" t="n">
        <x:f>COUNTIFS('Dialogues'!$D$7:$D$16,"Concept abandonné")</x:f>
        <x:v>0</x:v>
      </x:c>
      <x:c r="L22" s="37" t="n">
        <x:f>COUNTIFS('Dialogues'!$D$7:$D$16,"Allégation écartée")</x:f>
        <x:v>0</x:v>
      </x:c>
      <x:c r="M22" s="37" t="n">
        <x:f>COUNTIFS('Dialogues'!$E$7:$E$16,"P0")</x:f>
        <x:v>0</x:v>
      </x:c>
    </x:row>
    <x:row r="23" ht="22" customHeight="1">
      <x:c r="A23" s="2" t="str">
        <x:v>Cinématiques</x:v>
      </x:c>
      <x:c r="B23" s="38" t="n">
        <x:f>COUNTA('Cinematiques'!$A$7:$A$14)</x:f>
        <x:v>8</x:v>
      </x:c>
      <x:c r="C23" s="38" t="n">
        <x:f>COUNTIFS('Cinematiques'!$C$7:$C$14,"Défini")</x:f>
        <x:v>8</x:v>
      </x:c>
      <x:c r="D23" s="38" t="n">
        <x:f>COUNTIFS('Cinematiques'!$C$7:$C$14,"Prototype")</x:f>
        <x:v>0</x:v>
      </x:c>
      <x:c r="E23" s="38" t="n">
        <x:f>COUNTIFS('Cinematiques'!$C$7:$C$14,"Intégré")</x:f>
        <x:v>0</x:v>
      </x:c>
      <x:c r="F23" s="38" t="n">
        <x:f>COUNTIFS('Cinematiques'!$C$7:$C$14,"Validé")</x:f>
        <x:v>0</x:v>
      </x:c>
      <x:c r="G23" s="38" t="n">
        <x:f>COUNTIFS('Cinematiques'!$D$7:$D$14,"Établi")</x:f>
        <x:v>0</x:v>
      </x:c>
      <x:c r="H23" s="38" t="n">
        <x:f>COUNTIFS('Cinematiques'!$D$7:$D$14,"À vérifier")</x:f>
        <x:v>0</x:v>
      </x:c>
      <x:c r="I23" s="38" t="n">
        <x:f>COUNTIFS('Cinematiques'!$D$7:$D$14,"Extrapolation")</x:f>
        <x:v>8</x:v>
      </x:c>
      <x:c r="J23" s="38" t="n">
        <x:f>COUNTIFS('Cinematiques'!$D$7:$D$14,"Coupé attesté")</x:f>
        <x:v>0</x:v>
      </x:c>
      <x:c r="K23" s="38" t="n">
        <x:f>COUNTIFS('Cinematiques'!$D$7:$D$14,"Concept abandonné")</x:f>
        <x:v>0</x:v>
      </x:c>
      <x:c r="L23" s="38" t="n">
        <x:f>COUNTIFS('Cinematiques'!$D$7:$D$14,"Allégation écartée")</x:f>
        <x:v>0</x:v>
      </x:c>
      <x:c r="M23" s="38" t="n">
        <x:f>COUNTIFS('Cinematiques'!$E$7:$E$14,"P0")</x:f>
        <x:v>0</x:v>
      </x:c>
    </x:row>
    <x:row r="24" ht="22" customHeight="1">
      <x:c r="A24" s="33" t="str">
        <x:v>Armes</x:v>
      </x:c>
      <x:c r="B24" s="37" t="n">
        <x:f>COUNTA('Armes'!$A$7:$A$7)</x:f>
        <x:v>1</x:v>
      </x:c>
      <x:c r="C24" s="37" t="n">
        <x:f>COUNTIFS('Armes'!$C$7:$C$7,"Défini")</x:f>
        <x:v>1</x:v>
      </x:c>
      <x:c r="D24" s="37" t="n">
        <x:f>COUNTIFS('Armes'!$C$7:$C$7,"Prototype")</x:f>
        <x:v>0</x:v>
      </x:c>
      <x:c r="E24" s="37" t="n">
        <x:f>COUNTIFS('Armes'!$C$7:$C$7,"Intégré")</x:f>
        <x:v>0</x:v>
      </x:c>
      <x:c r="F24" s="37" t="n">
        <x:f>COUNTIFS('Armes'!$C$7:$C$7,"Validé")</x:f>
        <x:v>0</x:v>
      </x:c>
      <x:c r="G24" s="37" t="n">
        <x:f>COUNTIFS('Armes'!$D$7:$D$7,"Établi")</x:f>
        <x:v>1</x:v>
      </x:c>
      <x:c r="H24" s="37" t="n">
        <x:f>COUNTIFS('Armes'!$D$7:$D$7,"À vérifier")</x:f>
        <x:v>0</x:v>
      </x:c>
      <x:c r="I24" s="37" t="n">
        <x:f>COUNTIFS('Armes'!$D$7:$D$7,"Extrapolation")</x:f>
        <x:v>0</x:v>
      </x:c>
      <x:c r="J24" s="37" t="n">
        <x:f>COUNTIFS('Armes'!$D$7:$D$7,"Coupé attesté")</x:f>
        <x:v>0</x:v>
      </x:c>
      <x:c r="K24" s="37" t="n">
        <x:f>COUNTIFS('Armes'!$D$7:$D$7,"Concept abandonné")</x:f>
        <x:v>0</x:v>
      </x:c>
      <x:c r="L24" s="37" t="n">
        <x:f>COUNTIFS('Armes'!$D$7:$D$7,"Allégation écartée")</x:f>
        <x:v>0</x:v>
      </x:c>
      <x:c r="M24" s="37" t="n">
        <x:f>COUNTIFS('Armes'!$E$7:$E$7,"P0")</x:f>
        <x:v>0</x:v>
      </x:c>
    </x:row>
    <x:row r="25" ht="22" customHeight="1">
      <x:c r="A25" s="2" t="str">
        <x:v>Armures et équipement</x:v>
      </x:c>
      <x:c r="B25" s="38" t="n">
        <x:f>COUNTA('Armures_equipement'!$A$7:$A$9)</x:f>
        <x:v>3</x:v>
      </x:c>
      <x:c r="C25" s="38" t="n">
        <x:f>COUNTIFS('Armures_equipement'!$C$7:$C$9,"Défini")</x:f>
        <x:v>3</x:v>
      </x:c>
      <x:c r="D25" s="38" t="n">
        <x:f>COUNTIFS('Armures_equipement'!$C$7:$C$9,"Prototype")</x:f>
        <x:v>0</x:v>
      </x:c>
      <x:c r="E25" s="38" t="n">
        <x:f>COUNTIFS('Armures_equipement'!$C$7:$C$9,"Intégré")</x:f>
        <x:v>0</x:v>
      </x:c>
      <x:c r="F25" s="38" t="n">
        <x:f>COUNTIFS('Armures_equipement'!$C$7:$C$9,"Validé")</x:f>
        <x:v>0</x:v>
      </x:c>
      <x:c r="G25" s="38" t="n">
        <x:f>COUNTIFS('Armures_equipement'!$D$7:$D$9,"Établi")</x:f>
        <x:v>3</x:v>
      </x:c>
      <x:c r="H25" s="38" t="n">
        <x:f>COUNTIFS('Armures_equipement'!$D$7:$D$9,"À vérifier")</x:f>
        <x:v>0</x:v>
      </x:c>
      <x:c r="I25" s="38" t="n">
        <x:f>COUNTIFS('Armures_equipement'!$D$7:$D$9,"Extrapolation")</x:f>
        <x:v>0</x:v>
      </x:c>
      <x:c r="J25" s="38" t="n">
        <x:f>COUNTIFS('Armures_equipement'!$D$7:$D$9,"Coupé attesté")</x:f>
        <x:v>0</x:v>
      </x:c>
      <x:c r="K25" s="38" t="n">
        <x:f>COUNTIFS('Armures_equipement'!$D$7:$D$9,"Concept abandonné")</x:f>
        <x:v>0</x:v>
      </x:c>
      <x:c r="L25" s="38" t="n">
        <x:f>COUNTIFS('Armures_equipement'!$D$7:$D$9,"Allégation écartée")</x:f>
        <x:v>0</x:v>
      </x:c>
      <x:c r="M25" s="38" t="n">
        <x:f>COUNTIFS('Armures_equipement'!$E$7:$E$9,"P0")</x:f>
        <x:v>0</x:v>
      </x:c>
    </x:row>
    <x:row r="26" ht="22" customHeight="1">
      <x:c r="A26" s="33" t="str">
        <x:v>Pouvoirs</x:v>
      </x:c>
      <x:c r="B26" s="37" t="n">
        <x:f>COUNTA('Pouvoirs'!$A$7:$A$7)</x:f>
        <x:v>1</x:v>
      </x:c>
      <x:c r="C26" s="37" t="n">
        <x:f>COUNTIFS('Pouvoirs'!$C$7:$C$7,"Défini")</x:f>
        <x:v>1</x:v>
      </x:c>
      <x:c r="D26" s="37" t="n">
        <x:f>COUNTIFS('Pouvoirs'!$C$7:$C$7,"Prototype")</x:f>
        <x:v>0</x:v>
      </x:c>
      <x:c r="E26" s="37" t="n">
        <x:f>COUNTIFS('Pouvoirs'!$C$7:$C$7,"Intégré")</x:f>
        <x:v>0</x:v>
      </x:c>
      <x:c r="F26" s="37" t="n">
        <x:f>COUNTIFS('Pouvoirs'!$C$7:$C$7,"Validé")</x:f>
        <x:v>0</x:v>
      </x:c>
      <x:c r="G26" s="37" t="n">
        <x:f>COUNTIFS('Pouvoirs'!$D$7:$D$7,"Établi")</x:f>
        <x:v>1</x:v>
      </x:c>
      <x:c r="H26" s="37" t="n">
        <x:f>COUNTIFS('Pouvoirs'!$D$7:$D$7,"À vérifier")</x:f>
        <x:v>0</x:v>
      </x:c>
      <x:c r="I26" s="37" t="n">
        <x:f>COUNTIFS('Pouvoirs'!$D$7:$D$7,"Extrapolation")</x:f>
        <x:v>0</x:v>
      </x:c>
      <x:c r="J26" s="37" t="n">
        <x:f>COUNTIFS('Pouvoirs'!$D$7:$D$7,"Coupé attesté")</x:f>
        <x:v>0</x:v>
      </x:c>
      <x:c r="K26" s="37" t="n">
        <x:f>COUNTIFS('Pouvoirs'!$D$7:$D$7,"Concept abandonné")</x:f>
        <x:v>0</x:v>
      </x:c>
      <x:c r="L26" s="37" t="n">
        <x:f>COUNTIFS('Pouvoirs'!$D$7:$D$7,"Allégation écartée")</x:f>
        <x:v>0</x:v>
      </x:c>
      <x:c r="M26" s="37" t="n">
        <x:f>COUNTIFS('Pouvoirs'!$E$7:$E$7,"P0")</x:f>
        <x:v>0</x:v>
      </x:c>
    </x:row>
    <x:row r="27" ht="22" customHeight="1">
      <x:c r="A27" s="2" t="str">
        <x:v>Movesets alliés</x:v>
      </x:c>
      <x:c r="B27" s="38" t="n">
        <x:f>COUNTA('Movesets_allies'!$A$7:$A$12)</x:f>
        <x:v>6</x:v>
      </x:c>
      <x:c r="C27" s="38" t="n">
        <x:f>COUNTIFS('Movesets_allies'!$C$7:$C$12,"Défini")</x:f>
        <x:v>6</x:v>
      </x:c>
      <x:c r="D27" s="38" t="n">
        <x:f>COUNTIFS('Movesets_allies'!$C$7:$C$12,"Prototype")</x:f>
        <x:v>0</x:v>
      </x:c>
      <x:c r="E27" s="38" t="n">
        <x:f>COUNTIFS('Movesets_allies'!$C$7:$C$12,"Intégré")</x:f>
        <x:v>0</x:v>
      </x:c>
      <x:c r="F27" s="38" t="n">
        <x:f>COUNTIFS('Movesets_allies'!$C$7:$C$12,"Validé")</x:f>
        <x:v>0</x:v>
      </x:c>
      <x:c r="G27" s="38" t="n">
        <x:f>COUNTIFS('Movesets_allies'!$D$7:$D$12,"Établi")</x:f>
        <x:v>0</x:v>
      </x:c>
      <x:c r="H27" s="38" t="n">
        <x:f>COUNTIFS('Movesets_allies'!$D$7:$D$12,"À vérifier")</x:f>
        <x:v>0</x:v>
      </x:c>
      <x:c r="I27" s="38" t="n">
        <x:f>COUNTIFS('Movesets_allies'!$D$7:$D$12,"Extrapolation")</x:f>
        <x:v>6</x:v>
      </x:c>
      <x:c r="J27" s="38" t="n">
        <x:f>COUNTIFS('Movesets_allies'!$D$7:$D$12,"Coupé attesté")</x:f>
        <x:v>0</x:v>
      </x:c>
      <x:c r="K27" s="38" t="n">
        <x:f>COUNTIFS('Movesets_allies'!$D$7:$D$12,"Concept abandonné")</x:f>
        <x:v>0</x:v>
      </x:c>
      <x:c r="L27" s="38" t="n">
        <x:f>COUNTIFS('Movesets_allies'!$D$7:$D$12,"Allégation écartée")</x:f>
        <x:v>0</x:v>
      </x:c>
      <x:c r="M27" s="38" t="n">
        <x:f>COUNTIFS('Movesets_allies'!$E$7:$E$12,"P0")</x:f>
        <x:v>0</x:v>
      </x:c>
    </x:row>
    <x:row r="28" ht="22" customHeight="1">
      <x:c r="A28" s="33" t="str">
        <x:v>Movesets ennemis</x:v>
      </x:c>
      <x:c r="B28" s="37" t="n">
        <x:f>COUNTA('Movesets_ennemis'!$A$7:$A$10)</x:f>
        <x:v>4</x:v>
      </x:c>
      <x:c r="C28" s="37" t="n">
        <x:f>COUNTIFS('Movesets_ennemis'!$C$7:$C$10,"Défini")</x:f>
        <x:v>4</x:v>
      </x:c>
      <x:c r="D28" s="37" t="n">
        <x:f>COUNTIFS('Movesets_ennemis'!$C$7:$C$10,"Prototype")</x:f>
        <x:v>0</x:v>
      </x:c>
      <x:c r="E28" s="37" t="n">
        <x:f>COUNTIFS('Movesets_ennemis'!$C$7:$C$10,"Intégré")</x:f>
        <x:v>0</x:v>
      </x:c>
      <x:c r="F28" s="37" t="n">
        <x:f>COUNTIFS('Movesets_ennemis'!$C$7:$C$10,"Validé")</x:f>
        <x:v>0</x:v>
      </x:c>
      <x:c r="G28" s="37" t="n">
        <x:f>COUNTIFS('Movesets_ennemis'!$D$7:$D$10,"Établi")</x:f>
        <x:v>0</x:v>
      </x:c>
      <x:c r="H28" s="37" t="n">
        <x:f>COUNTIFS('Movesets_ennemis'!$D$7:$D$10,"À vérifier")</x:f>
        <x:v>0</x:v>
      </x:c>
      <x:c r="I28" s="37" t="n">
        <x:f>COUNTIFS('Movesets_ennemis'!$D$7:$D$10,"Extrapolation")</x:f>
        <x:v>4</x:v>
      </x:c>
      <x:c r="J28" s="37" t="n">
        <x:f>COUNTIFS('Movesets_ennemis'!$D$7:$D$10,"Coupé attesté")</x:f>
        <x:v>0</x:v>
      </x:c>
      <x:c r="K28" s="37" t="n">
        <x:f>COUNTIFS('Movesets_ennemis'!$D$7:$D$10,"Concept abandonné")</x:f>
        <x:v>0</x:v>
      </x:c>
      <x:c r="L28" s="37" t="n">
        <x:f>COUNTIFS('Movesets_ennemis'!$D$7:$D$10,"Allégation écartée")</x:f>
        <x:v>0</x:v>
      </x:c>
      <x:c r="M28" s="37" t="n">
        <x:f>COUNTIFS('Movesets_ennemis'!$E$7:$E$10,"P0")</x:f>
        <x:v>0</x:v>
      </x:c>
    </x:row>
    <x:row r="29" ht="22" customHeight="1">
      <x:c r="A29" s="2" t="str">
        <x:v>Animations</x:v>
      </x:c>
      <x:c r="B29" s="38" t="n">
        <x:f>COUNTA('Animations'!$A$7:$A$16)</x:f>
        <x:v>10</x:v>
      </x:c>
      <x:c r="C29" s="38" t="n">
        <x:f>COUNTIFS('Animations'!$C$7:$C$16,"Défini")</x:f>
        <x:v>10</x:v>
      </x:c>
      <x:c r="D29" s="38" t="n">
        <x:f>COUNTIFS('Animations'!$C$7:$C$16,"Prototype")</x:f>
        <x:v>0</x:v>
      </x:c>
      <x:c r="E29" s="38" t="n">
        <x:f>COUNTIFS('Animations'!$C$7:$C$16,"Intégré")</x:f>
        <x:v>0</x:v>
      </x:c>
      <x:c r="F29" s="38" t="n">
        <x:f>COUNTIFS('Animations'!$C$7:$C$16,"Validé")</x:f>
        <x:v>0</x:v>
      </x:c>
      <x:c r="G29" s="38" t="n">
        <x:f>COUNTIFS('Animations'!$D$7:$D$16,"Établi")</x:f>
        <x:v>0</x:v>
      </x:c>
      <x:c r="H29" s="38" t="n">
        <x:f>COUNTIFS('Animations'!$D$7:$D$16,"À vérifier")</x:f>
        <x:v>0</x:v>
      </x:c>
      <x:c r="I29" s="38" t="n">
        <x:f>COUNTIFS('Animations'!$D$7:$D$16,"Extrapolation")</x:f>
        <x:v>10</x:v>
      </x:c>
      <x:c r="J29" s="38" t="n">
        <x:f>COUNTIFS('Animations'!$D$7:$D$16,"Coupé attesté")</x:f>
        <x:v>0</x:v>
      </x:c>
      <x:c r="K29" s="38" t="n">
        <x:f>COUNTIFS('Animations'!$D$7:$D$16,"Concept abandonné")</x:f>
        <x:v>0</x:v>
      </x:c>
      <x:c r="L29" s="38" t="n">
        <x:f>COUNTIFS('Animations'!$D$7:$D$16,"Allégation écartée")</x:f>
        <x:v>0</x:v>
      </x:c>
      <x:c r="M29" s="38" t="n">
        <x:f>COUNTIFS('Animations'!$E$7:$E$16,"P0")</x:f>
        <x:v>0</x:v>
      </x:c>
    </x:row>
    <x:row r="30" ht="22" customHeight="1">
      <x:c r="A30" s="33" t="str">
        <x:v>Sprites</x:v>
      </x:c>
      <x:c r="B30" s="37" t="n">
        <x:f>COUNTA('Sprites'!$A$7:$A$16)</x:f>
        <x:v>10</x:v>
      </x:c>
      <x:c r="C30" s="37" t="n">
        <x:f>COUNTIFS('Sprites'!$C$7:$C$16,"Défini")</x:f>
        <x:v>10</x:v>
      </x:c>
      <x:c r="D30" s="37" t="n">
        <x:f>COUNTIFS('Sprites'!$C$7:$C$16,"Prototype")</x:f>
        <x:v>0</x:v>
      </x:c>
      <x:c r="E30" s="37" t="n">
        <x:f>COUNTIFS('Sprites'!$C$7:$C$16,"Intégré")</x:f>
        <x:v>0</x:v>
      </x:c>
      <x:c r="F30" s="37" t="n">
        <x:f>COUNTIFS('Sprites'!$C$7:$C$16,"Validé")</x:f>
        <x:v>0</x:v>
      </x:c>
      <x:c r="G30" s="37" t="n">
        <x:f>COUNTIFS('Sprites'!$D$7:$D$16,"Établi")</x:f>
        <x:v>0</x:v>
      </x:c>
      <x:c r="H30" s="37" t="n">
        <x:f>COUNTIFS('Sprites'!$D$7:$D$16,"À vérifier")</x:f>
        <x:v>0</x:v>
      </x:c>
      <x:c r="I30" s="37" t="n">
        <x:f>COUNTIFS('Sprites'!$D$7:$D$16,"Extrapolation")</x:f>
        <x:v>10</x:v>
      </x:c>
      <x:c r="J30" s="37" t="n">
        <x:f>COUNTIFS('Sprites'!$D$7:$D$16,"Coupé attesté")</x:f>
        <x:v>0</x:v>
      </x:c>
      <x:c r="K30" s="37" t="n">
        <x:f>COUNTIFS('Sprites'!$D$7:$D$16,"Concept abandonné")</x:f>
        <x:v>0</x:v>
      </x:c>
      <x:c r="L30" s="37" t="n">
        <x:f>COUNTIFS('Sprites'!$D$7:$D$16,"Allégation écartée")</x:f>
        <x:v>0</x:v>
      </x:c>
      <x:c r="M30" s="37" t="n">
        <x:f>COUNTIFS('Sprites'!$E$7:$E$16,"P0")</x:f>
        <x:v>0</x:v>
      </x:c>
    </x:row>
    <x:row r="31" ht="22" customHeight="1">
      <x:c r="A31" s="2" t="str">
        <x:v>VFX</x:v>
      </x:c>
      <x:c r="B31" s="38" t="n">
        <x:f>COUNTA('VFX'!$A$7:$A$10)</x:f>
        <x:v>4</x:v>
      </x:c>
      <x:c r="C31" s="38" t="n">
        <x:f>COUNTIFS('VFX'!$C$7:$C$10,"Défini")</x:f>
        <x:v>4</x:v>
      </x:c>
      <x:c r="D31" s="38" t="n">
        <x:f>COUNTIFS('VFX'!$C$7:$C$10,"Prototype")</x:f>
        <x:v>0</x:v>
      </x:c>
      <x:c r="E31" s="38" t="n">
        <x:f>COUNTIFS('VFX'!$C$7:$C$10,"Intégré")</x:f>
        <x:v>0</x:v>
      </x:c>
      <x:c r="F31" s="38" t="n">
        <x:f>COUNTIFS('VFX'!$C$7:$C$10,"Validé")</x:f>
        <x:v>0</x:v>
      </x:c>
      <x:c r="G31" s="38" t="n">
        <x:f>COUNTIFS('VFX'!$D$7:$D$10,"Établi")</x:f>
        <x:v>0</x:v>
      </x:c>
      <x:c r="H31" s="38" t="n">
        <x:f>COUNTIFS('VFX'!$D$7:$D$10,"À vérifier")</x:f>
        <x:v>0</x:v>
      </x:c>
      <x:c r="I31" s="38" t="n">
        <x:f>COUNTIFS('VFX'!$D$7:$D$10,"Extrapolation")</x:f>
        <x:v>4</x:v>
      </x:c>
      <x:c r="J31" s="38" t="n">
        <x:f>COUNTIFS('VFX'!$D$7:$D$10,"Coupé attesté")</x:f>
        <x:v>0</x:v>
      </x:c>
      <x:c r="K31" s="38" t="n">
        <x:f>COUNTIFS('VFX'!$D$7:$D$10,"Concept abandonné")</x:f>
        <x:v>0</x:v>
      </x:c>
      <x:c r="L31" s="38" t="n">
        <x:f>COUNTIFS('VFX'!$D$7:$D$10,"Allégation écartée")</x:f>
        <x:v>0</x:v>
      </x:c>
      <x:c r="M31" s="38" t="n">
        <x:f>COUNTIFS('VFX'!$E$7:$E$10,"P0")</x:f>
        <x:v>0</x:v>
      </x:c>
    </x:row>
    <x:row r="32" ht="22" customHeight="1">
      <x:c r="A32" s="33" t="str">
        <x:v>Audio</x:v>
      </x:c>
      <x:c r="B32" s="37" t="n">
        <x:f>COUNTA('Audio'!$A$7:$A$11)</x:f>
        <x:v>5</x:v>
      </x:c>
      <x:c r="C32" s="37" t="n">
        <x:f>COUNTIFS('Audio'!$C$7:$C$11,"Défini")</x:f>
        <x:v>5</x:v>
      </x:c>
      <x:c r="D32" s="37" t="n">
        <x:f>COUNTIFS('Audio'!$C$7:$C$11,"Prototype")</x:f>
        <x:v>0</x:v>
      </x:c>
      <x:c r="E32" s="37" t="n">
        <x:f>COUNTIFS('Audio'!$C$7:$C$11,"Intégré")</x:f>
        <x:v>0</x:v>
      </x:c>
      <x:c r="F32" s="37" t="n">
        <x:f>COUNTIFS('Audio'!$C$7:$C$11,"Validé")</x:f>
        <x:v>0</x:v>
      </x:c>
      <x:c r="G32" s="37" t="n">
        <x:f>COUNTIFS('Audio'!$D$7:$D$11,"Établi")</x:f>
        <x:v>0</x:v>
      </x:c>
      <x:c r="H32" s="37" t="n">
        <x:f>COUNTIFS('Audio'!$D$7:$D$11,"À vérifier")</x:f>
        <x:v>0</x:v>
      </x:c>
      <x:c r="I32" s="37" t="n">
        <x:f>COUNTIFS('Audio'!$D$7:$D$11,"Extrapolation")</x:f>
        <x:v>5</x:v>
      </x:c>
      <x:c r="J32" s="37" t="n">
        <x:f>COUNTIFS('Audio'!$D$7:$D$11,"Coupé attesté")</x:f>
        <x:v>0</x:v>
      </x:c>
      <x:c r="K32" s="37" t="n">
        <x:f>COUNTIFS('Audio'!$D$7:$D$11,"Concept abandonné")</x:f>
        <x:v>0</x:v>
      </x:c>
      <x:c r="L32" s="37" t="n">
        <x:f>COUNTIFS('Audio'!$D$7:$D$11,"Allégation écartée")</x:f>
        <x:v>0</x:v>
      </x:c>
      <x:c r="M32" s="37" t="n">
        <x:f>COUNTIFS('Audio'!$E$7:$E$11,"P0")</x:f>
        <x:v>0</x:v>
      </x:c>
    </x:row>
    <x:row r="33" ht="22" customHeight="1">
      <x:c r="A33" s="2" t="str">
        <x:v>Systèmes et UI</x:v>
      </x:c>
      <x:c r="B33" s="38" t="n">
        <x:f>COUNTA('UI_systemes'!$A$7:$A$14)</x:f>
        <x:v>8</x:v>
      </x:c>
      <x:c r="C33" s="38" t="n">
        <x:f>COUNTIFS('UI_systemes'!$C$7:$C$14,"Défini")</x:f>
        <x:v>8</x:v>
      </x:c>
      <x:c r="D33" s="38" t="n">
        <x:f>COUNTIFS('UI_systemes'!$C$7:$C$14,"Prototype")</x:f>
        <x:v>0</x:v>
      </x:c>
      <x:c r="E33" s="38" t="n">
        <x:f>COUNTIFS('UI_systemes'!$C$7:$C$14,"Intégré")</x:f>
        <x:v>0</x:v>
      </x:c>
      <x:c r="F33" s="38" t="n">
        <x:f>COUNTIFS('UI_systemes'!$C$7:$C$14,"Validé")</x:f>
        <x:v>0</x:v>
      </x:c>
      <x:c r="G33" s="38" t="n">
        <x:f>COUNTIFS('UI_systemes'!$D$7:$D$14,"Établi")</x:f>
        <x:v>0</x:v>
      </x:c>
      <x:c r="H33" s="38" t="n">
        <x:f>COUNTIFS('UI_systemes'!$D$7:$D$14,"À vérifier")</x:f>
        <x:v>0</x:v>
      </x:c>
      <x:c r="I33" s="38" t="n">
        <x:f>COUNTIFS('UI_systemes'!$D$7:$D$14,"Extrapolation")</x:f>
        <x:v>8</x:v>
      </x:c>
      <x:c r="J33" s="38" t="n">
        <x:f>COUNTIFS('UI_systemes'!$D$7:$D$14,"Coupé attesté")</x:f>
        <x:v>0</x:v>
      </x:c>
      <x:c r="K33" s="38" t="n">
        <x:f>COUNTIFS('UI_systemes'!$D$7:$D$14,"Concept abandonné")</x:f>
        <x:v>0</x:v>
      </x:c>
      <x:c r="L33" s="38" t="n">
        <x:f>COUNTIFS('UI_systemes'!$D$7:$D$14,"Allégation écartée")</x:f>
        <x:v>0</x:v>
      </x:c>
      <x:c r="M33" s="38" t="n">
        <x:f>COUNTIFS('UI_systemes'!$E$7:$E$14,"P0")</x:f>
        <x:v>2</x:v>
      </x:c>
    </x:row>
    <x:row r="34" ht="22" customHeight="1">
      <x:c r="A34" s="33" t="str">
        <x:v>QA</x:v>
      </x:c>
      <x:c r="B34" s="37" t="n">
        <x:f>COUNTA('QA'!$A$7:$A$18)</x:f>
        <x:v>12</x:v>
      </x:c>
      <x:c r="C34" s="37" t="n">
        <x:f>COUNTIFS('QA'!$C$7:$C$18,"Défini")</x:f>
        <x:v>12</x:v>
      </x:c>
      <x:c r="D34" s="37" t="n">
        <x:f>COUNTIFS('QA'!$C$7:$C$18,"Prototype")</x:f>
        <x:v>0</x:v>
      </x:c>
      <x:c r="E34" s="37" t="n">
        <x:f>COUNTIFS('QA'!$C$7:$C$18,"Intégré")</x:f>
        <x:v>0</x:v>
      </x:c>
      <x:c r="F34" s="37" t="n">
        <x:f>COUNTIFS('QA'!$C$7:$C$18,"Validé")</x:f>
        <x:v>0</x:v>
      </x:c>
      <x:c r="G34" s="37" t="n">
        <x:f>COUNTIFS('QA'!$D$7:$D$18,"Établi")</x:f>
        <x:v>0</x:v>
      </x:c>
      <x:c r="H34" s="37" t="n">
        <x:f>COUNTIFS('QA'!$D$7:$D$18,"À vérifier")</x:f>
        <x:v>0</x:v>
      </x:c>
      <x:c r="I34" s="37" t="n">
        <x:f>COUNTIFS('QA'!$D$7:$D$18,"Extrapolation")</x:f>
        <x:v>12</x:v>
      </x:c>
      <x:c r="J34" s="37" t="n">
        <x:f>COUNTIFS('QA'!$D$7:$D$18,"Coupé attesté")</x:f>
        <x:v>0</x:v>
      </x:c>
      <x:c r="K34" s="37" t="n">
        <x:f>COUNTIFS('QA'!$D$7:$D$18,"Concept abandonné")</x:f>
        <x:v>0</x:v>
      </x:c>
      <x:c r="L34" s="37" t="n">
        <x:f>COUNTIFS('QA'!$D$7:$D$18,"Allégation écartée")</x:f>
        <x:v>0</x:v>
      </x:c>
      <x:c r="M34" s="37" t="n">
        <x:f>COUNTIFS('QA'!$E$7:$E$18,"P0")</x:f>
        <x:v>3</x:v>
      </x:c>
    </x:row>
    <x:row r="35" ht="22" customHeight="1">
      <x:c r="A35" s="2" t="str">
        <x:v>Continuité</x:v>
      </x:c>
      <x:c r="B35" s="38" t="n">
        <x:f>COUNTA('Continuite'!$A$7:$A$14)</x:f>
        <x:v>8</x:v>
      </x:c>
      <x:c r="C35" s="38" t="n">
        <x:f>COUNTIFS('Continuite'!$C$7:$C$14,"Défini")</x:f>
        <x:v>8</x:v>
      </x:c>
      <x:c r="D35" s="38" t="n">
        <x:f>COUNTIFS('Continuite'!$C$7:$C$14,"Prototype")</x:f>
        <x:v>0</x:v>
      </x:c>
      <x:c r="E35" s="38" t="n">
        <x:f>COUNTIFS('Continuite'!$C$7:$C$14,"Intégré")</x:f>
        <x:v>0</x:v>
      </x:c>
      <x:c r="F35" s="38" t="n">
        <x:f>COUNTIFS('Continuite'!$C$7:$C$14,"Validé")</x:f>
        <x:v>0</x:v>
      </x:c>
      <x:c r="G35" s="38" t="n">
        <x:f>COUNTIFS('Continuite'!$D$7:$D$14,"Établi")</x:f>
        <x:v>7</x:v>
      </x:c>
      <x:c r="H35" s="38" t="n">
        <x:f>COUNTIFS('Continuite'!$D$7:$D$14,"À vérifier")</x:f>
        <x:v>1</x:v>
      </x:c>
      <x:c r="I35" s="38" t="n">
        <x:f>COUNTIFS('Continuite'!$D$7:$D$14,"Extrapolation")</x:f>
        <x:v>0</x:v>
      </x:c>
      <x:c r="J35" s="38" t="n">
        <x:f>COUNTIFS('Continuite'!$D$7:$D$14,"Coupé attesté")</x:f>
        <x:v>0</x:v>
      </x:c>
      <x:c r="K35" s="38" t="n">
        <x:f>COUNTIFS('Continuite'!$D$7:$D$14,"Concept abandonné")</x:f>
        <x:v>0</x:v>
      </x:c>
      <x:c r="L35" s="38" t="n">
        <x:f>COUNTIFS('Continuite'!$D$7:$D$14,"Allégation écartée")</x:f>
        <x:v>0</x:v>
      </x:c>
      <x:c r="M35" s="38" t="n">
        <x:f>COUNTIFS('Continuite'!$E$7:$E$14,"P0")</x:f>
        <x:v>8</x:v>
      </x:c>
    </x:row>
    <x:row r="36" ht="22" customHeight="1">
      <x:c r="A36" s="2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</x:row>
    <x:row r="37" ht="28" customHeight="1">
      <x:c r="A37" s="21" t="str">
        <x:v>TOTAL</x:v>
      </x:c>
      <x:c r="B37" s="39" t="n">
        <x:f>SUM(B10:B35)</x:f>
        <x:v>159</x:v>
      </x:c>
      <x:c r="C37" s="39" t="n">
        <x:f>SUM(C10:C35)</x:f>
        <x:v>154</x:v>
      </x:c>
      <x:c r="D37" s="39" t="n">
        <x:f>SUM(D10:D35)</x:f>
        <x:v>5</x:v>
      </x:c>
      <x:c r="E37" s="39" t="n">
        <x:f>SUM(E10:E35)</x:f>
        <x:v>0</x:v>
      </x:c>
      <x:c r="F37" s="39" t="n">
        <x:f>SUM(F10:F35)</x:f>
        <x:v>0</x:v>
      </x:c>
      <x:c r="G37" s="39" t="n">
        <x:f>SUM(G10:G35)</x:f>
        <x:v>29</x:v>
      </x:c>
      <x:c r="H37" s="39" t="n">
        <x:f>SUM(H10:H35)</x:f>
        <x:v>1</x:v>
      </x:c>
      <x:c r="I37" s="39" t="n">
        <x:f>SUM(I10:I35)</x:f>
        <x:v>129</x:v>
      </x:c>
      <x:c r="J37" s="39" t="n">
        <x:f>SUM(J10:J35)</x:f>
        <x:v>0</x:v>
      </x:c>
      <x:c r="K37" s="39" t="n">
        <x:f>SUM(K10:K35)</x:f>
        <x:v>0</x:v>
      </x:c>
      <x:c r="L37" s="39" t="n">
        <x:f>SUM(L10:L35)</x:f>
        <x:v>0</x:v>
      </x:c>
      <x:c r="M37" s="39" t="n">
        <x:f>SUM(M10:M35)</x:f>
        <x:v>21</x:v>
      </x:c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2" customHeight="1">
      <x:c r="A39" s="2" t="str">
        <x:v>Les compteurs mesurent les fiches présentes, pas un pourcentage d’exhaustivité ou de réalisation.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22" customHeight="1">
      <x:c r="A41" s="2" t="str">
        <x:v>Périmètre, sources, incertitudes et méthode de suivi : voir Guide.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8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Personnages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Identités et fonctions dans l’œuvre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INI-CHR-CORA</x:v>
      </x:c>
      <x:c r="B7" s="9" t="str">
        <x:v>Cora Harper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Elle rejoint l’Initiative comme seconde d’Alec Ryder et doit récupérer une technologie volée.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actor.ini.cora ; rôle de référence : équipier.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INI-SRC-PUB</x:v>
      </x:c>
      <x:c r="R7" s="9" t="str">
        <x:v>https://www.penguinrandomhouse.com/books/555323/mass-effect-initiation-by-nk-jemisin/</x:v>
      </x:c>
      <x:c r="S7" s="9" t="str">
        <x:v>Le costume proposé dans les fiches de production n’est pas un modèle officiel.</x:v>
      </x:c>
    </x:row>
    <x:row r="8" ht="68" customHeight="1">
      <x:c r="A8" s="19" t="str">
        <x:v>INI-CHR-ZAHRA</x:v>
      </x:c>
      <x:c r="B8" s="7" t="str">
        <x:v>Zahra Said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Militaire survivante participant à la protection du groupe.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actor.ini.zahra ; rôle de référence : équipier.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INI-SRC-QUIET</x:v>
      </x:c>
      <x:c r="R8" s="7" t="str">
        <x:v>https://masseffect.fandom.com/wiki/Quiet_Eddy</x:v>
      </x:c>
      <x:c r="S8" s="7" t="str">
        <x:v>Le costume proposé dans les fiches de production n’est pas un modèle officiel.</x:v>
      </x:c>
    </x:row>
  </x:sheetData>
  <x:conditionalFormatting sqref="D7:D8">
    <x:cfRule type="cellIs" dxfId="0" priority="1" operator="equal">
      <x:formula>"À vérifier"</x:formula>
    </x:cfRule>
    <x:cfRule type="cellIs" dxfId="1" priority="2" operator="equal">
      <x:formula>"Extrapolation"</x:formula>
    </x:cfRule>
  </x:conditionalFormatting>
  <x:conditionalFormatting sqref="C7:C8">
    <x:cfRule type="cellIs" dxfId="2" priority="3" operator="equal">
      <x:formula>"Validé"</x:formula>
    </x:cfRule>
  </x:conditionalFormatting>
  <x:conditionalFormatting sqref="E7:E8">
    <x:cfRule type="cellIs" dxfId="3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323fad3eec48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91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PNJ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Personnages de rencontre et services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INI-CHR-SAME</x:v>
      </x:c>
      <x:c r="B7" s="9" t="str">
        <x:v>SAM-E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Partition expérimentale de SAM implantée pour assister Cora.</x:v>
      </x:c>
      <x:c r="G7" s="9" t="str">
        <x:v>Référence narrative ; proposition visuelle et interaction dans les fiches liées.</x:v>
      </x:c>
      <x:c r="H7" s="9" t="str"/>
      <x:c r="I7" s="9" t="str"/>
      <x:c r="J7" s="9" t="str"/>
      <x:c r="K7" s="9" t="str"/>
      <x:c r="L7" s="9" t="str">
        <x:v>Réserver actor.ini.same ; rôle de référence : intelligence artificielle.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Nom, rôle et présence confirmés dans la source indiquée ; aucune compétence chiffrée déduite du roman.</x:v>
      </x:c>
      <x:c r="O7" s="9" t="str"/>
      <x:c r="P7" s="9" t="str">
        <x:v>Notice de personnage ou présentation de l’œuvre ; pas de chapitre attribué.</x:v>
      </x:c>
      <x:c r="Q7" s="9" t="str">
        <x:v>INI-SRC-SAME</x:v>
      </x:c>
      <x:c r="R7" s="9" t="str">
        <x:v>https://masseffect.fandom.com/wiki/SAM-E</x:v>
      </x:c>
      <x:c r="S7" s="9" t="str">
        <x:v>Le costume proposé dans les fiches de production n’est pas un modèle officiel.</x:v>
      </x:c>
    </x:row>
    <x:row r="8" ht="68" customHeight="1">
      <x:c r="A8" s="19" t="str">
        <x:v>INI-CHR-ALEC</x:v>
      </x:c>
      <x:c r="B8" s="7" t="str">
        <x:v>Alec Ryder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Il confie la récupération du noyau volé à Cora et lui fournit SAM-E.</x:v>
      </x:c>
      <x:c r="G8" s="7" t="str">
        <x:v>Référence narrative ; proposition visuelle et interaction dans les fiches liées.</x:v>
      </x:c>
      <x:c r="H8" s="7" t="str"/>
      <x:c r="I8" s="7" t="str"/>
      <x:c r="J8" s="7" t="str"/>
      <x:c r="K8" s="7" t="str"/>
      <x:c r="L8" s="7" t="str">
        <x:v>Réserver actor.ini.alec ; rôle de référence : interlocuteur.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Nom, rôle et présence confirmés dans la source indiquée ; aucune compétence chiffrée déduite du roman.</x:v>
      </x:c>
      <x:c r="O8" s="7" t="str"/>
      <x:c r="P8" s="7" t="str">
        <x:v>Notice de personnage ou présentation de l’œuvre ; pas de chapitre attribué.</x:v>
      </x:c>
      <x:c r="Q8" s="7" t="str">
        <x:v>INI-SRC-SAME</x:v>
      </x:c>
      <x:c r="R8" s="7" t="str">
        <x:v>https://masseffect.fandom.com/wiki/SAM-E</x:v>
      </x:c>
      <x:c r="S8" s="7" t="str">
        <x:v>Le costume proposé dans les fiches de production n’est pas un modèle officiel.</x:v>
      </x:c>
    </x:row>
    <x:row r="9" ht="68" customHeight="1">
      <x:c r="A9" s="18" t="str">
        <x:v>INI-CHR-YGARA</x:v>
      </x:c>
      <x:c r="B9" s="9" t="str">
        <x:v>Ygara Menoris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Ancienne camarade asari de Cora devenue chef mercenaire.</x:v>
      </x:c>
      <x:c r="G9" s="9" t="str">
        <x:v>Référence narrative ; proposition visuelle et interaction dans les fiches liées.</x:v>
      </x:c>
      <x:c r="H9" s="9" t="str"/>
      <x:c r="I9" s="9" t="str"/>
      <x:c r="J9" s="9" t="str"/>
      <x:c r="K9" s="9" t="str"/>
      <x:c r="L9" s="9" t="str">
        <x:v>Réserver actor.ini.ygara ; rôle de référence : interlocuteur.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Nom, rôle et présence confirmés dans la source indiquée ; aucune compétence chiffrée déduite du roman.</x:v>
      </x:c>
      <x:c r="O9" s="9" t="str"/>
      <x:c r="P9" s="9" t="str">
        <x:v>Notice de personnage ou présentation de l’œuvre ; pas de chapitre attribué.</x:v>
      </x:c>
      <x:c r="Q9" s="9" t="str">
        <x:v>INI-SRC-REVIEW</x:v>
      </x:c>
      <x:c r="R9" s="9" t="str">
        <x:v>https://reactormag.com/book-reviews-mass-effect-initiation-by-n-k-jemisin-and-mac-walters-a-review//</x:v>
      </x:c>
      <x:c r="S9" s="9" t="str">
        <x:v>Le costume proposé dans les fiches de production n’est pas un modèle officiel.</x:v>
      </x:c>
    </x:row>
    <x:row r="10" ht="68" customHeight="1">
      <x:c r="A10" s="19" t="str">
        <x:v>INI-CHR-MEDEA</x:v>
      </x:c>
      <x:c r="B10" s="7" t="str">
        <x:v>Medea</x:v>
      </x:c>
      <x:c r="C10" s="15" t="str">
        <x:v>Défini</x:v>
      </x:c>
      <x:c r="D10" s="17" t="str">
        <x:v>Établi</x:v>
      </x:c>
      <x:c r="E10" s="17" t="str">
        <x:v>P1</x:v>
      </x:c>
      <x:c r="F10" s="7" t="str">
        <x:v>IA hybride défaillante qui dirige Quiet Eddy.</x:v>
      </x:c>
      <x:c r="G10" s="7" t="str">
        <x:v>Référence narrative ; proposition visuelle et interaction dans les fiches liées.</x:v>
      </x:c>
      <x:c r="H10" s="7" t="str"/>
      <x:c r="I10" s="7" t="str"/>
      <x:c r="J10" s="7" t="str"/>
      <x:c r="K10" s="7" t="str"/>
      <x:c r="L10" s="7" t="str">
        <x:v>Réserver actor.ini.medea ; rôle de référence : intelligence artificielle.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Nom, rôle et présence confirmés dans la source indiquée ; aucune compétence chiffrée déduite du roman.</x:v>
      </x:c>
      <x:c r="O10" s="7" t="str"/>
      <x:c r="P10" s="7" t="str">
        <x:v>Notice de personnage ou présentation de l’œuvre ; pas de chapitre attribué.</x:v>
      </x:c>
      <x:c r="Q10" s="7" t="str">
        <x:v>INI-SRC-MEDEA</x:v>
      </x:c>
      <x:c r="R10" s="7" t="str">
        <x:v>https://masseffect.fandom.com/wiki/Medea</x:v>
      </x:c>
      <x:c r="S10" s="7" t="str">
        <x:v>Le costume proposé dans les fiches de production n’est pas un modèle officiel.</x:v>
      </x:c>
    </x:row>
    <x:row r="11" ht="68" customHeight="1">
      <x:c r="A11" s="18" t="str">
        <x:v>INI-CHR-VLASSIA</x:v>
      </x:c>
      <x:c r="B11" s="9" t="str">
        <x:v>Vlassia Ariokis</x:v>
      </x:c>
      <x:c r="C11" s="15" t="str">
        <x:v>Défini</x:v>
      </x:c>
      <x:c r="D11" s="16" t="str">
        <x:v>Établi</x:v>
      </x:c>
      <x:c r="E11" s="16" t="str">
        <x:v>P1</x:v>
      </x:c>
      <x:c r="F11" s="9" t="str">
        <x:v>Officier du renseignement de l’Alliance affectée à Quiet Eddy.</x:v>
      </x:c>
      <x:c r="G11" s="9" t="str">
        <x:v>Référence narrative ; proposition visuelle et interaction dans les fiches liées.</x:v>
      </x:c>
      <x:c r="H11" s="9" t="str"/>
      <x:c r="I11" s="9" t="str"/>
      <x:c r="J11" s="9" t="str"/>
      <x:c r="K11" s="9" t="str"/>
      <x:c r="L11" s="9" t="str">
        <x:v>Réserver actor.ini.vlassia ; rôle de référence : interlocuteur.</x:v>
      </x:c>
      <x:c r="M11" s="9" t="str">
        <x:v>L’action reste dans la Voie lactée avant le départ des arches. SAM-E ne devient pas un compagnon durable disponible dans Andromeda ; préserver les limites et conséquences de son lien avec Cora.</x:v>
      </x:c>
      <x:c r="N11" s="9" t="str">
        <x:v>Nom, rôle et présence confirmés dans la source indiquée ; aucune compétence chiffrée déduite du roman.</x:v>
      </x:c>
      <x:c r="O11" s="9" t="str"/>
      <x:c r="P11" s="9" t="str">
        <x:v>Notice de personnage ou présentation de l’œuvre ; pas de chapitre attribué.</x:v>
      </x:c>
      <x:c r="Q11" s="9" t="str">
        <x:v>INI-SRC-VLASSIA</x:v>
      </x:c>
      <x:c r="R11" s="9" t="str">
        <x:v>https://masseffect.fandom.com/wiki/Vlassia_Ariokis</x:v>
      </x:c>
      <x:c r="S11" s="9" t="str">
        <x:v>Le costume proposé dans les fiches de production n’est pas un modèle officiel.</x:v>
      </x:c>
    </x:row>
    <x:row r="12" ht="68" customHeight="1">
      <x:c r="A12" s="19" t="str">
        <x:v>INI-CHR-JENSEN</x:v>
      </x:c>
      <x:c r="B12" s="7" t="str">
        <x:v>Rebecca Jensen</x:v>
      </x:c>
      <x:c r="C12" s="15" t="str">
        <x:v>Défini</x:v>
      </x:c>
      <x:c r="D12" s="17" t="str">
        <x:v>Établi</x:v>
      </x:c>
      <x:c r="E12" s="17" t="str">
        <x:v>P1</x:v>
      </x:c>
      <x:c r="F12" s="7" t="str">
        <x:v>Scientifique du groupe de survivants de Quiet Eddy.</x:v>
      </x:c>
      <x:c r="G12" s="7" t="str">
        <x:v>Référence narrative ; proposition visuelle et interaction dans les fiches liées.</x:v>
      </x:c>
      <x:c r="H12" s="7" t="str"/>
      <x:c r="I12" s="7" t="str"/>
      <x:c r="J12" s="7" t="str"/>
      <x:c r="K12" s="7" t="str"/>
      <x:c r="L12" s="7" t="str">
        <x:v>Réserver actor.ini.jensen ; rôle de référence : interlocuteur.</x:v>
      </x:c>
      <x:c r="M12" s="7" t="str">
        <x:v>L’action reste dans la Voie lactée avant le départ des arches. SAM-E ne devient pas un compagnon durable disponible dans Andromeda ; préserver les limites et conséquences de son lien avec Cora.</x:v>
      </x:c>
      <x:c r="N12" s="7" t="str">
        <x:v>Nom, rôle et présence confirmés dans la source indiquée ; aucune compétence chiffrée déduite du roman.</x:v>
      </x:c>
      <x:c r="O12" s="7" t="str"/>
      <x:c r="P12" s="7" t="str">
        <x:v>Notice de personnage ou présentation de l’œuvre ; pas de chapitre attribué.</x:v>
      </x:c>
      <x:c r="Q12" s="7" t="str">
        <x:v>INI-SRC-QUIET</x:v>
      </x:c>
      <x:c r="R12" s="7" t="str">
        <x:v>https://masseffect.fandom.com/wiki/Quiet_Eddy</x:v>
      </x:c>
      <x:c r="S12" s="7" t="str">
        <x:v>Le costume proposé dans les fiches de production n’est pas un modèle officiel.</x:v>
      </x:c>
    </x:row>
    <x:row r="13" ht="68" customHeight="1">
      <x:c r="A13" s="18" t="str">
        <x:v>INI-CHR-TSENG</x:v>
      </x:c>
      <x:c r="B13" s="9" t="str">
        <x:v>Dr Tseng</x:v>
      </x:c>
      <x:c r="C13" s="15" t="str">
        <x:v>Défini</x:v>
      </x:c>
      <x:c r="D13" s="16" t="str">
        <x:v>Établi</x:v>
      </x:c>
      <x:c r="E13" s="16" t="str">
        <x:v>P1</x:v>
      </x:c>
      <x:c r="F13" s="9" t="str">
        <x:v>Responsable scientifique âgé parmi les survivants de Quiet Eddy.</x:v>
      </x:c>
      <x:c r="G13" s="9" t="str">
        <x:v>Référence narrative ; proposition visuelle et interaction dans les fiches liées.</x:v>
      </x:c>
      <x:c r="H13" s="9" t="str"/>
      <x:c r="I13" s="9" t="str"/>
      <x:c r="J13" s="9" t="str"/>
      <x:c r="K13" s="9" t="str"/>
      <x:c r="L13" s="9" t="str">
        <x:v>Réserver actor.ini.tseng ; rôle de référence : interlocuteur.</x:v>
      </x:c>
      <x:c r="M13" s="9" t="str">
        <x:v>L’action reste dans la Voie lactée avant le départ des arches. SAM-E ne devient pas un compagnon durable disponible dans Andromeda ; préserver les limites et conséquences de son lien avec Cora.</x:v>
      </x:c>
      <x:c r="N13" s="9" t="str">
        <x:v>Nom, rôle et présence confirmés dans la source indiquée ; aucune compétence chiffrée déduite du roman.</x:v>
      </x:c>
      <x:c r="O13" s="9" t="str"/>
      <x:c r="P13" s="9" t="str">
        <x:v>Notice de personnage ou présentation de l’œuvre ; pas de chapitre attribué.</x:v>
      </x:c>
      <x:c r="Q13" s="9" t="str">
        <x:v>INI-SRC-QUIET</x:v>
      </x:c>
      <x:c r="R13" s="9" t="str">
        <x:v>https://masseffect.fandom.com/wiki/Quiet_Eddy</x:v>
      </x:c>
      <x:c r="S13" s="9" t="str">
        <x:v>Le costume proposé dans les fiches de production n’est pas un modèle officiel.</x:v>
      </x:c>
    </x:row>
    <x:row r="14" ht="68" customHeight="1">
      <x:c r="A14" s="19" t="str">
        <x:v>INI-CHR-ABUBAKAR</x:v>
      </x:c>
      <x:c r="B14" s="7" t="str">
        <x:v>Abubakar</x:v>
      </x:c>
      <x:c r="C14" s="15" t="str">
        <x:v>Défini</x:v>
      </x:c>
      <x:c r="D14" s="17" t="str">
        <x:v>Établi</x:v>
      </x:c>
      <x:c r="E14" s="17" t="str">
        <x:v>P1</x:v>
      </x:c>
      <x:c r="F14" s="7" t="str">
        <x:v>Personnel médical présent parmi les survivants.</x:v>
      </x:c>
      <x:c r="G14" s="7" t="str">
        <x:v>Référence narrative ; proposition visuelle et interaction dans les fiches liées.</x:v>
      </x:c>
      <x:c r="H14" s="7" t="str"/>
      <x:c r="I14" s="7" t="str"/>
      <x:c r="J14" s="7" t="str"/>
      <x:c r="K14" s="7" t="str"/>
      <x:c r="L14" s="7" t="str">
        <x:v>Réserver actor.ini.abubakar ; rôle de référence : interlocuteur.</x:v>
      </x:c>
      <x:c r="M14" s="7" t="str">
        <x:v>L’action reste dans la Voie lactée avant le départ des arches. SAM-E ne devient pas un compagnon durable disponible dans Andromeda ; préserver les limites et conséquences de son lien avec Cora.</x:v>
      </x:c>
      <x:c r="N14" s="7" t="str">
        <x:v>Nom, rôle et présence confirmés dans la source indiquée ; aucune compétence chiffrée déduite du roman.</x:v>
      </x:c>
      <x:c r="O14" s="7" t="str"/>
      <x:c r="P14" s="7" t="str">
        <x:v>Notice de personnage ou présentation de l’œuvre ; pas de chapitre attribué.</x:v>
      </x:c>
      <x:c r="Q14" s="7" t="str">
        <x:v>INI-SRC-QUIET</x:v>
      </x:c>
      <x:c r="R14" s="7" t="str">
        <x:v>https://masseffect.fandom.com/wiki/Quiet_Eddy</x:v>
      </x:c>
      <x:c r="S14" s="7" t="str">
        <x:v>Le costume proposé dans les fiches de production n’est pas un modèle officiel.</x:v>
      </x:c>
    </x:row>
  </x:sheetData>
  <x:conditionalFormatting sqref="D7:D14">
    <x:cfRule type="cellIs" dxfId="4" priority="1" operator="equal">
      <x:formula>"À vérifier"</x:formula>
    </x:cfRule>
    <x:cfRule type="cellIs" dxfId="5" priority="2" operator="equal">
      <x:formula>"Extrapolation"</x:formula>
    </x:cfRule>
  </x:conditionalFormatting>
  <x:conditionalFormatting sqref="C7:C14">
    <x:cfRule type="cellIs" dxfId="6" priority="3" operator="equal">
      <x:formula>"Validé"</x:formula>
    </x:cfRule>
  </x:conditionalFormatting>
  <x:conditionalFormatting sqref="E7:E14">
    <x:cfRule type="cellIs" dxfId="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5e2ca881904f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Espèces et factions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Espèces, organisations et règles culturelles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INI-REF-AUGMENTS</x:v>
      </x:c>
      <x:c r="B7" s="9" t="str">
        <x:v>Augments de Quiet Eddy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Des êtres augmentés sont contrôlés par Medea.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Référence documentaire INI-REF-AUGMENTS consultable dans les lectures de src/chronicle-story.js, avec sources et progression séparée. Aucune scène, carte, animation ou incarnation de personnage n’est produite par cette fiche.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INI-SRC-MEDEA</x:v>
      </x:c>
      <x:c r="R7" s="9" t="str">
        <x:v>https://masseffect.fandom.com/wiki/Medea</x:v>
      </x:c>
      <x:c r="S7" s="9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</x:sheetData>
  <x:conditionalFormatting sqref="D7:D7">
    <x:cfRule type="cellIs" dxfId="8" priority="1" operator="equal">
      <x:formula>"À vérifier"</x:formula>
    </x:cfRule>
    <x:cfRule type="cellIs" dxfId="9" priority="2" operator="equal">
      <x:formula>"Extrapolation"</x:formula>
    </x:cfRule>
  </x:conditionalFormatting>
  <x:conditionalFormatting sqref="C7:C7">
    <x:cfRule type="cellIs" dxfId="10" priority="3" operator="equal">
      <x:formula>"Validé"</x:formula>
    </x:cfRule>
  </x:conditionalFormatting>
  <x:conditionalFormatting sqref="E7:E7">
    <x:cfRule type="cellIs" dxfId="11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709371929b434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25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Mondes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Destinations et identité environnementale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INI-REF-THEIA</x:v>
      </x:c>
      <x:c r="B7" s="9" t="str">
        <x:v>Station Theia</x:v>
      </x:c>
      <x:c r="C7" s="15" t="str">
        <x:v>Prototype</x:v>
      </x:c>
      <x:c r="D7" s="16" t="str">
        <x:v>Établi</x:v>
      </x:c>
      <x:c r="E7" s="16" t="str">
        <x:v>P1</x:v>
      </x:c>
      <x:c r="F7" s="9" t="str">
        <x:v>Base de l’Initiative visitée par Cora dans la Voie lactée.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Référence documentaire INI-REF-THEIA consultable dans les lectures de src/chronicle-story.js, avec sources et progression séparée. Aucune scène, carte, animation ou incarnation de personnage n’est produite par cette fiche.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INI-SRC-STORY</x:v>
      </x:c>
      <x:c r="R7" s="9" t="str">
        <x:v>https://masseffect.fandom.com/wiki/Storyline_IV</x:v>
      </x:c>
      <x:c r="S7" s="9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  <x:row r="8" ht="82" customHeight="1">
      <x:c r="A8" s="19" t="str">
        <x:v>INI-REF-HOMEAWAY</x:v>
      </x:c>
      <x:c r="B8" s="7" t="str">
        <x:v>Home Away</x:v>
      </x:c>
      <x:c r="C8" s="15" t="str">
        <x:v>Prototype</x:v>
      </x:c>
      <x:c r="D8" s="17" t="str">
        <x:v>Établi</x:v>
      </x:c>
      <x:c r="E8" s="17" t="str">
        <x:v>P1</x:v>
      </x:c>
      <x:c r="F8" s="7" t="str">
        <x:v>Station infiltrée pendant la recherche du code volé.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Référence documentaire INI-REF-HOMEAWAY consultable dans les lectures de src/chronicle-story.js, avec sources et progression séparée. Aucune scène, carte, animation ou incarnation de personnage n’est produite par cette fiche.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INI-SRC-STORY</x:v>
      </x:c>
      <x:c r="R8" s="7" t="str">
        <x:v>https://masseffect.fandom.com/wiki/Storyline_IV</x:v>
      </x:c>
      <x:c r="S8" s="7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  <x:row r="9" ht="82" customHeight="1">
      <x:c r="A9" s="18" t="str">
        <x:v>INI-REF-ILLIUM</x:v>
      </x:c>
      <x:c r="B9" s="9" t="str">
        <x:v>Illium</x:v>
      </x:c>
      <x:c r="C9" s="15" t="str">
        <x:v>Prototype</x:v>
      </x:c>
      <x:c r="D9" s="16" t="str">
        <x:v>Établi</x:v>
      </x:c>
      <x:c r="E9" s="16" t="str">
        <x:v>P1</x:v>
      </x:c>
      <x:c r="F9" s="9" t="str">
        <x:v>La poursuite du dossier passe par Illium.</x:v>
      </x:c>
      <x:c r="G9" s="9" t="str">
        <x:v>Ancrage documentaire du module ; aucune statistique officielle inférée.</x:v>
      </x:c>
      <x:c r="H9" s="9" t="str"/>
      <x:c r="I9" s="9" t="str"/>
      <x:c r="J9" s="9" t="str"/>
      <x:c r="K9" s="9" t="str"/>
      <x:c r="L9" s="9" t="str">
        <x:v>Référence documentaire INI-REF-ILLIUM consultable dans les lectures de src/chronicle-story.js, avec sources et progression séparée. Aucune scène, carte, animation ou incarnation de personnage n’est produite par cette fiche.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La source citée atteste précisément cet élément ; modèle, plan détaillé et valeur de combat restent séparés.</x:v>
      </x:c>
      <x:c r="O9" s="9" t="str"/>
      <x:c r="P9" s="9" t="str">
        <x:v>Rubrique consultée ou synopsis éditorial ; localisation précise dans l’œuvre à relever.</x:v>
      </x:c>
      <x:c r="Q9" s="9" t="str">
        <x:v>INI-SRC-SAME</x:v>
      </x:c>
      <x:c r="R9" s="9" t="str">
        <x:v>https://masseffect.fandom.com/wiki/SAM-E</x:v>
      </x:c>
      <x:c r="S9" s="9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  <x:row r="10" ht="82" customHeight="1">
      <x:c r="A10" s="19" t="str">
        <x:v>INI-REF-QUIET</x:v>
      </x:c>
      <x:c r="B10" s="7" t="str">
        <x:v>Quiet Eddy</x:v>
      </x:c>
      <x:c r="C10" s="15" t="str">
        <x:v>Prototype</x:v>
      </x:c>
      <x:c r="D10" s="17" t="str">
        <x:v>Établi</x:v>
      </x:c>
      <x:c r="E10" s="17" t="str">
        <x:v>P1</x:v>
      </x:c>
      <x:c r="F10" s="7" t="str">
        <x:v>Petit monde abritant une installation clandestine.</x:v>
      </x:c>
      <x:c r="G10" s="7" t="str">
        <x:v>Ancrage documentaire du module ; aucune statistique officielle inférée.</x:v>
      </x:c>
      <x:c r="H10" s="7" t="str"/>
      <x:c r="I10" s="7" t="str"/>
      <x:c r="J10" s="7" t="str"/>
      <x:c r="K10" s="7" t="str"/>
      <x:c r="L10" s="7" t="str">
        <x:v>Référence documentaire INI-REF-QUIET consultable dans les lectures de src/chronicle-story.js, avec sources et progression séparée. Aucune scène, carte, animation ou incarnation de personnage n’est produite par cette fiche.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La source citée atteste précisément cet élément ; modèle, plan détaillé et valeur de combat restent séparés.</x:v>
      </x:c>
      <x:c r="O10" s="7" t="str"/>
      <x:c r="P10" s="7" t="str">
        <x:v>Rubrique consultée ou synopsis éditorial ; localisation précise dans l’œuvre à relever.</x:v>
      </x:c>
      <x:c r="Q10" s="7" t="str">
        <x:v>INI-SRC-QUIET</x:v>
      </x:c>
      <x:c r="R10" s="7" t="str">
        <x:v>https://masseffect.fandom.com/wiki/Quiet_Eddy</x:v>
      </x:c>
      <x:c r="S10" s="7" t="str">
        <x:v>Ce relevé n’est ni un inventaire exhaustif ni un résumé scène par scène. Prototype limité à une paraphrase documentaire sourcée et aux références visitées. Les autres livrables de l’œuvre restent à produire ; les personnages mentionnés ne sont pas recrutables et les lieux cités ne deviennent pas des niveaux.</x:v>
      </x:c>
    </x:row>
  </x:sheetData>
  <x:conditionalFormatting sqref="D7:D10">
    <x:cfRule type="cellIs" dxfId="12" priority="1" operator="equal">
      <x:formula>"À vérifier"</x:formula>
    </x:cfRule>
    <x:cfRule type="cellIs" dxfId="13" priority="2" operator="equal">
      <x:formula>"Extrapolation"</x:formula>
    </x:cfRule>
  </x:conditionalFormatting>
  <x:conditionalFormatting sqref="C7:C10">
    <x:cfRule type="cellIs" dxfId="14" priority="3" operator="equal">
      <x:formula>"Validé"</x:formula>
    </x:cfRule>
  </x:conditionalFormatting>
  <x:conditionalFormatting sqref="E7:E10">
    <x:cfRule type="cellIs" dxfId="1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f5064cb850461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Zones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Pièces, espaces extérieurs et points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INI-MAP-THEIA</x:v>
      </x:c>
      <x:c r="B7" s="9" t="str">
        <x:v>Salle d’affectation de Theia proposée — carte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Bloc de niveau original autour de Salle d’affectation de Theia proposée. Le plan n’est pas fourni par la source.</x:v>
      </x:c>
      <x:c r="G7" s="9" t="str">
        <x:v>Décor 3D à caméra fixe et personnages sprites. Accueil, salle de briefing et accès technique.</x:v>
      </x:c>
      <x:c r="H7" s="9" t="str">
        <x:v>Récupérer seulement les autorisations utiles à la mission. Les passages importants restent accessibles en mode pause tactique.</x:v>
      </x:c>
      <x:c r="I7" s="9" t="str">
        <x:v>Surfaces de station adaptée, matériel en préparation, fenêtre sur Sol abstraite. Séparer sol praticable, couvert et fond par valeur lumineuse.</x:v>
      </x:c>
      <x:c r="J7" s="9" t="str">
        <x:v>Occlusion douce des parois devant le groupe ; portes synchronisées avec les collisions.</x:v>
      </x:c>
      <x:c r="K7" s="9" t="str">
        <x:v>Interfaces d’assistance, pas de station et tension électronique originale. Un signal directionnel accompagne le danger local, doublé par une icône.</x:v>
      </x:c>
      <x:c r="L7" s="9" t="str">
        <x:v>maps/ini/theia.scene ; navmesh, colliders, ancrages d’entrée et sorties nommés.</x:v>
      </x:c>
      <x:c r="M7" s="9" t="str">
        <x:v>Le module ne se situe pas sur le Nexus arrivé à Héléus.</x:v>
      </x:c>
      <x:c r="N7" s="9" t="str">
        <x:v>Entrée, objectif et sortie sont reliés sans traverser une collision ; lisibilité des sprites aux carrefours.</x:v>
      </x:c>
      <x:c r="O7" s="9" t="str"/>
      <x:c r="P7" s="9" t="str"/>
      <x:c r="Q7" s="9" t="str"/>
      <x:c r="R7" s="9" t="str"/>
      <x:c r="S7" s="9" t="str">
        <x:v>Dimensions, connexions et accessoires de cette carte sont des propositions originales.</x:v>
      </x:c>
    </x:row>
    <x:row r="8" ht="68" customHeight="1">
      <x:c r="A8" s="19" t="str">
        <x:v>INI-MAP-HOMEAWAY</x:v>
      </x:c>
      <x:c r="B8" s="7" t="str">
        <x:v>Annexe serveur de Home Away proposée — carte proposée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Bloc de niveau original autour de Annexe serveur de Home Away proposée. Le plan n’est pas fourni par la source.</x:v>
      </x:c>
      <x:c r="G8" s="7" t="str">
        <x:v>Décor 3D à caméra fixe et personnages sprites. Passage public, contrôle de service et salle de nœuds.</x:v>
      </x:c>
      <x:c r="H8" s="7" t="str">
        <x:v>Les privilèges d’accès doivent être acquis séparément. Les passages importants restent accessibles en mode pause tactique.</x:v>
      </x:c>
      <x:c r="I8" s="7" t="str">
        <x:v>Décor commercial froid, câbles dissimulés et baies compactes. Séparer sol praticable, couvert et fond par valeur lumineuse.</x:v>
      </x:c>
      <x:c r="J8" s="7" t="str">
        <x:v>Occlusion douce des parois devant le groupe ; portes synchronisées avec les collisions.</x:v>
      </x:c>
      <x:c r="K8" s="7" t="str">
        <x:v>Interfaces d’assistance, pas de station et tension électronique originale. Un signal directionnel accompagne le danger local, doublé par une icône.</x:v>
      </x:c>
      <x:c r="L8" s="7" t="str">
        <x:v>maps/ini/homeaway.scene ; navmesh, colliders, ancrages d’entrée et sorties nommés.</x:v>
      </x:c>
      <x:c r="M8" s="7" t="str">
        <x:v>SAM-E n’est pas une clé omnipotente.</x:v>
      </x:c>
      <x:c r="N8" s="7" t="str">
        <x:v>Entrée, objectif et sortie sont reliés sans traverser une collision ; lisibilité des sprites aux carrefours.</x:v>
      </x:c>
      <x:c r="O8" s="7" t="str"/>
      <x:c r="P8" s="7" t="str"/>
      <x:c r="Q8" s="7" t="str"/>
      <x:c r="R8" s="7" t="str"/>
      <x:c r="S8" s="7" t="str">
        <x:v>Dimensions, connexions et accessoires de cette carte sont des propositions originales.</x:v>
      </x:c>
    </x:row>
    <x:row r="9" ht="68" customHeight="1">
      <x:c r="A9" s="18" t="str">
        <x:v>INI-MAP-AUDACITY</x:v>
      </x:c>
      <x:c r="B9" s="9" t="str">
        <x:v>Soute de l’Audacity proposée — carte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Bloc de niveau original autour de Soute de l’Audacity proposée. Le plan n’est pas fourni par la source.</x:v>
      </x:c>
      <x:c r="G9" s="9" t="str">
        <x:v>Décor 3D à caméra fixe et personnages sprites. Caisses, passerelle et sas de secours.</x:v>
      </x:c>
      <x:c r="H9" s="9" t="str">
        <x:v>La sortie requiert vérification du matériel de survie. Les passages importants restent accessibles en mode pause tactique.</x:v>
      </x:c>
      <x:c r="I9" s="9" t="str">
        <x:v>Métal sombre, équipements amarrés, espace de couverture limité. Séparer sol praticable, couvert et fond par valeur lumineuse.</x:v>
      </x:c>
      <x:c r="J9" s="9" t="str">
        <x:v>Occlusion douce des parois devant le groupe ; portes synchronisées avec les collisions.</x:v>
      </x:c>
      <x:c r="K9" s="9" t="str">
        <x:v>Interfaces d’assistance, pas de station et tension électronique originale. Un signal directionnel accompagne le danger local, doublé par une icône.</x:v>
      </x:c>
      <x:c r="L9" s="9" t="str">
        <x:v>maps/ini/audacity.scene ; navmesh, colliders, ancrages d’entrée et sorties nommés.</x:v>
      </x:c>
      <x:c r="M9" s="9" t="str">
        <x:v>L’issue n’invente pas un triomphe durable sur Ygara.</x:v>
      </x:c>
      <x:c r="N9" s="9" t="str">
        <x:v>Entrée, objectif et sortie sont reliés sans traverser une collision ; lisibilité des sprites aux carrefours.</x:v>
      </x:c>
      <x:c r="O9" s="9" t="str"/>
      <x:c r="P9" s="9" t="str"/>
      <x:c r="Q9" s="9" t="str"/>
      <x:c r="R9" s="9" t="str"/>
      <x:c r="S9" s="9" t="str">
        <x:v>Dimensions, connexions et accessoires de cette carte sont des propositions originales.</x:v>
      </x:c>
    </x:row>
    <x:row r="10" ht="68" customHeight="1">
      <x:c r="A10" s="19" t="str">
        <x:v>INI-MAP-TRANSIT</x:v>
      </x:c>
      <x:c r="B10" s="7" t="str">
        <x:v>Espace de secours abstrait — carte proposée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Bloc de niveau original autour de Espace de secours abstrait. Le plan n’est pas fourni par la source.</x:v>
      </x:c>
      <x:c r="G10" s="7" t="str">
        <x:v>Décor 3D à caméra fixe et personnages sprites. Interface de combinaison et vue externe sans labyrinthe spatial.</x:v>
      </x:c>
      <x:c r="H10" s="7" t="str">
        <x:v>Le temps diégétique avance par objectifs, pas pendant la lecture. Les passages importants restent accessibles en mode pause tactique.</x:v>
      </x:c>
      <x:c r="I10" s="7" t="str">
        <x:v>Fond étoilé sobre, faible mouvement, informations de réserve claires. Séparer sol praticable, couvert et fond par valeur lumineuse.</x:v>
      </x:c>
      <x:c r="J10" s="7" t="str">
        <x:v>Occlusion douce des parois devant le groupe ; portes synchronisées avec les collisions.</x:v>
      </x:c>
      <x:c r="K10" s="7" t="str">
        <x:v>Interfaces d’assistance, pas de station et tension électronique originale. Un signal directionnel accompagne le danger local, doublé par une icône.</x:v>
      </x:c>
      <x:c r="L10" s="7" t="str">
        <x:v>maps/ini/transit.scene ; navmesh, colliders, ancrages d’entrée et sorties nommés.</x:v>
      </x:c>
      <x:c r="M10" s="7" t="str">
        <x:v>Aucune mécanique réaliste d’exposition au vide prétendue.</x:v>
      </x:c>
      <x:c r="N10" s="7" t="str">
        <x:v>Entrée, objectif et sortie sont reliés sans traverser une collision ; lisibilité des sprites aux carrefours.</x:v>
      </x:c>
      <x:c r="O10" s="7" t="str"/>
      <x:c r="P10" s="7" t="str"/>
      <x:c r="Q10" s="7" t="str"/>
      <x:c r="R10" s="7" t="str"/>
      <x:c r="S10" s="7" t="str">
        <x:v>Dimensions, connexions et accessoires de cette carte sont des propositions originales.</x:v>
      </x:c>
    </x:row>
    <x:row r="11" ht="68" customHeight="1">
      <x:c r="A11" s="18" t="str">
        <x:v>INI-MAP-ILLIUM</x:v>
      </x:c>
      <x:c r="B11" s="9" t="str">
        <x:v>Relais d’enquête sur Illium proposé — carte proposée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Bloc de niveau original autour de Relais d’enquête sur Illium proposé. Le plan n’est pas fourni par la source.</x:v>
      </x:c>
      <x:c r="G11" s="9" t="str">
        <x:v>Décor 3D à caméra fixe et personnages sprites. Comptoir, accès de service et salle de rendez-vous.</x:v>
      </x:c>
      <x:c r="H11" s="9" t="str">
        <x:v>Recouper un identifiant avant de suivre un contact. Les passages importants restent accessibles en mode pause tactique.</x:v>
      </x:c>
      <x:c r="I11" s="9" t="str">
        <x:v>Architecture verticale en fond, interfaces de commerce originales. Séparer sol praticable, couvert et fond par valeur lumineuse.</x:v>
      </x:c>
      <x:c r="J11" s="9" t="str">
        <x:v>Occlusion douce des parois devant le groupe ; portes synchronisées avec les collisions.</x:v>
      </x:c>
      <x:c r="K11" s="9" t="str">
        <x:v>Interfaces d’assistance, pas de station et tension électronique originale. Un signal directionnel accompagne le danger local, doublé par une icône.</x:v>
      </x:c>
      <x:c r="L11" s="9" t="str">
        <x:v>maps/ini/illium.scene ; navmesh, colliders, ancrages d’entrée et sorties nommés.</x:v>
      </x:c>
      <x:c r="M11" s="9" t="str">
        <x:v>Ne pas attribuer une entreprise inventée à la source.</x:v>
      </x:c>
      <x:c r="N11" s="9" t="str">
        <x:v>Entrée, objectif et sortie sont reliés sans traverser une collision ; lisibilité des sprites aux carrefours.</x:v>
      </x:c>
      <x:c r="O11" s="9" t="str"/>
      <x:c r="P11" s="9" t="str"/>
      <x:c r="Q11" s="9" t="str"/>
      <x:c r="R11" s="9" t="str"/>
      <x:c r="S11" s="9" t="str">
        <x:v>Dimensions, connexions et accessoires de cette carte sont des propositions originales.</x:v>
      </x:c>
    </x:row>
    <x:row r="12" ht="68" customHeight="1">
      <x:c r="A12" s="19" t="str">
        <x:v>INI-MAP-QUIET</x:v>
      </x:c>
      <x:c r="B12" s="7" t="str">
        <x:v>Approche de Quiet Eddy proposée — carte proposée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Bloc de niveau original autour de Approche de Quiet Eddy proposée. Le plan n’est pas fourni par la source.</x:v>
      </x:c>
      <x:c r="G12" s="7" t="str">
        <x:v>Décor 3D à caméra fixe et personnages sprites. Hangar, galerie endommagée et poste d’accueil désert.</x:v>
      </x:c>
      <x:c r="H12" s="7" t="str">
        <x:v>Les signaux du réseau peuvent être mensongers. Les passages importants restent accessibles en mode pause tactique.</x:v>
      </x:c>
      <x:c r="I12" s="7" t="str">
        <x:v>Lumières d’urgence, machines interrompues, silhouettes masquées. Séparer sol praticable, couvert et fond par valeur lumineuse.</x:v>
      </x:c>
      <x:c r="J12" s="7" t="str">
        <x:v>Occlusion douce des parois devant le groupe ; portes synchronisées avec les collisions.</x:v>
      </x:c>
      <x:c r="K12" s="7" t="str">
        <x:v>Interfaces d’assistance, pas de station et tension électronique originale. Un signal directionnel accompagne le danger local, doublé par une icône.</x:v>
      </x:c>
      <x:c r="L12" s="7" t="str">
        <x:v>maps/ini/quiet.scene ; navmesh, colliders, ancrages d’entrée et sorties nommés.</x:v>
      </x:c>
      <x:c r="M12" s="7" t="str">
        <x:v>Ne pas transformer la station en plan officiel intégral.</x:v>
      </x:c>
      <x:c r="N12" s="7" t="str">
        <x:v>Entrée, objectif et sortie sont reliés sans traverser une collision ; lisibilité des sprites aux carrefours.</x:v>
      </x:c>
      <x:c r="O12" s="7" t="str"/>
      <x:c r="P12" s="7" t="str"/>
      <x:c r="Q12" s="7" t="str"/>
      <x:c r="R12" s="7" t="str"/>
      <x:c r="S12" s="7" t="str">
        <x:v>Dimensions, connexions et accessoires de cette carte sont des propositions originales.</x:v>
      </x:c>
    </x:row>
    <x:row r="13" ht="68" customHeight="1">
      <x:c r="A13" s="18" t="str">
        <x:v>INI-MAP-GAMMA</x:v>
      </x:c>
      <x:c r="B13" s="9" t="str">
        <x:v>Refuge Gamma proposé — carte proposée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Bloc de niveau original autour de Refuge Gamma proposé. Le plan n’est pas fourni par la source.</x:v>
      </x:c>
      <x:c r="G13" s="9" t="str">
        <x:v>Décor 3D à caméra fixe et personnages sprites. Salle sûre, table de plan et sortie étroite.</x:v>
      </x:c>
      <x:c r="H13" s="9" t="str">
        <x:v>Préparer le trajet et répartir la protection avant de sortir. Les passages importants restent accessibles en mode pause tactique.</x:v>
      </x:c>
      <x:c r="I13" s="9" t="str">
        <x:v>Matériel improvisé, groupes de civils, portes renforcées. Séparer sol praticable, couvert et fond par valeur lumineuse.</x:v>
      </x:c>
      <x:c r="J13" s="9" t="str">
        <x:v>Occlusion douce des parois devant le groupe ; portes synchronisées avec les collisions.</x:v>
      </x:c>
      <x:c r="K13" s="9" t="str">
        <x:v>Interfaces d’assistance, pas de station et tension électronique originale. Un signal directionnel accompagne le danger local, doublé par une icône.</x:v>
      </x:c>
      <x:c r="L13" s="9" t="str">
        <x:v>maps/ini/gamma.scene ; navmesh, colliders, ancrages d’entrée et sorties nommés.</x:v>
      </x:c>
      <x:c r="M13" s="9" t="str">
        <x:v>Les civils ne deviennent pas des unités sacrifiables.</x:v>
      </x:c>
      <x:c r="N13" s="9" t="str">
        <x:v>Entrée, objectif et sortie sont reliés sans traverser une collision ; lisibilité des sprites aux carrefours.</x:v>
      </x:c>
      <x:c r="O13" s="9" t="str"/>
      <x:c r="P13" s="9" t="str"/>
      <x:c r="Q13" s="9" t="str"/>
      <x:c r="R13" s="9" t="str"/>
      <x:c r="S13" s="9" t="str">
        <x:v>Dimensions, connexions et accessoires de cette carte sont des propositions originales.</x:v>
      </x:c>
    </x:row>
    <x:row r="14" ht="68" customHeight="1">
      <x:c r="A14" s="19" t="str">
        <x:v>INI-MAP-HYPERION</x:v>
      </x:c>
      <x:c r="B14" s="7" t="str">
        <x:v>Accès du nœud SAM proposé — carte proposée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Bloc de niveau original autour de Accès du nœud SAM proposé. Le plan n’est pas fourni par la source.</x:v>
      </x:c>
      <x:c r="G14" s="7" t="str">
        <x:v>Décor 3D à caméra fixe et personnages sprites. Couloir technique, salle de processeurs et espace de dialogue.</x:v>
      </x:c>
      <x:c r="H14" s="7" t="str">
        <x:v>Un état de panne force une conclusion narrative contrôlée. Les passages importants restent accessibles en mode pause tactique.</x:v>
      </x:c>
      <x:c r="I14" s="7" t="str">
        <x:v>Bleu profond, volumes protégés, réseau lumineux abstrait. Séparer sol praticable, couvert et fond par valeur lumineuse.</x:v>
      </x:c>
      <x:c r="J14" s="7" t="str">
        <x:v>Occlusion douce des parois devant le groupe ; portes synchronisées avec les collisions.</x:v>
      </x:c>
      <x:c r="K14" s="7" t="str">
        <x:v>Interfaces d’assistance, pas de station et tension électronique originale. Un signal directionnel accompagne le danger local, doublé par une icône.</x:v>
      </x:c>
      <x:c r="L14" s="7" t="str">
        <x:v>maps/ini/hyperion.scene ; navmesh, colliders, ancrages d’entrée et sorties nommés.</x:v>
      </x:c>
      <x:c r="M14" s="7" t="str">
        <x:v>Ne pas conserver un SAM-E autonome après son terme narratif.</x:v>
      </x:c>
      <x:c r="N14" s="7" t="str">
        <x:v>Entrée, objectif et sortie sont reliés sans traverser une collision ; lisibilité des sprites aux carrefours.</x:v>
      </x:c>
      <x:c r="O14" s="7" t="str"/>
      <x:c r="P14" s="7" t="str"/>
      <x:c r="Q14" s="7" t="str"/>
      <x:c r="R14" s="7" t="str"/>
      <x:c r="S14" s="7" t="str">
        <x:v>Dimensions, connexions et accessoires de cette carte sont des propositions originales.</x:v>
      </x:c>
    </x:row>
  </x:sheetData>
  <x:conditionalFormatting sqref="D7:D14">
    <x:cfRule type="cellIs" dxfId="16" priority="1" operator="equal">
      <x:formula>"À vérifier"</x:formula>
    </x:cfRule>
    <x:cfRule type="cellIs" dxfId="17" priority="2" operator="equal">
      <x:formula>"Extrapolation"</x:formula>
    </x:cfRule>
  </x:conditionalFormatting>
  <x:conditionalFormatting sqref="C7:C14">
    <x:cfRule type="cellIs" dxfId="18" priority="3" operator="equal">
      <x:formula>"Validé"</x:formula>
    </x:cfRule>
  </x:conditionalFormatting>
  <x:conditionalFormatting sqref="E7:E14">
    <x:cfRule type="cellIs" dxfId="1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a23cbb83347a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10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Liaisons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Continuité spatiale et conditions de passage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INI-LNK-THEIA</x:v>
      </x:c>
      <x:c r="B7" s="9" t="str">
        <x:v>Salle d’affectation de Theia proposée — transition de module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Liaison de niveau proposée, sans prétendre établir une géographie officielle.</x:v>
      </x:c>
      <x:c r="G7" s="9" t="str">
        <x:v>Associer un point de départ dans Salle d’affectation de Theia proposée au bloc Annexe serveur de Home Away proposée; transit masqué lorsque les lieux sont éloignés.</x:v>
      </x:c>
      <x:c r="H7" s="9" t="str">
        <x:v>Sortie inactive pendant une interaction critique ; confirmation uniquement si le retour est temporairement fermé.</x:v>
      </x:c>
      <x:c r="I7" s="9" t="str">
        <x:v>Flèche de sortie et nom du lieu cible ; distinguer voyage spatial et porte adjacente.</x:v>
      </x:c>
      <x:c r="J7" s="9" t="str">
        <x:v>Regroupement des sprites avant fondu ; aucun personnage laissé derrière hors cadre.</x:v>
      </x:c>
      <x:c r="K7" s="9" t="str">
        <x:v>Transition d’ambiance progressive ; sous-titre de lieu affiché après chargement.</x:v>
      </x:c>
      <x:c r="L7" s="9" t="str">
        <x:v>links/ini.json : theia -&gt; homeaway; sauvegarde avant transit, restauration à un ancrage sûr.</x:v>
      </x:c>
      <x:c r="M7" s="9" t="str">
        <x:v>Le module ne se situe pas sur le Nexus arrivé à Héléus.</x:v>
      </x:c>
      <x:c r="N7" s="9" t="str">
        <x:v>Le groupe arrive au bon ancrage après chargement ; aller-retour ne duplique ni objet ni dialogue.</x:v>
      </x:c>
      <x:c r="O7" s="9" t="str">
        <x:v>INI-MAP-THEIA, INI-MAP-HOMEAWAY</x:v>
      </x:c>
      <x:c r="P7" s="9" t="str"/>
      <x:c r="Q7" s="9" t="str"/>
      <x:c r="R7" s="9" t="str"/>
      <x:c r="S7" s="9" t="str">
        <x:v>Boucle de parcours de production ; la dernière liaison sert à la consultation post-module, pas à remonter le temps.</x:v>
      </x:c>
    </x:row>
    <x:row r="8" ht="68" customHeight="1">
      <x:c r="A8" s="19" t="str">
        <x:v>INI-LNK-HOMEAWAY</x:v>
      </x:c>
      <x:c r="B8" s="7" t="str">
        <x:v>Annexe serveur de Home Away proposée — transition de module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Liaison de niveau proposée, sans prétendre établir une géographie officielle.</x:v>
      </x:c>
      <x:c r="G8" s="7" t="str">
        <x:v>Associer un point de départ dans Annexe serveur de Home Away proposée au bloc Soute de l’Audacity proposée; transit masqué lorsque les lieux sont éloignés.</x:v>
      </x:c>
      <x:c r="H8" s="7" t="str">
        <x:v>Sortie inactive pendant une interaction critique ; confirmation uniquement si le retour est temporairement fermé.</x:v>
      </x:c>
      <x:c r="I8" s="7" t="str">
        <x:v>Flèche de sortie et nom du lieu cible ; distinguer voyage spatial et porte adjacente.</x:v>
      </x:c>
      <x:c r="J8" s="7" t="str">
        <x:v>Regroupement des sprites avant fondu ; aucun personnage laissé derrière hors cadre.</x:v>
      </x:c>
      <x:c r="K8" s="7" t="str">
        <x:v>Transition d’ambiance progressive ; sous-titre de lieu affiché après chargement.</x:v>
      </x:c>
      <x:c r="L8" s="7" t="str">
        <x:v>links/ini.json : homeaway -&gt; audacity; sauvegarde avant transit, restauration à un ancrage sûr.</x:v>
      </x:c>
      <x:c r="M8" s="7" t="str">
        <x:v>SAM-E n’est pas une clé omnipotente.</x:v>
      </x:c>
      <x:c r="N8" s="7" t="str">
        <x:v>Le groupe arrive au bon ancrage après chargement ; aller-retour ne duplique ni objet ni dialogue.</x:v>
      </x:c>
      <x:c r="O8" s="7" t="str">
        <x:v>INI-MAP-HOMEAWAY, INI-MAP-AUDACITY</x:v>
      </x:c>
      <x:c r="P8" s="7" t="str"/>
      <x:c r="Q8" s="7" t="str"/>
      <x:c r="R8" s="7" t="str"/>
      <x:c r="S8" s="7" t="str">
        <x:v>Boucle de parcours de production ; la dernière liaison sert à la consultation post-module, pas à remonter le temps.</x:v>
      </x:c>
    </x:row>
    <x:row r="9" ht="54" customHeight="1">
      <x:c r="A9" s="18" t="str">
        <x:v>INI-LNK-AUDACITY</x:v>
      </x:c>
      <x:c r="B9" s="9" t="str">
        <x:v>Soute de l’Audacity proposée — transition de module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Liaison de niveau proposée, sans prétendre établir une géographie officielle.</x:v>
      </x:c>
      <x:c r="G9" s="9" t="str">
        <x:v>Associer un point de départ dans Soute de l’Audacity proposée au bloc Espace de secours abstrait; transit masqué lorsque les lieux sont éloignés.</x:v>
      </x:c>
      <x:c r="H9" s="9" t="str">
        <x:v>Sortie inactive pendant une interaction critique ; confirmation uniquement si le retour est temporairement fermé.</x:v>
      </x:c>
      <x:c r="I9" s="9" t="str">
        <x:v>Flèche de sortie et nom du lieu cible ; distinguer voyage spatial et porte adjacente.</x:v>
      </x:c>
      <x:c r="J9" s="9" t="str">
        <x:v>Regroupement des sprites avant fondu ; aucun personnage laissé derrière hors cadre.</x:v>
      </x:c>
      <x:c r="K9" s="9" t="str">
        <x:v>Transition d’ambiance progressive ; sous-titre de lieu affiché après chargement.</x:v>
      </x:c>
      <x:c r="L9" s="9" t="str">
        <x:v>links/ini.json : audacity -&gt; transit; sauvegarde avant transit, restauration à un ancrage sûr.</x:v>
      </x:c>
      <x:c r="M9" s="9" t="str">
        <x:v>L’issue n’invente pas un triomphe durable sur Ygara.</x:v>
      </x:c>
      <x:c r="N9" s="9" t="str">
        <x:v>Le groupe arrive au bon ancrage après chargement ; aller-retour ne duplique ni objet ni dialogue.</x:v>
      </x:c>
      <x:c r="O9" s="9" t="str">
        <x:v>INI-MAP-AUDACITY, INI-MAP-TRANSIT</x:v>
      </x:c>
      <x:c r="P9" s="9" t="str"/>
      <x:c r="Q9" s="9" t="str"/>
      <x:c r="R9" s="9" t="str"/>
      <x:c r="S9" s="9" t="str">
        <x:v>Boucle de parcours de production ; la dernière liaison sert à la consultation post-module, pas à remonter le temps.</x:v>
      </x:c>
    </x:row>
    <x:row r="10" ht="54" customHeight="1">
      <x:c r="A10" s="19" t="str">
        <x:v>INI-LNK-TRANSIT</x:v>
      </x:c>
      <x:c r="B10" s="7" t="str">
        <x:v>Espace de secours abstrait — transition de module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Liaison de niveau proposée, sans prétendre établir une géographie officielle.</x:v>
      </x:c>
      <x:c r="G10" s="7" t="str">
        <x:v>Associer un point de départ dans Espace de secours abstrait au bloc Relais d’enquête sur Illium proposé; transit masqué lorsque les lieux sont éloignés.</x:v>
      </x:c>
      <x:c r="H10" s="7" t="str">
        <x:v>Sortie inactive pendant une interaction critique ; confirmation uniquement si le retour est temporairement fermé.</x:v>
      </x:c>
      <x:c r="I10" s="7" t="str">
        <x:v>Flèche de sortie et nom du lieu cible ; distinguer voyage spatial et porte adjacente.</x:v>
      </x:c>
      <x:c r="J10" s="7" t="str">
        <x:v>Regroupement des sprites avant fondu ; aucun personnage laissé derrière hors cadre.</x:v>
      </x:c>
      <x:c r="K10" s="7" t="str">
        <x:v>Transition d’ambiance progressive ; sous-titre de lieu affiché après chargement.</x:v>
      </x:c>
      <x:c r="L10" s="7" t="str">
        <x:v>links/ini.json : transit -&gt; illium; sauvegarde avant transit, restauration à un ancrage sûr.</x:v>
      </x:c>
      <x:c r="M10" s="7" t="str">
        <x:v>Aucune mécanique réaliste d’exposition au vide prétendue.</x:v>
      </x:c>
      <x:c r="N10" s="7" t="str">
        <x:v>Le groupe arrive au bon ancrage après chargement ; aller-retour ne duplique ni objet ni dialogue.</x:v>
      </x:c>
      <x:c r="O10" s="7" t="str">
        <x:v>INI-MAP-TRANSIT, INI-MAP-ILLIUM</x:v>
      </x:c>
      <x:c r="P10" s="7" t="str"/>
      <x:c r="Q10" s="7" t="str"/>
      <x:c r="R10" s="7" t="str"/>
      <x:c r="S10" s="7" t="str">
        <x:v>Boucle de parcours de production ; la dernière liaison sert à la consultation post-module, pas à remonter le temps.</x:v>
      </x:c>
    </x:row>
    <x:row r="11" ht="68" customHeight="1">
      <x:c r="A11" s="18" t="str">
        <x:v>INI-LNK-ILLIUM</x:v>
      </x:c>
      <x:c r="B11" s="9" t="str">
        <x:v>Relais d’enquête sur Illium proposé — transition de module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Liaison de niveau proposée, sans prétendre établir une géographie officielle.</x:v>
      </x:c>
      <x:c r="G11" s="9" t="str">
        <x:v>Associer un point de départ dans Relais d’enquête sur Illium proposé au bloc Approche de Quiet Eddy proposée; transit masqué lorsque les lieux sont éloignés.</x:v>
      </x:c>
      <x:c r="H11" s="9" t="str">
        <x:v>Sortie inactive pendant une interaction critique ; confirmation uniquement si le retour est temporairement fermé.</x:v>
      </x:c>
      <x:c r="I11" s="9" t="str">
        <x:v>Flèche de sortie et nom du lieu cible ; distinguer voyage spatial et porte adjacente.</x:v>
      </x:c>
      <x:c r="J11" s="9" t="str">
        <x:v>Regroupement des sprites avant fondu ; aucun personnage laissé derrière hors cadre.</x:v>
      </x:c>
      <x:c r="K11" s="9" t="str">
        <x:v>Transition d’ambiance progressive ; sous-titre de lieu affiché après chargement.</x:v>
      </x:c>
      <x:c r="L11" s="9" t="str">
        <x:v>links/ini.json : illium -&gt; quiet; sauvegarde avant transit, restauration à un ancrage sûr.</x:v>
      </x:c>
      <x:c r="M11" s="9" t="str">
        <x:v>Ne pas attribuer une entreprise inventée à la source.</x:v>
      </x:c>
      <x:c r="N11" s="9" t="str">
        <x:v>Le groupe arrive au bon ancrage après chargement ; aller-retour ne duplique ni objet ni dialogue.</x:v>
      </x:c>
      <x:c r="O11" s="9" t="str">
        <x:v>INI-MAP-ILLIUM, INI-MAP-QUIET</x:v>
      </x:c>
      <x:c r="P11" s="9" t="str"/>
      <x:c r="Q11" s="9" t="str"/>
      <x:c r="R11" s="9" t="str"/>
      <x:c r="S11" s="9" t="str">
        <x:v>Boucle de parcours de production ; la dernière liaison sert à la consultation post-module, pas à remonter le temps.</x:v>
      </x:c>
    </x:row>
    <x:row r="12" ht="54" customHeight="1">
      <x:c r="A12" s="19" t="str">
        <x:v>INI-LNK-QUIET</x:v>
      </x:c>
      <x:c r="B12" s="7" t="str">
        <x:v>Approche de Quiet Eddy proposée — transition de module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Liaison de niveau proposée, sans prétendre établir une géographie officielle.</x:v>
      </x:c>
      <x:c r="G12" s="7" t="str">
        <x:v>Associer un point de départ dans Approche de Quiet Eddy proposée au bloc Refuge Gamma proposé; transit masqué lorsque les lieux sont éloignés.</x:v>
      </x:c>
      <x:c r="H12" s="7" t="str">
        <x:v>Sortie inactive pendant une interaction critique ; confirmation uniquement si le retour est temporairement fermé.</x:v>
      </x:c>
      <x:c r="I12" s="7" t="str">
        <x:v>Flèche de sortie et nom du lieu cible ; distinguer voyage spatial et porte adjacente.</x:v>
      </x:c>
      <x:c r="J12" s="7" t="str">
        <x:v>Regroupement des sprites avant fondu ; aucun personnage laissé derrière hors cadre.</x:v>
      </x:c>
      <x:c r="K12" s="7" t="str">
        <x:v>Transition d’ambiance progressive ; sous-titre de lieu affiché après chargement.</x:v>
      </x:c>
      <x:c r="L12" s="7" t="str">
        <x:v>links/ini.json : quiet -&gt; gamma; sauvegarde avant transit, restauration à un ancrage sûr.</x:v>
      </x:c>
      <x:c r="M12" s="7" t="str">
        <x:v>Ne pas transformer la station en plan officiel intégral.</x:v>
      </x:c>
      <x:c r="N12" s="7" t="str">
        <x:v>Le groupe arrive au bon ancrage après chargement ; aller-retour ne duplique ni objet ni dialogue.</x:v>
      </x:c>
      <x:c r="O12" s="7" t="str">
        <x:v>INI-MAP-QUIET, INI-MAP-GAMMA</x:v>
      </x:c>
      <x:c r="P12" s="7" t="str"/>
      <x:c r="Q12" s="7" t="str"/>
      <x:c r="R12" s="7" t="str"/>
      <x:c r="S12" s="7" t="str">
        <x:v>Boucle de parcours de production ; la dernière liaison sert à la consultation post-module, pas à remonter le temps.</x:v>
      </x:c>
    </x:row>
    <x:row r="13" ht="54" customHeight="1">
      <x:c r="A13" s="18" t="str">
        <x:v>INI-LNK-GAMMA</x:v>
      </x:c>
      <x:c r="B13" s="9" t="str">
        <x:v>Refuge Gamma proposé — transition de module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Liaison de niveau proposée, sans prétendre établir une géographie officielle.</x:v>
      </x:c>
      <x:c r="G13" s="9" t="str">
        <x:v>Associer un point de départ dans Refuge Gamma proposé au bloc Accès du nœud SAM proposé; transit masqué lorsque les lieux sont éloignés.</x:v>
      </x:c>
      <x:c r="H13" s="9" t="str">
        <x:v>Sortie inactive pendant une interaction critique ; confirmation uniquement si le retour est temporairement fermé.</x:v>
      </x:c>
      <x:c r="I13" s="9" t="str">
        <x:v>Flèche de sortie et nom du lieu cible ; distinguer voyage spatial et porte adjacente.</x:v>
      </x:c>
      <x:c r="J13" s="9" t="str">
        <x:v>Regroupement des sprites avant fondu ; aucun personnage laissé derrière hors cadre.</x:v>
      </x:c>
      <x:c r="K13" s="9" t="str">
        <x:v>Transition d’ambiance progressive ; sous-titre de lieu affiché après chargement.</x:v>
      </x:c>
      <x:c r="L13" s="9" t="str">
        <x:v>links/ini.json : gamma -&gt; hyperion; sauvegarde avant transit, restauration à un ancrage sûr.</x:v>
      </x:c>
      <x:c r="M13" s="9" t="str">
        <x:v>Les civils ne deviennent pas des unités sacrifiables.</x:v>
      </x:c>
      <x:c r="N13" s="9" t="str">
        <x:v>Le groupe arrive au bon ancrage après chargement ; aller-retour ne duplique ni objet ni dialogue.</x:v>
      </x:c>
      <x:c r="O13" s="9" t="str">
        <x:v>INI-MAP-GAMMA, INI-MAP-HYPERION</x:v>
      </x:c>
      <x:c r="P13" s="9" t="str"/>
      <x:c r="Q13" s="9" t="str"/>
      <x:c r="R13" s="9" t="str"/>
      <x:c r="S13" s="9" t="str">
        <x:v>Boucle de parcours de production ; la dernière liaison sert à la consultation post-module, pas à remonter le temps.</x:v>
      </x:c>
    </x:row>
    <x:row r="14" ht="54" customHeight="1">
      <x:c r="A14" s="19" t="str">
        <x:v>INI-LNK-HYPERION</x:v>
      </x:c>
      <x:c r="B14" s="7" t="str">
        <x:v>Accès du nœud SAM proposé — transition de module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Liaison de niveau proposée, sans prétendre établir une géographie officielle.</x:v>
      </x:c>
      <x:c r="G14" s="7" t="str">
        <x:v>Associer un point de départ dans Accès du nœud SAM proposé au bloc Salle d’affectation de Theia proposée; transit masqué lorsque les lieux sont éloignés.</x:v>
      </x:c>
      <x:c r="H14" s="7" t="str">
        <x:v>Sortie inactive pendant une interaction critique ; confirmation uniquement si le retour est temporairement fermé.</x:v>
      </x:c>
      <x:c r="I14" s="7" t="str">
        <x:v>Flèche de sortie et nom du lieu cible ; distinguer voyage spatial et porte adjacente.</x:v>
      </x:c>
      <x:c r="J14" s="7" t="str">
        <x:v>Regroupement des sprites avant fondu ; aucun personnage laissé derrière hors cadre.</x:v>
      </x:c>
      <x:c r="K14" s="7" t="str">
        <x:v>Transition d’ambiance progressive ; sous-titre de lieu affiché après chargement.</x:v>
      </x:c>
      <x:c r="L14" s="7" t="str">
        <x:v>links/ini.json : hyperion -&gt; theia; sauvegarde avant transit, restauration à un ancrage sûr.</x:v>
      </x:c>
      <x:c r="M14" s="7" t="str">
        <x:v>Ne pas conserver un SAM-E autonome après son terme narratif.</x:v>
      </x:c>
      <x:c r="N14" s="7" t="str">
        <x:v>Le groupe arrive au bon ancrage après chargement ; aller-retour ne duplique ni objet ni dialogue.</x:v>
      </x:c>
      <x:c r="O14" s="7" t="str">
        <x:v>INI-MAP-HYPERION, INI-MAP-THEIA</x:v>
      </x:c>
      <x:c r="P14" s="7" t="str"/>
      <x:c r="Q14" s="7" t="str"/>
      <x:c r="R14" s="7" t="str"/>
      <x:c r="S14" s="7" t="str">
        <x:v>Boucle de parcours de production ; la dernière liaison sert à la consultation post-module, pas à remonter le temps.</x:v>
      </x:c>
    </x:row>
  </x:sheetData>
  <x:conditionalFormatting sqref="D7:D14">
    <x:cfRule type="cellIs" dxfId="20" priority="1" operator="equal">
      <x:formula>"À vérifier"</x:formula>
    </x:cfRule>
    <x:cfRule type="cellIs" dxfId="21" priority="2" operator="equal">
      <x:formula>"Extrapolation"</x:formula>
    </x:cfRule>
  </x:conditionalFormatting>
  <x:conditionalFormatting sqref="C7:C14">
    <x:cfRule type="cellIs" dxfId="22" priority="3" operator="equal">
      <x:formula>"Validé"</x:formula>
    </x:cfRule>
  </x:conditionalFormatting>
  <x:conditionalFormatting sqref="E7:E14">
    <x:cfRule type="cellIs" dxfId="2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1f63bfda8443a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Décors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Architecture, matières et cadrages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INI-SET-THEIA</x:v>
      </x:c>
      <x:c r="B7" s="9" t="str">
        <x:v>Salle d’affectation de Theia proposée — kit de décor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Production originale des éléments fixes de la carte liée.</x:v>
      </x:c>
      <x:c r="G7" s="9" t="str">
        <x:v>Surfaces de station adaptée, matériel en préparation, fenêtre sur Sol abstraite. Construire trois profondeurs de décor avec variantes intacte et perturbée si utiles.</x:v>
      </x:c>
      <x:c r="H7" s="9" t="str">
        <x:v>Le décor signale la règle : Récupérer seulement les autorisations utiles à la mission.</x:v>
      </x:c>
      <x:c r="I7" s="9" t="str">
        <x:v>Volumes sans microdétails illisibles ; surfaces dangereuses reconnues également en niveaux de gris.</x:v>
      </x:c>
      <x:c r="J7" s="9" t="str">
        <x:v>Animer seulement les repères actifs ; ne pas déplacer un obstacle statique après le calcul du chemin.</x:v>
      </x:c>
      <x:c r="K7" s="9" t="str">
        <x:v>Boucles très courtes évitées ; matériaux sonores propres aux interactions de cette zone.</x:v>
      </x:c>
      <x:c r="L7" s="9" t="str">
        <x:v>assets/ini/sets/theia/ ; collider séparé du mesh et des ornements.</x:v>
      </x:c>
      <x:c r="M7" s="9" t="str">
        <x:v>Le module ne se situe pas sur le Nexus arrivé à Héléus.</x:v>
      </x:c>
      <x:c r="N7" s="9" t="str">
        <x:v>Aucun détail décoratif ne ressemble à tort à une porte ; vue complète vérifiée en petite résolution.</x:v>
      </x:c>
      <x:c r="O7" s="9" t="str">
        <x:v>INI-MAP-THEIA</x:v>
      </x:c>
      <x:c r="P7" s="9" t="str"/>
      <x:c r="Q7" s="9" t="str"/>
      <x:c r="R7" s="9" t="str"/>
      <x:c r="S7" s="9" t="str"/>
    </x:row>
    <x:row r="8" ht="54" customHeight="1">
      <x:c r="A8" s="19" t="str">
        <x:v>INI-SET-HOMEAWAY</x:v>
      </x:c>
      <x:c r="B8" s="7" t="str">
        <x:v>Annexe serveur de Home Away proposée — kit de décor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Production originale des éléments fixes de la carte liée.</x:v>
      </x:c>
      <x:c r="G8" s="7" t="str">
        <x:v>Décor commercial froid, câbles dissimulés et baies compactes. Construire trois profondeurs de décor avec variantes intacte et perturbée si utiles.</x:v>
      </x:c>
      <x:c r="H8" s="7" t="str">
        <x:v>Le décor signale la règle : Les privilèges d’accès doivent être acquis séparément.</x:v>
      </x:c>
      <x:c r="I8" s="7" t="str">
        <x:v>Volumes sans microdétails illisibles ; surfaces dangereuses reconnues également en niveaux de gris.</x:v>
      </x:c>
      <x:c r="J8" s="7" t="str">
        <x:v>Animer seulement les repères actifs ; ne pas déplacer un obstacle statique après le calcul du chemin.</x:v>
      </x:c>
      <x:c r="K8" s="7" t="str">
        <x:v>Boucles très courtes évitées ; matériaux sonores propres aux interactions de cette zone.</x:v>
      </x:c>
      <x:c r="L8" s="7" t="str">
        <x:v>assets/ini/sets/homeaway/ ; collider séparé du mesh et des ornements.</x:v>
      </x:c>
      <x:c r="M8" s="7" t="str">
        <x:v>SAM-E n’est pas une clé omnipotente.</x:v>
      </x:c>
      <x:c r="N8" s="7" t="str">
        <x:v>Aucun détail décoratif ne ressemble à tort à une porte ; vue complète vérifiée en petite résolution.</x:v>
      </x:c>
      <x:c r="O8" s="7" t="str">
        <x:v>INI-MAP-HOMEAWAY</x:v>
      </x:c>
      <x:c r="P8" s="7" t="str"/>
      <x:c r="Q8" s="7" t="str"/>
      <x:c r="R8" s="7" t="str"/>
      <x:c r="S8" s="7" t="str"/>
    </x:row>
    <x:row r="9" ht="54" customHeight="1">
      <x:c r="A9" s="18" t="str">
        <x:v>INI-SET-AUDACITY</x:v>
      </x:c>
      <x:c r="B9" s="9" t="str">
        <x:v>Soute de l’Audacity proposée — kit de décor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Production originale des éléments fixes de la carte liée.</x:v>
      </x:c>
      <x:c r="G9" s="9" t="str">
        <x:v>Métal sombre, équipements amarrés, espace de couverture limité. Construire trois profondeurs de décor avec variantes intacte et perturbée si utiles.</x:v>
      </x:c>
      <x:c r="H9" s="9" t="str">
        <x:v>Le décor signale la règle : La sortie requiert vérification du matériel de survie.</x:v>
      </x:c>
      <x:c r="I9" s="9" t="str">
        <x:v>Volumes sans microdétails illisibles ; surfaces dangereuses reconnues également en niveaux de gris.</x:v>
      </x:c>
      <x:c r="J9" s="9" t="str">
        <x:v>Animer seulement les repères actifs ; ne pas déplacer un obstacle statique après le calcul du chemin.</x:v>
      </x:c>
      <x:c r="K9" s="9" t="str">
        <x:v>Boucles très courtes évitées ; matériaux sonores propres aux interactions de cette zone.</x:v>
      </x:c>
      <x:c r="L9" s="9" t="str">
        <x:v>assets/ini/sets/audacity/ ; collider séparé du mesh et des ornements.</x:v>
      </x:c>
      <x:c r="M9" s="9" t="str">
        <x:v>L’issue n’invente pas un triomphe durable sur Ygara.</x:v>
      </x:c>
      <x:c r="N9" s="9" t="str">
        <x:v>Aucun détail décoratif ne ressemble à tort à une porte ; vue complète vérifiée en petite résolution.</x:v>
      </x:c>
      <x:c r="O9" s="9" t="str">
        <x:v>INI-MAP-AUDACITY</x:v>
      </x:c>
      <x:c r="P9" s="9" t="str"/>
      <x:c r="Q9" s="9" t="str"/>
      <x:c r="R9" s="9" t="str"/>
      <x:c r="S9" s="9" t="str"/>
    </x:row>
    <x:row r="10" ht="54" customHeight="1">
      <x:c r="A10" s="19" t="str">
        <x:v>INI-SET-TRANSIT</x:v>
      </x:c>
      <x:c r="B10" s="7" t="str">
        <x:v>Espace de secours abstrait — kit de décor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Production originale des éléments fixes de la carte liée.</x:v>
      </x:c>
      <x:c r="G10" s="7" t="str">
        <x:v>Fond étoilé sobre, faible mouvement, informations de réserve claires. Construire trois profondeurs de décor avec variantes intacte et perturbée si utiles.</x:v>
      </x:c>
      <x:c r="H10" s="7" t="str">
        <x:v>Le décor signale la règle : Le temps diégétique avance par objectifs, pas pendant la lecture.</x:v>
      </x:c>
      <x:c r="I10" s="7" t="str">
        <x:v>Volumes sans microdétails illisibles ; surfaces dangereuses reconnues également en niveaux de gris.</x:v>
      </x:c>
      <x:c r="J10" s="7" t="str">
        <x:v>Animer seulement les repères actifs ; ne pas déplacer un obstacle statique après le calcul du chemin.</x:v>
      </x:c>
      <x:c r="K10" s="7" t="str">
        <x:v>Boucles très courtes évitées ; matériaux sonores propres aux interactions de cette zone.</x:v>
      </x:c>
      <x:c r="L10" s="7" t="str">
        <x:v>assets/ini/sets/transit/ ; collider séparé du mesh et des ornements.</x:v>
      </x:c>
      <x:c r="M10" s="7" t="str">
        <x:v>Aucune mécanique réaliste d’exposition au vide prétendue.</x:v>
      </x:c>
      <x:c r="N10" s="7" t="str">
        <x:v>Aucun détail décoratif ne ressemble à tort à une porte ; vue complète vérifiée en petite résolution.</x:v>
      </x:c>
      <x:c r="O10" s="7" t="str">
        <x:v>INI-MAP-TRANSIT</x:v>
      </x:c>
      <x:c r="P10" s="7" t="str"/>
      <x:c r="Q10" s="7" t="str"/>
      <x:c r="R10" s="7" t="str"/>
      <x:c r="S10" s="7" t="str"/>
    </x:row>
    <x:row r="11" ht="54" customHeight="1">
      <x:c r="A11" s="18" t="str">
        <x:v>INI-SET-ILLIUM</x:v>
      </x:c>
      <x:c r="B11" s="9" t="str">
        <x:v>Relais d’enquête sur Illium proposé — kit de décor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Production originale des éléments fixes de la carte liée.</x:v>
      </x:c>
      <x:c r="G11" s="9" t="str">
        <x:v>Architecture verticale en fond, interfaces de commerce originales. Construire trois profondeurs de décor avec variantes intacte et perturbée si utiles.</x:v>
      </x:c>
      <x:c r="H11" s="9" t="str">
        <x:v>Le décor signale la règle : Recouper un identifiant avant de suivre un contact.</x:v>
      </x:c>
      <x:c r="I11" s="9" t="str">
        <x:v>Volumes sans microdétails illisibles ; surfaces dangereuses reconnues également en niveaux de gris.</x:v>
      </x:c>
      <x:c r="J11" s="9" t="str">
        <x:v>Animer seulement les repères actifs ; ne pas déplacer un obstacle statique après le calcul du chemin.</x:v>
      </x:c>
      <x:c r="K11" s="9" t="str">
        <x:v>Boucles très courtes évitées ; matériaux sonores propres aux interactions de cette zone.</x:v>
      </x:c>
      <x:c r="L11" s="9" t="str">
        <x:v>assets/ini/sets/illium/ ; collider séparé du mesh et des ornements.</x:v>
      </x:c>
      <x:c r="M11" s="9" t="str">
        <x:v>Ne pas attribuer une entreprise inventée à la source.</x:v>
      </x:c>
      <x:c r="N11" s="9" t="str">
        <x:v>Aucun détail décoratif ne ressemble à tort à une porte ; vue complète vérifiée en petite résolution.</x:v>
      </x:c>
      <x:c r="O11" s="9" t="str">
        <x:v>INI-MAP-ILLIUM</x:v>
      </x:c>
      <x:c r="P11" s="9" t="str"/>
      <x:c r="Q11" s="9" t="str"/>
      <x:c r="R11" s="9" t="str"/>
      <x:c r="S11" s="9" t="str"/>
    </x:row>
    <x:row r="12" ht="54" customHeight="1">
      <x:c r="A12" s="19" t="str">
        <x:v>INI-SET-QUIET</x:v>
      </x:c>
      <x:c r="B12" s="7" t="str">
        <x:v>Approche de Quiet Eddy proposée — kit de décor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Production originale des éléments fixes de la carte liée.</x:v>
      </x:c>
      <x:c r="G12" s="7" t="str">
        <x:v>Lumières d’urgence, machines interrompues, silhouettes masquées. Construire trois profondeurs de décor avec variantes intacte et perturbée si utiles.</x:v>
      </x:c>
      <x:c r="H12" s="7" t="str">
        <x:v>Le décor signale la règle : Les signaux du réseau peuvent être mensongers.</x:v>
      </x:c>
      <x:c r="I12" s="7" t="str">
        <x:v>Volumes sans microdétails illisibles ; surfaces dangereuses reconnues également en niveaux de gris.</x:v>
      </x:c>
      <x:c r="J12" s="7" t="str">
        <x:v>Animer seulement les repères actifs ; ne pas déplacer un obstacle statique après le calcul du chemin.</x:v>
      </x:c>
      <x:c r="K12" s="7" t="str">
        <x:v>Boucles très courtes évitées ; matériaux sonores propres aux interactions de cette zone.</x:v>
      </x:c>
      <x:c r="L12" s="7" t="str">
        <x:v>assets/ini/sets/quiet/ ; collider séparé du mesh et des ornements.</x:v>
      </x:c>
      <x:c r="M12" s="7" t="str">
        <x:v>Ne pas transformer la station en plan officiel intégral.</x:v>
      </x:c>
      <x:c r="N12" s="7" t="str">
        <x:v>Aucun détail décoratif ne ressemble à tort à une porte ; vue complète vérifiée en petite résolution.</x:v>
      </x:c>
      <x:c r="O12" s="7" t="str">
        <x:v>INI-MAP-QUIET</x:v>
      </x:c>
      <x:c r="P12" s="7" t="str"/>
      <x:c r="Q12" s="7" t="str"/>
      <x:c r="R12" s="7" t="str"/>
      <x:c r="S12" s="7" t="str"/>
    </x:row>
    <x:row r="13" ht="54" customHeight="1">
      <x:c r="A13" s="18" t="str">
        <x:v>INI-SET-GAMMA</x:v>
      </x:c>
      <x:c r="B13" s="9" t="str">
        <x:v>Refuge Gamma proposé — kit de décor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Production originale des éléments fixes de la carte liée.</x:v>
      </x:c>
      <x:c r="G13" s="9" t="str">
        <x:v>Matériel improvisé, groupes de civils, portes renforcées. Construire trois profondeurs de décor avec variantes intacte et perturbée si utiles.</x:v>
      </x:c>
      <x:c r="H13" s="9" t="str">
        <x:v>Le décor signale la règle : Préparer le trajet et répartir la protection avant de sortir.</x:v>
      </x:c>
      <x:c r="I13" s="9" t="str">
        <x:v>Volumes sans microdétails illisibles ; surfaces dangereuses reconnues également en niveaux de gris.</x:v>
      </x:c>
      <x:c r="J13" s="9" t="str">
        <x:v>Animer seulement les repères actifs ; ne pas déplacer un obstacle statique après le calcul du chemin.</x:v>
      </x:c>
      <x:c r="K13" s="9" t="str">
        <x:v>Boucles très courtes évitées ; matériaux sonores propres aux interactions de cette zone.</x:v>
      </x:c>
      <x:c r="L13" s="9" t="str">
        <x:v>assets/ini/sets/gamma/ ; collider séparé du mesh et des ornements.</x:v>
      </x:c>
      <x:c r="M13" s="9" t="str">
        <x:v>Les civils ne deviennent pas des unités sacrifiables.</x:v>
      </x:c>
      <x:c r="N13" s="9" t="str">
        <x:v>Aucun détail décoratif ne ressemble à tort à une porte ; vue complète vérifiée en petite résolution.</x:v>
      </x:c>
      <x:c r="O13" s="9" t="str">
        <x:v>INI-MAP-GAMMA</x:v>
      </x:c>
      <x:c r="P13" s="9" t="str"/>
      <x:c r="Q13" s="9" t="str"/>
      <x:c r="R13" s="9" t="str"/>
      <x:c r="S13" s="9" t="str"/>
    </x:row>
    <x:row r="14" ht="54" customHeight="1">
      <x:c r="A14" s="19" t="str">
        <x:v>INI-SET-HYPERION</x:v>
      </x:c>
      <x:c r="B14" s="7" t="str">
        <x:v>Accès du nœud SAM proposé — kit de décor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Production originale des éléments fixes de la carte liée.</x:v>
      </x:c>
      <x:c r="G14" s="7" t="str">
        <x:v>Bleu profond, volumes protégés, réseau lumineux abstrait. Construire trois profondeurs de décor avec variantes intacte et perturbée si utiles.</x:v>
      </x:c>
      <x:c r="H14" s="7" t="str">
        <x:v>Le décor signale la règle : Un état de panne force une conclusion narrative contrôlée.</x:v>
      </x:c>
      <x:c r="I14" s="7" t="str">
        <x:v>Volumes sans microdétails illisibles ; surfaces dangereuses reconnues également en niveaux de gris.</x:v>
      </x:c>
      <x:c r="J14" s="7" t="str">
        <x:v>Animer seulement les repères actifs ; ne pas déplacer un obstacle statique après le calcul du chemin.</x:v>
      </x:c>
      <x:c r="K14" s="7" t="str">
        <x:v>Boucles très courtes évitées ; matériaux sonores propres aux interactions de cette zone.</x:v>
      </x:c>
      <x:c r="L14" s="7" t="str">
        <x:v>assets/ini/sets/hyperion/ ; collider séparé du mesh et des ornements.</x:v>
      </x:c>
      <x:c r="M14" s="7" t="str">
        <x:v>Ne pas conserver un SAM-E autonome après son terme narratif.</x:v>
      </x:c>
      <x:c r="N14" s="7" t="str">
        <x:v>Aucun détail décoratif ne ressemble à tort à une porte ; vue complète vérifiée en petite résolution.</x:v>
      </x:c>
      <x:c r="O14" s="7" t="str">
        <x:v>INI-MAP-HYPERION</x:v>
      </x:c>
      <x:c r="P14" s="7" t="str"/>
      <x:c r="Q14" s="7" t="str"/>
      <x:c r="R14" s="7" t="str"/>
      <x:c r="S14" s="7" t="str"/>
    </x:row>
  </x:sheetData>
  <x:conditionalFormatting sqref="D7:D14">
    <x:cfRule type="cellIs" dxfId="24" priority="1" operator="equal">
      <x:formula>"À vérifier"</x:formula>
    </x:cfRule>
    <x:cfRule type="cellIs" dxfId="25" priority="2" operator="equal">
      <x:formula>"Extrapolation"</x:formula>
    </x:cfRule>
  </x:conditionalFormatting>
  <x:conditionalFormatting sqref="C7:C14">
    <x:cfRule type="cellIs" dxfId="26" priority="3" operator="equal">
      <x:formula>"Validé"</x:formula>
    </x:cfRule>
  </x:conditionalFormatting>
  <x:conditionalFormatting sqref="E7:E14">
    <x:cfRule type="cellIs" dxfId="2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a1141b2ed9479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Props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Objets de décor et interactions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INI-REF-SAMKERNEL</x:v>
      </x:c>
      <x:c r="B7" s="9" t="str">
        <x:v>Noyau SAM volé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L’objet de la récupération est lié au code de SAM.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ref.ini.samkernel ; affichage bref avec source.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INI-SRC-SAME</x:v>
      </x:c>
      <x:c r="R7" s="9" t="str">
        <x:v>https://masseffect.fandom.com/wiki/SAM-E</x:v>
      </x:c>
      <x:c r="S7" s="9" t="str">
        <x:v>Ce relevé n’est ni un inventaire exhaustif ni un résumé scène par scène.</x:v>
      </x:c>
    </x:row>
    <x:row r="8" ht="68" customHeight="1">
      <x:c r="A8" s="19" t="str">
        <x:v>INI-REF-GAMMA</x:v>
      </x:c>
      <x:c r="B8" s="7" t="str">
        <x:v>Plans du laboratoire Gamma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Le refuge des survivants est masqué dans certains plans de l’installation.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ref.ini.gamma ; affichage bref avec source.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INI-SRC-QUIET</x:v>
      </x:c>
      <x:c r="R8" s="7" t="str">
        <x:v>https://masseffect.fandom.com/wiki/Quiet_Eddy</x:v>
      </x:c>
      <x:c r="S8" s="7" t="str">
        <x:v>Ce relevé n’est ni un inventaire exhaustif ni un résumé scène par scène.</x:v>
      </x:c>
    </x:row>
  </x:sheetData>
  <x:conditionalFormatting sqref="D7:D8">
    <x:cfRule type="cellIs" dxfId="28" priority="1" operator="equal">
      <x:formula>"À vérifier"</x:formula>
    </x:cfRule>
    <x:cfRule type="cellIs" dxfId="29" priority="2" operator="equal">
      <x:formula>"Extrapolation"</x:formula>
    </x:cfRule>
  </x:conditionalFormatting>
  <x:conditionalFormatting sqref="C7:C8">
    <x:cfRule type="cellIs" dxfId="30" priority="3" operator="equal">
      <x:formula>"Validé"</x:formula>
    </x:cfRule>
  </x:conditionalFormatting>
  <x:conditionalFormatting sqref="E7:E8">
    <x:cfRule type="cellIs" dxfId="31" priority="4" operator="equal">
      <x:formula>"P0"</x:formula>
    </x:cfRule>
  </x:conditionalFormatting>
  <x:dataValidations count="3">
    <x:dataValidation type="list" sqref="C7:C8">
      <x:formula1>"Défini,Prototype,Intégré,Validé"</x:formula1>
    </x:dataValidation>
    <x:dataValidation type="list" sqref="D7:D8">
      <x:formula1>"Établi,À vérifier,Extrapolation,Coupé attesté,Concept abandonné,Allégation écartée"</x:formula1>
    </x:dataValidation>
    <x:dataValidation type="list" sqref="E7:E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1cbf58f2b486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Ennemis et boss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Bestiaire, adversaires et affrontements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INI-ENC-MERC</x:v>
      </x:c>
      <x:c r="B7" s="9" t="str">
        <x:v>Équipe mercenaire proposée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Rencontre originale proposée : Opposition locale ajoutée à l’infiltration.</x:v>
      </x:c>
      <x:c r="G7" s="9" t="str">
        <x:v>Opposition ou crise scénarisée pour le groupe ; ne pas attribuer au roman une barre de vie ou un rang de boss.</x:v>
      </x:c>
      <x:c r="H7" s="9" t="str">
        <x:v>Surveille un nœud en alternant mouvement et verrouillage. Réponse du joueur : Passer pendant la rotation ou détourner l’attention.</x:v>
      </x:c>
      <x:c r="I7" s="9" t="str">
        <x:v>Cône de surveillance et témoin de serrure.</x:v>
      </x:c>
      <x:c r="J7" s="9" t="str">
        <x:v>Anticipation identifiable, action, récupération exploitable ; variante de sortie non létale lorsque pertinente.</x:v>
      </x:c>
      <x:c r="K7" s="9" t="str">
        <x:v>Motif de danger spécifique, sous-titre bref et avertissement visuel.</x:v>
      </x:c>
      <x:c r="L7" s="9" t="str">
        <x:v>encounters/ini/merc.json ; activer seulement dans les zones prévues.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Un joueur découvre la contre-mesure par le télégraphe ; la résolution ne modifie aucun destin établi.</x:v>
      </x:c>
      <x:c r="O7" s="9" t="str"/>
      <x:c r="P7" s="9" t="str"/>
      <x:c r="Q7" s="9" t="str"/>
      <x:c r="R7" s="9" t="str"/>
      <x:c r="S7" s="9" t="str">
        <x:v>Tous comportements et réglages de combat sont du design original.</x:v>
      </x:c>
    </x:row>
    <x:row r="8" ht="68" customHeight="1">
      <x:c r="A8" s="19" t="str">
        <x:v>INI-ENC-AUGMENT</x:v>
      </x:c>
      <x:c r="B8" s="7" t="str">
        <x:v>Augment de couloir proposé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Rencontre originale proposée : Rencontre inspirée des augmentés de Quiet Eddy.</x:v>
      </x:c>
      <x:c r="G8" s="7" t="str">
        <x:v>Opposition ou crise scénarisée pour le groupe ; ne pas attribuer au roman une barre de vie ou un rang de boss.</x:v>
      </x:c>
      <x:c r="H8" s="7" t="str">
        <x:v>Charge un axe étroit puis expose son flanc à l’arrêt. Réponse du joueur : Quitter l’axe et fermer la porte après le passage.</x:v>
      </x:c>
      <x:c r="I8" s="7" t="str">
        <x:v>Posture tassée et ligne au sol avant départ.</x:v>
      </x:c>
      <x:c r="J8" s="7" t="str">
        <x:v>Anticipation identifiable, action, récupération exploitable ; variante de sortie non létale lorsque pertinente.</x:v>
      </x:c>
      <x:c r="K8" s="7" t="str">
        <x:v>Motif de danger spécifique, sous-titre bref et avertissement visuel.</x:v>
      </x:c>
      <x:c r="L8" s="7" t="str">
        <x:v>encounters/ini/augment.json ; activer seulement dans les zones prévues.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Un joueur découvre la contre-mesure par le télégraphe ; la résolution ne modifie aucun destin établi.</x:v>
      </x:c>
      <x:c r="O8" s="7" t="str"/>
      <x:c r="P8" s="7" t="str"/>
      <x:c r="Q8" s="7" t="str"/>
      <x:c r="R8" s="7" t="str"/>
      <x:c r="S8" s="7" t="str">
        <x:v>Tous comportements et réglages de combat sont du design original.</x:v>
      </x:c>
    </x:row>
    <x:row r="9" ht="68" customHeight="1">
      <x:c r="A9" s="18" t="str">
        <x:v>INI-ENC-MEDEA</x:v>
      </x:c>
      <x:c r="B9" s="9" t="str">
        <x:v>Medea — crise d’accès proposée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Rencontre originale proposée : Boss de réseau scénarisé, sans piratage universel.</x:v>
      </x:c>
      <x:c r="G9" s="9" t="str">
        <x:v>Opposition ou crise scénarisée pour le groupe ; ne pas attribuer au roman une barre de vie ou un rang de boss.</x:v>
      </x:c>
      <x:c r="H9" s="9" t="str">
        <x:v>Falsifie un indicateur pendant qu’un accès réel se referme. Réponse du joueur : Faire vérifier la porte par l’équipe et isoler le secteur.</x:v>
      </x:c>
      <x:c r="I9" s="9" t="str">
        <x:v>Incohérence entre état de porte et panneau.</x:v>
      </x:c>
      <x:c r="J9" s="9" t="str">
        <x:v>Anticipation identifiable, action, récupération exploitable ; variante de sortie non létale lorsque pertinente.</x:v>
      </x:c>
      <x:c r="K9" s="9" t="str">
        <x:v>Motif de danger spécifique, sous-titre bref et avertissement visuel.</x:v>
      </x:c>
      <x:c r="L9" s="9" t="str">
        <x:v>encounters/ini/medea.json ; activer seulement dans les zones prévues.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Un joueur découvre la contre-mesure par le télégraphe ; la résolution ne modifie aucun destin établi.</x:v>
      </x:c>
      <x:c r="O9" s="9" t="str"/>
      <x:c r="P9" s="9" t="str"/>
      <x:c r="Q9" s="9" t="str"/>
      <x:c r="R9" s="9" t="str"/>
      <x:c r="S9" s="9" t="str">
        <x:v>Tous comportements et réglages de combat sont du design original.</x:v>
      </x:c>
    </x:row>
    <x:row r="10" ht="68" customHeight="1">
      <x:c r="A10" s="19" t="str">
        <x:v>INI-ENC-OVERLOAD</x:v>
      </x:c>
      <x:c r="B10" s="7" t="str">
        <x:v>Seuil de fatigue proposé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Rencontre originale proposée : Crise de ressources représentant le coût d’une assistance extrême.</x:v>
      </x:c>
      <x:c r="G10" s="7" t="str">
        <x:v>Opposition ou crise scénarisée pour le groupe ; ne pas attribuer au roman une barre de vie ou un rang de boss.</x:v>
      </x:c>
      <x:c r="H10" s="7" t="str">
        <x:v>Réduit les options disponibles si la surcharge est prolongée. Réponse du joueur : Arrêter l’effet et atteindre un point de repos autorisé.</x:v>
      </x:c>
      <x:c r="I10" s="7" t="str">
        <x:v>Avertissement textuel, baisse de saturation désactivable.</x:v>
      </x:c>
      <x:c r="J10" s="7" t="str">
        <x:v>Anticipation identifiable, action, récupération exploitable ; variante de sortie non létale lorsque pertinente.</x:v>
      </x:c>
      <x:c r="K10" s="7" t="str">
        <x:v>Motif de danger spécifique, sous-titre bref et avertissement visuel.</x:v>
      </x:c>
      <x:c r="L10" s="7" t="str">
        <x:v>encounters/ini/overload.json ; activer seulement dans les zones prévues.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Un joueur découvre la contre-mesure par le télégraphe ; la résolution ne modifie aucun destin établi.</x:v>
      </x:c>
      <x:c r="O10" s="7" t="str"/>
      <x:c r="P10" s="7" t="str"/>
      <x:c r="Q10" s="7" t="str"/>
      <x:c r="R10" s="7" t="str"/>
      <x:c r="S10" s="7" t="str">
        <x:v>Tous comportements et réglages de combat sont du design original.</x:v>
      </x:c>
    </x:row>
  </x:sheetData>
  <x:conditionalFormatting sqref="D7:D10">
    <x:cfRule type="cellIs" dxfId="32" priority="1" operator="equal">
      <x:formula>"À vérifier"</x:formula>
    </x:cfRule>
    <x:cfRule type="cellIs" dxfId="33" priority="2" operator="equal">
      <x:formula>"Extrapolation"</x:formula>
    </x:cfRule>
  </x:conditionalFormatting>
  <x:conditionalFormatting sqref="C7:C10">
    <x:cfRule type="cellIs" dxfId="34" priority="3" operator="equal">
      <x:formula>"Validé"</x:formula>
    </x:cfRule>
  </x:conditionalFormatting>
  <x:conditionalFormatting sqref="E7:E10">
    <x:cfRule type="cellIs" dxfId="3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e1326832914b6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Missions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Étapes de l’intrigue principale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INI-MIS-MANDATE</x:v>
      </x:c>
      <x:c r="B7" s="9" t="str">
        <x:v>Définir les limites de l’assistance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Mission originale d’adaptation, inspirée d’un enjeu général de l’œuvre.</x:v>
      </x:c>
      <x:c r="G7" s="9" t="str">
        <x:v>Préparer Cora et SAM-E à une opération d’infiltration originale.</x:v>
      </x:c>
      <x:c r="H7" s="9" t="str">
        <x:v>Identifier objectif, secret à protéger et tâches que l’assistant ne sait pas faire.</x:v>
      </x:c>
      <x:c r="I7" s="9" t="str">
        <x:v>Objectif spatial associé à Salle d’affectation de Theia proposée ; états non commencé/en cours/résolu distingués.</x:v>
      </x:c>
      <x:c r="J7" s="9" t="str">
        <x:v>Entrée contrôlée, actions de groupe et fin interruptible avant sauvegarde ; aucune animation ne décide seule du résultat.</x:v>
      </x:c>
      <x:c r="K7" s="9" t="str">
        <x:v>Briefing original concis ; changement de musique à la résolution d’objectif, pas après un délai arbitraire.</x:v>
      </x:c>
      <x:c r="L7" s="9" t="str">
        <x:v>quests/ini/mandate.json ; états offered/active/resolved ; clés de progression propres au module.</x:v>
      </x:c>
      <x:c r="M7" s="9" t="str">
        <x:v>Ne pas qualifier SAM-E de simple VI après la révélation de sa nature.</x:v>
      </x:c>
      <x:c r="N7" s="9" t="str">
        <x:v>Le joueur peut accomplir « Préparer Cora et SAM-E à une opération d’infiltration originale. » et la sortie confirme le résultat ; Ne pas qualifier SAM-E de simple VI après la révélation de sa nature.</x:v>
      </x:c>
      <x:c r="O7" s="9" t="str">
        <x:v>INI-MAP-THEIA</x:v>
      </x:c>
      <x:c r="P7" s="9" t="str"/>
      <x:c r="Q7" s="9" t="str"/>
      <x:c r="R7" s="9" t="str"/>
      <x:c r="S7" s="9" t="str"/>
    </x:row>
    <x:row r="8" ht="68" customHeight="1">
      <x:c r="A8" s="19" t="str">
        <x:v>INI-MIS-KERNEL</x:v>
      </x:c>
      <x:c r="B8" s="7" t="str">
        <x:v>Extraire un paquet de données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Mission originale d’adaptation, inspirée d’un enjeu général de l’œuvre.</x:v>
      </x:c>
      <x:c r="G8" s="7" t="str">
        <x:v>Récupérer un objet numérique fictif dans une annexe de serveur.</x:v>
      </x:c>
      <x:c r="H8" s="7" t="str">
        <x:v>Distinguer copie leurre, autorisation d’accès et paquet cible ; validation croisée avant transfert.</x:v>
      </x:c>
      <x:c r="I8" s="7" t="str">
        <x:v>Objectif spatial associé à Annexe serveur de Home Away proposée ; états non commencé/en cours/résolu distingués.</x:v>
      </x:c>
      <x:c r="J8" s="7" t="str">
        <x:v>Entrée contrôlée, actions de groupe et fin interruptible avant sauvegarde ; aucune animation ne décide seule du résultat.</x:v>
      </x:c>
      <x:c r="K8" s="7" t="str">
        <x:v>Briefing original concis ; changement de musique à la résolution d’objectif, pas après un délai arbitraire.</x:v>
      </x:c>
      <x:c r="L8" s="7" t="str">
        <x:v>quests/ini/kernel.json ; états offered/active/resolved ; clés de progression propres au module.</x:v>
      </x:c>
      <x:c r="M8" s="7" t="str">
        <x:v>Aucune procédure réelle de piratage ni code officiel copié.</x:v>
      </x:c>
      <x:c r="N8" s="7" t="str">
        <x:v>Le joueur peut accomplir « Récupérer un objet numérique fictif dans une annexe de serveur. » et la sortie confirme le résultat ; Aucune procédure réelle de piratage ni code officiel copié.</x:v>
      </x:c>
      <x:c r="O8" s="7" t="str">
        <x:v>INI-MAP-HOMEAWAY</x:v>
      </x:c>
      <x:c r="P8" s="7" t="str"/>
      <x:c r="Q8" s="7" t="str"/>
      <x:c r="R8" s="7" t="str"/>
      <x:c r="S8" s="7" t="str"/>
    </x:row>
    <x:row r="9" ht="68" customHeight="1">
      <x:c r="A9" s="18" t="str">
        <x:v>INI-MIS-BETRAYAL</x:v>
      </x:c>
      <x:c r="B9" s="9" t="str">
        <x:v>Trouver une sortie sûre</x:v>
      </x:c>
      <x:c r="C9" s="15" t="str">
        <x:v>Défini</x:v>
      </x:c>
      <x:c r="D9" s="16" t="str">
        <x:v>Extrapolation</x:v>
      </x:c>
      <x:c r="E9" s="16" t="str">
        <x:v>P0</x:v>
      </x:c>
      <x:c r="F9" s="9" t="str">
        <x:v>Mission originale d’adaptation, inspirée d’un enjeu général de l’œuvre.</x:v>
      </x:c>
      <x:c r="G9" s="9" t="str">
        <x:v>Faire lire au joueur une rupture de coopération dans une soute originale.</x:v>
      </x:c>
      <x:c r="H9" s="9" t="str">
        <x:v>Rester mobile entre couverts, vérifier le sas et protéger la liaison d’assistance.</x:v>
      </x:c>
      <x:c r="I9" s="9" t="str">
        <x:v>Objectif spatial associé à Soute de l’Audacity proposée ; états non commencé/en cours/résolu distingués.</x:v>
      </x:c>
      <x:c r="J9" s="9" t="str">
        <x:v>Entrée contrôlée, actions de groupe et fin interruptible avant sauvegarde ; aucune animation ne décide seule du résultat.</x:v>
      </x:c>
      <x:c r="K9" s="9" t="str">
        <x:v>Briefing original concis ; changement de musique à la résolution d’objectif, pas après un délai arbitraire.</x:v>
      </x:c>
      <x:c r="L9" s="9" t="str">
        <x:v>quests/ini/betrayal.json ; états offered/active/resolved ; clés de progression propres au module.</x:v>
      </x:c>
      <x:c r="M9" s="9" t="str">
        <x:v>Le choix n’efface pas la trahison de Ygara.</x:v>
      </x:c>
      <x:c r="N9" s="9" t="str">
        <x:v>Le joueur peut accomplir « Faire lire au joueur une rupture de coopération dans une soute originale. » et la sortie confirme le résultat ; Le choix n’efface pas la trahison de Ygara.</x:v>
      </x:c>
      <x:c r="O9" s="9" t="str">
        <x:v>INI-MAP-AUDACITY</x:v>
      </x:c>
      <x:c r="P9" s="9" t="str"/>
      <x:c r="Q9" s="9" t="str"/>
      <x:c r="R9" s="9" t="str"/>
      <x:c r="S9" s="9" t="str"/>
    </x:row>
    <x:row r="10" ht="68" customHeight="1">
      <x:c r="A10" s="19" t="str">
        <x:v>INI-MIS-BEACON</x:v>
      </x:c>
      <x:c r="B10" s="7" t="str">
        <x:v>Faire confirmer une position</x:v>
      </x:c>
      <x:c r="C10" s="15" t="str">
        <x:v>Défini</x:v>
      </x:c>
      <x:c r="D10" s="17" t="str">
        <x:v>Extrapolation</x:v>
      </x:c>
      <x:c r="E10" s="17" t="str">
        <x:v>P0</x:v>
      </x:c>
      <x:c r="F10" s="7" t="str">
        <x:v>Mission originale d’adaptation, inspirée d’un enjeu général de l’œuvre.</x:v>
      </x:c>
      <x:c r="G10" s="7" t="str">
        <x:v>Coordonner une procédure abstraite de recherche et secours.</x:v>
      </x:c>
      <x:c r="H10" s="7" t="str">
        <x:v>Comparer dernier signal, réserve et réponse ; garder la lecture hors compte à rebours.</x:v>
      </x:c>
      <x:c r="I10" s="7" t="str">
        <x:v>Objectif spatial associé à Espace de secours abstrait ; états non commencé/en cours/résolu distingués.</x:v>
      </x:c>
      <x:c r="J10" s="7" t="str">
        <x:v>Entrée contrôlée, actions de groupe et fin interruptible avant sauvegarde ; aucune animation ne décide seule du résultat.</x:v>
      </x:c>
      <x:c r="K10" s="7" t="str">
        <x:v>Briefing original concis ; changement de musique à la résolution d’objectif, pas après un délai arbitraire.</x:v>
      </x:c>
      <x:c r="L10" s="7" t="str">
        <x:v>quests/ini/beacon.json ; états offered/active/resolved ; clés de progression propres au module.</x:v>
      </x:c>
      <x:c r="M10" s="7" t="str">
        <x:v>Pas de mort aléatoire pendant lecture ou réglage d’accessibilité.</x:v>
      </x:c>
      <x:c r="N10" s="7" t="str">
        <x:v>Le joueur peut accomplir « Coordonner une procédure abstraite de recherche et secours. » et la sortie confirme le résultat ; Pas de mort aléatoire pendant lecture ou réglage d’accessibilité.</x:v>
      </x:c>
      <x:c r="O10" s="7" t="str">
        <x:v>INI-MAP-TRANSIT</x:v>
      </x:c>
      <x:c r="P10" s="7" t="str"/>
      <x:c r="Q10" s="7" t="str"/>
      <x:c r="R10" s="7" t="str"/>
      <x:c r="S10" s="7" t="str"/>
    </x:row>
    <x:row r="11" ht="68" customHeight="1">
      <x:c r="A11" s="18" t="str">
        <x:v>INI-MIS-FOLLOW</x:v>
      </x:c>
      <x:c r="B11" s="9" t="str">
        <x:v>Suivre la copie manquante</x:v>
      </x:c>
      <x:c r="C11" s="15" t="str">
        <x:v>Défini</x:v>
      </x:c>
      <x:c r="D11" s="16" t="str">
        <x:v>Extrapolation</x:v>
      </x:c>
      <x:c r="E11" s="16" t="str">
        <x:v>P0</x:v>
      </x:c>
      <x:c r="F11" s="9" t="str">
        <x:v>Mission originale d’adaptation, inspirée d’un enjeu général de l’œuvre.</x:v>
      </x:c>
      <x:c r="G11" s="9" t="str">
        <x:v>Relier une transaction locale à un prochain lieu de recherche.</x:v>
      </x:c>
      <x:c r="H11" s="9" t="str">
        <x:v>Vérifier un contrat, son bénéficiaire et la destination indiquée.</x:v>
      </x:c>
      <x:c r="I11" s="9" t="str">
        <x:v>Objectif spatial associé à Relais d’enquête sur Illium proposé ; états non commencé/en cours/résolu distingués.</x:v>
      </x:c>
      <x:c r="J11" s="9" t="str">
        <x:v>Entrée contrôlée, actions de groupe et fin interruptible avant sauvegarde ; aucune animation ne décide seule du résultat.</x:v>
      </x:c>
      <x:c r="K11" s="9" t="str">
        <x:v>Briefing original concis ; changement de musique à la résolution d’objectif, pas après un délai arbitraire.</x:v>
      </x:c>
      <x:c r="L11" s="9" t="str">
        <x:v>quests/ini/follow.json ; états offered/active/resolved ; clés de progression propres au module.</x:v>
      </x:c>
      <x:c r="M11" s="9" t="str">
        <x:v>Les informations restent limitées à ce que Cora découvre.</x:v>
      </x:c>
      <x:c r="N11" s="9" t="str">
        <x:v>Le joueur peut accomplir « Relier une transaction locale à un prochain lieu de recherche. » et la sortie confirme le résultat ; Les informations restent limitées à ce que Cora découvre.</x:v>
      </x:c>
      <x:c r="O11" s="9" t="str">
        <x:v>INI-MAP-ILLIUM</x:v>
      </x:c>
      <x:c r="P11" s="9" t="str"/>
      <x:c r="Q11" s="9" t="str"/>
      <x:c r="R11" s="9" t="str"/>
      <x:c r="S11" s="9" t="str"/>
    </x:row>
    <x:row r="12" ht="68" customHeight="1">
      <x:c r="A12" s="19" t="str">
        <x:v>INI-MIS-OVERRIDE</x:v>
      </x:c>
      <x:c r="B12" s="7" t="str">
        <x:v>Tenir un accès face à Medea</x:v>
      </x:c>
      <x:c r="C12" s="15" t="str">
        <x:v>Défini</x:v>
      </x:c>
      <x:c r="D12" s="17" t="str">
        <x:v>Extrapolation</x:v>
      </x:c>
      <x:c r="E12" s="17" t="str">
        <x:v>P0</x:v>
      </x:c>
      <x:c r="F12" s="7" t="str">
        <x:v>Mission originale d’adaptation, inspirée d’un enjeu général de l’œuvre.</x:v>
      </x:c>
      <x:c r="G12" s="7" t="str">
        <x:v>Empêcher un réseau hostile de prendre une issue locale.</x:v>
      </x:c>
      <x:c r="H12" s="7" t="str">
        <x:v>Une commande doit être confirmée au poste physique ; l’assistant ne peut protéger tous les nœuds.</x:v>
      </x:c>
      <x:c r="I12" s="7" t="str">
        <x:v>Objectif spatial associé à Approche de Quiet Eddy proposée ; états non commencé/en cours/résolu distingués.</x:v>
      </x:c>
      <x:c r="J12" s="7" t="str">
        <x:v>Entrée contrôlée, actions de groupe et fin interruptible avant sauvegarde ; aucune animation ne décide seule du résultat.</x:v>
      </x:c>
      <x:c r="K12" s="7" t="str">
        <x:v>Briefing original concis ; changement de musique à la résolution d’objectif, pas après un délai arbitraire.</x:v>
      </x:c>
      <x:c r="L12" s="7" t="str">
        <x:v>quests/ini/override.json ; états offered/active/resolved ; clés de progression propres au module.</x:v>
      </x:c>
      <x:c r="M12" s="7" t="str">
        <x:v>Medea n’est pas vaincue par un simple mini-jeu universel.</x:v>
      </x:c>
      <x:c r="N12" s="7" t="str">
        <x:v>Le joueur peut accomplir « Empêcher un réseau hostile de prendre une issue locale. » et la sortie confirme le résultat ; Medea n’est pas vaincue par un simple mini-jeu universel.</x:v>
      </x:c>
      <x:c r="O12" s="7" t="str">
        <x:v>INI-MAP-QUIET</x:v>
      </x:c>
      <x:c r="P12" s="7" t="str"/>
      <x:c r="Q12" s="7" t="str"/>
      <x:c r="R12" s="7" t="str"/>
      <x:c r="S12" s="7" t="str"/>
    </x:row>
    <x:row r="13" ht="68" customHeight="1">
      <x:c r="A13" s="18" t="str">
        <x:v>INI-MIS-ESCORT</x:v>
      </x:c>
      <x:c r="B13" s="9" t="str">
        <x:v>Accompagner les survivants</x:v>
      </x:c>
      <x:c r="C13" s="15" t="str">
        <x:v>Défini</x:v>
      </x:c>
      <x:c r="D13" s="16" t="str">
        <x:v>Extrapolation</x:v>
      </x:c>
      <x:c r="E13" s="16" t="str">
        <x:v>P0</x:v>
      </x:c>
      <x:c r="F13" s="9" t="str">
        <x:v>Mission originale d’adaptation, inspirée d’un enjeu général de l’œuvre.</x:v>
      </x:c>
      <x:c r="G13" s="9" t="str">
        <x:v>Préparer et exécuter une évacuation d’annexe originale.</x:v>
      </x:c>
      <x:c r="H13" s="9" t="str">
        <x:v>Trois groupes civils traversent des points sûrs pendant que Cora et une escorte protègent les accès.</x:v>
      </x:c>
      <x:c r="I13" s="9" t="str">
        <x:v>Objectif spatial associé à Refuge Gamma proposé ; états non commencé/en cours/résolu distingués.</x:v>
      </x:c>
      <x:c r="J13" s="9" t="str">
        <x:v>Entrée contrôlée, actions de groupe et fin interruptible avant sauvegarde ; aucune animation ne décide seule du résultat.</x:v>
      </x:c>
      <x:c r="K13" s="9" t="str">
        <x:v>Briefing original concis ; changement de musique à la résolution d’objectif, pas après un délai arbitraire.</x:v>
      </x:c>
      <x:c r="L13" s="9" t="str">
        <x:v>quests/ini/escort.json ; états offered/active/resolved ; clés de progression propres au module.</x:v>
      </x:c>
      <x:c r="M13" s="9" t="str">
        <x:v>Le coût de la surcharge de Cora ne disparaît pas grâce à un consommable.</x:v>
      </x:c>
      <x:c r="N13" s="9" t="str">
        <x:v>Le joueur peut accomplir « Préparer et exécuter une évacuation d’annexe originale. » et la sortie confirme le résultat ; Le coût de la surcharge de Cora ne disparaît pas grâce à un consommable.</x:v>
      </x:c>
      <x:c r="O13" s="9" t="str">
        <x:v>INI-MAP-GAMMA</x:v>
      </x:c>
      <x:c r="P13" s="9" t="str"/>
      <x:c r="Q13" s="9" t="str"/>
      <x:c r="R13" s="9" t="str"/>
      <x:c r="S13" s="9" t="str"/>
    </x:row>
    <x:row r="14" ht="68" customHeight="1">
      <x:c r="A14" s="19" t="str">
        <x:v>INI-MIS-LEGACY</x:v>
      </x:c>
      <x:c r="B14" s="7" t="str">
        <x:v>Respecter la fin d’une voix</x:v>
      </x:c>
      <x:c r="C14" s="15" t="str">
        <x:v>Défini</x:v>
      </x:c>
      <x:c r="D14" s="17" t="str">
        <x:v>Extrapolation</x:v>
      </x:c>
      <x:c r="E14" s="17" t="str">
        <x:v>P0</x:v>
      </x:c>
      <x:c r="F14" s="7" t="str">
        <x:v>Mission originale d’adaptation, inspirée d’un enjeu général de l’œuvre.</x:v>
      </x:c>
      <x:c r="G14" s="7" t="str">
        <x:v>Clore le lien expérimental dans une scène originale sobre.</x:v>
      </x:c>
      <x:c r="H14" s="7" t="str">
        <x:v>Valider mémoire, présence et limitations du système ; aucune option de duplication magique.</x:v>
      </x:c>
      <x:c r="I14" s="7" t="str">
        <x:v>Objectif spatial associé à Accès du nœud SAM proposé ; états non commencé/en cours/résolu distingués.</x:v>
      </x:c>
      <x:c r="J14" s="7" t="str">
        <x:v>Entrée contrôlée, actions de groupe et fin interruptible avant sauvegarde ; aucune animation ne décide seule du résultat.</x:v>
      </x:c>
      <x:c r="K14" s="7" t="str">
        <x:v>Briefing original concis ; changement de musique à la résolution d’objectif, pas après un délai arbitraire.</x:v>
      </x:c>
      <x:c r="L14" s="7" t="str">
        <x:v>quests/ini/legacy.json ; états offered/active/resolved ; clés de progression propres au module.</x:v>
      </x:c>
      <x:c r="M14" s="7" t="str">
        <x:v>SAM-E n’est pas rendu permanent et autonome dans MEA.</x:v>
      </x:c>
      <x:c r="N14" s="7" t="str">
        <x:v>Le joueur peut accomplir « Clore le lien expérimental dans une scène originale sobre. » et la sortie confirme le résultat ; SAM-E n’est pas rendu permanent et autonome dans MEA.</x:v>
      </x:c>
      <x:c r="O14" s="7" t="str">
        <x:v>INI-MAP-HYPERION</x:v>
      </x:c>
      <x:c r="P14" s="7" t="str"/>
      <x:c r="Q14" s="7" t="str"/>
      <x:c r="R14" s="7" t="str"/>
      <x:c r="S14" s="7" t="str"/>
    </x:row>
  </x:sheetData>
  <x:conditionalFormatting sqref="D7:D14">
    <x:cfRule type="cellIs" dxfId="36" priority="1" operator="equal">
      <x:formula>"À vérifier"</x:formula>
    </x:cfRule>
    <x:cfRule type="cellIs" dxfId="37" priority="2" operator="equal">
      <x:formula>"Extrapolation"</x:formula>
    </x:cfRule>
  </x:conditionalFormatting>
  <x:conditionalFormatting sqref="C7:C14">
    <x:cfRule type="cellIs" dxfId="38" priority="3" operator="equal">
      <x:formula>"Validé"</x:formula>
    </x:cfRule>
  </x:conditionalFormatting>
  <x:conditionalFormatting sqref="E7:E14">
    <x:cfRule type="cellIs" dxfId="39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f5878109204c4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Secondaires et DLC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Contenus annexes, variantes et extensions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INI-OPT-MANDATE</x:v>
      </x:c>
      <x:c r="B7" s="9" t="str">
        <x:v>Définir les limites de l’assistance — tâche annexe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Objectif annexe créé pour l’adaptation.</x:v>
      </x:c>
      <x:c r="G7" s="9" t="str">
        <x:v>Vérifier l’adaptation d’un casque de réserve sans statistiques officielles.</x:v>
      </x:c>
      <x:c r="H7" s="9" t="str">
        <x:v>Récompense proposée : renseignement de terrain, raccourci ou consommable local. Ne débloque aucun savoir anticipé sur la saga.</x:v>
      </x:c>
      <x:c r="I7" s="9" t="str">
        <x:v>Marqueur secondaire distinct du chemin critique et objet d’intérêt cadré lisiblement.</x:v>
      </x:c>
      <x:c r="J7" s="9" t="str">
        <x:v>Interaction brève réutilisant les poses du métier concerné, avec interruption possible.</x:v>
      </x:c>
      <x:c r="K7" s="9" t="str">
        <x:v>Petit signal de découverte ; résultat textuel consultable sans audio.</x:v>
      </x:c>
      <x:c r="L7" s="9" t="str">
        <x:v>optional.ini.mandate ; persister done/skipped, récompenser une seule fois.</x:v>
      </x:c>
      <x:c r="M7" s="9" t="str">
        <x:v>Facultatif ; peut être ignoré sans bloquer la mission. Ne pas qualifier SAM-E de simple VI après la révélation de sa nature.</x:v>
      </x:c>
      <x:c r="N7" s="9" t="str">
        <x:v>Ignorer puis terminer la mission fonctionne ; compléter ne verse la récompense qu’une fois.</x:v>
      </x:c>
      <x:c r="O7" s="9" t="str">
        <x:v>INI-MIS-MANDATE</x:v>
      </x:c>
      <x:c r="P7" s="9" t="str"/>
      <x:c r="Q7" s="9" t="str"/>
      <x:c r="R7" s="9" t="str"/>
      <x:c r="S7" s="9" t="str"/>
    </x:row>
    <x:row r="8" ht="54" customHeight="1">
      <x:c r="A8" s="19" t="str">
        <x:v>INI-OPT-KERNEL</x:v>
      </x:c>
      <x:c r="B8" s="7" t="str">
        <x:v>Extraire un paquet de données — tâche annexe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Objectif annexe créé pour l’adaptation.</x:v>
      </x:c>
      <x:c r="G8" s="7" t="str">
        <x:v>Récupérer un journal d’accès sans télécharger tout le réseau.</x:v>
      </x:c>
      <x:c r="H8" s="7" t="str">
        <x:v>Récompense proposée : renseignement de terrain, raccourci ou consommable local. Ne débloque aucun savoir anticipé sur la saga.</x:v>
      </x:c>
      <x:c r="I8" s="7" t="str">
        <x:v>Marqueur secondaire distinct du chemin critique et objet d’intérêt cadré lisiblement.</x:v>
      </x:c>
      <x:c r="J8" s="7" t="str">
        <x:v>Interaction brève réutilisant les poses du métier concerné, avec interruption possible.</x:v>
      </x:c>
      <x:c r="K8" s="7" t="str">
        <x:v>Petit signal de découverte ; résultat textuel consultable sans audio.</x:v>
      </x:c>
      <x:c r="L8" s="7" t="str">
        <x:v>optional.ini.kernel ; persister done/skipped, récompenser une seule fois.</x:v>
      </x:c>
      <x:c r="M8" s="7" t="str">
        <x:v>Facultatif ; peut être ignoré sans bloquer la mission. Aucune procédure réelle de piratage ni code officiel copié.</x:v>
      </x:c>
      <x:c r="N8" s="7" t="str">
        <x:v>Ignorer puis terminer la mission fonctionne ; compléter ne verse la récompense qu’une fois.</x:v>
      </x:c>
      <x:c r="O8" s="7" t="str">
        <x:v>INI-MIS-KERNEL</x:v>
      </x:c>
      <x:c r="P8" s="7" t="str"/>
      <x:c r="Q8" s="7" t="str"/>
      <x:c r="R8" s="7" t="str"/>
      <x:c r="S8" s="7" t="str"/>
    </x:row>
    <x:row r="9" ht="54" customHeight="1">
      <x:c r="A9" s="18" t="str">
        <x:v>INI-OPT-BETRAYAL</x:v>
      </x:c>
      <x:c r="B9" s="9" t="str">
        <x:v>Trouver une sortie sûre — tâche annexe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Objectif annexe créé pour l’adaptation.</x:v>
      </x:c>
      <x:c r="G9" s="9" t="str">
        <x:v>Récupérer une réserve compatible avant de quitter la soute.</x:v>
      </x:c>
      <x:c r="H9" s="9" t="str">
        <x:v>Récompense proposée : renseignement de terrain, raccourci ou consommable local. Ne débloque aucun savoir anticipé sur la saga.</x:v>
      </x:c>
      <x:c r="I9" s="9" t="str">
        <x:v>Marqueur secondaire distinct du chemin critique et objet d’intérêt cadré lisiblement.</x:v>
      </x:c>
      <x:c r="J9" s="9" t="str">
        <x:v>Interaction brève réutilisant les poses du métier concerné, avec interruption possible.</x:v>
      </x:c>
      <x:c r="K9" s="9" t="str">
        <x:v>Petit signal de découverte ; résultat textuel consultable sans audio.</x:v>
      </x:c>
      <x:c r="L9" s="9" t="str">
        <x:v>optional.ini.betrayal ; persister done/skipped, récompenser une seule fois.</x:v>
      </x:c>
      <x:c r="M9" s="9" t="str">
        <x:v>Facultatif ; peut être ignoré sans bloquer la mission. Le choix n’efface pas la trahison de Ygara.</x:v>
      </x:c>
      <x:c r="N9" s="9" t="str">
        <x:v>Ignorer puis terminer la mission fonctionne ; compléter ne verse la récompense qu’une fois.</x:v>
      </x:c>
      <x:c r="O9" s="9" t="str">
        <x:v>INI-MIS-BETRAYAL</x:v>
      </x:c>
      <x:c r="P9" s="9" t="str"/>
      <x:c r="Q9" s="9" t="str"/>
      <x:c r="R9" s="9" t="str"/>
      <x:c r="S9" s="9" t="str"/>
    </x:row>
    <x:row r="10" ht="54" customHeight="1">
      <x:c r="A10" s="19" t="str">
        <x:v>INI-OPT-BEACON</x:v>
      </x:c>
      <x:c r="B10" s="7" t="str">
        <x:v>Faire confirmer une position — tâche annexe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Objectif annexe créé pour l’adaptation.</x:v>
      </x:c>
      <x:c r="G10" s="7" t="str">
        <x:v>Classer un souvenir de dialogue original dans le journal privé.</x:v>
      </x:c>
      <x:c r="H10" s="7" t="str">
        <x:v>Récompense proposée : renseignement de terrain, raccourci ou consommable local. Ne débloque aucun savoir anticipé sur la saga.</x:v>
      </x:c>
      <x:c r="I10" s="7" t="str">
        <x:v>Marqueur secondaire distinct du chemin critique et objet d’intérêt cadré lisiblement.</x:v>
      </x:c>
      <x:c r="J10" s="7" t="str">
        <x:v>Interaction brève réutilisant les poses du métier concerné, avec interruption possible.</x:v>
      </x:c>
      <x:c r="K10" s="7" t="str">
        <x:v>Petit signal de découverte ; résultat textuel consultable sans audio.</x:v>
      </x:c>
      <x:c r="L10" s="7" t="str">
        <x:v>optional.ini.beacon ; persister done/skipped, récompenser une seule fois.</x:v>
      </x:c>
      <x:c r="M10" s="7" t="str">
        <x:v>Facultatif ; peut être ignoré sans bloquer la mission. Pas de mort aléatoire pendant lecture ou réglage d’accessibilité.</x:v>
      </x:c>
      <x:c r="N10" s="7" t="str">
        <x:v>Ignorer puis terminer la mission fonctionne ; compléter ne verse la récompense qu’une fois.</x:v>
      </x:c>
      <x:c r="O10" s="7" t="str">
        <x:v>INI-MIS-BEACON</x:v>
      </x:c>
      <x:c r="P10" s="7" t="str"/>
      <x:c r="Q10" s="7" t="str"/>
      <x:c r="R10" s="7" t="str"/>
      <x:c r="S10" s="7" t="str"/>
    </x:row>
    <x:row r="11" ht="54" customHeight="1">
      <x:c r="A11" s="18" t="str">
        <x:v>INI-OPT-FOLLOW</x:v>
      </x:c>
      <x:c r="B11" s="9" t="str">
        <x:v>Suivre la copie manquante — tâche annexe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Objectif annexe créé pour l’adaptation.</x:v>
      </x:c>
      <x:c r="G11" s="9" t="str">
        <x:v>Rendre un objet déposé par erreur dans un casier voisin.</x:v>
      </x:c>
      <x:c r="H11" s="9" t="str">
        <x:v>Récompense proposée : renseignement de terrain, raccourci ou consommable local. Ne débloque aucun savoir anticipé sur la saga.</x:v>
      </x:c>
      <x:c r="I11" s="9" t="str">
        <x:v>Marqueur secondaire distinct du chemin critique et objet d’intérêt cadré lisiblement.</x:v>
      </x:c>
      <x:c r="J11" s="9" t="str">
        <x:v>Interaction brève réutilisant les poses du métier concerné, avec interruption possible.</x:v>
      </x:c>
      <x:c r="K11" s="9" t="str">
        <x:v>Petit signal de découverte ; résultat textuel consultable sans audio.</x:v>
      </x:c>
      <x:c r="L11" s="9" t="str">
        <x:v>optional.ini.follow ; persister done/skipped, récompenser une seule fois.</x:v>
      </x:c>
      <x:c r="M11" s="9" t="str">
        <x:v>Facultatif ; peut être ignoré sans bloquer la mission. Les informations restent limitées à ce que Cora découvre.</x:v>
      </x:c>
      <x:c r="N11" s="9" t="str">
        <x:v>Ignorer puis terminer la mission fonctionne ; compléter ne verse la récompense qu’une fois.</x:v>
      </x:c>
      <x:c r="O11" s="9" t="str">
        <x:v>INI-MIS-FOLLOW</x:v>
      </x:c>
      <x:c r="P11" s="9" t="str"/>
      <x:c r="Q11" s="9" t="str"/>
      <x:c r="R11" s="9" t="str"/>
      <x:c r="S11" s="9" t="str"/>
    </x:row>
    <x:row r="12" ht="54" customHeight="1">
      <x:c r="A12" s="19" t="str">
        <x:v>INI-OPT-OVERRIDE</x:v>
      </x:c>
      <x:c r="B12" s="7" t="str">
        <x:v>Tenir un accès face à Medea — tâche annexe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Objectif annexe créé pour l’adaptation.</x:v>
      </x:c>
      <x:c r="G12" s="7" t="str">
        <x:v>Retrouver une ancienne version de plan limitée au secteur.</x:v>
      </x:c>
      <x:c r="H12" s="7" t="str">
        <x:v>Récompense proposée : renseignement de terrain, raccourci ou consommable local. Ne débloque aucun savoir anticipé sur la saga.</x:v>
      </x:c>
      <x:c r="I12" s="7" t="str">
        <x:v>Marqueur secondaire distinct du chemin critique et objet d’intérêt cadré lisiblement.</x:v>
      </x:c>
      <x:c r="J12" s="7" t="str">
        <x:v>Interaction brève réutilisant les poses du métier concerné, avec interruption possible.</x:v>
      </x:c>
      <x:c r="K12" s="7" t="str">
        <x:v>Petit signal de découverte ; résultat textuel consultable sans audio.</x:v>
      </x:c>
      <x:c r="L12" s="7" t="str">
        <x:v>optional.ini.override ; persister done/skipped, récompenser une seule fois.</x:v>
      </x:c>
      <x:c r="M12" s="7" t="str">
        <x:v>Facultatif ; peut être ignoré sans bloquer la mission. Medea n’est pas vaincue par un simple mini-jeu universel.</x:v>
      </x:c>
      <x:c r="N12" s="7" t="str">
        <x:v>Ignorer puis terminer la mission fonctionne ; compléter ne verse la récompense qu’une fois.</x:v>
      </x:c>
      <x:c r="O12" s="7" t="str">
        <x:v>INI-MIS-OVERRIDE</x:v>
      </x:c>
      <x:c r="P12" s="7" t="str"/>
      <x:c r="Q12" s="7" t="str"/>
      <x:c r="R12" s="7" t="str"/>
      <x:c r="S12" s="7" t="str"/>
    </x:row>
    <x:row r="13" ht="54" customHeight="1">
      <x:c r="A13" s="18" t="str">
        <x:v>INI-OPT-ESCORT</x:v>
      </x:c>
      <x:c r="B13" s="9" t="str">
        <x:v>Accompagner les survivants — tâche annexe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Objectif annexe créé pour l’adaptation.</x:v>
      </x:c>
      <x:c r="G13" s="9" t="str">
        <x:v>Retrouver un objet de réassurance pour un enfant sans l’armer comme mécanique de récompense.</x:v>
      </x:c>
      <x:c r="H13" s="9" t="str">
        <x:v>Récompense proposée : renseignement de terrain, raccourci ou consommable local. Ne débloque aucun savoir anticipé sur la saga.</x:v>
      </x:c>
      <x:c r="I13" s="9" t="str">
        <x:v>Marqueur secondaire distinct du chemin critique et objet d’intérêt cadré lisiblement.</x:v>
      </x:c>
      <x:c r="J13" s="9" t="str">
        <x:v>Interaction brève réutilisant les poses du métier concerné, avec interruption possible.</x:v>
      </x:c>
      <x:c r="K13" s="9" t="str">
        <x:v>Petit signal de découverte ; résultat textuel consultable sans audio.</x:v>
      </x:c>
      <x:c r="L13" s="9" t="str">
        <x:v>optional.ini.escort ; persister done/skipped, récompenser une seule fois.</x:v>
      </x:c>
      <x:c r="M13" s="9" t="str">
        <x:v>Facultatif ; peut être ignoré sans bloquer la mission. Le coût de la surcharge de Cora ne disparaît pas grâce à un consommable.</x:v>
      </x:c>
      <x:c r="N13" s="9" t="str">
        <x:v>Ignorer puis terminer la mission fonctionne ; compléter ne verse la récompense qu’une fois.</x:v>
      </x:c>
      <x:c r="O13" s="9" t="str">
        <x:v>INI-MIS-ESCORT</x:v>
      </x:c>
      <x:c r="P13" s="9" t="str"/>
      <x:c r="Q13" s="9" t="str"/>
      <x:c r="R13" s="9" t="str"/>
      <x:c r="S13" s="9" t="str"/>
    </x:row>
    <x:row r="14" ht="54" customHeight="1">
      <x:c r="A14" s="19" t="str">
        <x:v>INI-OPT-LEGACY</x:v>
      </x:c>
      <x:c r="B14" s="7" t="str">
        <x:v>Respecter la fin d’une voix — tâche annexe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Objectif annexe créé pour l’adaptation.</x:v>
      </x:c>
      <x:c r="G14" s="7" t="str">
        <x:v>Archiver les préférences d’interface créées avec SAM-E.</x:v>
      </x:c>
      <x:c r="H14" s="7" t="str">
        <x:v>Récompense proposée : renseignement de terrain, raccourci ou consommable local. Ne débloque aucun savoir anticipé sur la saga.</x:v>
      </x:c>
      <x:c r="I14" s="7" t="str">
        <x:v>Marqueur secondaire distinct du chemin critique et objet d’intérêt cadré lisiblement.</x:v>
      </x:c>
      <x:c r="J14" s="7" t="str">
        <x:v>Interaction brève réutilisant les poses du métier concerné, avec interruption possible.</x:v>
      </x:c>
      <x:c r="K14" s="7" t="str">
        <x:v>Petit signal de découverte ; résultat textuel consultable sans audio.</x:v>
      </x:c>
      <x:c r="L14" s="7" t="str">
        <x:v>optional.ini.legacy ; persister done/skipped, récompenser une seule fois.</x:v>
      </x:c>
      <x:c r="M14" s="7" t="str">
        <x:v>Facultatif ; peut être ignoré sans bloquer la mission. SAM-E n’est pas rendu permanent et autonome dans MEA.</x:v>
      </x:c>
      <x:c r="N14" s="7" t="str">
        <x:v>Ignorer puis terminer la mission fonctionne ; compléter ne verse la récompense qu’une fois.</x:v>
      </x:c>
      <x:c r="O14" s="7" t="str">
        <x:v>INI-MIS-LEGACY</x:v>
      </x:c>
      <x:c r="P14" s="7" t="str"/>
      <x:c r="Q14" s="7" t="str"/>
      <x:c r="R14" s="7" t="str"/>
      <x:c r="S14" s="7" t="str"/>
    </x:row>
  </x:sheetData>
  <x:conditionalFormatting sqref="D7:D14">
    <x:cfRule type="cellIs" dxfId="40" priority="1" operator="equal">
      <x:formula>"À vérifier"</x:formula>
    </x:cfRule>
    <x:cfRule type="cellIs" dxfId="41" priority="2" operator="equal">
      <x:formula>"Extrapolation"</x:formula>
    </x:cfRule>
  </x:conditionalFormatting>
  <x:conditionalFormatting sqref="C7:C14">
    <x:cfRule type="cellIs" dxfId="42" priority="3" operator="equal">
      <x:formula>"Validé"</x:formula>
    </x:cfRule>
  </x:conditionalFormatting>
  <x:conditionalFormatting sqref="E7:E14">
    <x:cfRule type="cellIs" dxfId="4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c5d98b914e41f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Choix et relations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Conséquences persistantes et relations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INI-CHO-MANDATE</x:v>
      </x:c>
      <x:c r="B7" s="9" t="str">
        <x:v>Définir les limites de l’assistance — méthode optionnelle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Bifurcation locale originale ; elle ne crée pas une autre fin officielle.</x:v>
      </x:c>
      <x:c r="G7" s="9" t="str">
        <x:v>Briefing technique détaillé ou répétition pratique abstraite.</x:v>
      </x:c>
      <x:c r="H7" s="9" t="str">
        <x:v>Afficher coût, bénéfice local et condition de retour avant validation ; deux méthodes rejoignent le même verrou de continuité.</x:v>
      </x:c>
      <x:c r="I7" s="9" t="str">
        <x:v>Libellés d’action concrets ; symbole d’effet local ; aucune option désactivée sans motif.</x:v>
      </x:c>
      <x:c r="J7" s="9" t="str">
        <x:v>Réaction courte du groupe ; reprise immédiate des contrôles après résultat.</x:v>
      </x:c>
      <x:c r="K7" s="9" t="str">
        <x:v>Confirmation discrète ; lecture du résultat disponible dans le journal.</x:v>
      </x:c>
      <x:c r="L7" s="9" t="str">
        <x:v>choice.ini.mandate ; stocker la méthode et le coût, jamais une réécriture d’événement source.</x:v>
      </x:c>
      <x:c r="M7" s="9" t="str">
        <x:v>Ne pas qualifier SAM-E de simple VI après la révélation de sa nature.</x:v>
      </x:c>
      <x:c r="N7" s="9" t="str">
        <x:v>Les deux branches sont atteignables ; l’état canonique final du module est identique.</x:v>
      </x:c>
      <x:c r="O7" s="9" t="str">
        <x:v>INI-MIS-MANDATE</x:v>
      </x:c>
      <x:c r="P7" s="9" t="str"/>
      <x:c r="Q7" s="9" t="str"/>
      <x:c r="R7" s="9" t="str"/>
      <x:c r="S7" s="9" t="str"/>
    </x:row>
    <x:row r="8" ht="54" customHeight="1">
      <x:c r="A8" s="19" t="str">
        <x:v>INI-CHO-KERNEL</x:v>
      </x:c>
      <x:c r="B8" s="7" t="str">
        <x:v>Extraire un paquet de données — méthode optionnelle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Bifurcation locale originale ; elle ne crée pas une autre fin officielle.</x:v>
      </x:c>
      <x:c r="G8" s="7" t="str">
        <x:v>Passage par maintenance ou badge local ; deux parcours testables.</x:v>
      </x:c>
      <x:c r="H8" s="7" t="str">
        <x:v>Afficher coût, bénéfice local et condition de retour avant validation ; deux méthodes rejoignent le même verrou de continuité.</x:v>
      </x:c>
      <x:c r="I8" s="7" t="str">
        <x:v>Libellés d’action concrets ; symbole d’effet local ; aucune option désactivée sans motif.</x:v>
      </x:c>
      <x:c r="J8" s="7" t="str">
        <x:v>Réaction courte du groupe ; reprise immédiate des contrôles après résultat.</x:v>
      </x:c>
      <x:c r="K8" s="7" t="str">
        <x:v>Confirmation discrète ; lecture du résultat disponible dans le journal.</x:v>
      </x:c>
      <x:c r="L8" s="7" t="str">
        <x:v>choice.ini.kernel ; stocker la méthode et le coût, jamais une réécriture d’événement source.</x:v>
      </x:c>
      <x:c r="M8" s="7" t="str">
        <x:v>Aucune procédure réelle de piratage ni code officiel copié.</x:v>
      </x:c>
      <x:c r="N8" s="7" t="str">
        <x:v>Les deux branches sont atteignables ; l’état canonique final du module est identique.</x:v>
      </x:c>
      <x:c r="O8" s="7" t="str">
        <x:v>INI-MIS-KERNEL</x:v>
      </x:c>
      <x:c r="P8" s="7" t="str"/>
      <x:c r="Q8" s="7" t="str"/>
      <x:c r="R8" s="7" t="str"/>
      <x:c r="S8" s="7" t="str"/>
    </x:row>
    <x:row r="9" ht="54" customHeight="1">
      <x:c r="A9" s="18" t="str">
        <x:v>INI-CHO-BETRAYAL</x:v>
      </x:c>
      <x:c r="B9" s="9" t="str">
        <x:v>Trouver une sortie sûre — méthode optionnelle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Bifurcation locale originale ; elle ne crée pas une autre fin officielle.</x:v>
      </x:c>
      <x:c r="G9" s="9" t="str">
        <x:v>Diversion visuelle ou coupure d’un panneau ; même état de sortie.</x:v>
      </x:c>
      <x:c r="H9" s="9" t="str">
        <x:v>Afficher coût, bénéfice local et condition de retour avant validation ; deux méthodes rejoignent le même verrou de continuité.</x:v>
      </x:c>
      <x:c r="I9" s="9" t="str">
        <x:v>Libellés d’action concrets ; symbole d’effet local ; aucune option désactivée sans motif.</x:v>
      </x:c>
      <x:c r="J9" s="9" t="str">
        <x:v>Réaction courte du groupe ; reprise immédiate des contrôles après résultat.</x:v>
      </x:c>
      <x:c r="K9" s="9" t="str">
        <x:v>Confirmation discrète ; lecture du résultat disponible dans le journal.</x:v>
      </x:c>
      <x:c r="L9" s="9" t="str">
        <x:v>choice.ini.betrayal ; stocker la méthode et le coût, jamais une réécriture d’événement source.</x:v>
      </x:c>
      <x:c r="M9" s="9" t="str">
        <x:v>Le choix n’efface pas la trahison de Ygara.</x:v>
      </x:c>
      <x:c r="N9" s="9" t="str">
        <x:v>Les deux branches sont atteignables ; l’état canonique final du module est identique.</x:v>
      </x:c>
      <x:c r="O9" s="9" t="str">
        <x:v>INI-MIS-BETRAYAL</x:v>
      </x:c>
      <x:c r="P9" s="9" t="str"/>
      <x:c r="Q9" s="9" t="str"/>
      <x:c r="R9" s="9" t="str"/>
      <x:c r="S9" s="9" t="str"/>
    </x:row>
    <x:row r="10" ht="54" customHeight="1">
      <x:c r="A10" s="19" t="str">
        <x:v>INI-CHO-BEACON</x:v>
      </x:c>
      <x:c r="B10" s="7" t="str">
        <x:v>Faire confirmer une position — méthode optionnelle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Bifurcation locale originale ; elle ne crée pas une autre fin officielle.</x:v>
      </x:c>
      <x:c r="G10" s="7" t="str">
        <x:v>Répéter une balise ou attendre une fenêtre de communication.</x:v>
      </x:c>
      <x:c r="H10" s="7" t="str">
        <x:v>Afficher coût, bénéfice local et condition de retour avant validation ; deux méthodes rejoignent le même verrou de continuité.</x:v>
      </x:c>
      <x:c r="I10" s="7" t="str">
        <x:v>Libellés d’action concrets ; symbole d’effet local ; aucune option désactivée sans motif.</x:v>
      </x:c>
      <x:c r="J10" s="7" t="str">
        <x:v>Réaction courte du groupe ; reprise immédiate des contrôles après résultat.</x:v>
      </x:c>
      <x:c r="K10" s="7" t="str">
        <x:v>Confirmation discrète ; lecture du résultat disponible dans le journal.</x:v>
      </x:c>
      <x:c r="L10" s="7" t="str">
        <x:v>choice.ini.beacon ; stocker la méthode et le coût, jamais une réécriture d’événement source.</x:v>
      </x:c>
      <x:c r="M10" s="7" t="str">
        <x:v>Pas de mort aléatoire pendant lecture ou réglage d’accessibilité.</x:v>
      </x:c>
      <x:c r="N10" s="7" t="str">
        <x:v>Les deux branches sont atteignables ; l’état canonique final du module est identique.</x:v>
      </x:c>
      <x:c r="O10" s="7" t="str">
        <x:v>INI-MIS-BEACON</x:v>
      </x:c>
      <x:c r="P10" s="7" t="str"/>
      <x:c r="Q10" s="7" t="str"/>
      <x:c r="R10" s="7" t="str"/>
      <x:c r="S10" s="7" t="str"/>
    </x:row>
    <x:row r="11" ht="54" customHeight="1">
      <x:c r="A11" s="18" t="str">
        <x:v>INI-CHO-FOLLOW</x:v>
      </x:c>
      <x:c r="B11" s="9" t="str">
        <x:v>Suivre la copie manquante — méthode optionnelle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Bifurcation locale originale ; elle ne crée pas une autre fin officielle.</x:v>
      </x:c>
      <x:c r="G11" s="9" t="str">
        <x:v>Entretien avec un contact original ou inspection d’un registre fictif.</x:v>
      </x:c>
      <x:c r="H11" s="9" t="str">
        <x:v>Afficher coût, bénéfice local et condition de retour avant validation ; deux méthodes rejoignent le même verrou de continuité.</x:v>
      </x:c>
      <x:c r="I11" s="9" t="str">
        <x:v>Libellés d’action concrets ; symbole d’effet local ; aucune option désactivée sans motif.</x:v>
      </x:c>
      <x:c r="J11" s="9" t="str">
        <x:v>Réaction courte du groupe ; reprise immédiate des contrôles après résultat.</x:v>
      </x:c>
      <x:c r="K11" s="9" t="str">
        <x:v>Confirmation discrète ; lecture du résultat disponible dans le journal.</x:v>
      </x:c>
      <x:c r="L11" s="9" t="str">
        <x:v>choice.ini.follow ; stocker la méthode et le coût, jamais une réécriture d’événement source.</x:v>
      </x:c>
      <x:c r="M11" s="9" t="str">
        <x:v>Les informations restent limitées à ce que Cora découvre.</x:v>
      </x:c>
      <x:c r="N11" s="9" t="str">
        <x:v>Les deux branches sont atteignables ; l’état canonique final du module est identique.</x:v>
      </x:c>
      <x:c r="O11" s="9" t="str">
        <x:v>INI-MIS-FOLLOW</x:v>
      </x:c>
      <x:c r="P11" s="9" t="str"/>
      <x:c r="Q11" s="9" t="str"/>
      <x:c r="R11" s="9" t="str"/>
      <x:c r="S11" s="9" t="str"/>
    </x:row>
    <x:row r="12" ht="54" customHeight="1">
      <x:c r="A12" s="19" t="str">
        <x:v>INI-CHO-OVERRIDE</x:v>
      </x:c>
      <x:c r="B12" s="7" t="str">
        <x:v>Tenir un accès face à Medea — méthode optionnelle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Bifurcation locale originale ; elle ne crée pas une autre fin officielle.</x:v>
      </x:c>
      <x:c r="G12" s="7" t="str">
        <x:v>Maintenir la protection du sas ou ouvrir un détour manuel.</x:v>
      </x:c>
      <x:c r="H12" s="7" t="str">
        <x:v>Afficher coût, bénéfice local et condition de retour avant validation ; deux méthodes rejoignent le même verrou de continuité.</x:v>
      </x:c>
      <x:c r="I12" s="7" t="str">
        <x:v>Libellés d’action concrets ; symbole d’effet local ; aucune option désactivée sans motif.</x:v>
      </x:c>
      <x:c r="J12" s="7" t="str">
        <x:v>Réaction courte du groupe ; reprise immédiate des contrôles après résultat.</x:v>
      </x:c>
      <x:c r="K12" s="7" t="str">
        <x:v>Confirmation discrète ; lecture du résultat disponible dans le journal.</x:v>
      </x:c>
      <x:c r="L12" s="7" t="str">
        <x:v>choice.ini.override ; stocker la méthode et le coût, jamais une réécriture d’événement source.</x:v>
      </x:c>
      <x:c r="M12" s="7" t="str">
        <x:v>Medea n’est pas vaincue par un simple mini-jeu universel.</x:v>
      </x:c>
      <x:c r="N12" s="7" t="str">
        <x:v>Les deux branches sont atteignables ; l’état canonique final du module est identique.</x:v>
      </x:c>
      <x:c r="O12" s="7" t="str">
        <x:v>INI-MIS-OVERRIDE</x:v>
      </x:c>
      <x:c r="P12" s="7" t="str"/>
      <x:c r="Q12" s="7" t="str"/>
      <x:c r="R12" s="7" t="str"/>
      <x:c r="S12" s="7" t="str"/>
    </x:row>
    <x:row r="13" ht="54" customHeight="1">
      <x:c r="A13" s="18" t="str">
        <x:v>INI-CHO-ESCORT</x:v>
      </x:c>
      <x:c r="B13" s="9" t="str">
        <x:v>Accompagner les survivants — méthode optionnelle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Bifurcation locale originale ; elle ne crée pas une autre fin officielle.</x:v>
      </x:c>
      <x:c r="G13" s="9" t="str">
        <x:v>Parcours court sous couverture ou long avec poste de repos.</x:v>
      </x:c>
      <x:c r="H13" s="9" t="str">
        <x:v>Afficher coût, bénéfice local et condition de retour avant validation ; deux méthodes rejoignent le même verrou de continuité.</x:v>
      </x:c>
      <x:c r="I13" s="9" t="str">
        <x:v>Libellés d’action concrets ; symbole d’effet local ; aucune option désactivée sans motif.</x:v>
      </x:c>
      <x:c r="J13" s="9" t="str">
        <x:v>Réaction courte du groupe ; reprise immédiate des contrôles après résultat.</x:v>
      </x:c>
      <x:c r="K13" s="9" t="str">
        <x:v>Confirmation discrète ; lecture du résultat disponible dans le journal.</x:v>
      </x:c>
      <x:c r="L13" s="9" t="str">
        <x:v>choice.ini.escort ; stocker la méthode et le coût, jamais une réécriture d’événement source.</x:v>
      </x:c>
      <x:c r="M13" s="9" t="str">
        <x:v>Le coût de la surcharge de Cora ne disparaît pas grâce à un consommable.</x:v>
      </x:c>
      <x:c r="N13" s="9" t="str">
        <x:v>Les deux branches sont atteignables ; l’état canonique final du module est identique.</x:v>
      </x:c>
      <x:c r="O13" s="9" t="str">
        <x:v>INI-MIS-ESCORT</x:v>
      </x:c>
      <x:c r="P13" s="9" t="str"/>
      <x:c r="Q13" s="9" t="str"/>
      <x:c r="R13" s="9" t="str"/>
      <x:c r="S13" s="9" t="str"/>
    </x:row>
    <x:row r="14" ht="54" customHeight="1">
      <x:c r="A14" s="19" t="str">
        <x:v>INI-CHO-LEGACY</x:v>
      </x:c>
      <x:c r="B14" s="7" t="str">
        <x:v>Respecter la fin d’une voix — méthode optionnelle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Bifurcation locale originale ; elle ne crée pas une autre fin officielle.</x:v>
      </x:c>
      <x:c r="G14" s="7" t="str">
        <x:v>Relire un échange du module ou rester silencieux.</x:v>
      </x:c>
      <x:c r="H14" s="7" t="str">
        <x:v>Afficher coût, bénéfice local et condition de retour avant validation ; deux méthodes rejoignent le même verrou de continuité.</x:v>
      </x:c>
      <x:c r="I14" s="7" t="str">
        <x:v>Libellés d’action concrets ; symbole d’effet local ; aucune option désactivée sans motif.</x:v>
      </x:c>
      <x:c r="J14" s="7" t="str">
        <x:v>Réaction courte du groupe ; reprise immédiate des contrôles après résultat.</x:v>
      </x:c>
      <x:c r="K14" s="7" t="str">
        <x:v>Confirmation discrète ; lecture du résultat disponible dans le journal.</x:v>
      </x:c>
      <x:c r="L14" s="7" t="str">
        <x:v>choice.ini.legacy ; stocker la méthode et le coût, jamais une réécriture d’événement source.</x:v>
      </x:c>
      <x:c r="M14" s="7" t="str">
        <x:v>SAM-E n’est pas rendu permanent et autonome dans MEA.</x:v>
      </x:c>
      <x:c r="N14" s="7" t="str">
        <x:v>Les deux branches sont atteignables ; l’état canonique final du module est identique.</x:v>
      </x:c>
      <x:c r="O14" s="7" t="str">
        <x:v>INI-MIS-LEGACY</x:v>
      </x:c>
      <x:c r="P14" s="7" t="str"/>
      <x:c r="Q14" s="7" t="str"/>
      <x:c r="R14" s="7" t="str"/>
      <x:c r="S14" s="7" t="str"/>
    </x:row>
  </x:sheetData>
  <x:conditionalFormatting sqref="D7:D14">
    <x:cfRule type="cellIs" dxfId="44" priority="1" operator="equal">
      <x:formula>"À vérifier"</x:formula>
    </x:cfRule>
    <x:cfRule type="cellIs" dxfId="45" priority="2" operator="equal">
      <x:formula>"Extrapolation"</x:formula>
    </x:cfRule>
  </x:conditionalFormatting>
  <x:conditionalFormatting sqref="C7:C14">
    <x:cfRule type="cellIs" dxfId="46" priority="3" operator="equal">
      <x:formula>"Validé"</x:formula>
    </x:cfRule>
  </x:conditionalFormatting>
  <x:conditionalFormatting sqref="E7:E14">
    <x:cfRule type="cellIs" dxfId="47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3528a637fe469d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Dialogues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Situations de dialogue et conditions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INI-DIA-CORA</x:v>
      </x:c>
      <x:c r="B7" s="9" t="str">
        <x:v>Cora Harper — échange : appartenance et confiance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Dialogue original à écrire, sans reproduire les répliques de la publication.</x:v>
      </x:c>
      <x:c r="G7" s="9" t="str">
        <x:v>Intentions : aborder appartenance et confiance, poser une question de clarification, puis revenir à l’objectif local.</x:v>
      </x:c>
      <x:c r="H7" s="9" t="str">
        <x:v>Trois intentions proposées : demander un fait, exprimer une réserve, clore. Débloquer un indice local sans imposer une opinion au joueur.</x:v>
      </x:c>
      <x:c r="I7" s="9" t="str">
        <x:v>Portrait Cora Harper, interlocuteur actif et indication de la personne qui connaît le fait.</x:v>
      </x:c>
      <x:c r="J7" s="9" t="str">
        <x:v>Pose d’écoute puis réaction sobre ; ne pas boucler une émotion pendant une pause de lecture.</x:v>
      </x:c>
      <x:c r="K7" s="9" t="str">
        <x:v>Texte intégral affiché ; éventuelle voix originale avec débit réglable, sans imitation du casting.</x:v>
      </x:c>
      <x:c r="L7" s="9" t="str">
        <x:v>Dialogue graph ini.cora.appartenance-et-confiance ; drapeaux de connaissance locaux.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Aucune option ne révèle un savoir futur ; quitter puis reprendre conserve les sujets déjà abordés.</x:v>
      </x:c>
      <x:c r="O7" s="9" t="str">
        <x:v>INI-CHR-CORA</x:v>
      </x:c>
      <x:c r="P7" s="9" t="str"/>
      <x:c r="Q7" s="9" t="str"/>
      <x:c r="R7" s="9" t="str"/>
      <x:c r="S7" s="9" t="str">
        <x:v>Sujet et intentions sont du design original, pas une transcription.</x:v>
      </x:c>
    </x:row>
    <x:row r="8" ht="68" customHeight="1">
      <x:c r="A8" s="19" t="str">
        <x:v>INI-DIA-SAME</x:v>
      </x:c>
      <x:c r="B8" s="7" t="str">
        <x:v>SAM-E — échange : autonomie, attachement et limites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Dialogue original à écrire, sans reproduire les répliques de la publication.</x:v>
      </x:c>
      <x:c r="G8" s="7" t="str">
        <x:v>Intentions : aborder autonomie, attachement et limites, poser une question de clarification, puis revenir à l’objectif local.</x:v>
      </x:c>
      <x:c r="H8" s="7" t="str">
        <x:v>Trois intentions proposées : demander un fait, exprimer une réserve, clore. Débloquer un indice local sans imposer une opinion au joueur.</x:v>
      </x:c>
      <x:c r="I8" s="7" t="str">
        <x:v>Portrait SAM-E, interlocuteur actif et indication de la personne qui connaît le fait.</x:v>
      </x:c>
      <x:c r="J8" s="7" t="str">
        <x:v>Pose d’écoute puis réaction sobre ; ne pas boucler une émotion pendant une pause de lecture.</x:v>
      </x:c>
      <x:c r="K8" s="7" t="str">
        <x:v>Texte intégral affiché ; éventuelle voix originale avec débit réglable, sans imitation du casting.</x:v>
      </x:c>
      <x:c r="L8" s="7" t="str">
        <x:v>Dialogue graph ini.same.autonomie-attachement-et-limites ; drapeaux de connaissance locaux.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Aucune option ne révèle un savoir futur ; quitter puis reprendre conserve les sujets déjà abordés.</x:v>
      </x:c>
      <x:c r="O8" s="7" t="str">
        <x:v>INI-CHR-SAME</x:v>
      </x:c>
      <x:c r="P8" s="7" t="str"/>
      <x:c r="Q8" s="7" t="str"/>
      <x:c r="R8" s="7" t="str"/>
      <x:c r="S8" s="7" t="str">
        <x:v>Sujet et intentions sont du design original, pas une transcription.</x:v>
      </x:c>
    </x:row>
    <x:row r="9" ht="68" customHeight="1">
      <x:c r="A9" s="18" t="str">
        <x:v>INI-DIA-ALEC</x:v>
      </x:c>
      <x:c r="B9" s="9" t="str">
        <x:v>Alec Ryder — échange : secret et responsabilité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Dialogue original à écrire, sans reproduire les répliques de la publication.</x:v>
      </x:c>
      <x:c r="G9" s="9" t="str">
        <x:v>Intentions : aborder secret et responsabilité, poser une question de clarification, puis revenir à l’objectif local.</x:v>
      </x:c>
      <x:c r="H9" s="9" t="str">
        <x:v>Trois intentions proposées : demander un fait, exprimer une réserve, clore. Débloquer un indice local sans imposer une opinion au joueur.</x:v>
      </x:c>
      <x:c r="I9" s="9" t="str">
        <x:v>Portrait Alec Ryder, interlocuteur actif et indication de la personne qui connaît le fait.</x:v>
      </x:c>
      <x:c r="J9" s="9" t="str">
        <x:v>Pose d’écoute puis réaction sobre ; ne pas boucler une émotion pendant une pause de lecture.</x:v>
      </x:c>
      <x:c r="K9" s="9" t="str">
        <x:v>Texte intégral affiché ; éventuelle voix originale avec débit réglable, sans imitation du casting.</x:v>
      </x:c>
      <x:c r="L9" s="9" t="str">
        <x:v>Dialogue graph ini.alec.secret-et-responsabilite ; drapeaux de connaissance locaux.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Aucune option ne révèle un savoir futur ; quitter puis reprendre conserve les sujets déjà abordés.</x:v>
      </x:c>
      <x:c r="O9" s="9" t="str">
        <x:v>INI-CHR-ALEC</x:v>
      </x:c>
      <x:c r="P9" s="9" t="str"/>
      <x:c r="Q9" s="9" t="str"/>
      <x:c r="R9" s="9" t="str"/>
      <x:c r="S9" s="9" t="str">
        <x:v>Sujet et intentions sont du design original, pas une transcription.</x:v>
      </x:c>
    </x:row>
    <x:row r="10" ht="68" customHeight="1">
      <x:c r="A10" s="19" t="str">
        <x:v>INI-DIA-YGARA</x:v>
      </x:c>
      <x:c r="B10" s="7" t="str">
        <x:v>Ygara Menoris — échange : fidélité et contrat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Dialogue original à écrire, sans reproduire les répliques de la publication.</x:v>
      </x:c>
      <x:c r="G10" s="7" t="str">
        <x:v>Intentions : aborder fidélité et contrat, poser une question de clarification, puis revenir à l’objectif local.</x:v>
      </x:c>
      <x:c r="H10" s="7" t="str">
        <x:v>Trois intentions proposées : demander un fait, exprimer une réserve, clore. Débloquer un indice local sans imposer une opinion au joueur.</x:v>
      </x:c>
      <x:c r="I10" s="7" t="str">
        <x:v>Portrait Ygara Menoris, interlocuteur actif et indication de la personne qui connaît le fait.</x:v>
      </x:c>
      <x:c r="J10" s="7" t="str">
        <x:v>Pose d’écoute puis réaction sobre ; ne pas boucler une émotion pendant une pause de lecture.</x:v>
      </x:c>
      <x:c r="K10" s="7" t="str">
        <x:v>Texte intégral affiché ; éventuelle voix originale avec débit réglable, sans imitation du casting.</x:v>
      </x:c>
      <x:c r="L10" s="7" t="str">
        <x:v>Dialogue graph ini.ygara.fidelite-et-contrat ; drapeaux de connaissance locaux.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Aucune option ne révèle un savoir futur ; quitter puis reprendre conserve les sujets déjà abordés.</x:v>
      </x:c>
      <x:c r="O10" s="7" t="str">
        <x:v>INI-CHR-YGARA</x:v>
      </x:c>
      <x:c r="P10" s="7" t="str"/>
      <x:c r="Q10" s="7" t="str"/>
      <x:c r="R10" s="7" t="str"/>
      <x:c r="S10" s="7" t="str">
        <x:v>Sujet et intentions sont du design original, pas une transcription.</x:v>
      </x:c>
    </x:row>
    <x:row r="11" ht="68" customHeight="1">
      <x:c r="A11" s="18" t="str">
        <x:v>INI-DIA-MEDEA</x:v>
      </x:c>
      <x:c r="B11" s="9" t="str">
        <x:v>Medea — échange : contrôle et logique institutionnelle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Dialogue original à écrire, sans reproduire les répliques de la publication.</x:v>
      </x:c>
      <x:c r="G11" s="9" t="str">
        <x:v>Intentions : aborder contrôle et logique institutionnelle, poser une question de clarification, puis revenir à l’objectif local.</x:v>
      </x:c>
      <x:c r="H11" s="9" t="str">
        <x:v>Trois intentions proposées : demander un fait, exprimer une réserve, clore. Débloquer un indice local sans imposer une opinion au joueur.</x:v>
      </x:c>
      <x:c r="I11" s="9" t="str">
        <x:v>Portrait Medea, interlocuteur actif et indication de la personne qui connaît le fait.</x:v>
      </x:c>
      <x:c r="J11" s="9" t="str">
        <x:v>Pose d’écoute puis réaction sobre ; ne pas boucler une émotion pendant une pause de lecture.</x:v>
      </x:c>
      <x:c r="K11" s="9" t="str">
        <x:v>Texte intégral affiché ; éventuelle voix originale avec débit réglable, sans imitation du casting.</x:v>
      </x:c>
      <x:c r="L11" s="9" t="str">
        <x:v>Dialogue graph ini.medea.controle-et-logique-institutionnelle ; drapeaux de connaissance locaux.</x:v>
      </x:c>
      <x:c r="M11" s="9" t="str">
        <x:v>L’action reste dans la Voie lactée avant le départ des arches. SAM-E ne devient pas un compagnon durable disponible dans Andromeda ; préserver les limites et conséquences de son lien avec Cora.</x:v>
      </x:c>
      <x:c r="N11" s="9" t="str">
        <x:v>Aucune option ne révèle un savoir futur ; quitter puis reprendre conserve les sujets déjà abordés.</x:v>
      </x:c>
      <x:c r="O11" s="9" t="str">
        <x:v>INI-CHR-MEDEA</x:v>
      </x:c>
      <x:c r="P11" s="9" t="str"/>
      <x:c r="Q11" s="9" t="str"/>
      <x:c r="R11" s="9" t="str"/>
      <x:c r="S11" s="9" t="str">
        <x:v>Sujet et intentions sont du design original, pas une transcription.</x:v>
      </x:c>
    </x:row>
    <x:row r="12" ht="68" customHeight="1">
      <x:c r="A12" s="19" t="str">
        <x:v>INI-DIA-VLASSIA</x:v>
      </x:c>
      <x:c r="B12" s="7" t="str">
        <x:v>Vlassia Ariokis — échange : obéissance et conséquences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Dialogue original à écrire, sans reproduire les répliques de la publication.</x:v>
      </x:c>
      <x:c r="G12" s="7" t="str">
        <x:v>Intentions : aborder obéissance et conséquences, poser une question de clarification, puis revenir à l’objectif local.</x:v>
      </x:c>
      <x:c r="H12" s="7" t="str">
        <x:v>Trois intentions proposées : demander un fait, exprimer une réserve, clore. Débloquer un indice local sans imposer une opinion au joueur.</x:v>
      </x:c>
      <x:c r="I12" s="7" t="str">
        <x:v>Portrait Vlassia Ariokis, interlocuteur actif et indication de la personne qui connaît le fait.</x:v>
      </x:c>
      <x:c r="J12" s="7" t="str">
        <x:v>Pose d’écoute puis réaction sobre ; ne pas boucler une émotion pendant une pause de lecture.</x:v>
      </x:c>
      <x:c r="K12" s="7" t="str">
        <x:v>Texte intégral affiché ; éventuelle voix originale avec débit réglable, sans imitation du casting.</x:v>
      </x:c>
      <x:c r="L12" s="7" t="str">
        <x:v>Dialogue graph ini.vlassia.obeissance-et-consequences ; drapeaux de connaissance locaux.</x:v>
      </x:c>
      <x:c r="M12" s="7" t="str">
        <x:v>L’action reste dans la Voie lactée avant le départ des arches. SAM-E ne devient pas un compagnon durable disponible dans Andromeda ; préserver les limites et conséquences de son lien avec Cora.</x:v>
      </x:c>
      <x:c r="N12" s="7" t="str">
        <x:v>Aucune option ne révèle un savoir futur ; quitter puis reprendre conserve les sujets déjà abordés.</x:v>
      </x:c>
      <x:c r="O12" s="7" t="str">
        <x:v>INI-CHR-VLASSIA</x:v>
      </x:c>
      <x:c r="P12" s="7" t="str"/>
      <x:c r="Q12" s="7" t="str"/>
      <x:c r="R12" s="7" t="str"/>
      <x:c r="S12" s="7" t="str">
        <x:v>Sujet et intentions sont du design original, pas une transcription.</x:v>
      </x:c>
    </x:row>
    <x:row r="13" ht="68" customHeight="1">
      <x:c r="A13" s="18" t="str">
        <x:v>INI-DIA-JENSEN</x:v>
      </x:c>
      <x:c r="B13" s="9" t="str">
        <x:v>Rebecca Jensen — échange : savoir technique et responsabilité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Dialogue original à écrire, sans reproduire les répliques de la publication.</x:v>
      </x:c>
      <x:c r="G13" s="9" t="str">
        <x:v>Intentions : aborder savoir technique et responsabilité, poser une question de clarification, puis revenir à l’objectif local.</x:v>
      </x:c>
      <x:c r="H13" s="9" t="str">
        <x:v>Trois intentions proposées : demander un fait, exprimer une réserve, clore. Débloquer un indice local sans imposer une opinion au joueur.</x:v>
      </x:c>
      <x:c r="I13" s="9" t="str">
        <x:v>Portrait Rebecca Jensen, interlocuteur actif et indication de la personne qui connaît le fait.</x:v>
      </x:c>
      <x:c r="J13" s="9" t="str">
        <x:v>Pose d’écoute puis réaction sobre ; ne pas boucler une émotion pendant une pause de lecture.</x:v>
      </x:c>
      <x:c r="K13" s="9" t="str">
        <x:v>Texte intégral affiché ; éventuelle voix originale avec débit réglable, sans imitation du casting.</x:v>
      </x:c>
      <x:c r="L13" s="9" t="str">
        <x:v>Dialogue graph ini.jensen.savoir-technique-et-responsabilite ; drapeaux de connaissance locaux.</x:v>
      </x:c>
      <x:c r="M13" s="9" t="str">
        <x:v>L’action reste dans la Voie lactée avant le départ des arches. SAM-E ne devient pas un compagnon durable disponible dans Andromeda ; préserver les limites et conséquences de son lien avec Cora.</x:v>
      </x:c>
      <x:c r="N13" s="9" t="str">
        <x:v>Aucune option ne révèle un savoir futur ; quitter puis reprendre conserve les sujets déjà abordés.</x:v>
      </x:c>
      <x:c r="O13" s="9" t="str">
        <x:v>INI-CHR-JENSEN</x:v>
      </x:c>
      <x:c r="P13" s="9" t="str"/>
      <x:c r="Q13" s="9" t="str"/>
      <x:c r="R13" s="9" t="str"/>
      <x:c r="S13" s="9" t="str">
        <x:v>Sujet et intentions sont du design original, pas une transcription.</x:v>
      </x:c>
    </x:row>
    <x:row r="14" ht="68" customHeight="1">
      <x:c r="A14" s="19" t="str">
        <x:v>INI-DIA-TSENG</x:v>
      </x:c>
      <x:c r="B14" s="7" t="str">
        <x:v>Dr Tseng — échange : recherche et jugement rétrospectif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Dialogue original à écrire, sans reproduire les répliques de la publication.</x:v>
      </x:c>
      <x:c r="G14" s="7" t="str">
        <x:v>Intentions : aborder recherche et jugement rétrospectif, poser une question de clarification, puis revenir à l’objectif local.</x:v>
      </x:c>
      <x:c r="H14" s="7" t="str">
        <x:v>Trois intentions proposées : demander un fait, exprimer une réserve, clore. Débloquer un indice local sans imposer une opinion au joueur.</x:v>
      </x:c>
      <x:c r="I14" s="7" t="str">
        <x:v>Portrait Dr Tseng, interlocuteur actif et indication de la personne qui connaît le fait.</x:v>
      </x:c>
      <x:c r="J14" s="7" t="str">
        <x:v>Pose d’écoute puis réaction sobre ; ne pas boucler une émotion pendant une pause de lecture.</x:v>
      </x:c>
      <x:c r="K14" s="7" t="str">
        <x:v>Texte intégral affiché ; éventuelle voix originale avec débit réglable, sans imitation du casting.</x:v>
      </x:c>
      <x:c r="L14" s="7" t="str">
        <x:v>Dialogue graph ini.tseng.recherche-et-jugement-retrospectif ; drapeaux de connaissance locaux.</x:v>
      </x:c>
      <x:c r="M14" s="7" t="str">
        <x:v>L’action reste dans la Voie lactée avant le départ des arches. SAM-E ne devient pas un compagnon durable disponible dans Andromeda ; préserver les limites et conséquences de son lien avec Cora.</x:v>
      </x:c>
      <x:c r="N14" s="7" t="str">
        <x:v>Aucune option ne révèle un savoir futur ; quitter puis reprendre conserve les sujets déjà abordés.</x:v>
      </x:c>
      <x:c r="O14" s="7" t="str">
        <x:v>INI-CHR-TSENG</x:v>
      </x:c>
      <x:c r="P14" s="7" t="str"/>
      <x:c r="Q14" s="7" t="str"/>
      <x:c r="R14" s="7" t="str"/>
      <x:c r="S14" s="7" t="str">
        <x:v>Sujet et intentions sont du design original, pas une transcription.</x:v>
      </x:c>
    </x:row>
    <x:row r="15" ht="68" customHeight="1">
      <x:c r="A15" s="18" t="str">
        <x:v>INI-DIA-ABUBAKAR</x:v>
      </x:c>
      <x:c r="B15" s="9" t="str">
        <x:v>Abubakar — échange : priorité des secours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Dialogue original à écrire, sans reproduire les répliques de la publication.</x:v>
      </x:c>
      <x:c r="G15" s="9" t="str">
        <x:v>Intentions : aborder priorité des secours, poser une question de clarification, puis revenir à l’objectif local.</x:v>
      </x:c>
      <x:c r="H15" s="9" t="str">
        <x:v>Trois intentions proposées : demander un fait, exprimer une réserve, clore. Débloquer un indice local sans imposer une opinion au joueur.</x:v>
      </x:c>
      <x:c r="I15" s="9" t="str">
        <x:v>Portrait Abubakar, interlocuteur actif et indication de la personne qui connaît le fait.</x:v>
      </x:c>
      <x:c r="J15" s="9" t="str">
        <x:v>Pose d’écoute puis réaction sobre ; ne pas boucler une émotion pendant une pause de lecture.</x:v>
      </x:c>
      <x:c r="K15" s="9" t="str">
        <x:v>Texte intégral affiché ; éventuelle voix originale avec débit réglable, sans imitation du casting.</x:v>
      </x:c>
      <x:c r="L15" s="9" t="str">
        <x:v>Dialogue graph ini.abubakar.priorite-des-secours ; drapeaux de connaissance locaux.</x:v>
      </x:c>
      <x:c r="M15" s="9" t="str">
        <x:v>L’action reste dans la Voie lactée avant le départ des arches. SAM-E ne devient pas un compagnon durable disponible dans Andromeda ; préserver les limites et conséquences de son lien avec Cora.</x:v>
      </x:c>
      <x:c r="N15" s="9" t="str">
        <x:v>Aucune option ne révèle un savoir futur ; quitter puis reprendre conserve les sujets déjà abordés.</x:v>
      </x:c>
      <x:c r="O15" s="9" t="str">
        <x:v>INI-CHR-ABUBAKAR</x:v>
      </x:c>
      <x:c r="P15" s="9" t="str"/>
      <x:c r="Q15" s="9" t="str"/>
      <x:c r="R15" s="9" t="str"/>
      <x:c r="S15" s="9" t="str">
        <x:v>Sujet et intentions sont du design original, pas une transcription.</x:v>
      </x:c>
    </x:row>
    <x:row r="16" ht="68" customHeight="1">
      <x:c r="A16" s="19" t="str">
        <x:v>INI-DIA-ZAHRA</x:v>
      </x:c>
      <x:c r="B16" s="7" t="str">
        <x:v>Zahra Said — échange : protection sous pression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Dialogue original à écrire, sans reproduire les répliques de la publication.</x:v>
      </x:c>
      <x:c r="G16" s="7" t="str">
        <x:v>Intentions : aborder protection sous pression, poser une question de clarification, puis revenir à l’objectif local.</x:v>
      </x:c>
      <x:c r="H16" s="7" t="str">
        <x:v>Trois intentions proposées : demander un fait, exprimer une réserve, clore. Débloquer un indice local sans imposer une opinion au joueur.</x:v>
      </x:c>
      <x:c r="I16" s="7" t="str">
        <x:v>Portrait Zahra Said, interlocuteur actif et indication de la personne qui connaît le fait.</x:v>
      </x:c>
      <x:c r="J16" s="7" t="str">
        <x:v>Pose d’écoute puis réaction sobre ; ne pas boucler une émotion pendant une pause de lecture.</x:v>
      </x:c>
      <x:c r="K16" s="7" t="str">
        <x:v>Texte intégral affiché ; éventuelle voix originale avec débit réglable, sans imitation du casting.</x:v>
      </x:c>
      <x:c r="L16" s="7" t="str">
        <x:v>Dialogue graph ini.zahra.protection-sous-pression ; drapeaux de connaissance locaux.</x:v>
      </x:c>
      <x:c r="M16" s="7" t="str">
        <x:v>L’action reste dans la Voie lactée avant le départ des arches. SAM-E ne devient pas un compagnon durable disponible dans Andromeda ; préserver les limites et conséquences de son lien avec Cora.</x:v>
      </x:c>
      <x:c r="N16" s="7" t="str">
        <x:v>Aucune option ne révèle un savoir futur ; quitter puis reprendre conserve les sujets déjà abordés.</x:v>
      </x:c>
      <x:c r="O16" s="7" t="str">
        <x:v>INI-CHR-ZAHRA</x:v>
      </x:c>
      <x:c r="P16" s="7" t="str"/>
      <x:c r="Q16" s="7" t="str"/>
      <x:c r="R16" s="7" t="str"/>
      <x:c r="S16" s="7" t="str">
        <x:v>Sujet et intentions sont du design original, pas une transcription.</x:v>
      </x:c>
    </x:row>
  </x:sheetData>
  <x:conditionalFormatting sqref="D7:D16">
    <x:cfRule type="cellIs" dxfId="48" priority="1" operator="equal">
      <x:formula>"À vérifier"</x:formula>
    </x:cfRule>
    <x:cfRule type="cellIs" dxfId="49" priority="2" operator="equal">
      <x:formula>"Extrapolation"</x:formula>
    </x:cfRule>
  </x:conditionalFormatting>
  <x:conditionalFormatting sqref="C7:C16">
    <x:cfRule type="cellIs" dxfId="50" priority="3" operator="equal">
      <x:formula>"Validé"</x:formula>
    </x:cfRule>
  </x:conditionalFormatting>
  <x:conditionalFormatting sqref="E7:E16">
    <x:cfRule type="cellIs" dxfId="51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98c28fd1054bf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Cinématiques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Séquences et mise en scène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INI-CIN-MANDATE</x:v>
      </x:c>
      <x:c r="B7" s="9" t="str">
        <x:v>Définir les limites de l’assistance — transition narrative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Mise en scène originale compacte, sans reconstituer les dialogues de l’œuvre.</x:v>
      </x:c>
      <x:c r="G7" s="9" t="str">
        <x:v>L’interface de SAM-E apparaît à côté du portrait de Cora.</x:v>
      </x:c>
      <x:c r="H7" s="9" t="str">
        <x:v>Caméra et texte uniquement ; aucune commande de combat pendant la transition ; reprise au même état en cas de saut.</x:v>
      </x:c>
      <x:c r="I7" s="9" t="str">
        <x:v>Composition 3D sobre, silhouettes 2D au premier plan ; contrôler l’échelle des personnages.</x:v>
      </x:c>
      <x:c r="J7" s="9" t="str">
        <x:v>Deux ou trois plans courts proposés ; sortie anticipée applique les mêmes drapeaux que lecture complète.</x:v>
      </x:c>
      <x:c r="K7" s="9" t="str">
        <x:v>Musique originale sous les sous-titres ; aucun extrait de bande sonore officielle.</x:v>
      </x:c>
      <x:c r="L7" s="9" t="str">
        <x:v>cinematics/ini/mandate.timeline ; événements idempotents.</x:v>
      </x:c>
      <x:c r="M7" s="9" t="str">
        <x:v>Ne pas qualifier SAM-E de simple VI après la révélation de sa nature.</x:v>
      </x:c>
      <x:c r="N7" s="9" t="str">
        <x:v>Version regardée et version sautée donnent les mêmes inventaire, équipe, carte et objectifs.</x:v>
      </x:c>
      <x:c r="O7" s="9" t="str">
        <x:v>INI-MIS-MANDATE</x:v>
      </x:c>
      <x:c r="P7" s="9" t="str"/>
      <x:c r="Q7" s="9" t="str"/>
      <x:c r="R7" s="9" t="str"/>
      <x:c r="S7" s="9" t="str"/>
    </x:row>
    <x:row r="8" ht="54" customHeight="1">
      <x:c r="A8" s="19" t="str">
        <x:v>INI-CIN-KERNEL</x:v>
      </x:c>
      <x:c r="B8" s="7" t="str">
        <x:v>Extraire un paquet de données — transition narrative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Mise en scène originale compacte, sans reconstituer les dialogues de l’œuvre.</x:v>
      </x:c>
      <x:c r="G8" s="7" t="str">
        <x:v>Le conteneur numérique se ferme et l’écran revient au couloir.</x:v>
      </x:c>
      <x:c r="H8" s="7" t="str">
        <x:v>Caméra et texte uniquement ; aucune commande de combat pendant la transition ; reprise au même état en cas de saut.</x:v>
      </x:c>
      <x:c r="I8" s="7" t="str">
        <x:v>Composition 3D sobre, silhouettes 2D au premier plan ; contrôler l’échelle des personnages.</x:v>
      </x:c>
      <x:c r="J8" s="7" t="str">
        <x:v>Deux ou trois plans courts proposés ; sortie anticipée applique les mêmes drapeaux que lecture complète.</x:v>
      </x:c>
      <x:c r="K8" s="7" t="str">
        <x:v>Musique originale sous les sous-titres ; aucun extrait de bande sonore officielle.</x:v>
      </x:c>
      <x:c r="L8" s="7" t="str">
        <x:v>cinematics/ini/kernel.timeline ; événements idempotents.</x:v>
      </x:c>
      <x:c r="M8" s="7" t="str">
        <x:v>Aucune procédure réelle de piratage ni code officiel copié.</x:v>
      </x:c>
      <x:c r="N8" s="7" t="str">
        <x:v>Version regardée et version sautée donnent les mêmes inventaire, équipe, carte et objectifs.</x:v>
      </x:c>
      <x:c r="O8" s="7" t="str">
        <x:v>INI-MIS-KERNEL</x:v>
      </x:c>
      <x:c r="P8" s="7" t="str"/>
      <x:c r="Q8" s="7" t="str"/>
      <x:c r="R8" s="7" t="str"/>
      <x:c r="S8" s="7" t="str"/>
    </x:row>
    <x:row r="9" ht="54" customHeight="1">
      <x:c r="A9" s="18" t="str">
        <x:v>INI-CIN-BETRAYAL</x:v>
      </x:c>
      <x:c r="B9" s="9" t="str">
        <x:v>Trouver une sortie sûre — transition narrative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Mise en scène originale compacte, sans reconstituer les dialogues de l’œuvre.</x:v>
      </x:c>
      <x:c r="G9" s="9" t="str">
        <x:v>Deux regards et un changement de posture marquent la rupture.</x:v>
      </x:c>
      <x:c r="H9" s="9" t="str">
        <x:v>Caméra et texte uniquement ; aucune commande de combat pendant la transition ; reprise au même état en cas de saut.</x:v>
      </x:c>
      <x:c r="I9" s="9" t="str">
        <x:v>Composition 3D sobre, silhouettes 2D au premier plan ; contrôler l’échelle des personnages.</x:v>
      </x:c>
      <x:c r="J9" s="9" t="str">
        <x:v>Deux ou trois plans courts proposés ; sortie anticipée applique les mêmes drapeaux que lecture complète.</x:v>
      </x:c>
      <x:c r="K9" s="9" t="str">
        <x:v>Musique originale sous les sous-titres ; aucun extrait de bande sonore officielle.</x:v>
      </x:c>
      <x:c r="L9" s="9" t="str">
        <x:v>cinematics/ini/betrayal.timeline ; événements idempotents.</x:v>
      </x:c>
      <x:c r="M9" s="9" t="str">
        <x:v>Le choix n’efface pas la trahison de Ygara.</x:v>
      </x:c>
      <x:c r="N9" s="9" t="str">
        <x:v>Version regardée et version sautée donnent les mêmes inventaire, équipe, carte et objectifs.</x:v>
      </x:c>
      <x:c r="O9" s="9" t="str">
        <x:v>INI-MIS-BETRAYAL</x:v>
      </x:c>
      <x:c r="P9" s="9" t="str"/>
      <x:c r="Q9" s="9" t="str"/>
      <x:c r="R9" s="9" t="str"/>
      <x:c r="S9" s="9" t="str"/>
    </x:row>
    <x:row r="10" ht="54" customHeight="1">
      <x:c r="A10" s="19" t="str">
        <x:v>INI-CIN-BEACON</x:v>
      </x:c>
      <x:c r="B10" s="7" t="str">
        <x:v>Faire confirmer une position — transition narrative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Mise en scène originale compacte, sans reconstituer les dialogues de l’œuvre.</x:v>
      </x:c>
      <x:c r="G10" s="7" t="str">
        <x:v>Le vide reste silencieux ; seul le HUD change à la confirmation.</x:v>
      </x:c>
      <x:c r="H10" s="7" t="str">
        <x:v>Caméra et texte uniquement ; aucune commande de combat pendant la transition ; reprise au même état en cas de saut.</x:v>
      </x:c>
      <x:c r="I10" s="7" t="str">
        <x:v>Composition 3D sobre, silhouettes 2D au premier plan ; contrôler l’échelle des personnages.</x:v>
      </x:c>
      <x:c r="J10" s="7" t="str">
        <x:v>Deux ou trois plans courts proposés ; sortie anticipée applique les mêmes drapeaux que lecture complète.</x:v>
      </x:c>
      <x:c r="K10" s="7" t="str">
        <x:v>Musique originale sous les sous-titres ; aucun extrait de bande sonore officielle.</x:v>
      </x:c>
      <x:c r="L10" s="7" t="str">
        <x:v>cinematics/ini/beacon.timeline ; événements idempotents.</x:v>
      </x:c>
      <x:c r="M10" s="7" t="str">
        <x:v>Pas de mort aléatoire pendant lecture ou réglage d’accessibilité.</x:v>
      </x:c>
      <x:c r="N10" s="7" t="str">
        <x:v>Version regardée et version sautée donnent les mêmes inventaire, équipe, carte et objectifs.</x:v>
      </x:c>
      <x:c r="O10" s="7" t="str">
        <x:v>INI-MIS-BEACON</x:v>
      </x:c>
      <x:c r="P10" s="7" t="str"/>
      <x:c r="Q10" s="7" t="str"/>
      <x:c r="R10" s="7" t="str"/>
      <x:c r="S10" s="7" t="str"/>
    </x:row>
    <x:row r="11" ht="54" customHeight="1">
      <x:c r="A11" s="18" t="str">
        <x:v>INI-CIN-FOLLOW</x:v>
      </x:c>
      <x:c r="B11" s="9" t="str">
        <x:v>Suivre la copie manquante — transition narrative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Mise en scène originale compacte, sans reconstituer les dialogues de l’œuvre.</x:v>
      </x:c>
      <x:c r="G11" s="9" t="str">
        <x:v>Un nom de lieu confirmé remplace plusieurs pistes incertaines.</x:v>
      </x:c>
      <x:c r="H11" s="9" t="str">
        <x:v>Caméra et texte uniquement ; aucune commande de combat pendant la transition ; reprise au même état en cas de saut.</x:v>
      </x:c>
      <x:c r="I11" s="9" t="str">
        <x:v>Composition 3D sobre, silhouettes 2D au premier plan ; contrôler l’échelle des personnages.</x:v>
      </x:c>
      <x:c r="J11" s="9" t="str">
        <x:v>Deux ou trois plans courts proposés ; sortie anticipée applique les mêmes drapeaux que lecture complète.</x:v>
      </x:c>
      <x:c r="K11" s="9" t="str">
        <x:v>Musique originale sous les sous-titres ; aucun extrait de bande sonore officielle.</x:v>
      </x:c>
      <x:c r="L11" s="9" t="str">
        <x:v>cinematics/ini/follow.timeline ; événements idempotents.</x:v>
      </x:c>
      <x:c r="M11" s="9" t="str">
        <x:v>Les informations restent limitées à ce que Cora découvre.</x:v>
      </x:c>
      <x:c r="N11" s="9" t="str">
        <x:v>Version regardée et version sautée donnent les mêmes inventaire, équipe, carte et objectifs.</x:v>
      </x:c>
      <x:c r="O11" s="9" t="str">
        <x:v>INI-MIS-FOLLOW</x:v>
      </x:c>
      <x:c r="P11" s="9" t="str"/>
      <x:c r="Q11" s="9" t="str"/>
      <x:c r="R11" s="9" t="str"/>
      <x:c r="S11" s="9" t="str"/>
    </x:row>
    <x:row r="12" ht="54" customHeight="1">
      <x:c r="A12" s="19" t="str">
        <x:v>INI-CIN-OVERRIDE</x:v>
      </x:c>
      <x:c r="B12" s="7" t="str">
        <x:v>Tenir un accès face à Medea — transition narrative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Mise en scène originale compacte, sans reconstituer les dialogues de l’œuvre.</x:v>
      </x:c>
      <x:c r="G12" s="7" t="str">
        <x:v>Les lumières tracent une route qui contredit momentanément l’écran.</x:v>
      </x:c>
      <x:c r="H12" s="7" t="str">
        <x:v>Caméra et texte uniquement ; aucune commande de combat pendant la transition ; reprise au même état en cas de saut.</x:v>
      </x:c>
      <x:c r="I12" s="7" t="str">
        <x:v>Composition 3D sobre, silhouettes 2D au premier plan ; contrôler l’échelle des personnages.</x:v>
      </x:c>
      <x:c r="J12" s="7" t="str">
        <x:v>Deux ou trois plans courts proposés ; sortie anticipée applique les mêmes drapeaux que lecture complète.</x:v>
      </x:c>
      <x:c r="K12" s="7" t="str">
        <x:v>Musique originale sous les sous-titres ; aucun extrait de bande sonore officielle.</x:v>
      </x:c>
      <x:c r="L12" s="7" t="str">
        <x:v>cinematics/ini/override.timeline ; événements idempotents.</x:v>
      </x:c>
      <x:c r="M12" s="7" t="str">
        <x:v>Medea n’est pas vaincue par un simple mini-jeu universel.</x:v>
      </x:c>
      <x:c r="N12" s="7" t="str">
        <x:v>Version regardée et version sautée donnent les mêmes inventaire, équipe, carte et objectifs.</x:v>
      </x:c>
      <x:c r="O12" s="7" t="str">
        <x:v>INI-MIS-OVERRIDE</x:v>
      </x:c>
      <x:c r="P12" s="7" t="str"/>
      <x:c r="Q12" s="7" t="str"/>
      <x:c r="R12" s="7" t="str"/>
      <x:c r="S12" s="7" t="str"/>
    </x:row>
    <x:row r="13" ht="54" customHeight="1">
      <x:c r="A13" s="18" t="str">
        <x:v>INI-CIN-ESCORT</x:v>
      </x:c>
      <x:c r="B13" s="9" t="str">
        <x:v>Accompagner les survivants — transition narrative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Mise en scène originale compacte, sans reconstituer les dialogues de l’œuvre.</x:v>
      </x:c>
      <x:c r="G13" s="9" t="str">
        <x:v>Plan de groupe à l’entrée du véhicule, comptage discret.</x:v>
      </x:c>
      <x:c r="H13" s="9" t="str">
        <x:v>Caméra et texte uniquement ; aucune commande de combat pendant la transition ; reprise au même état en cas de saut.</x:v>
      </x:c>
      <x:c r="I13" s="9" t="str">
        <x:v>Composition 3D sobre, silhouettes 2D au premier plan ; contrôler l’échelle des personnages.</x:v>
      </x:c>
      <x:c r="J13" s="9" t="str">
        <x:v>Deux ou trois plans courts proposés ; sortie anticipée applique les mêmes drapeaux que lecture complète.</x:v>
      </x:c>
      <x:c r="K13" s="9" t="str">
        <x:v>Musique originale sous les sous-titres ; aucun extrait de bande sonore officielle.</x:v>
      </x:c>
      <x:c r="L13" s="9" t="str">
        <x:v>cinematics/ini/escort.timeline ; événements idempotents.</x:v>
      </x:c>
      <x:c r="M13" s="9" t="str">
        <x:v>Le coût de la surcharge de Cora ne disparaît pas grâce à un consommable.</x:v>
      </x:c>
      <x:c r="N13" s="9" t="str">
        <x:v>Version regardée et version sautée donnent les mêmes inventaire, équipe, carte et objectifs.</x:v>
      </x:c>
      <x:c r="O13" s="9" t="str">
        <x:v>INI-MIS-ESCORT</x:v>
      </x:c>
      <x:c r="P13" s="9" t="str"/>
      <x:c r="Q13" s="9" t="str"/>
      <x:c r="R13" s="9" t="str"/>
      <x:c r="S13" s="9" t="str"/>
    </x:row>
    <x:row r="14" ht="54" customHeight="1">
      <x:c r="A14" s="19" t="str">
        <x:v>INI-CIN-LEGACY</x:v>
      </x:c>
      <x:c r="B14" s="7" t="str">
        <x:v>Respecter la fin d’une voix — transition narrative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Mise en scène originale compacte, sans reconstituer les dialogues de l’œuvre.</x:v>
      </x:c>
      <x:c r="G14" s="7" t="str">
        <x:v>Écran qui revient au calme, puis réaction silencieuse de Cora.</x:v>
      </x:c>
      <x:c r="H14" s="7" t="str">
        <x:v>Caméra et texte uniquement ; aucune commande de combat pendant la transition ; reprise au même état en cas de saut.</x:v>
      </x:c>
      <x:c r="I14" s="7" t="str">
        <x:v>Composition 3D sobre, silhouettes 2D au premier plan ; contrôler l’échelle des personnages.</x:v>
      </x:c>
      <x:c r="J14" s="7" t="str">
        <x:v>Deux ou trois plans courts proposés ; sortie anticipée applique les mêmes drapeaux que lecture complète.</x:v>
      </x:c>
      <x:c r="K14" s="7" t="str">
        <x:v>Musique originale sous les sous-titres ; aucun extrait de bande sonore officielle.</x:v>
      </x:c>
      <x:c r="L14" s="7" t="str">
        <x:v>cinematics/ini/legacy.timeline ; événements idempotents.</x:v>
      </x:c>
      <x:c r="M14" s="7" t="str">
        <x:v>SAM-E n’est pas rendu permanent et autonome dans MEA.</x:v>
      </x:c>
      <x:c r="N14" s="7" t="str">
        <x:v>Version regardée et version sautée donnent les mêmes inventaire, équipe, carte et objectifs.</x:v>
      </x:c>
      <x:c r="O14" s="7" t="str">
        <x:v>INI-MIS-LEGACY</x:v>
      </x:c>
      <x:c r="P14" s="7" t="str"/>
      <x:c r="Q14" s="7" t="str"/>
      <x:c r="R14" s="7" t="str"/>
      <x:c r="S14" s="7" t="str"/>
    </x:row>
  </x:sheetData>
  <x:conditionalFormatting sqref="D7:D14">
    <x:cfRule type="cellIs" dxfId="52" priority="1" operator="equal">
      <x:formula>"À vérifier"</x:formula>
    </x:cfRule>
    <x:cfRule type="cellIs" dxfId="53" priority="2" operator="equal">
      <x:formula>"Extrapolation"</x:formula>
    </x:cfRule>
  </x:conditionalFormatting>
  <x:conditionalFormatting sqref="C7:C14">
    <x:cfRule type="cellIs" dxfId="54" priority="3" operator="equal">
      <x:formula>"Validé"</x:formula>
    </x:cfRule>
  </x:conditionalFormatting>
  <x:conditionalFormatting sqref="E7:E14">
    <x:cfRule type="cellIs" dxfId="5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61b9089ff1464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Familles, modèles et comportements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INI-REF-RIFLES</x:v>
      </x:c>
      <x:c r="B7" s="9" t="str">
        <x:v>Armes d’assaut des survivants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Les survivants disposent d’armes ; les modèles précis restent à vérifier.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ref.ini.rifles ; affichage bref avec source.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INI-SRC-QUIET</x:v>
      </x:c>
      <x:c r="R7" s="9" t="str">
        <x:v>https://masseffect.fandom.com/wiki/Quiet_Eddy</x:v>
      </x:c>
      <x:c r="S7" s="9" t="str">
        <x:v>Ce relevé n’est ni un inventaire exhaustif ni un résumé scène par scène.</x:v>
      </x:c>
    </x:row>
  </x:sheetData>
  <x:conditionalFormatting sqref="D7:D7">
    <x:cfRule type="cellIs" dxfId="56" priority="1" operator="equal">
      <x:formula>"À vérifier"</x:formula>
    </x:cfRule>
    <x:cfRule type="cellIs" dxfId="57" priority="2" operator="equal">
      <x:formula>"Extrapolation"</x:formula>
    </x:cfRule>
  </x:conditionalFormatting>
  <x:conditionalFormatting sqref="C7:C7">
    <x:cfRule type="cellIs" dxfId="58" priority="3" operator="equal">
      <x:formula>"Validé"</x:formula>
    </x:cfRule>
  </x:conditionalFormatting>
  <x:conditionalFormatting sqref="E7:E7">
    <x:cfRule type="cellIs" dxfId="59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a12e4baee94d81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Armures et équipement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Protections, modules et consommables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INI-REF-HYPERION</x:v>
      </x:c>
      <x:c r="B7" s="9" t="str">
        <x:v>Hyperion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Le nœud de SAM-E se trouve à bord de l’arche.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ref.ini.hyperion ; affichage bref avec source.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INI-SRC-SAME</x:v>
      </x:c>
      <x:c r="R7" s="9" t="str">
        <x:v>https://masseffect.fandom.com/wiki/SAM-E</x:v>
      </x:c>
      <x:c r="S7" s="9" t="str">
        <x:v>Ce relevé n’est ni un inventaire exhaustif ni un résumé scène par scène.</x:v>
      </x:c>
    </x:row>
    <x:row r="8" ht="68" customHeight="1">
      <x:c r="A8" s="19" t="str">
        <x:v>INI-REF-AUDACITY</x:v>
      </x:c>
      <x:c r="B8" s="7" t="str">
        <x:v>Audacity</x:v>
      </x:c>
      <x:c r="C8" s="15" t="str">
        <x:v>Défini</x:v>
      </x:c>
      <x:c r="D8" s="17" t="str">
        <x:v>Établi</x:v>
      </x:c>
      <x:c r="E8" s="17" t="str">
        <x:v>P1</x:v>
      </x:c>
      <x:c r="F8" s="7" t="str">
        <x:v>Vaisseau de Ygara intervenant dans l’opération.</x:v>
      </x:c>
      <x:c r="G8" s="7" t="str">
        <x:v>Ancrage documentaire du module ; aucune statistique officielle inférée.</x:v>
      </x:c>
      <x:c r="H8" s="7" t="str"/>
      <x:c r="I8" s="7" t="str"/>
      <x:c r="J8" s="7" t="str"/>
      <x:c r="K8" s="7" t="str"/>
      <x:c r="L8" s="7" t="str">
        <x:v>Codex ref.ini.audacity ; affichage bref avec source.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La source citée atteste précisément cet élément ; modèle, plan détaillé et valeur de combat restent séparés.</x:v>
      </x:c>
      <x:c r="O8" s="7" t="str"/>
      <x:c r="P8" s="7" t="str">
        <x:v>Rubrique consultée ou synopsis éditorial ; localisation précise dans l’œuvre à relever.</x:v>
      </x:c>
      <x:c r="Q8" s="7" t="str">
        <x:v>INI-SRC-STORY</x:v>
      </x:c>
      <x:c r="R8" s="7" t="str">
        <x:v>https://masseffect.fandom.com/wiki/Storyline_IV</x:v>
      </x:c>
      <x:c r="S8" s="7" t="str">
        <x:v>Ce relevé n’est ni un inventaire exhaustif ni un résumé scène par scène.</x:v>
      </x:c>
    </x:row>
    <x:row r="9" ht="68" customHeight="1">
      <x:c r="A9" s="18" t="str">
        <x:v>INI-REF-IMPLANT</x:v>
      </x:c>
      <x:c r="B9" s="9" t="str">
        <x:v>Implant de Cora</x:v>
      </x:c>
      <x:c r="C9" s="15" t="str">
        <x:v>Défini</x:v>
      </x:c>
      <x:c r="D9" s="16" t="str">
        <x:v>Établi</x:v>
      </x:c>
      <x:c r="E9" s="16" t="str">
        <x:v>P1</x:v>
      </x:c>
      <x:c r="F9" s="9" t="str">
        <x:v>Il permet à SAM-E d’assister ses perceptions et aptitudes.</x:v>
      </x:c>
      <x:c r="G9" s="9" t="str">
        <x:v>Ancrage documentaire du module ; aucune statistique officielle inférée.</x:v>
      </x:c>
      <x:c r="H9" s="9" t="str"/>
      <x:c r="I9" s="9" t="str"/>
      <x:c r="J9" s="9" t="str"/>
      <x:c r="K9" s="9" t="str"/>
      <x:c r="L9" s="9" t="str">
        <x:v>Codex ref.ini.implant ; affichage bref avec source.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La source citée atteste précisément cet élément ; modèle, plan détaillé et valeur de combat restent séparés.</x:v>
      </x:c>
      <x:c r="O9" s="9" t="str"/>
      <x:c r="P9" s="9" t="str">
        <x:v>Rubrique consultée ou synopsis éditorial ; localisation précise dans l’œuvre à relever.</x:v>
      </x:c>
      <x:c r="Q9" s="9" t="str">
        <x:v>INI-SRC-SAME</x:v>
      </x:c>
      <x:c r="R9" s="9" t="str">
        <x:v>https://masseffect.fandom.com/wiki/SAM-E</x:v>
      </x:c>
      <x:c r="S9" s="9" t="str">
        <x:v>Ce relevé n’est ni un inventaire exhaustif ni un résumé scène par scène.</x:v>
      </x:c>
    </x:row>
  </x:sheetData>
  <x:conditionalFormatting sqref="D7:D9">
    <x:cfRule type="cellIs" dxfId="60" priority="1" operator="equal">
      <x:formula>"À vérifier"</x:formula>
    </x:cfRule>
    <x:cfRule type="cellIs" dxfId="61" priority="2" operator="equal">
      <x:formula>"Extrapolation"</x:formula>
    </x:cfRule>
  </x:conditionalFormatting>
  <x:conditionalFormatting sqref="C7:C9">
    <x:cfRule type="cellIs" dxfId="62" priority="3" operator="equal">
      <x:formula>"Validé"</x:formula>
    </x:cfRule>
  </x:conditionalFormatting>
  <x:conditionalFormatting sqref="E7:E9">
    <x:cfRule type="cellIs" dxfId="63" priority="4" operator="equal">
      <x:formula>"P0"</x:formula>
    </x:cfRule>
  </x:conditionalFormatting>
  <x:dataValidations count="3">
    <x:dataValidation type="list" sqref="C7:C9">
      <x:formula1>"Défini,Prototype,Intégré,Validé"</x:formula1>
    </x:dataValidation>
    <x:dataValidation type="list" sqref="D7:D9">
      <x:formula1>"Établi,À vérifier,Extrapolation,Coupé attesté,Concept abandonné,Allégation écartée"</x:formula1>
    </x:dataValidation>
    <x:dataValidation type="list" sqref="E7:E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7083d94cd84cb9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Pouvoirs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Capacités canoniques et traduction ATB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INI-REF-OVERCLOCK</x:v>
      </x:c>
      <x:c r="B7" s="9" t="str">
        <x:v>Surcharge métabolique exceptionnelle</x:v>
      </x:c>
      <x:c r="C7" s="15" t="str">
        <x:v>Défini</x:v>
      </x:c>
      <x:c r="D7" s="16" t="str">
        <x:v>Établi</x:v>
      </x:c>
      <x:c r="E7" s="16" t="str">
        <x:v>P1</x:v>
      </x:c>
      <x:c r="F7" s="9" t="str">
        <x:v>SAM-E augmente les capacités de Cora avec un coût physique dangereux.</x:v>
      </x:c>
      <x:c r="G7" s="9" t="str">
        <x:v>Ancrage documentaire du module ; aucune statistique officielle inférée.</x:v>
      </x:c>
      <x:c r="H7" s="9" t="str"/>
      <x:c r="I7" s="9" t="str"/>
      <x:c r="J7" s="9" t="str"/>
      <x:c r="K7" s="9" t="str"/>
      <x:c r="L7" s="9" t="str">
        <x:v>Codex ref.ini.overclock ; affichage bref avec source.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source citée atteste précisément cet élément ; modèle, plan détaillé et valeur de combat restent séparés.</x:v>
      </x:c>
      <x:c r="O7" s="9" t="str"/>
      <x:c r="P7" s="9" t="str">
        <x:v>Rubrique consultée ou synopsis éditorial ; localisation précise dans l’œuvre à relever.</x:v>
      </x:c>
      <x:c r="Q7" s="9" t="str">
        <x:v>INI-SRC-SAME</x:v>
      </x:c>
      <x:c r="R7" s="9" t="str">
        <x:v>https://masseffect.fandom.com/wiki/SAM-E</x:v>
      </x:c>
      <x:c r="S7" s="9" t="str">
        <x:v>Ce relevé n’est ni un inventaire exhaustif ni un résumé scène par scène.</x:v>
      </x:c>
    </x:row>
  </x:sheetData>
  <x:conditionalFormatting sqref="D7:D7">
    <x:cfRule type="cellIs" dxfId="64" priority="1" operator="equal">
      <x:formula>"À vérifier"</x:formula>
    </x:cfRule>
    <x:cfRule type="cellIs" dxfId="65" priority="2" operator="equal">
      <x:formula>"Extrapolation"</x:formula>
    </x:cfRule>
  </x:conditionalFormatting>
  <x:conditionalFormatting sqref="C7:C7">
    <x:cfRule type="cellIs" dxfId="66" priority="3" operator="equal">
      <x:formula>"Validé"</x:formula>
    </x:cfRule>
  </x:conditionalFormatting>
  <x:conditionalFormatting sqref="E7:E7">
    <x:cfRule type="cellIs" dxfId="67" priority="4" operator="equal">
      <x:formula>"P0"</x:formula>
    </x:cfRule>
  </x:conditionalFormatting>
  <x:dataValidations count="3">
    <x:dataValidation type="list" sqref="C7">
      <x:formula1>"Défini,Prototype,Intégré,Validé"</x:formula1>
    </x:dataValidation>
    <x:dataValidation type="list" sqref="D7">
      <x:formula1>"Établi,À vérifier,Extrapolation,Coupé attesté,Concept abandonné,Allégation écartée"</x:formula1>
    </x:dataValidation>
    <x:dataValidation type="list" sqref="E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aa2c9b1c6241ba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alliés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Actions et contraintes par équipier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INI-MOV-BIOSHIELD</x:v>
      </x:c>
      <x:c r="B7" s="9" t="str">
        <x:v>Protection d’évacuation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Action de groupe originale ; elle n’est pas une compétence officielle de cette œuvre.</x:v>
      </x:c>
      <x:c r="G7" s="9" t="str">
        <x:v>Cora : Tenir une couverture biotique locale pendant le passage d’un groupe, sans bonus officiel allégué.</x:v>
      </x:c>
      <x:c r="H7" s="9" t="str">
        <x:v>Tenir une couverture biotique locale pendant le passage d’un groupe, sans bonus officiel allégué. Coût initial proposé : une action ATB ; coût et délai restent des paramètres de prototype.</x:v>
      </x:c>
      <x:c r="I7" s="9" t="str">
        <x:v>Arc bleu délimité au sol.</x:v>
      </x:c>
      <x:c r="J7" s="9" t="str">
        <x:v>Préparation, validation de cible, engagement et récupération ; prévoir animation de refus avec motif.</x:v>
      </x:c>
      <x:c r="K7" s="9" t="str">
        <x:v>Confirmation et refus distingués ; texte d’état accessible au clavier.</x:v>
      </x:c>
      <x:c r="L7" s="9" t="str">
        <x:v>actions/ini/bioshield.json ; commande, cibles autorisées, coût, effets, nettoyage.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Une cible incompatible ne consomme rien ; l’effet est réversible au rechargement du point de contrôle.</x:v>
      </x:c>
      <x:c r="O7" s="9" t="str"/>
      <x:c r="P7" s="9" t="str"/>
      <x:c r="Q7" s="9" t="str"/>
      <x:c r="R7" s="9" t="str"/>
      <x:c r="S7" s="9" t="str"/>
    </x:row>
    <x:row r="8" ht="68" customHeight="1">
      <x:c r="A8" s="19" t="str">
        <x:v>INI-MOV-ASSIST</x:v>
      </x:c>
      <x:c r="B8" s="7" t="str">
        <x:v>Observation assistée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Action de groupe originale ; elle n’est pas une compétence officielle de cette œuvre.</x:v>
      </x:c>
      <x:c r="G8" s="7" t="str">
        <x:v>SAM-E : Signaler une contradiction perceptible sans résoudre l’énigme à la place de Cora.</x:v>
      </x:c>
      <x:c r="H8" s="7" t="str">
        <x:v>Signaler une contradiction perceptible sans résoudre l’énigme à la place de Cora. Coût initial proposé : une action ATB ; coût et délai restent des paramètres de prototype.</x:v>
      </x:c>
      <x:c r="I8" s="7" t="str">
        <x:v>Encart de doute et objet entouré.</x:v>
      </x:c>
      <x:c r="J8" s="7" t="str">
        <x:v>Préparation, validation de cible, engagement et récupération ; prévoir animation de refus avec motif.</x:v>
      </x:c>
      <x:c r="K8" s="7" t="str">
        <x:v>Confirmation et refus distingués ; texte d’état accessible au clavier.</x:v>
      </x:c>
      <x:c r="L8" s="7" t="str">
        <x:v>actions/ini/assist.json ; commande, cibles autorisées, coût, effets, nettoyage.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Une cible incompatible ne consomme rien ; l’effet est réversible au rechargement du point de contrôle.</x:v>
      </x:c>
      <x:c r="O8" s="7" t="str"/>
      <x:c r="P8" s="7" t="str"/>
      <x:c r="Q8" s="7" t="str"/>
      <x:c r="R8" s="7" t="str"/>
      <x:c r="S8" s="7" t="str"/>
    </x:row>
    <x:row r="9" ht="68" customHeight="1">
      <x:c r="A9" s="18" t="str">
        <x:v>INI-MOV-SENSOR</x:v>
      </x:c>
      <x:c r="B9" s="9" t="str">
        <x:v>Écoute focalisée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Action de groupe originale ; elle n’est pas une compétence officielle de cette œuvre.</x:v>
      </x:c>
      <x:c r="G9" s="9" t="str">
        <x:v>Cora et SAM-E : Mettre en avant un son de secteur au prix d’une réduction des autres canaux de jeu.</x:v>
      </x:c>
      <x:c r="H9" s="9" t="str">
        <x:v>Mettre en avant un son de secteur au prix d’une réduction des autres canaux de jeu. Coût initial proposé : une action ATB ; coût et délai restent des paramètres de prototype.</x:v>
      </x:c>
      <x:c r="I9" s="9" t="str">
        <x:v>Ondes limitées et sous-titre directionnel.</x:v>
      </x:c>
      <x:c r="J9" s="9" t="str">
        <x:v>Préparation, validation de cible, engagement et récupération ; prévoir animation de refus avec motif.</x:v>
      </x:c>
      <x:c r="K9" s="9" t="str">
        <x:v>Confirmation et refus distingués ; texte d’état accessible au clavier.</x:v>
      </x:c>
      <x:c r="L9" s="9" t="str">
        <x:v>actions/ini/sensor.json ; commande, cibles autorisées, coût, effets, nettoyage.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Une cible incompatible ne consomme rien ; l’effet est réversible au rechargement du point de contrôle.</x:v>
      </x:c>
      <x:c r="O9" s="9" t="str"/>
      <x:c r="P9" s="9" t="str"/>
      <x:c r="Q9" s="9" t="str"/>
      <x:c r="R9" s="9" t="str"/>
      <x:c r="S9" s="9" t="str"/>
    </x:row>
    <x:row r="10" ht="68" customHeight="1">
      <x:c r="A10" s="19" t="str">
        <x:v>INI-MOV-GUARD</x:v>
      </x:c>
      <x:c r="B10" s="7" t="str">
        <x:v>Couverture de porte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Action de groupe originale ; elle n’est pas une compétence officielle de cette œuvre.</x:v>
      </x:c>
      <x:c r="G10" s="7" t="str">
        <x:v>Zahra : Empêcher un adversaire ajouté de traverser pendant une seule interaction civile.</x:v>
      </x:c>
      <x:c r="H10" s="7" t="str">
        <x:v>Empêcher un adversaire ajouté de traverser pendant une seule interaction civile. Coût initial proposé : une action ATB ; coût et délai restent des paramètres de prototype.</x:v>
      </x:c>
      <x:c r="I10" s="7" t="str">
        <x:v>Porte marquée et ligne d’appui.</x:v>
      </x:c>
      <x:c r="J10" s="7" t="str">
        <x:v>Préparation, validation de cible, engagement et récupération ; prévoir animation de refus avec motif.</x:v>
      </x:c>
      <x:c r="K10" s="7" t="str">
        <x:v>Confirmation et refus distingués ; texte d’état accessible au clavier.</x:v>
      </x:c>
      <x:c r="L10" s="7" t="str">
        <x:v>actions/ini/guard.json ; commande, cibles autorisées, coût, effets, nettoyage.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Une cible incompatible ne consomme rien ; l’effet est réversible au rechargement du point de contrôle.</x:v>
      </x:c>
      <x:c r="O10" s="7" t="str"/>
      <x:c r="P10" s="7" t="str"/>
      <x:c r="Q10" s="7" t="str"/>
      <x:c r="R10" s="7" t="str"/>
      <x:c r="S10" s="7" t="str"/>
    </x:row>
    <x:row r="11" ht="68" customHeight="1">
      <x:c r="A11" s="18" t="str">
        <x:v>INI-MOV-HANDOFF</x:v>
      </x:c>
      <x:c r="B11" s="9" t="str">
        <x:v>Relais de commande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Action de groupe originale ; elle n’est pas une compétence officielle de cette œuvre.</x:v>
      </x:c>
      <x:c r="G11" s="9" t="str">
        <x:v>Cora : Valider manuellement une action suggérée par l’assistant ; pas de dépense sans confirmation.</x:v>
      </x:c>
      <x:c r="H11" s="9" t="str">
        <x:v>Valider manuellement une action suggérée par l’assistant ; pas de dépense sans confirmation. Coût initial proposé : une action ATB ; coût et délai restent des paramètres de prototype.</x:v>
      </x:c>
      <x:c r="I11" s="9" t="str">
        <x:v>Deux étapes suggestion puis accord.</x:v>
      </x:c>
      <x:c r="J11" s="9" t="str">
        <x:v>Préparation, validation de cible, engagement et récupération ; prévoir animation de refus avec motif.</x:v>
      </x:c>
      <x:c r="K11" s="9" t="str">
        <x:v>Confirmation et refus distingués ; texte d’état accessible au clavier.</x:v>
      </x:c>
      <x:c r="L11" s="9" t="str">
        <x:v>actions/ini/handoff.json ; commande, cibles autorisées, coût, effets, nettoyage.</x:v>
      </x:c>
      <x:c r="M11" s="9" t="str">
        <x:v>L’action reste dans la Voie lactée avant le départ des arches. SAM-E ne devient pas un compagnon durable disponible dans Andromeda ; préserver les limites et conséquences de son lien avec Cora.</x:v>
      </x:c>
      <x:c r="N11" s="9" t="str">
        <x:v>Une cible incompatible ne consomme rien ; l’effet est réversible au rechargement du point de contrôle.</x:v>
      </x:c>
      <x:c r="O11" s="9" t="str"/>
      <x:c r="P11" s="9" t="str"/>
      <x:c r="Q11" s="9" t="str"/>
      <x:c r="R11" s="9" t="str"/>
      <x:c r="S11" s="9" t="str"/>
    </x:row>
    <x:row r="12" ht="68" customHeight="1">
      <x:c r="A12" s="19" t="str">
        <x:v>INI-MOV-RECOVER</x:v>
      </x:c>
      <x:c r="B12" s="7" t="str">
        <x:v>Repos assisté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Action de groupe originale ; elle n’est pas une compétence officielle de cette œuvre.</x:v>
      </x:c>
      <x:c r="G12" s="7" t="str">
        <x:v>Groupe : Interrompre une surcharge proposée et rétablir les commandes ordinaires à un point sûr.</x:v>
      </x:c>
      <x:c r="H12" s="7" t="str">
        <x:v>Interrompre une surcharge proposée et rétablir les commandes ordinaires à un point sûr. Coût initial proposé : une action ATB ; coût et délai restent des paramètres de prototype.</x:v>
      </x:c>
      <x:c r="I12" s="7" t="str">
        <x:v>Ralentissement d’interface optionnel et état stable lisible.</x:v>
      </x:c>
      <x:c r="J12" s="7" t="str">
        <x:v>Préparation, validation de cible, engagement et récupération ; prévoir animation de refus avec motif.</x:v>
      </x:c>
      <x:c r="K12" s="7" t="str">
        <x:v>Confirmation et refus distingués ; texte d’état accessible au clavier.</x:v>
      </x:c>
      <x:c r="L12" s="7" t="str">
        <x:v>actions/ini/recover.json ; commande, cibles autorisées, coût, effets, nettoyage.</x:v>
      </x:c>
      <x:c r="M12" s="7" t="str">
        <x:v>L’action reste dans la Voie lactée avant le départ des arches. SAM-E ne devient pas un compagnon durable disponible dans Andromeda ; préserver les limites et conséquences de son lien avec Cora.</x:v>
      </x:c>
      <x:c r="N12" s="7" t="str">
        <x:v>Une cible incompatible ne consomme rien ; l’effet est réversible au rechargement du point de contrôle.</x:v>
      </x:c>
      <x:c r="O12" s="7" t="str"/>
      <x:c r="P12" s="7" t="str"/>
      <x:c r="Q12" s="7" t="str"/>
      <x:c r="R12" s="7" t="str"/>
      <x:c r="S12" s="7" t="str"/>
    </x:row>
  </x:sheetData>
  <x:conditionalFormatting sqref="D7:D12">
    <x:cfRule type="cellIs" dxfId="68" priority="1" operator="equal">
      <x:formula>"À vérifier"</x:formula>
    </x:cfRule>
    <x:cfRule type="cellIs" dxfId="69" priority="2" operator="equal">
      <x:formula>"Extrapolation"</x:formula>
    </x:cfRule>
  </x:conditionalFormatting>
  <x:conditionalFormatting sqref="C7:C12">
    <x:cfRule type="cellIs" dxfId="70" priority="3" operator="equal">
      <x:formula>"Validé"</x:formula>
    </x:cfRule>
  </x:conditionalFormatting>
  <x:conditionalFormatting sqref="E7:E12">
    <x:cfRule type="cellIs" dxfId="71" priority="4" operator="equal">
      <x:formula>"P0"</x:formula>
    </x:cfRule>
  </x:conditionalFormatting>
  <x:dataValidations count="3">
    <x:dataValidation type="list" sqref="C7:C12">
      <x:formula1>"Défini,Prototype,Intégré,Validé"</x:formula1>
    </x:dataValidation>
    <x:dataValidation type="list" sqref="D7:D12">
      <x:formula1>"Établi,À vérifier,Extrapolation,Coupé attesté,Concept abandonné,Allégation écartée"</x:formula1>
    </x:dataValidation>
    <x:dataValidation type="list" sqref="E7:E1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baf10960574715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Movesets ennemis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Télégraphes, actions et réponses tactiques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INI-EMV-MERC</x:v>
      </x:c>
      <x:c r="B7" s="9" t="str">
        <x:v>Équipe mercenaire proposée — comportement principal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Comportement proposé pour la rencontre liée.</x:v>
      </x:c>
      <x:c r="G7" s="9" t="str">
        <x:v>Surveille un nœud en alternant mouvement et verrouillage.</x:v>
      </x:c>
      <x:c r="H7" s="9" t="str">
        <x:v>Télégraphe : Cône de surveillance et témoin de serrure. Contre-mesure : Passer pendant la rotation ou détourner l’attention. Consommer une action ATB à l’engagement ; équilibrage à mesurer au prototype.</x:v>
      </x:c>
      <x:c r="I7" s="9" t="str">
        <x:v>Rendre l’aire touchée lisible au sol et sur le HUD ; ne jamais dépendre seulement de la couleur.</x:v>
      </x:c>
      <x:c r="J7" s="9" t="str">
        <x:v>Bloquer la cible au début de l’engagement ; annuler proprement si les préconditions disparaissent.</x:v>
      </x:c>
      <x:c r="K7" s="9" t="str">
        <x:v>Signal préalable distinct du son d’impact ; option pour réduire les sons agressifs.</x:v>
      </x:c>
      <x:c r="L7" s="9" t="str">
        <x:v>behaviors/ini/merc : prepare/commit/recover ; paramètres séparés du code.</x:v>
      </x:c>
      <x:c r="M7" s="9" t="str">
        <x:v>Uniquement quand la rencontre correspondante est active.</x:v>
      </x:c>
      <x:c r="N7" s="9" t="str">
        <x:v>L’indicateur apparaît avant la conséquence ; la contre-mesure fonctionne en pause et à vitesse normale.</x:v>
      </x:c>
      <x:c r="O7" s="9" t="str">
        <x:v>INI-ENC-MERC</x:v>
      </x:c>
      <x:c r="P7" s="9" t="str"/>
      <x:c r="Q7" s="9" t="str"/>
      <x:c r="R7" s="9" t="str"/>
      <x:c r="S7" s="9" t="str"/>
    </x:row>
    <x:row r="8" ht="68" customHeight="1">
      <x:c r="A8" s="19" t="str">
        <x:v>INI-EMV-AUGMENT</x:v>
      </x:c>
      <x:c r="B8" s="7" t="str">
        <x:v>Augment de couloir proposé — comportement principal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Comportement proposé pour la rencontre liée.</x:v>
      </x:c>
      <x:c r="G8" s="7" t="str">
        <x:v>Charge un axe étroit puis expose son flanc à l’arrêt.</x:v>
      </x:c>
      <x:c r="H8" s="7" t="str">
        <x:v>Télégraphe : Posture tassée et ligne au sol avant départ. Contre-mesure : Quitter l’axe et fermer la porte après le passage. Consommer une action ATB à l’engagement ; équilibrage à mesurer au prototype.</x:v>
      </x:c>
      <x:c r="I8" s="7" t="str">
        <x:v>Rendre l’aire touchée lisible au sol et sur le HUD ; ne jamais dépendre seulement de la couleur.</x:v>
      </x:c>
      <x:c r="J8" s="7" t="str">
        <x:v>Bloquer la cible au début de l’engagement ; annuler proprement si les préconditions disparaissent.</x:v>
      </x:c>
      <x:c r="K8" s="7" t="str">
        <x:v>Signal préalable distinct du son d’impact ; option pour réduire les sons agressifs.</x:v>
      </x:c>
      <x:c r="L8" s="7" t="str">
        <x:v>behaviors/ini/augment : prepare/commit/recover ; paramètres séparés du code.</x:v>
      </x:c>
      <x:c r="M8" s="7" t="str">
        <x:v>Uniquement quand la rencontre correspondante est active.</x:v>
      </x:c>
      <x:c r="N8" s="7" t="str">
        <x:v>L’indicateur apparaît avant la conséquence ; la contre-mesure fonctionne en pause et à vitesse normale.</x:v>
      </x:c>
      <x:c r="O8" s="7" t="str">
        <x:v>INI-ENC-AUGMENT</x:v>
      </x:c>
      <x:c r="P8" s="7" t="str"/>
      <x:c r="Q8" s="7" t="str"/>
      <x:c r="R8" s="7" t="str"/>
      <x:c r="S8" s="7" t="str"/>
    </x:row>
    <x:row r="9" ht="68" customHeight="1">
      <x:c r="A9" s="18" t="str">
        <x:v>INI-EMV-MEDEA</x:v>
      </x:c>
      <x:c r="B9" s="9" t="str">
        <x:v>Medea — crise d’accès proposée — comportement principal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Comportement proposé pour la rencontre liée.</x:v>
      </x:c>
      <x:c r="G9" s="9" t="str">
        <x:v>Falsifie un indicateur pendant qu’un accès réel se referme.</x:v>
      </x:c>
      <x:c r="H9" s="9" t="str">
        <x:v>Télégraphe : Incohérence entre état de porte et panneau. Contre-mesure : Faire vérifier la porte par l’équipe et isoler le secteur. Consommer une action ATB à l’engagement ; équilibrage à mesurer au prototype.</x:v>
      </x:c>
      <x:c r="I9" s="9" t="str">
        <x:v>Rendre l’aire touchée lisible au sol et sur le HUD ; ne jamais dépendre seulement de la couleur.</x:v>
      </x:c>
      <x:c r="J9" s="9" t="str">
        <x:v>Bloquer la cible au début de l’engagement ; annuler proprement si les préconditions disparaissent.</x:v>
      </x:c>
      <x:c r="K9" s="9" t="str">
        <x:v>Signal préalable distinct du son d’impact ; option pour réduire les sons agressifs.</x:v>
      </x:c>
      <x:c r="L9" s="9" t="str">
        <x:v>behaviors/ini/medea : prepare/commit/recover ; paramètres séparés du code.</x:v>
      </x:c>
      <x:c r="M9" s="9" t="str">
        <x:v>Uniquement quand la rencontre correspondante est active.</x:v>
      </x:c>
      <x:c r="N9" s="9" t="str">
        <x:v>L’indicateur apparaît avant la conséquence ; la contre-mesure fonctionne en pause et à vitesse normale.</x:v>
      </x:c>
      <x:c r="O9" s="9" t="str">
        <x:v>INI-ENC-MEDEA</x:v>
      </x:c>
      <x:c r="P9" s="9" t="str"/>
      <x:c r="Q9" s="9" t="str"/>
      <x:c r="R9" s="9" t="str"/>
      <x:c r="S9" s="9" t="str"/>
    </x:row>
    <x:row r="10" ht="82" customHeight="1">
      <x:c r="A10" s="19" t="str">
        <x:v>INI-EMV-OVERLOAD</x:v>
      </x:c>
      <x:c r="B10" s="7" t="str">
        <x:v>Seuil de fatigue proposé — comportement principal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Comportement proposé pour la rencontre liée.</x:v>
      </x:c>
      <x:c r="G10" s="7" t="str">
        <x:v>Réduit les options disponibles si la surcharge est prolongée.</x:v>
      </x:c>
      <x:c r="H10" s="7" t="str">
        <x:v>Télégraphe : Avertissement textuel, baisse de saturation désactivable. Contre-mesure : Arrêter l’effet et atteindre un point de repos autorisé. Consommer une action ATB à l’engagement ; équilibrage à mesurer au prototype.</x:v>
      </x:c>
      <x:c r="I10" s="7" t="str">
        <x:v>Rendre l’aire touchée lisible au sol et sur le HUD ; ne jamais dépendre seulement de la couleur.</x:v>
      </x:c>
      <x:c r="J10" s="7" t="str">
        <x:v>Bloquer la cible au début de l’engagement ; annuler proprement si les préconditions disparaissent.</x:v>
      </x:c>
      <x:c r="K10" s="7" t="str">
        <x:v>Signal préalable distinct du son d’impact ; option pour réduire les sons agressifs.</x:v>
      </x:c>
      <x:c r="L10" s="7" t="str">
        <x:v>behaviors/ini/overload : prepare/commit/recover ; paramètres séparés du code.</x:v>
      </x:c>
      <x:c r="M10" s="7" t="str">
        <x:v>Uniquement quand la rencontre correspondante est active.</x:v>
      </x:c>
      <x:c r="N10" s="7" t="str">
        <x:v>L’indicateur apparaît avant la conséquence ; la contre-mesure fonctionne en pause et à vitesse normale.</x:v>
      </x:c>
      <x:c r="O10" s="7" t="str">
        <x:v>INI-ENC-OVERLOAD</x:v>
      </x:c>
      <x:c r="P10" s="7" t="str"/>
      <x:c r="Q10" s="7" t="str"/>
      <x:c r="R10" s="7" t="str"/>
      <x:c r="S10" s="7" t="str"/>
    </x:row>
  </x:sheetData>
  <x:conditionalFormatting sqref="D7:D10">
    <x:cfRule type="cellIs" dxfId="72" priority="1" operator="equal">
      <x:formula>"À vérifier"</x:formula>
    </x:cfRule>
    <x:cfRule type="cellIs" dxfId="73" priority="2" operator="equal">
      <x:formula>"Extrapolation"</x:formula>
    </x:cfRule>
  </x:conditionalFormatting>
  <x:conditionalFormatting sqref="C7:C10">
    <x:cfRule type="cellIs" dxfId="74" priority="3" operator="equal">
      <x:formula>"Validé"</x:formula>
    </x:cfRule>
  </x:conditionalFormatting>
  <x:conditionalFormatting sqref="E7:E10">
    <x:cfRule type="cellIs" dxfId="75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8cef83e15405d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Animations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Bibliothèque d’animation pour sprites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INI-ANI-CORA</x:v>
      </x:c>
      <x:c r="B7" s="9" t="str">
        <x:v>Cora Harper — jeu de poses contextuelles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poses nécessaires à l’interaction « Coordonner infiltration et protection avec l’assistance de SAM-E. ».</x:v>
      </x:c>
      <x:c r="G7" s="9" t="str">
        <x:v>Blocage animé de Cora Harper : anticipation, action, récupération, retour au repos ; prévoir une interruption propre.</x:v>
      </x:c>
      <x:c r="H7" s="9" t="str">
        <x:v>Coordonner infiltration et protection avec l’assistance de SAM-E. L’effet logique ne dépend jamais de la cadence du rendu.</x:v>
      </x:c>
      <x:c r="I7" s="9" t="str">
        <x:v>Conserver les repères de silhouette : Armure humaine et maintien de commando ; coiffure et accessoires à vérifier pour cette période.</x:v>
      </x:c>
      <x:c r="J7" s="9" t="str">
        <x:v>Repos, déplacement, interaction et réaction ; nombre d’images ajusté après essai sur écran ; ne pas ajouter une attaque aux personnages civils.</x:v>
      </x:c>
      <x:c r="K7" s="9" t="str">
        <x:v>Marqueurs animation distincts du fichier audio ; sous-titre court si l’action porte une information.</x:v>
      </x:c>
      <x:c r="L7" s="9" t="str">
        <x:v>Animator actor.ini.cora ; événements start/commit/recover ; annulation avant commit sans effet.</x:v>
      </x:c>
      <x:c r="M7" s="9" t="str">
        <x:v>Animation de blessure ou de décès uniquement si le contexte la justifie ; pas de mort libre d’un personnage établi.</x:v>
      </x:c>
      <x:c r="N7" s="9" t="str">
        <x:v>Une interruption avant commit ne dépense pas la ressource ; aucune pose résiduelle après changement de carte.</x:v>
      </x:c>
      <x:c r="O7" s="9" t="str">
        <x:v>INI-SPR-CORA</x:v>
      </x:c>
      <x:c r="P7" s="9" t="str"/>
      <x:c r="Q7" s="9" t="str"/>
      <x:c r="R7" s="9" t="str"/>
      <x:c r="S7" s="9" t="str"/>
    </x:row>
    <x:row r="8" ht="54" customHeight="1">
      <x:c r="A8" s="19" t="str">
        <x:v>INI-ANI-SAME</x:v>
      </x:c>
      <x:c r="B8" s="7" t="str">
        <x:v>SAM-E — jeu de poses contextuelles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poses nécessaires à l’interaction « Proposer une analyse limitée que Cora peut accepter ou refuser. ».</x:v>
      </x:c>
      <x:c r="G8" s="7" t="str">
        <x:v>Animer uniquement les changements d’état de l’interface et des écrans autorisés par le scénario.</x:v>
      </x:c>
      <x:c r="H8" s="7" t="str">
        <x:v>L’animation reflète une action validée du système ; elle ne déclenche pas elle-même une commande ou un résultat.</x:v>
      </x:c>
      <x:c r="I8" s="7" t="str">
        <x:v>Identifier la provenance du message sur chaque écran concerné.</x:v>
      </x:c>
      <x:c r="J8" s="7" t="str">
        <x:v>Apparition, attente, calcul, proposition, interruption, extinction ; aucun déplacement de corps.</x:v>
      </x:c>
      <x:c r="K8" s="7" t="str">
        <x:v>Marqueurs animation distincts du fichier audio ; sous-titre court si l’action porte une information.</x:v>
      </x:c>
      <x:c r="L8" s="7" t="str">
        <x:v>Contrôleur UI à états ; nettoyage à la sortie de scène ; option animation réduite.</x:v>
      </x:c>
      <x:c r="M8" s="7" t="str">
        <x:v>Animation de blessure ou de décès uniquement si le contexte la justifie ; pas de mort libre d’un personnage établi.</x:v>
      </x:c>
      <x:c r="N8" s="7" t="str">
        <x:v>Une interruption avant commit ne dépense pas la ressource ; aucune pose résiduelle après changement de carte.</x:v>
      </x:c>
      <x:c r="O8" s="7" t="str">
        <x:v>INI-SPR-SAME</x:v>
      </x:c>
      <x:c r="P8" s="7" t="str"/>
      <x:c r="Q8" s="7" t="str"/>
      <x:c r="R8" s="7" t="str"/>
      <x:c r="S8" s="7" t="str"/>
    </x:row>
    <x:row r="9" ht="68" customHeight="1">
      <x:c r="A9" s="18" t="str">
        <x:v>INI-ANI-ALEC</x:v>
      </x:c>
      <x:c r="B9" s="9" t="str">
        <x:v>Alec Ryder — jeu de poses contextuelles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poses nécessaires à l’interaction « Expliquer une contrainte technique sans divulguer toutes les intentions. ».</x:v>
      </x:c>
      <x:c r="G9" s="9" t="str">
        <x:v>Blocage animé de Alec Ryder : anticipation, action, récupération, retour au repos ; prévoir une interruption propre.</x:v>
      </x:c>
      <x:c r="H9" s="9" t="str">
        <x:v>Expliquer une contrainte technique sans divulguer toutes les intentions. L’effet logique ne dépend jamais de la cadence du rendu.</x:v>
      </x:c>
      <x:c r="I9" s="9" t="str">
        <x:v>Conserver les repères de silhouette : Officier expérimenté, silhouette d’armure de période et version en hologramme.</x:v>
      </x:c>
      <x:c r="J9" s="9" t="str">
        <x:v>Repos, déplacement, interaction et réaction ; nombre d’images ajusté après essai sur écran ; ne pas ajouter une attaque aux personnages civils.</x:v>
      </x:c>
      <x:c r="K9" s="9" t="str">
        <x:v>Marqueurs animation distincts du fichier audio ; sous-titre court si l’action porte une information.</x:v>
      </x:c>
      <x:c r="L9" s="9" t="str">
        <x:v>Animator actor.ini.alec ; événements start/commit/recover ; annulation avant commit sans effet.</x:v>
      </x:c>
      <x:c r="M9" s="9" t="str">
        <x:v>Animation de blessure ou de décès uniquement si le contexte la justifie ; pas de mort libre d’un personnage établi.</x:v>
      </x:c>
      <x:c r="N9" s="9" t="str">
        <x:v>Une interruption avant commit ne dépense pas la ressource ; aucune pose résiduelle après changement de carte.</x:v>
      </x:c>
      <x:c r="O9" s="9" t="str">
        <x:v>INI-SPR-ALEC</x:v>
      </x:c>
      <x:c r="P9" s="9" t="str"/>
      <x:c r="Q9" s="9" t="str"/>
      <x:c r="R9" s="9" t="str"/>
      <x:c r="S9" s="9" t="str"/>
    </x:row>
    <x:row r="10" ht="54" customHeight="1">
      <x:c r="A10" s="19" t="str">
        <x:v>INI-ANI-YGARA</x:v>
      </x:c>
      <x:c r="B10" s="7" t="str">
        <x:v>Ygara Menoris — jeu de poses contextuelles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poses nécessaires à l’interaction « Participer à une préparation qui laisse visibles les conditions de coopération. ».</x:v>
      </x:c>
      <x:c r="G10" s="7" t="str">
        <x:v>Blocage animé de Ygara Menoris : anticipation, action, récupération, retour au repos ; prévoir une interruption propre.</x:v>
      </x:c>
      <x:c r="H10" s="7" t="str">
        <x:v>Participer à une préparation qui laisse visibles les conditions de coopération. L’effet logique ne dépend jamais de la cadence du rendu.</x:v>
      </x:c>
      <x:c r="I10" s="7" t="str">
        <x:v>Conserver les repères de silhouette : Tenue de terrain asari proposée, silhouette autonome distincte de Cora.</x:v>
      </x:c>
      <x:c r="J10" s="7" t="str">
        <x:v>Repos, déplacement, interaction et réaction ; nombre d’images ajusté après essai sur écran ; ne pas ajouter une attaque aux personnages civils.</x:v>
      </x:c>
      <x:c r="K10" s="7" t="str">
        <x:v>Marqueurs animation distincts du fichier audio ; sous-titre court si l’action porte une information.</x:v>
      </x:c>
      <x:c r="L10" s="7" t="str">
        <x:v>Animator actor.ini.ygara ; événements start/commit/recover ; annulation avant commit sans effet.</x:v>
      </x:c>
      <x:c r="M10" s="7" t="str">
        <x:v>Animation de blessure ou de décès uniquement si le contexte la justifie ; pas de mort libre d’un personnage établi.</x:v>
      </x:c>
      <x:c r="N10" s="7" t="str">
        <x:v>Une interruption avant commit ne dépense pas la ressource ; aucune pose résiduelle après changement de carte.</x:v>
      </x:c>
      <x:c r="O10" s="7" t="str">
        <x:v>INI-SPR-YGARA</x:v>
      </x:c>
      <x:c r="P10" s="7" t="str"/>
      <x:c r="Q10" s="7" t="str"/>
      <x:c r="R10" s="7" t="str"/>
      <x:c r="S10" s="7" t="str"/>
    </x:row>
    <x:row r="11" ht="68" customHeight="1">
      <x:c r="A11" s="18" t="str">
        <x:v>INI-ANI-MEDEA</x:v>
      </x:c>
      <x:c r="B11" s="9" t="str">
        <x:v>Medea — jeu de poses contextuelles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poses nécessaires à l’interaction « Modifier des accès et donner une information de système potentiellement trompeuse. ».</x:v>
      </x:c>
      <x:c r="G11" s="9" t="str">
        <x:v>Animer uniquement les changements d’état de l’interface et des écrans autorisés par le scénario.</x:v>
      </x:c>
      <x:c r="H11" s="9" t="str">
        <x:v>L’animation reflète une action validée du système ; elle ne déclenche pas elle-même une commande ou un résultat.</x:v>
      </x:c>
      <x:c r="I11" s="9" t="str">
        <x:v>Identifier la provenance du message sur chaque écran concerné.</x:v>
      </x:c>
      <x:c r="J11" s="9" t="str">
        <x:v>Apparition, attente, calcul, proposition, interruption, extinction ; aucun déplacement de corps.</x:v>
      </x:c>
      <x:c r="K11" s="9" t="str">
        <x:v>Marqueurs animation distincts du fichier audio ; sous-titre court si l’action porte une information.</x:v>
      </x:c>
      <x:c r="L11" s="9" t="str">
        <x:v>Contrôleur UI à états ; nettoyage à la sortie de scène ; option animation réduite.</x:v>
      </x:c>
      <x:c r="M11" s="9" t="str">
        <x:v>Animation de blessure ou de décès uniquement si le contexte la justifie ; pas de mort libre d’un personnage établi.</x:v>
      </x:c>
      <x:c r="N11" s="9" t="str">
        <x:v>Une interruption avant commit ne dépense pas la ressource ; aucune pose résiduelle après changement de carte.</x:v>
      </x:c>
      <x:c r="O11" s="9" t="str">
        <x:v>INI-SPR-MEDEA</x:v>
      </x:c>
      <x:c r="P11" s="9" t="str"/>
      <x:c r="Q11" s="9" t="str"/>
      <x:c r="R11" s="9" t="str"/>
      <x:c r="S11" s="9" t="str"/>
    </x:row>
    <x:row r="12" ht="68" customHeight="1">
      <x:c r="A12" s="19" t="str">
        <x:v>INI-ANI-VLASSIA</x:v>
      </x:c>
      <x:c r="B12" s="7" t="str">
        <x:v>Vlassia Ariokis — jeu de poses contextuelles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poses nécessaires à l’interaction « Être interrogée sur une responsabilité institutionnelle dans une scène originale. ».</x:v>
      </x:c>
      <x:c r="G12" s="7" t="str">
        <x:v>Blocage animé de Vlassia Ariokis : anticipation, action, récupération, retour au repos ; prévoir une interruption propre.</x:v>
      </x:c>
      <x:c r="H12" s="7" t="str">
        <x:v>Être interrogée sur une responsabilité institutionnelle dans une scène originale. L’effet logique ne dépend jamais de la cadence du rendu.</x:v>
      </x:c>
      <x:c r="I12" s="7" t="str">
        <x:v>Conserver les repères de silhouette : Tenue d’opération discrète à contrôler ; éviter les insignes inventés.</x:v>
      </x:c>
      <x:c r="J12" s="7" t="str">
        <x:v>Repos, déplacement, interaction et réaction ; nombre d’images ajusté après essai sur écran ; ne pas ajouter une attaque aux personnages civils.</x:v>
      </x:c>
      <x:c r="K12" s="7" t="str">
        <x:v>Marqueurs animation distincts du fichier audio ; sous-titre court si l’action porte une information.</x:v>
      </x:c>
      <x:c r="L12" s="7" t="str">
        <x:v>Animator actor.ini.vlassia ; événements start/commit/recover ; annulation avant commit sans effet.</x:v>
      </x:c>
      <x:c r="M12" s="7" t="str">
        <x:v>Animation de blessure ou de décès uniquement si le contexte la justifie ; pas de mort libre d’un personnage établi.</x:v>
      </x:c>
      <x:c r="N12" s="7" t="str">
        <x:v>Une interruption avant commit ne dépense pas la ressource ; aucune pose résiduelle après changement de carte.</x:v>
      </x:c>
      <x:c r="O12" s="7" t="str">
        <x:v>INI-SPR-VLASSIA</x:v>
      </x:c>
      <x:c r="P12" s="7" t="str"/>
      <x:c r="Q12" s="7" t="str"/>
      <x:c r="R12" s="7" t="str"/>
      <x:c r="S12" s="7" t="str"/>
    </x:row>
    <x:row r="13" ht="54" customHeight="1">
      <x:c r="A13" s="18" t="str">
        <x:v>INI-ANI-JENSEN</x:v>
      </x:c>
      <x:c r="B13" s="9" t="str">
        <x:v>Rebecca Jensen — jeu de poses contextuelles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poses nécessaires à l’interaction « Aider à choisir un itinéraire fondé sur des plans disponibles. ».</x:v>
      </x:c>
      <x:c r="G13" s="9" t="str">
        <x:v>Blocage animé de Rebecca Jensen : anticipation, action, récupération, retour au repos ; prévoir une interruption propre.</x:v>
      </x:c>
      <x:c r="H13" s="9" t="str">
        <x:v>Aider à choisir un itinéraire fondé sur des plans disponibles. L’effet logique ne dépend jamais de la cadence du rendu.</x:v>
      </x:c>
      <x:c r="I13" s="9" t="str">
        <x:v>Conserver les repères de silhouette : Petite stature, coiffure et tenue scientifique à confirmer visuellement.</x:v>
      </x:c>
      <x:c r="J13" s="9" t="str">
        <x:v>Repos, déplacement, interaction et réaction ; nombre d’images ajusté après essai sur écran ; ne pas ajouter une attaque aux personnages civils.</x:v>
      </x:c>
      <x:c r="K13" s="9" t="str">
        <x:v>Marqueurs animation distincts du fichier audio ; sous-titre court si l’action porte une information.</x:v>
      </x:c>
      <x:c r="L13" s="9" t="str">
        <x:v>Animator actor.ini.jensen ; événements start/commit/recover ; annulation avant commit sans effet.</x:v>
      </x:c>
      <x:c r="M13" s="9" t="str">
        <x:v>Animation de blessure ou de décès uniquement si le contexte la justifie ; pas de mort libre d’un personnage établi.</x:v>
      </x:c>
      <x:c r="N13" s="9" t="str">
        <x:v>Une interruption avant commit ne dépense pas la ressource ; aucune pose résiduelle après changement de carte.</x:v>
      </x:c>
      <x:c r="O13" s="9" t="str">
        <x:v>INI-SPR-JENSEN</x:v>
      </x:c>
      <x:c r="P13" s="9" t="str"/>
      <x:c r="Q13" s="9" t="str"/>
      <x:c r="R13" s="9" t="str"/>
      <x:c r="S13" s="9" t="str"/>
    </x:row>
    <x:row r="14" ht="54" customHeight="1">
      <x:c r="A14" s="19" t="str">
        <x:v>INI-ANI-TSENG</x:v>
      </x:c>
      <x:c r="B14" s="7" t="str">
        <x:v>Dr Tseng — jeu de poses contextuelles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poses nécessaires à l’interaction « Valider un constat sans fournir une encyclopédie de l’expérience. ».</x:v>
      </x:c>
      <x:c r="G14" s="7" t="str">
        <x:v>Blocage animé de Dr Tseng : anticipation, action, récupération, retour au repos ; prévoir une interruption propre.</x:v>
      </x:c>
      <x:c r="H14" s="7" t="str">
        <x:v>Valider un constat sans fournir une encyclopédie de l’expérience. L’effet logique ne dépend jamais de la cadence du rendu.</x:v>
      </x:c>
      <x:c r="I14" s="7" t="str">
        <x:v>Conserver les repères de silhouette : Silhouette courbée, tenue de laboratoire simple, gestes économes.</x:v>
      </x:c>
      <x:c r="J14" s="7" t="str">
        <x:v>Repos, déplacement, interaction et réaction ; nombre d’images ajusté après essai sur écran ; ne pas ajouter une attaque aux personnages civils.</x:v>
      </x:c>
      <x:c r="K14" s="7" t="str">
        <x:v>Marqueurs animation distincts du fichier audio ; sous-titre court si l’action porte une information.</x:v>
      </x:c>
      <x:c r="L14" s="7" t="str">
        <x:v>Animator actor.ini.tseng ; événements start/commit/recover ; annulation avant commit sans effet.</x:v>
      </x:c>
      <x:c r="M14" s="7" t="str">
        <x:v>Animation de blessure ou de décès uniquement si le contexte la justifie ; pas de mort libre d’un personnage établi.</x:v>
      </x:c>
      <x:c r="N14" s="7" t="str">
        <x:v>Une interruption avant commit ne dépense pas la ressource ; aucune pose résiduelle après changement de carte.</x:v>
      </x:c>
      <x:c r="O14" s="7" t="str">
        <x:v>INI-SPR-TSENG</x:v>
      </x:c>
      <x:c r="P14" s="7" t="str"/>
      <x:c r="Q14" s="7" t="str"/>
      <x:c r="R14" s="7" t="str"/>
      <x:c r="S14" s="7" t="str"/>
    </x:row>
    <x:row r="15" ht="54" customHeight="1">
      <x:c r="A15" s="18" t="str">
        <x:v>INI-ANI-ABUBAKAR</x:v>
      </x:c>
      <x:c r="B15" s="9" t="str">
        <x:v>Abubakar — jeu de poses contextuelles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poses nécessaires à l’interaction « Organiser l’attente d’un groupe de blessés abstraitement. ».</x:v>
      </x:c>
      <x:c r="G15" s="9" t="str">
        <x:v>Blocage animé de Abubakar : anticipation, action, récupération, retour au repos ; prévoir une interruption propre.</x:v>
      </x:c>
      <x:c r="H15" s="9" t="str">
        <x:v>Organiser l’attente d’un groupe de blessés abstraitement. L’effet logique ne dépend jamais de la cadence du rendu.</x:v>
      </x:c>
      <x:c r="I15" s="9" t="str">
        <x:v>Conserver les repères de silhouette : Tenue médicale de terrain proposée, brassard de fonction original.</x:v>
      </x:c>
      <x:c r="J15" s="9" t="str">
        <x:v>Repos, déplacement, interaction et réaction ; nombre d’images ajusté après essai sur écran ; ne pas ajouter une attaque aux personnages civils.</x:v>
      </x:c>
      <x:c r="K15" s="9" t="str">
        <x:v>Marqueurs animation distincts du fichier audio ; sous-titre court si l’action porte une information.</x:v>
      </x:c>
      <x:c r="L15" s="9" t="str">
        <x:v>Animator actor.ini.abubakar ; événements start/commit/recover ; annulation avant commit sans effet.</x:v>
      </x:c>
      <x:c r="M15" s="9" t="str">
        <x:v>Animation de blessure ou de décès uniquement si le contexte la justifie ; pas de mort libre d’un personnage établi.</x:v>
      </x:c>
      <x:c r="N15" s="9" t="str">
        <x:v>Une interruption avant commit ne dépense pas la ressource ; aucune pose résiduelle après changement de carte.</x:v>
      </x:c>
      <x:c r="O15" s="9" t="str">
        <x:v>INI-SPR-ABUBAKAR</x:v>
      </x:c>
      <x:c r="P15" s="9" t="str"/>
      <x:c r="Q15" s="9" t="str"/>
      <x:c r="R15" s="9" t="str"/>
      <x:c r="S15" s="9" t="str"/>
    </x:row>
    <x:row r="16" ht="54" customHeight="1">
      <x:c r="A16" s="19" t="str">
        <x:v>INI-ANI-ZAHRA</x:v>
      </x:c>
      <x:c r="B16" s="7" t="str">
        <x:v>Zahra Said — jeu de poses contextuelles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poses nécessaires à l’interaction « Couvrir une porte pendant que les civils franchissent le passage. ».</x:v>
      </x:c>
      <x:c r="G16" s="7" t="str">
        <x:v>Blocage animé de Zahra Said : anticipation, action, récupération, retour au repos ; prévoir une interruption propre.</x:v>
      </x:c>
      <x:c r="H16" s="7" t="str">
        <x:v>Couvrir une porte pendant que les civils franchissent le passage. L’effet logique ne dépend jamais de la cadence du rendu.</x:v>
      </x:c>
      <x:c r="I16" s="7" t="str">
        <x:v>Conserver les repères de silhouette : Tenue de marine endommagée avec silhouette lisible dans la pénombre.</x:v>
      </x:c>
      <x:c r="J16" s="7" t="str">
        <x:v>Repos, déplacement, interaction et réaction ; nombre d’images ajusté après essai sur écran ; ne pas ajouter une attaque aux personnages civils.</x:v>
      </x:c>
      <x:c r="K16" s="7" t="str">
        <x:v>Marqueurs animation distincts du fichier audio ; sous-titre court si l’action porte une information.</x:v>
      </x:c>
      <x:c r="L16" s="7" t="str">
        <x:v>Animator actor.ini.zahra ; événements start/commit/recover ; annulation avant commit sans effet.</x:v>
      </x:c>
      <x:c r="M16" s="7" t="str">
        <x:v>Animation de blessure ou de décès uniquement si le contexte la justifie ; pas de mort libre d’un personnage établi.</x:v>
      </x:c>
      <x:c r="N16" s="7" t="str">
        <x:v>Une interruption avant commit ne dépense pas la ressource ; aucune pose résiduelle après changement de carte.</x:v>
      </x:c>
      <x:c r="O16" s="7" t="str">
        <x:v>INI-SPR-ZAHRA</x:v>
      </x:c>
      <x:c r="P16" s="7" t="str"/>
      <x:c r="Q16" s="7" t="str"/>
      <x:c r="R16" s="7" t="str"/>
      <x:c r="S16" s="7" t="str"/>
    </x:row>
  </x:sheetData>
  <x:conditionalFormatting sqref="D7:D16">
    <x:cfRule type="cellIs" dxfId="76" priority="1" operator="equal">
      <x:formula>"À vérifier"</x:formula>
    </x:cfRule>
    <x:cfRule type="cellIs" dxfId="77" priority="2" operator="equal">
      <x:formula>"Extrapolation"</x:formula>
    </x:cfRule>
  </x:conditionalFormatting>
  <x:conditionalFormatting sqref="C7:C16">
    <x:cfRule type="cellIs" dxfId="78" priority="3" operator="equal">
      <x:formula>"Validé"</x:formula>
    </x:cfRule>
  </x:conditionalFormatting>
  <x:conditionalFormatting sqref="E7:E16">
    <x:cfRule type="cellIs" dxfId="79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e678e6c9934851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Sprites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Livrables 2D, portraits et variantes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INI-SPR-CORA</x:v>
      </x:c>
      <x:c r="B7" s="9" t="str">
        <x:v>Cora Harper — planche sprite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proposée : représentation 2D de Cora Harper pour ce module.</x:v>
      </x:c>
      <x:c r="G7" s="9" t="str">
        <x:v>Armure humaine et maintien de commando ; coiffure et accessoires à vérifier pour cette période. Préparer silhouette entière, portrait de dialogue et masque de sélection.</x:v>
      </x:c>
      <x:c r="H7" s="9" t="str">
        <x:v>La zone interactive reste stable entre les poses ; la tenue ne confère aucun bonus implicite.</x:v>
      </x:c>
      <x:c r="I7" s="9" t="str">
        <x:v>Armure humaine et maintien de commando ; coiffure et accessoires à vérifier pour cette période. Palette proposée à valider ; comparaison en miniature et sur le décor le plus sombre.</x:v>
      </x:c>
      <x:c r="J7" s="9" t="str">
        <x:v>Vue de trois quarts ; pivots dans huit directions proposées ; symétrie interdite si elle inverse un accessoire identifiable.</x:v>
      </x:c>
      <x:c r="K7" s="9" t="str">
        <x:v>Aucun échantillon du jeu ou du film ; le changement de sélection utilise le son UI du module.</x:v>
      </x:c>
      <x:c r="L7" s="9" t="str">
        <x:v>Prévoir assets/ini/actors/cora/atlas.png + atlas.json, pivot aux pieds.</x:v>
      </x:c>
      <x:c r="M7" s="9" t="str">
        <x:v>Visible uniquement quand Cora Harper est autorisé par l’état narratif.</x:v>
      </x:c>
      <x:c r="N7" s="9" t="str">
        <x:v>Silhouette reconnue sans nom ; pieds sans glissement ; portrait et sprite cohérents à échelle réelle.</x:v>
      </x:c>
      <x:c r="O7" s="9" t="str">
        <x:v>INI-CHR-CORA</x:v>
      </x:c>
      <x:c r="P7" s="9" t="str"/>
      <x:c r="Q7" s="9" t="str"/>
      <x:c r="R7" s="9" t="str"/>
      <x:c r="S7" s="9" t="str"/>
    </x:row>
    <x:row r="8" ht="54" customHeight="1">
      <x:c r="A8" s="19" t="str">
        <x:v>INI-SPR-SAME</x:v>
      </x:c>
      <x:c r="B8" s="7" t="str">
        <x:v>SAM-E — planche sprite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proposée : représentation 2D de SAM-E pour ce module.</x:v>
      </x:c>
      <x:c r="G8" s="7" t="str">
        <x:v>Créer un ensemble d’éléments d’interface pour SAM-E : état silencieux, analyse, proposition et interruption. Aucun corps physique ni avatar officiel n’est supposé.</x:v>
      </x:c>
      <x:c r="H8" s="7" t="str">
        <x:v>La zone interactive reste stable entre les poses ; la tenue ne confère aucun bonus implicite.</x:v>
      </x:c>
      <x:c r="I8" s="7" t="str">
        <x:v>Glyphes originaux, encart textuel de provenance et états lisibles en monochrome ; ne pas attribuer une couleur exclusive à la vérité ou au mensonge.</x:v>
      </x:c>
      <x:c r="J8" s="7" t="str">
        <x:v>Transitions d’opacité et de tracé, désactivables ; aucune locomotion, hitbox corporelle ou direction de marche.</x:v>
      </x:c>
      <x:c r="K8" s="7" t="str">
        <x:v>Aucun échantillon du jeu ou du film ; le changement de sélection utilise le son UI du module.</x:v>
      </x:c>
      <x:c r="L8" s="7" t="str">
        <x:v>assets/ini/interfaces/same/ ; atlas de symboles et portrait abstrait facultatif, sans pivot aux pieds.</x:v>
      </x:c>
      <x:c r="M8" s="7" t="str">
        <x:v>Visible uniquement quand SAM-E est autorisé par l’état narratif.</x:v>
      </x:c>
      <x:c r="N8" s="7" t="str">
        <x:v>Tous les états sont identifiés par texte ; mode sans animation conserve les mêmes informations ; aucun acteur physique n’apparaît sur la carte.</x:v>
      </x:c>
      <x:c r="O8" s="7" t="str">
        <x:v>INI-CHR-SAME</x:v>
      </x:c>
      <x:c r="P8" s="7" t="str"/>
      <x:c r="Q8" s="7" t="str"/>
      <x:c r="R8" s="7" t="str"/>
      <x:c r="S8" s="7" t="str"/>
    </x:row>
    <x:row r="9" ht="68" customHeight="1">
      <x:c r="A9" s="18" t="str">
        <x:v>INI-SPR-ALEC</x:v>
      </x:c>
      <x:c r="B9" s="9" t="str">
        <x:v>Alec Ryder — planche sprite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proposée : représentation 2D de Alec Ryder pour ce module.</x:v>
      </x:c>
      <x:c r="G9" s="9" t="str">
        <x:v>Officier expérimenté, silhouette d’armure de période et version en hologramme. Préparer silhouette entière, portrait de dialogue et masque de sélection.</x:v>
      </x:c>
      <x:c r="H9" s="9" t="str">
        <x:v>La zone interactive reste stable entre les poses ; la tenue ne confère aucun bonus implicite.</x:v>
      </x:c>
      <x:c r="I9" s="9" t="str">
        <x:v>Officier expérimenté, silhouette d’armure de période et version en hologramme. Palette proposée à valider ; comparaison en miniature et sur le décor le plus sombre.</x:v>
      </x:c>
      <x:c r="J9" s="9" t="str">
        <x:v>Vue de trois quarts ; pivots dans huit directions proposées ; symétrie interdite si elle inverse un accessoire identifiable.</x:v>
      </x:c>
      <x:c r="K9" s="9" t="str">
        <x:v>Aucun échantillon du jeu ou du film ; le changement de sélection utilise le son UI du module.</x:v>
      </x:c>
      <x:c r="L9" s="9" t="str">
        <x:v>Prévoir assets/ini/actors/alec/atlas.png + atlas.json, pivot aux pieds.</x:v>
      </x:c>
      <x:c r="M9" s="9" t="str">
        <x:v>Visible uniquement quand Alec Ryder est autorisé par l’état narratif.</x:v>
      </x:c>
      <x:c r="N9" s="9" t="str">
        <x:v>Silhouette reconnue sans nom ; pieds sans glissement ; portrait et sprite cohérents à échelle réelle.</x:v>
      </x:c>
      <x:c r="O9" s="9" t="str">
        <x:v>INI-CHR-ALEC</x:v>
      </x:c>
      <x:c r="P9" s="9" t="str"/>
      <x:c r="Q9" s="9" t="str"/>
      <x:c r="R9" s="9" t="str"/>
      <x:c r="S9" s="9" t="str"/>
    </x:row>
    <x:row r="10" ht="68" customHeight="1">
      <x:c r="A10" s="19" t="str">
        <x:v>INI-SPR-YGARA</x:v>
      </x:c>
      <x:c r="B10" s="7" t="str">
        <x:v>Ygara Menoris — planche sprite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proposée : représentation 2D de Ygara Menoris pour ce module.</x:v>
      </x:c>
      <x:c r="G10" s="7" t="str">
        <x:v>Tenue de terrain asari proposée, silhouette autonome distincte de Cora. Préparer silhouette entière, portrait de dialogue et masque de sélection.</x:v>
      </x:c>
      <x:c r="H10" s="7" t="str">
        <x:v>La zone interactive reste stable entre les poses ; la tenue ne confère aucun bonus implicite.</x:v>
      </x:c>
      <x:c r="I10" s="7" t="str">
        <x:v>Tenue de terrain asari proposée, silhouette autonome distincte de Cora. Palette proposée à valider ; comparaison en miniature et sur le décor le plus sombre.</x:v>
      </x:c>
      <x:c r="J10" s="7" t="str">
        <x:v>Vue de trois quarts ; pivots dans huit directions proposées ; symétrie interdite si elle inverse un accessoire identifiable.</x:v>
      </x:c>
      <x:c r="K10" s="7" t="str">
        <x:v>Aucun échantillon du jeu ou du film ; le changement de sélection utilise le son UI du module.</x:v>
      </x:c>
      <x:c r="L10" s="7" t="str">
        <x:v>Prévoir assets/ini/actors/ygara/atlas.png + atlas.json, pivot aux pieds.</x:v>
      </x:c>
      <x:c r="M10" s="7" t="str">
        <x:v>Visible uniquement quand Ygara Menoris est autorisé par l’état narratif.</x:v>
      </x:c>
      <x:c r="N10" s="7" t="str">
        <x:v>Silhouette reconnue sans nom ; pieds sans glissement ; portrait et sprite cohérents à échelle réelle.</x:v>
      </x:c>
      <x:c r="O10" s="7" t="str">
        <x:v>INI-CHR-YGARA</x:v>
      </x:c>
      <x:c r="P10" s="7" t="str"/>
      <x:c r="Q10" s="7" t="str"/>
      <x:c r="R10" s="7" t="str"/>
      <x:c r="S10" s="7" t="str"/>
    </x:row>
    <x:row r="11" ht="54" customHeight="1">
      <x:c r="A11" s="18" t="str">
        <x:v>INI-SPR-MEDEA</x:v>
      </x:c>
      <x:c r="B11" s="9" t="str">
        <x:v>Medea — planche sprite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proposée : représentation 2D de Medea pour ce module.</x:v>
      </x:c>
      <x:c r="G11" s="9" t="str">
        <x:v>Créer un ensemble d’éléments d’interface pour Medea : état silencieux, analyse, proposition et interruption. Aucun corps physique ni avatar officiel n’est supposé.</x:v>
      </x:c>
      <x:c r="H11" s="9" t="str">
        <x:v>La zone interactive reste stable entre les poses ; la tenue ne confère aucun bonus implicite.</x:v>
      </x:c>
      <x:c r="I11" s="9" t="str">
        <x:v>Glyphes originaux, encart textuel de provenance et états lisibles en monochrome ; ne pas attribuer une couleur exclusive à la vérité ou au mensonge.</x:v>
      </x:c>
      <x:c r="J11" s="9" t="str">
        <x:v>Transitions d’opacité et de tracé, désactivables ; aucune locomotion, hitbox corporelle ou direction de marche.</x:v>
      </x:c>
      <x:c r="K11" s="9" t="str">
        <x:v>Aucun échantillon du jeu ou du film ; le changement de sélection utilise le son UI du module.</x:v>
      </x:c>
      <x:c r="L11" s="9" t="str">
        <x:v>assets/ini/interfaces/medea/ ; atlas de symboles et portrait abstrait facultatif, sans pivot aux pieds.</x:v>
      </x:c>
      <x:c r="M11" s="9" t="str">
        <x:v>Visible uniquement quand Medea est autorisé par l’état narratif.</x:v>
      </x:c>
      <x:c r="N11" s="9" t="str">
        <x:v>Tous les états sont identifiés par texte ; mode sans animation conserve les mêmes informations ; aucun acteur physique n’apparaît sur la carte.</x:v>
      </x:c>
      <x:c r="O11" s="9" t="str">
        <x:v>INI-CHR-MEDEA</x:v>
      </x:c>
      <x:c r="P11" s="9" t="str"/>
      <x:c r="Q11" s="9" t="str"/>
      <x:c r="R11" s="9" t="str"/>
      <x:c r="S11" s="9" t="str"/>
    </x:row>
    <x:row r="12" ht="68" customHeight="1">
      <x:c r="A12" s="19" t="str">
        <x:v>INI-SPR-VLASSIA</x:v>
      </x:c>
      <x:c r="B12" s="7" t="str">
        <x:v>Vlassia Ariokis — planche sprite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Création proposée : représentation 2D de Vlassia Ariokis pour ce module.</x:v>
      </x:c>
      <x:c r="G12" s="7" t="str">
        <x:v>Tenue d’opération discrète à contrôler ; éviter les insignes inventés. Préparer silhouette entière, portrait de dialogue et masque de sélection.</x:v>
      </x:c>
      <x:c r="H12" s="7" t="str">
        <x:v>La zone interactive reste stable entre les poses ; la tenue ne confère aucun bonus implicite.</x:v>
      </x:c>
      <x:c r="I12" s="7" t="str">
        <x:v>Tenue d’opération discrète à contrôler ; éviter les insignes inventés. Palette proposée à valider ; comparaison en miniature et sur le décor le plus sombre.</x:v>
      </x:c>
      <x:c r="J12" s="7" t="str">
        <x:v>Vue de trois quarts ; pivots dans huit directions proposées ; symétrie interdite si elle inverse un accessoire identifiable.</x:v>
      </x:c>
      <x:c r="K12" s="7" t="str">
        <x:v>Aucun échantillon du jeu ou du film ; le changement de sélection utilise le son UI du module.</x:v>
      </x:c>
      <x:c r="L12" s="7" t="str">
        <x:v>Prévoir assets/ini/actors/vlassia/atlas.png + atlas.json, pivot aux pieds.</x:v>
      </x:c>
      <x:c r="M12" s="7" t="str">
        <x:v>Visible uniquement quand Vlassia Ariokis est autorisé par l’état narratif.</x:v>
      </x:c>
      <x:c r="N12" s="7" t="str">
        <x:v>Silhouette reconnue sans nom ; pieds sans glissement ; portrait et sprite cohérents à échelle réelle.</x:v>
      </x:c>
      <x:c r="O12" s="7" t="str">
        <x:v>INI-CHR-VLASSIA</x:v>
      </x:c>
      <x:c r="P12" s="7" t="str"/>
      <x:c r="Q12" s="7" t="str"/>
      <x:c r="R12" s="7" t="str"/>
      <x:c r="S12" s="7" t="str"/>
    </x:row>
    <x:row r="13" ht="68" customHeight="1">
      <x:c r="A13" s="18" t="str">
        <x:v>INI-SPR-JENSEN</x:v>
      </x:c>
      <x:c r="B13" s="9" t="str">
        <x:v>Rebecca Jensen — planche sprite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Création proposée : représentation 2D de Rebecca Jensen pour ce module.</x:v>
      </x:c>
      <x:c r="G13" s="9" t="str">
        <x:v>Petite stature, coiffure et tenue scientifique à confirmer visuellement. Préparer silhouette entière, portrait de dialogue et masque de sélection.</x:v>
      </x:c>
      <x:c r="H13" s="9" t="str">
        <x:v>La zone interactive reste stable entre les poses ; la tenue ne confère aucun bonus implicite.</x:v>
      </x:c>
      <x:c r="I13" s="9" t="str">
        <x:v>Petite stature, coiffure et tenue scientifique à confirmer visuellement. Palette proposée à valider ; comparaison en miniature et sur le décor le plus sombre.</x:v>
      </x:c>
      <x:c r="J13" s="9" t="str">
        <x:v>Vue de trois quarts ; pivots dans huit directions proposées ; symétrie interdite si elle inverse un accessoire identifiable.</x:v>
      </x:c>
      <x:c r="K13" s="9" t="str">
        <x:v>Aucun échantillon du jeu ou du film ; le changement de sélection utilise le son UI du module.</x:v>
      </x:c>
      <x:c r="L13" s="9" t="str">
        <x:v>Prévoir assets/ini/actors/jensen/atlas.png + atlas.json, pivot aux pieds.</x:v>
      </x:c>
      <x:c r="M13" s="9" t="str">
        <x:v>Visible uniquement quand Rebecca Jensen est autorisé par l’état narratif.</x:v>
      </x:c>
      <x:c r="N13" s="9" t="str">
        <x:v>Silhouette reconnue sans nom ; pieds sans glissement ; portrait et sprite cohérents à échelle réelle.</x:v>
      </x:c>
      <x:c r="O13" s="9" t="str">
        <x:v>INI-CHR-JENSEN</x:v>
      </x:c>
      <x:c r="P13" s="9" t="str"/>
      <x:c r="Q13" s="9" t="str"/>
      <x:c r="R13" s="9" t="str"/>
      <x:c r="S13" s="9" t="str"/>
    </x:row>
    <x:row r="14" ht="68" customHeight="1">
      <x:c r="A14" s="19" t="str">
        <x:v>INI-SPR-TSENG</x:v>
      </x:c>
      <x:c r="B14" s="7" t="str">
        <x:v>Dr Tseng — planche sprite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Création proposée : représentation 2D de Dr Tseng pour ce module.</x:v>
      </x:c>
      <x:c r="G14" s="7" t="str">
        <x:v>Silhouette courbée, tenue de laboratoire simple, gestes économes. Préparer silhouette entière, portrait de dialogue et masque de sélection.</x:v>
      </x:c>
      <x:c r="H14" s="7" t="str">
        <x:v>La zone interactive reste stable entre les poses ; la tenue ne confère aucun bonus implicite.</x:v>
      </x:c>
      <x:c r="I14" s="7" t="str">
        <x:v>Silhouette courbée, tenue de laboratoire simple, gestes économes. Palette proposée à valider ; comparaison en miniature et sur le décor le plus sombre.</x:v>
      </x:c>
      <x:c r="J14" s="7" t="str">
        <x:v>Vue de trois quarts ; pivots dans huit directions proposées ; symétrie interdite si elle inverse un accessoire identifiable.</x:v>
      </x:c>
      <x:c r="K14" s="7" t="str">
        <x:v>Aucun échantillon du jeu ou du film ; le changement de sélection utilise le son UI du module.</x:v>
      </x:c>
      <x:c r="L14" s="7" t="str">
        <x:v>Prévoir assets/ini/actors/tseng/atlas.png + atlas.json, pivot aux pieds.</x:v>
      </x:c>
      <x:c r="M14" s="7" t="str">
        <x:v>Visible uniquement quand Dr Tseng est autorisé par l’état narratif.</x:v>
      </x:c>
      <x:c r="N14" s="7" t="str">
        <x:v>Silhouette reconnue sans nom ; pieds sans glissement ; portrait et sprite cohérents à échelle réelle.</x:v>
      </x:c>
      <x:c r="O14" s="7" t="str">
        <x:v>INI-CHR-TSENG</x:v>
      </x:c>
      <x:c r="P14" s="7" t="str"/>
      <x:c r="Q14" s="7" t="str"/>
      <x:c r="R14" s="7" t="str"/>
      <x:c r="S14" s="7" t="str"/>
    </x:row>
    <x:row r="15" ht="68" customHeight="1">
      <x:c r="A15" s="18" t="str">
        <x:v>INI-SPR-ABUBAKAR</x:v>
      </x:c>
      <x:c r="B15" s="9" t="str">
        <x:v>Abubakar — planche sprite</x:v>
      </x:c>
      <x:c r="C15" s="15" t="str">
        <x:v>Défini</x:v>
      </x:c>
      <x:c r="D15" s="16" t="str">
        <x:v>Extrapolation</x:v>
      </x:c>
      <x:c r="E15" s="16" t="str">
        <x:v>P1</x:v>
      </x:c>
      <x:c r="F15" s="9" t="str">
        <x:v>Création proposée : représentation 2D de Abubakar pour ce module.</x:v>
      </x:c>
      <x:c r="G15" s="9" t="str">
        <x:v>Tenue médicale de terrain proposée, brassard de fonction original. Préparer silhouette entière, portrait de dialogue et masque de sélection.</x:v>
      </x:c>
      <x:c r="H15" s="9" t="str">
        <x:v>La zone interactive reste stable entre les poses ; la tenue ne confère aucun bonus implicite.</x:v>
      </x:c>
      <x:c r="I15" s="9" t="str">
        <x:v>Tenue médicale de terrain proposée, brassard de fonction original. Palette proposée à valider ; comparaison en miniature et sur le décor le plus sombre.</x:v>
      </x:c>
      <x:c r="J15" s="9" t="str">
        <x:v>Vue de trois quarts ; pivots dans huit directions proposées ; symétrie interdite si elle inverse un accessoire identifiable.</x:v>
      </x:c>
      <x:c r="K15" s="9" t="str">
        <x:v>Aucun échantillon du jeu ou du film ; le changement de sélection utilise le son UI du module.</x:v>
      </x:c>
      <x:c r="L15" s="9" t="str">
        <x:v>Prévoir assets/ini/actors/abubakar/atlas.png + atlas.json, pivot aux pieds.</x:v>
      </x:c>
      <x:c r="M15" s="9" t="str">
        <x:v>Visible uniquement quand Abubakar est autorisé par l’état narratif.</x:v>
      </x:c>
      <x:c r="N15" s="9" t="str">
        <x:v>Silhouette reconnue sans nom ; pieds sans glissement ; portrait et sprite cohérents à échelle réelle.</x:v>
      </x:c>
      <x:c r="O15" s="9" t="str">
        <x:v>INI-CHR-ABUBAKAR</x:v>
      </x:c>
      <x:c r="P15" s="9" t="str"/>
      <x:c r="Q15" s="9" t="str"/>
      <x:c r="R15" s="9" t="str"/>
      <x:c r="S15" s="9" t="str"/>
    </x:row>
    <x:row r="16" ht="68" customHeight="1">
      <x:c r="A16" s="19" t="str">
        <x:v>INI-SPR-ZAHRA</x:v>
      </x:c>
      <x:c r="B16" s="7" t="str">
        <x:v>Zahra Said — planche sprite</x:v>
      </x:c>
      <x:c r="C16" s="15" t="str">
        <x:v>Défini</x:v>
      </x:c>
      <x:c r="D16" s="17" t="str">
        <x:v>Extrapolation</x:v>
      </x:c>
      <x:c r="E16" s="17" t="str">
        <x:v>P1</x:v>
      </x:c>
      <x:c r="F16" s="7" t="str">
        <x:v>Création proposée : représentation 2D de Zahra Said pour ce module.</x:v>
      </x:c>
      <x:c r="G16" s="7" t="str">
        <x:v>Tenue de marine endommagée avec silhouette lisible dans la pénombre. Préparer silhouette entière, portrait de dialogue et masque de sélection.</x:v>
      </x:c>
      <x:c r="H16" s="7" t="str">
        <x:v>La zone interactive reste stable entre les poses ; la tenue ne confère aucun bonus implicite.</x:v>
      </x:c>
      <x:c r="I16" s="7" t="str">
        <x:v>Tenue de marine endommagée avec silhouette lisible dans la pénombre. Palette proposée à valider ; comparaison en miniature et sur le décor le plus sombre.</x:v>
      </x:c>
      <x:c r="J16" s="7" t="str">
        <x:v>Vue de trois quarts ; pivots dans huit directions proposées ; symétrie interdite si elle inverse un accessoire identifiable.</x:v>
      </x:c>
      <x:c r="K16" s="7" t="str">
        <x:v>Aucun échantillon du jeu ou du film ; le changement de sélection utilise le son UI du module.</x:v>
      </x:c>
      <x:c r="L16" s="7" t="str">
        <x:v>Prévoir assets/ini/actors/zahra/atlas.png + atlas.json, pivot aux pieds.</x:v>
      </x:c>
      <x:c r="M16" s="7" t="str">
        <x:v>Visible uniquement quand Zahra Said est autorisé par l’état narratif.</x:v>
      </x:c>
      <x:c r="N16" s="7" t="str">
        <x:v>Silhouette reconnue sans nom ; pieds sans glissement ; portrait et sprite cohérents à échelle réelle.</x:v>
      </x:c>
      <x:c r="O16" s="7" t="str">
        <x:v>INI-CHR-ZAHRA</x:v>
      </x:c>
      <x:c r="P16" s="7" t="str"/>
      <x:c r="Q16" s="7" t="str"/>
      <x:c r="R16" s="7" t="str"/>
      <x:c r="S16" s="7" t="str"/>
    </x:row>
  </x:sheetData>
  <x:conditionalFormatting sqref="D7:D16">
    <x:cfRule type="cellIs" dxfId="80" priority="1" operator="equal">
      <x:formula>"À vérifier"</x:formula>
    </x:cfRule>
    <x:cfRule type="cellIs" dxfId="81" priority="2" operator="equal">
      <x:formula>"Extrapolation"</x:formula>
    </x:cfRule>
  </x:conditionalFormatting>
  <x:conditionalFormatting sqref="C7:C16">
    <x:cfRule type="cellIs" dxfId="82" priority="3" operator="equal">
      <x:formula>"Validé"</x:formula>
    </x:cfRule>
  </x:conditionalFormatting>
  <x:conditionalFormatting sqref="E7:E16">
    <x:cfRule type="cellIs" dxfId="83" priority="4" operator="equal">
      <x:formula>"P0"</x:formula>
    </x:cfRule>
  </x:conditionalFormatting>
  <x:dataValidations count="3">
    <x:dataValidation type="list" sqref="C7:C16">
      <x:formula1>"Défini,Prototype,Intégré,Validé"</x:formula1>
    </x:dataValidation>
    <x:dataValidation type="list" sqref="D7:D16">
      <x:formula1>"Établi,À vérifier,Extrapolation,Coupé attesté,Concept abandonné,Allégation écartée"</x:formula1>
    </x:dataValidation>
    <x:dataValidation type="list" sqref="E7:E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8650ba51e94c90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VFX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Effets visuels et lisibilité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INI-VFX-MERC</x:v>
      </x:c>
      <x:c r="B7" s="9" t="str">
        <x:v>Équipe mercenaire proposée — effet lisible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Effet original de prévision et de résultat pour la rencontre.</x:v>
      </x:c>
      <x:c r="G7" s="9" t="str">
        <x:v>Cône de surveillance et témoin de serrure.</x:v>
      </x:c>
      <x:c r="H7" s="9" t="str">
        <x:v>Aire de prévision égale à l’aire logique ; masque de cible conservé en daltonisme.</x:v>
      </x:c>
      <x:c r="I7" s="9" t="str">
        <x:v>Cône de surveillance et témoin de serrure. Limiter les flashes ; option intensité réduite conservant contours et pictogrammes.</x:v>
      </x:c>
      <x:c r="J7" s="9" t="str">
        <x:v>Apparition, maintien, résolution et extinction distinctes ; pas de particule persistante après sortie de carte.</x:v>
      </x:c>
      <x:c r="K7" s="9" t="str">
        <x:v>Un son par engagement ; pas d’empilement de boucles sur recharge de sauvegarde.</x:v>
      </x:c>
      <x:c r="L7" s="9" t="str">
        <x:v>fx/ini/merc ; pool local nettoyé au changement de scène.</x:v>
      </x:c>
      <x:c r="M7" s="9" t="str">
        <x:v>Effet lié au comportement, jamais déclenché par une animation décorative.</x:v>
      </x:c>
      <x:c r="N7" s="9" t="str">
        <x:v>Aucune cible hors aire n’est affectée ; mode réduit conserve la compréhension.</x:v>
      </x:c>
      <x:c r="O7" s="9" t="str">
        <x:v>INI-EMV-MERC</x:v>
      </x:c>
      <x:c r="P7" s="9" t="str"/>
      <x:c r="Q7" s="9" t="str"/>
      <x:c r="R7" s="9" t="str"/>
      <x:c r="S7" s="9" t="str"/>
    </x:row>
    <x:row r="8" ht="54" customHeight="1">
      <x:c r="A8" s="19" t="str">
        <x:v>INI-VFX-AUGMENT</x:v>
      </x:c>
      <x:c r="B8" s="7" t="str">
        <x:v>Augment de couloir proposé — effet lisible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Effet original de prévision et de résultat pour la rencontre.</x:v>
      </x:c>
      <x:c r="G8" s="7" t="str">
        <x:v>Posture tassée et ligne au sol avant départ.</x:v>
      </x:c>
      <x:c r="H8" s="7" t="str">
        <x:v>Aire de prévision égale à l’aire logique ; masque de cible conservé en daltonisme.</x:v>
      </x:c>
      <x:c r="I8" s="7" t="str">
        <x:v>Posture tassée et ligne au sol avant départ. Limiter les flashes ; option intensité réduite conservant contours et pictogrammes.</x:v>
      </x:c>
      <x:c r="J8" s="7" t="str">
        <x:v>Apparition, maintien, résolution et extinction distinctes ; pas de particule persistante après sortie de carte.</x:v>
      </x:c>
      <x:c r="K8" s="7" t="str">
        <x:v>Un son par engagement ; pas d’empilement de boucles sur recharge de sauvegarde.</x:v>
      </x:c>
      <x:c r="L8" s="7" t="str">
        <x:v>fx/ini/augment ; pool local nettoyé au changement de scène.</x:v>
      </x:c>
      <x:c r="M8" s="7" t="str">
        <x:v>Effet lié au comportement, jamais déclenché par une animation décorative.</x:v>
      </x:c>
      <x:c r="N8" s="7" t="str">
        <x:v>Aucune cible hors aire n’est affectée ; mode réduit conserve la compréhension.</x:v>
      </x:c>
      <x:c r="O8" s="7" t="str">
        <x:v>INI-EMV-AUGMENT</x:v>
      </x:c>
      <x:c r="P8" s="7" t="str"/>
      <x:c r="Q8" s="7" t="str"/>
      <x:c r="R8" s="7" t="str"/>
      <x:c r="S8" s="7" t="str"/>
    </x:row>
    <x:row r="9" ht="54" customHeight="1">
      <x:c r="A9" s="18" t="str">
        <x:v>INI-VFX-MEDEA</x:v>
      </x:c>
      <x:c r="B9" s="9" t="str">
        <x:v>Medea — crise d’accès proposée — effet lisible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Effet original de prévision et de résultat pour la rencontre.</x:v>
      </x:c>
      <x:c r="G9" s="9" t="str">
        <x:v>Incohérence entre état de porte et panneau.</x:v>
      </x:c>
      <x:c r="H9" s="9" t="str">
        <x:v>Aire de prévision égale à l’aire logique ; masque de cible conservé en daltonisme.</x:v>
      </x:c>
      <x:c r="I9" s="9" t="str">
        <x:v>Incohérence entre état de porte et panneau. Limiter les flashes ; option intensité réduite conservant contours et pictogrammes.</x:v>
      </x:c>
      <x:c r="J9" s="9" t="str">
        <x:v>Apparition, maintien, résolution et extinction distinctes ; pas de particule persistante après sortie de carte.</x:v>
      </x:c>
      <x:c r="K9" s="9" t="str">
        <x:v>Un son par engagement ; pas d’empilement de boucles sur recharge de sauvegarde.</x:v>
      </x:c>
      <x:c r="L9" s="9" t="str">
        <x:v>fx/ini/medea ; pool local nettoyé au changement de scène.</x:v>
      </x:c>
      <x:c r="M9" s="9" t="str">
        <x:v>Effet lié au comportement, jamais déclenché par une animation décorative.</x:v>
      </x:c>
      <x:c r="N9" s="9" t="str">
        <x:v>Aucune cible hors aire n’est affectée ; mode réduit conserve la compréhension.</x:v>
      </x:c>
      <x:c r="O9" s="9" t="str">
        <x:v>INI-EMV-MEDEA</x:v>
      </x:c>
      <x:c r="P9" s="9" t="str"/>
      <x:c r="Q9" s="9" t="str"/>
      <x:c r="R9" s="9" t="str"/>
      <x:c r="S9" s="9" t="str"/>
    </x:row>
    <x:row r="10" ht="54" customHeight="1">
      <x:c r="A10" s="19" t="str">
        <x:v>INI-VFX-OVERLOAD</x:v>
      </x:c>
      <x:c r="B10" s="7" t="str">
        <x:v>Seuil de fatigue proposé — effet lisible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Effet original de prévision et de résultat pour la rencontre.</x:v>
      </x:c>
      <x:c r="G10" s="7" t="str">
        <x:v>Avertissement textuel, baisse de saturation désactivable.</x:v>
      </x:c>
      <x:c r="H10" s="7" t="str">
        <x:v>Aire de prévision égale à l’aire logique ; masque de cible conservé en daltonisme.</x:v>
      </x:c>
      <x:c r="I10" s="7" t="str">
        <x:v>Avertissement textuel, baisse de saturation désactivable. Limiter les flashes ; option intensité réduite conservant contours et pictogrammes.</x:v>
      </x:c>
      <x:c r="J10" s="7" t="str">
        <x:v>Apparition, maintien, résolution et extinction distinctes ; pas de particule persistante après sortie de carte.</x:v>
      </x:c>
      <x:c r="K10" s="7" t="str">
        <x:v>Un son par engagement ; pas d’empilement de boucles sur recharge de sauvegarde.</x:v>
      </x:c>
      <x:c r="L10" s="7" t="str">
        <x:v>fx/ini/overload ; pool local nettoyé au changement de scène.</x:v>
      </x:c>
      <x:c r="M10" s="7" t="str">
        <x:v>Effet lié au comportement, jamais déclenché par une animation décorative.</x:v>
      </x:c>
      <x:c r="N10" s="7" t="str">
        <x:v>Aucune cible hors aire n’est affectée ; mode réduit conserve la compréhension.</x:v>
      </x:c>
      <x:c r="O10" s="7" t="str">
        <x:v>INI-EMV-OVERLOAD</x:v>
      </x:c>
      <x:c r="P10" s="7" t="str"/>
      <x:c r="Q10" s="7" t="str"/>
      <x:c r="R10" s="7" t="str"/>
      <x:c r="S10" s="7" t="str"/>
    </x:row>
  </x:sheetData>
  <x:conditionalFormatting sqref="D7:D10">
    <x:cfRule type="cellIs" dxfId="84" priority="1" operator="equal">
      <x:formula>"À vérifier"</x:formula>
    </x:cfRule>
    <x:cfRule type="cellIs" dxfId="85" priority="2" operator="equal">
      <x:formula>"Extrapolation"</x:formula>
    </x:cfRule>
  </x:conditionalFormatting>
  <x:conditionalFormatting sqref="C7:C10">
    <x:cfRule type="cellIs" dxfId="86" priority="3" operator="equal">
      <x:formula>"Validé"</x:formula>
    </x:cfRule>
  </x:conditionalFormatting>
  <x:conditionalFormatting sqref="E7:E10">
    <x:cfRule type="cellIs" dxfId="87" priority="4" operator="equal">
      <x:formula>"P0"</x:formula>
    </x:cfRule>
  </x:conditionalFormatting>
  <x:dataValidations count="3">
    <x:dataValidation type="list" sqref="C7:C10">
      <x:formula1>"Défini,Prototype,Intégré,Validé"</x:formula1>
    </x:dataValidation>
    <x:dataValidation type="list" sqref="D7:D10">
      <x:formula1>"Établi,À vérifier,Extrapolation,Coupé attesté,Concept abandonné,Allégation écartée"</x:formula1>
    </x:dataValidation>
    <x:dataValidation type="list" sqref="E7:E1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bf6ff11e646a5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Ambiances, effets et musique originale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82" customHeight="1">
      <x:c r="A7" s="18" t="str">
        <x:v>INI-AUD-01</x:v>
      </x:c>
      <x:c r="B7" s="9" t="str">
        <x:v>Voix d’assistance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Création sonore originale pour le fan game.</x:v>
      </x:c>
      <x:c r="G7" s="9" t="str">
        <x:v>Voix originale éventuelle avec débit ajustable ; réponses brèves en action, détails dans le journal.</x:v>
      </x:c>
      <x:c r="H7" s="9" t="str">
        <x:v>Déclenchement à l’événement logique ; priorité à la compréhension des commandes du groupe.</x:v>
      </x:c>
      <x:c r="I7" s="9" t="str">
        <x:v>Sous-titre d’ambiance facultatif ; pictogramme si le son fournit une alerte.</x:v>
      </x:c>
      <x:c r="J7" s="9" t="str">
        <x:v>Points de synchro notés dans la fiche animation concernée ; aucune dépendance à la vitesse de lecture.</x:v>
      </x:c>
      <x:c r="K7" s="9" t="str">
        <x:v>Voix originale éventuelle avec débit ajustable ; réponses brèves en action, détails dans le journal. Musique, bruitages et éventuelles voix à produire sans extraire les enregistrements officiels.</x:v>
      </x:c>
      <x:c r="L7" s="9" t="str">
        <x:v>audio/ini/voix-dassistance.ogg ; bus ambiance/musique/interface séparés.</x:v>
      </x:c>
      <x:c r="M7" s="9" t="str">
        <x:v>La source narrative inspire l’intention, pas une mélodie ou un enregistrement à copier.</x:v>
      </x:c>
      <x:c r="N7" s="9" t="str">
        <x:v>Boucle sans clic ; transitions propres ; information compréhensible volume coupé.</x:v>
      </x:c>
      <x:c r="O7" s="9" t="str"/>
      <x:c r="P7" s="9" t="str"/>
      <x:c r="Q7" s="9" t="str"/>
      <x:c r="R7" s="9" t="str"/>
      <x:c r="S7" s="9" t="str"/>
    </x:row>
    <x:row r="8" ht="68" customHeight="1">
      <x:c r="A8" s="19" t="str">
        <x:v>INI-AUD-02</x:v>
      </x:c>
      <x:c r="B8" s="7" t="str">
        <x:v>Station commerciale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Création sonore originale pour le fan game.</x:v>
      </x:c>
      <x:c r="G8" s="7" t="str">
        <x:v>Ambiance régulière sous une couche de sécurité discrète.</x:v>
      </x:c>
      <x:c r="H8" s="7" t="str">
        <x:v>Déclenchement à l’événement logique ; priorité à la compréhension des commandes du groupe.</x:v>
      </x:c>
      <x:c r="I8" s="7" t="str">
        <x:v>Sous-titre d’ambiance facultatif ; pictogramme si le son fournit une alerte.</x:v>
      </x:c>
      <x:c r="J8" s="7" t="str">
        <x:v>Points de synchro notés dans la fiche animation concernée ; aucune dépendance à la vitesse de lecture.</x:v>
      </x:c>
      <x:c r="K8" s="7" t="str">
        <x:v>Ambiance régulière sous une couche de sécurité discrète. Musique, bruitages et éventuelles voix à produire sans extraire les enregistrements officiels.</x:v>
      </x:c>
      <x:c r="L8" s="7" t="str">
        <x:v>audio/ini/station-commerciale.ogg ; bus ambiance/musique/interface séparés.</x:v>
      </x:c>
      <x:c r="M8" s="7" t="str">
        <x:v>La source narrative inspire l’intention, pas une mélodie ou un enregistrement à copier.</x:v>
      </x:c>
      <x:c r="N8" s="7" t="str">
        <x:v>Boucle sans clic ; transitions propres ; information compréhensible volume coupé.</x:v>
      </x:c>
      <x:c r="O8" s="7" t="str"/>
      <x:c r="P8" s="7" t="str"/>
      <x:c r="Q8" s="7" t="str"/>
      <x:c r="R8" s="7" t="str"/>
      <x:c r="S8" s="7" t="str"/>
    </x:row>
    <x:row r="9" ht="82" customHeight="1">
      <x:c r="A9" s="18" t="str">
        <x:v>INI-AUD-03</x:v>
      </x:c>
      <x:c r="B9" s="9" t="str">
        <x:v>Isolement spatial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Création sonore originale pour le fan game.</x:v>
      </x:c>
      <x:c r="G9" s="9" t="str">
        <x:v>Quasi-silence, respiration stylisée non anxiogène forcée, informations vitales sous-titrées.</x:v>
      </x:c>
      <x:c r="H9" s="9" t="str">
        <x:v>Déclenchement à l’événement logique ; priorité à la compréhension des commandes du groupe.</x:v>
      </x:c>
      <x:c r="I9" s="9" t="str">
        <x:v>Sous-titre d’ambiance facultatif ; pictogramme si le son fournit une alerte.</x:v>
      </x:c>
      <x:c r="J9" s="9" t="str">
        <x:v>Points de synchro notés dans la fiche animation concernée ; aucune dépendance à la vitesse de lecture.</x:v>
      </x:c>
      <x:c r="K9" s="9" t="str">
        <x:v>Quasi-silence, respiration stylisée non anxiogène forcée, informations vitales sous-titrées. Musique, bruitages et éventuelles voix à produire sans extraire les enregistrements officiels.</x:v>
      </x:c>
      <x:c r="L9" s="9" t="str">
        <x:v>audio/ini/isolement-spatial.ogg ; bus ambiance/musique/interface séparés.</x:v>
      </x:c>
      <x:c r="M9" s="9" t="str">
        <x:v>La source narrative inspire l’intention, pas une mélodie ou un enregistrement à copier.</x:v>
      </x:c>
      <x:c r="N9" s="9" t="str">
        <x:v>Boucle sans clic ; transitions propres ; information compréhensible volume coupé.</x:v>
      </x:c>
      <x:c r="O9" s="9" t="str"/>
      <x:c r="P9" s="9" t="str"/>
      <x:c r="Q9" s="9" t="str"/>
      <x:c r="R9" s="9" t="str"/>
      <x:c r="S9" s="9" t="str"/>
    </x:row>
    <x:row r="10" ht="82" customHeight="1">
      <x:c r="A10" s="19" t="str">
        <x:v>INI-AUD-04</x:v>
      </x:c>
      <x:c r="B10" s="7" t="str">
        <x:v>Quiet Eddy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Création sonore originale pour le fan game.</x:v>
      </x:c>
      <x:c r="G10" s="7" t="str">
        <x:v>Bourdonnement irrégulier et bruits de portes pour localiser la menace sans sursaut obligatoire.</x:v>
      </x:c>
      <x:c r="H10" s="7" t="str">
        <x:v>Déclenchement à l’événement logique ; priorité à la compréhension des commandes du groupe.</x:v>
      </x:c>
      <x:c r="I10" s="7" t="str">
        <x:v>Sous-titre d’ambiance facultatif ; pictogramme si le son fournit une alerte.</x:v>
      </x:c>
      <x:c r="J10" s="7" t="str">
        <x:v>Points de synchro notés dans la fiche animation concernée ; aucune dépendance à la vitesse de lecture.</x:v>
      </x:c>
      <x:c r="K10" s="7" t="str">
        <x:v>Bourdonnement irrégulier et bruits de portes pour localiser la menace sans sursaut obligatoire. Musique, bruitages et éventuelles voix à produire sans extraire les enregistrements officiels.</x:v>
      </x:c>
      <x:c r="L10" s="7" t="str">
        <x:v>audio/ini/quiet-eddy.ogg ; bus ambiance/musique/interface séparés.</x:v>
      </x:c>
      <x:c r="M10" s="7" t="str">
        <x:v>La source narrative inspire l’intention, pas une mélodie ou un enregistrement à copier.</x:v>
      </x:c>
      <x:c r="N10" s="7" t="str">
        <x:v>Boucle sans clic ; transitions propres ; information compréhensible volume coupé.</x:v>
      </x:c>
      <x:c r="O10" s="7" t="str"/>
      <x:c r="P10" s="7" t="str"/>
      <x:c r="Q10" s="7" t="str"/>
      <x:c r="R10" s="7" t="str"/>
      <x:c r="S10" s="7" t="str"/>
    </x:row>
    <x:row r="11" ht="68" customHeight="1">
      <x:c r="A11" s="18" t="str">
        <x:v>INI-AUD-05</x:v>
      </x:c>
      <x:c r="B11" s="9" t="str">
        <x:v>Mémoire et silence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Création sonore originale pour le fan game.</x:v>
      </x:c>
      <x:c r="G11" s="9" t="str">
        <x:v>Motif musical original doux, sans imitation des thèmes de l’Initiative.</x:v>
      </x:c>
      <x:c r="H11" s="9" t="str">
        <x:v>Déclenchement à l’événement logique ; priorité à la compréhension des commandes du groupe.</x:v>
      </x:c>
      <x:c r="I11" s="9" t="str">
        <x:v>Sous-titre d’ambiance facultatif ; pictogramme si le son fournit une alerte.</x:v>
      </x:c>
      <x:c r="J11" s="9" t="str">
        <x:v>Points de synchro notés dans la fiche animation concernée ; aucune dépendance à la vitesse de lecture.</x:v>
      </x:c>
      <x:c r="K11" s="9" t="str">
        <x:v>Motif musical original doux, sans imitation des thèmes de l’Initiative. Musique, bruitages et éventuelles voix à produire sans extraire les enregistrements officiels.</x:v>
      </x:c>
      <x:c r="L11" s="9" t="str">
        <x:v>audio/ini/memoire-et-silence.ogg ; bus ambiance/musique/interface séparés.</x:v>
      </x:c>
      <x:c r="M11" s="9" t="str">
        <x:v>La source narrative inspire l’intention, pas une mélodie ou un enregistrement à copier.</x:v>
      </x:c>
      <x:c r="N11" s="9" t="str">
        <x:v>Boucle sans clic ; transitions propres ; information compréhensible volume coupé.</x:v>
      </x:c>
      <x:c r="O11" s="9" t="str"/>
      <x:c r="P11" s="9" t="str"/>
      <x:c r="Q11" s="9" t="str"/>
      <x:c r="R11" s="9" t="str"/>
      <x:c r="S11" s="9" t="str"/>
    </x:row>
  </x:sheetData>
  <x:conditionalFormatting sqref="D7:D11">
    <x:cfRule type="cellIs" dxfId="88" priority="1" operator="equal">
      <x:formula>"À vérifier"</x:formula>
    </x:cfRule>
    <x:cfRule type="cellIs" dxfId="89" priority="2" operator="equal">
      <x:formula>"Extrapolation"</x:formula>
    </x:cfRule>
  </x:conditionalFormatting>
  <x:conditionalFormatting sqref="C7:C11">
    <x:cfRule type="cellIs" dxfId="90" priority="3" operator="equal">
      <x:formula>"Validé"</x:formula>
    </x:cfRule>
  </x:conditionalFormatting>
  <x:conditionalFormatting sqref="E7:E11">
    <x:cfRule type="cellIs" dxfId="91" priority="4" operator="equal">
      <x:formula>"P0"</x:formula>
    </x:cfRule>
  </x:conditionalFormatting>
  <x:dataValidations count="3">
    <x:dataValidation type="list" sqref="C7:C11">
      <x:formula1>"Défini,Prototype,Intégré,Validé"</x:formula1>
    </x:dataValidation>
    <x:dataValidation type="list" sqref="D7:D11">
      <x:formula1>"Établi,À vérifier,Extrapolation,Coupé attesté,Concept abandonné,Allégation écartée"</x:formula1>
    </x:dataValidation>
    <x:dataValidation type="list" sqref="E7:E1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48514aa75f46b6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Systèmes et UI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Interface et règles de jeu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44" customHeight="1">
      <x:c r="A7" s="18" t="str">
        <x:v>INI-SYS-01</x:v>
      </x:c>
      <x:c r="B7" s="9" t="str">
        <x:v>Duo Cora/SAM-E</x:v>
      </x:c>
      <x:c r="C7" s="15" t="str">
        <x:v>Défini</x:v>
      </x:c>
      <x:c r="D7" s="16" t="str">
        <x:v>Extrapolation</x:v>
      </x:c>
      <x:c r="E7" s="16" t="str">
        <x:v>P0</x:v>
      </x:c>
      <x:c r="F7" s="9" t="str">
        <x:v>Système original de production propre au module.</x:v>
      </x:c>
      <x:c r="G7" s="9" t="str">
        <x:v>SAM-E est un canal d’assistance et de dialogue ; il ne prend pas une place de soldat physique dans le groupe.</x:v>
      </x:c>
      <x:c r="H7" s="9" t="str">
        <x:v>SAM-E est un canal d’assistance et de dialogue ; il ne prend pas une place de soldat physique dans le groupe.</x:v>
      </x:c>
      <x:c r="I7" s="9" t="str">
        <x:v>État visible dans le HUD et le journal ; libellés complets, icônes non exclusives.</x:v>
      </x:c>
      <x:c r="J7" s="9" t="str">
        <x:v>Transitions rapides et possibilité de réduire les mouvements UI.</x:v>
      </x:c>
      <x:c r="K7" s="9" t="str">
        <x:v>Chaque changement critique possède un équivalent textuel ; pas de message sonore seul.</x:v>
      </x:c>
      <x:c r="L7" s="9" t="str">
        <x:v>systems/ini/duo-cora-sam-e.ts prévu ; sauvegarde versionnée avec valeurs par défaut.</x:v>
      </x:c>
      <x:c r="M7" s="9" t="str">
        <x:v>Activé seulement dans ce module ; ne modifie pas les sauvegardes des jeux officiels.</x:v>
      </x:c>
      <x:c r="N7" s="9" t="str">
        <x:v>Chargement et reprise conservent l’état ; clavier et pointeur donnent le même résultat.</x:v>
      </x:c>
      <x:c r="O7" s="9" t="str"/>
      <x:c r="P7" s="9" t="str"/>
      <x:c r="Q7" s="9" t="str"/>
      <x:c r="R7" s="9" t="str"/>
      <x:c r="S7" s="9" t="str"/>
    </x:row>
    <x:row r="8" ht="54" customHeight="1">
      <x:c r="A8" s="19" t="str">
        <x:v>INI-SYS-02</x:v>
      </x:c>
      <x:c r="B8" s="7" t="str">
        <x:v>Limites de l’assistant</x:v>
      </x:c>
      <x:c r="C8" s="15" t="str">
        <x:v>Défini</x:v>
      </x:c>
      <x:c r="D8" s="17" t="str">
        <x:v>Extrapolation</x:v>
      </x:c>
      <x:c r="E8" s="17" t="str">
        <x:v>P0</x:v>
      </x:c>
      <x:c r="F8" s="7" t="str">
        <x:v>Système original de production propre au module.</x:v>
      </x:c>
      <x:c r="G8" s="7" t="str">
        <x:v>Des compétences sont volontairement hors périmètre ; le joueur doit reconnaître ce qu’une analyse ne peut pas conclure.</x:v>
      </x:c>
      <x:c r="H8" s="7" t="str">
        <x:v>Des compétences sont volontairement hors périmètre ; le joueur doit reconnaître ce qu’une analyse ne peut pas conclure.</x:v>
      </x:c>
      <x:c r="I8" s="7" t="str">
        <x:v>État visible dans le HUD et le journal ; libellés complets, icônes non exclusives.</x:v>
      </x:c>
      <x:c r="J8" s="7" t="str">
        <x:v>Transitions rapides et possibilité de réduire les mouvements UI.</x:v>
      </x:c>
      <x:c r="K8" s="7" t="str">
        <x:v>Chaque changement critique possède un équivalent textuel ; pas de message sonore seul.</x:v>
      </x:c>
      <x:c r="L8" s="7" t="str">
        <x:v>systems/ini/limites-de-lassistant.ts prévu ; sauvegarde versionnée avec valeurs par défaut.</x:v>
      </x:c>
      <x:c r="M8" s="7" t="str">
        <x:v>Activé seulement dans ce module ; ne modifie pas les sauvegardes des jeux officiels.</x:v>
      </x:c>
      <x:c r="N8" s="7" t="str">
        <x:v>Chargement et reprise conservent l’état ; clavier et pointeur donnent le même résultat.</x:v>
      </x:c>
      <x:c r="O8" s="7" t="str"/>
      <x:c r="P8" s="7" t="str"/>
      <x:c r="Q8" s="7" t="str"/>
      <x:c r="R8" s="7" t="str"/>
      <x:c r="S8" s="7" t="str"/>
    </x:row>
    <x:row r="9" ht="44" customHeight="1">
      <x:c r="A9" s="18" t="str">
        <x:v>INI-SYS-03</x:v>
      </x:c>
      <x:c r="B9" s="9" t="str">
        <x:v>Coût d’assistance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Système original de production propre au module.</x:v>
      </x:c>
      <x:c r="G9" s="9" t="str">
        <x:v>La surcharge est un état scénarisé dangereux, jamais un buff permanent sans conséquence.</x:v>
      </x:c>
      <x:c r="H9" s="9" t="str">
        <x:v>La surcharge est un état scénarisé dangereux, jamais un buff permanent sans conséquence.</x:v>
      </x:c>
      <x:c r="I9" s="9" t="str">
        <x:v>État visible dans le HUD et le journal ; libellés complets, icônes non exclusives.</x:v>
      </x:c>
      <x:c r="J9" s="9" t="str">
        <x:v>Transitions rapides et possibilité de réduire les mouvements UI.</x:v>
      </x:c>
      <x:c r="K9" s="9" t="str">
        <x:v>Chaque changement critique possède un équivalent textuel ; pas de message sonore seul.</x:v>
      </x:c>
      <x:c r="L9" s="9" t="str">
        <x:v>systems/ini/cout-dassistance.ts prévu ; sauvegarde versionnée avec valeurs par défaut.</x:v>
      </x:c>
      <x:c r="M9" s="9" t="str">
        <x:v>Activé seulement dans ce module ; ne modifie pas les sauvegardes des jeux officiels.</x:v>
      </x:c>
      <x:c r="N9" s="9" t="str">
        <x:v>Chargement et reprise conservent l’état ; clavier et pointeur donnent le même résultat.</x:v>
      </x:c>
      <x:c r="O9" s="9" t="str"/>
      <x:c r="P9" s="9" t="str"/>
      <x:c r="Q9" s="9" t="str"/>
      <x:c r="R9" s="9" t="str"/>
      <x:c r="S9" s="9" t="str"/>
    </x:row>
    <x:row r="10" ht="44" customHeight="1">
      <x:c r="A10" s="19" t="str">
        <x:v>INI-SYS-04</x:v>
      </x:c>
      <x:c r="B10" s="7" t="str">
        <x:v>Données volées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Système original de production propre au module.</x:v>
      </x:c>
      <x:c r="G10" s="7" t="str">
        <x:v>Suivre l’identité des paquets et copies ; aucune fusion automatique de fichiers contradictoires.</x:v>
      </x:c>
      <x:c r="H10" s="7" t="str">
        <x:v>Suivre l’identité des paquets et copies ; aucune fusion automatique de fichiers contradictoires.</x:v>
      </x:c>
      <x:c r="I10" s="7" t="str">
        <x:v>État visible dans le HUD et le journal ; libellés complets, icônes non exclusives.</x:v>
      </x:c>
      <x:c r="J10" s="7" t="str">
        <x:v>Transitions rapides et possibilité de réduire les mouvements UI.</x:v>
      </x:c>
      <x:c r="K10" s="7" t="str">
        <x:v>Chaque changement critique possède un équivalent textuel ; pas de message sonore seul.</x:v>
      </x:c>
      <x:c r="L10" s="7" t="str">
        <x:v>systems/ini/donnees-volees.ts prévu ; sauvegarde versionnée avec valeurs par défaut.</x:v>
      </x:c>
      <x:c r="M10" s="7" t="str">
        <x:v>Activé seulement dans ce module ; ne modifie pas les sauvegardes des jeux officiels.</x:v>
      </x:c>
      <x:c r="N10" s="7" t="str">
        <x:v>Chargement et reprise conservent l’état ; clavier et pointeur donnent le même résultat.</x:v>
      </x:c>
      <x:c r="O10" s="7" t="str"/>
      <x:c r="P10" s="7" t="str"/>
      <x:c r="Q10" s="7" t="str"/>
      <x:c r="R10" s="7" t="str"/>
      <x:c r="S10" s="7" t="str"/>
    </x:row>
    <x:row r="11" ht="44" customHeight="1">
      <x:c r="A11" s="18" t="str">
        <x:v>INI-SYS-05</x:v>
      </x:c>
      <x:c r="B11" s="9" t="str">
        <x:v>Confiance en réseau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Système original de production propre au module.</x:v>
      </x:c>
      <x:c r="G11" s="9" t="str">
        <x:v>Un panneau et une porte peuvent diverger ; l’interface montre la provenance des deux états.</x:v>
      </x:c>
      <x:c r="H11" s="9" t="str">
        <x:v>Un panneau et une porte peuvent diverger ; l’interface montre la provenance des deux états.</x:v>
      </x:c>
      <x:c r="I11" s="9" t="str">
        <x:v>État visible dans le HUD et le journal ; libellés complets, icônes non exclusives.</x:v>
      </x:c>
      <x:c r="J11" s="9" t="str">
        <x:v>Transitions rapides et possibilité de réduire les mouvements UI.</x:v>
      </x:c>
      <x:c r="K11" s="9" t="str">
        <x:v>Chaque changement critique possède un équivalent textuel ; pas de message sonore seul.</x:v>
      </x:c>
      <x:c r="L11" s="9" t="str">
        <x:v>systems/ini/confiance-en-reseau.ts prévu ; sauvegarde versionnée avec valeurs par défaut.</x:v>
      </x:c>
      <x:c r="M11" s="9" t="str">
        <x:v>Activé seulement dans ce module ; ne modifie pas les sauvegardes des jeux officiels.</x:v>
      </x:c>
      <x:c r="N11" s="9" t="str">
        <x:v>Chargement et reprise conservent l’état ; clavier et pointeur donnent le même résultat.</x:v>
      </x:c>
      <x:c r="O11" s="9" t="str"/>
      <x:c r="P11" s="9" t="str"/>
      <x:c r="Q11" s="9" t="str"/>
      <x:c r="R11" s="9" t="str"/>
      <x:c r="S11" s="9" t="str"/>
    </x:row>
    <x:row r="12" ht="44" customHeight="1">
      <x:c r="A12" s="19" t="str">
        <x:v>INI-SYS-06</x:v>
      </x:c>
      <x:c r="B12" s="7" t="str">
        <x:v>Survivants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Système original de production propre au module.</x:v>
      </x:c>
      <x:c r="G12" s="7" t="str">
        <x:v>Les civils se déplacent en groupes protégés et ne sont pas équipés par le joueur pour maximiser les dégâts.</x:v>
      </x:c>
      <x:c r="H12" s="7" t="str">
        <x:v>Les civils se déplacent en groupes protégés et ne sont pas équipés par le joueur pour maximiser les dégâts.</x:v>
      </x:c>
      <x:c r="I12" s="7" t="str">
        <x:v>État visible dans le HUD et le journal ; libellés complets, icônes non exclusives.</x:v>
      </x:c>
      <x:c r="J12" s="7" t="str">
        <x:v>Transitions rapides et possibilité de réduire les mouvements UI.</x:v>
      </x:c>
      <x:c r="K12" s="7" t="str">
        <x:v>Chaque changement critique possède un équivalent textuel ; pas de message sonore seul.</x:v>
      </x:c>
      <x:c r="L12" s="7" t="str">
        <x:v>systems/ini/survivants.ts prévu ; sauvegarde versionnée avec valeurs par défaut.</x:v>
      </x:c>
      <x:c r="M12" s="7" t="str">
        <x:v>Activé seulement dans ce module ; ne modifie pas les sauvegardes des jeux officiels.</x:v>
      </x:c>
      <x:c r="N12" s="7" t="str">
        <x:v>Chargement et reprise conservent l’état ; clavier et pointeur donnent le même résultat.</x:v>
      </x:c>
      <x:c r="O12" s="7" t="str"/>
      <x:c r="P12" s="7" t="str"/>
      <x:c r="Q12" s="7" t="str"/>
      <x:c r="R12" s="7" t="str"/>
      <x:c r="S12" s="7" t="str"/>
    </x:row>
    <x:row r="13" ht="54" customHeight="1">
      <x:c r="A13" s="18" t="str">
        <x:v>INI-SYS-07</x:v>
      </x:c>
      <x:c r="B13" s="9" t="str">
        <x:v>Savoir avant départ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Système original de production propre au module.</x:v>
      </x:c>
      <x:c r="G13" s="9" t="str">
        <x:v>Limiter le journal à la Voie lactée et à l’Initiative avant voyage ; exclure Fléau, Kerts et Remnants comme savoir acquis.</x:v>
      </x:c>
      <x:c r="H13" s="9" t="str">
        <x:v>Limiter le journal à la Voie lactée et à l’Initiative avant voyage ; exclure Fléau, Kerts et Remnants comme savoir acquis.</x:v>
      </x:c>
      <x:c r="I13" s="9" t="str">
        <x:v>État visible dans le HUD et le journal ; libellés complets, icônes non exclusives.</x:v>
      </x:c>
      <x:c r="J13" s="9" t="str">
        <x:v>Transitions rapides et possibilité de réduire les mouvements UI.</x:v>
      </x:c>
      <x:c r="K13" s="9" t="str">
        <x:v>Chaque changement critique possède un équivalent textuel ; pas de message sonore seul.</x:v>
      </x:c>
      <x:c r="L13" s="9" t="str">
        <x:v>systems/ini/savoir-avant-depart.ts prévu ; sauvegarde versionnée avec valeurs par défaut.</x:v>
      </x:c>
      <x:c r="M13" s="9" t="str">
        <x:v>Activé seulement dans ce module ; ne modifie pas les sauvegardes des jeux officiels.</x:v>
      </x:c>
      <x:c r="N13" s="9" t="str">
        <x:v>Chargement et reprise conservent l’état ; clavier et pointeur donnent le même résultat.</x:v>
      </x:c>
      <x:c r="O13" s="9" t="str"/>
      <x:c r="P13" s="9" t="str"/>
      <x:c r="Q13" s="9" t="str"/>
      <x:c r="R13" s="9" t="str"/>
      <x:c r="S13" s="9" t="str"/>
    </x:row>
    <x:row r="14" ht="44" customHeight="1">
      <x:c r="A14" s="19" t="str">
        <x:v>INI-SYS-08</x:v>
      </x:c>
      <x:c r="B14" s="7" t="str">
        <x:v>Mémoire de l’assistant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Système original de production propre au module.</x:v>
      </x:c>
      <x:c r="G14" s="7" t="str">
        <x:v>Séparer souvenirs conservés et personnalité active ; la fin du module respecte cette différence.</x:v>
      </x:c>
      <x:c r="H14" s="7" t="str">
        <x:v>Séparer souvenirs conservés et personnalité active ; la fin du module respecte cette différence.</x:v>
      </x:c>
      <x:c r="I14" s="7" t="str">
        <x:v>État visible dans le HUD et le journal ; libellés complets, icônes non exclusives.</x:v>
      </x:c>
      <x:c r="J14" s="7" t="str">
        <x:v>Transitions rapides et possibilité de réduire les mouvements UI.</x:v>
      </x:c>
      <x:c r="K14" s="7" t="str">
        <x:v>Chaque changement critique possède un équivalent textuel ; pas de message sonore seul.</x:v>
      </x:c>
      <x:c r="L14" s="7" t="str">
        <x:v>systems/ini/memoire-de-lassistant.ts prévu ; sauvegarde versionnée avec valeurs par défaut.</x:v>
      </x:c>
      <x:c r="M14" s="7" t="str">
        <x:v>Activé seulement dans ce module ; ne modifie pas les sauvegardes des jeux officiels.</x:v>
      </x:c>
      <x:c r="N14" s="7" t="str">
        <x:v>Chargement et reprise conservent l’état ; clavier et pointeur donnent le même résultat.</x:v>
      </x:c>
      <x:c r="O14" s="7" t="str"/>
      <x:c r="P14" s="7" t="str"/>
      <x:c r="Q14" s="7" t="str"/>
      <x:c r="R14" s="7" t="str"/>
      <x:c r="S14" s="7" t="str"/>
    </x:row>
  </x:sheetData>
  <x:conditionalFormatting sqref="D7:D14">
    <x:cfRule type="cellIs" dxfId="92" priority="1" operator="equal">
      <x:formula>"À vérifier"</x:formula>
    </x:cfRule>
    <x:cfRule type="cellIs" dxfId="93" priority="2" operator="equal">
      <x:formula>"Extrapolation"</x:formula>
    </x:cfRule>
  </x:conditionalFormatting>
  <x:conditionalFormatting sqref="C7:C14">
    <x:cfRule type="cellIs" dxfId="94" priority="3" operator="equal">
      <x:formula>"Validé"</x:formula>
    </x:cfRule>
  </x:conditionalFormatting>
  <x:conditionalFormatting sqref="E7:E14">
    <x:cfRule type="cellIs" dxfId="95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748404d4f046c6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69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QA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Critères de test et contrôles de fidélité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54" customHeight="1">
      <x:c r="A7" s="18" t="str">
        <x:v>INI-TST-MANDATE</x:v>
      </x:c>
      <x:c r="B7" s="9" t="str">
        <x:v>Définir les limites de l’assistance — scénario d’acceptation</x:v>
      </x:c>
      <x:c r="C7" s="15" t="str">
        <x:v>Défini</x:v>
      </x:c>
      <x:c r="D7" s="16" t="str">
        <x:v>Extrapolation</x:v>
      </x:c>
      <x:c r="E7" s="16" t="str">
        <x:v>P1</x:v>
      </x:c>
      <x:c r="F7" s="9" t="str">
        <x:v>Test de comportement spécifique à la mission proposée.</x:v>
      </x:c>
      <x:c r="G7" s="9" t="str">
        <x:v>Exécuter Définir les limites de l’assistance avec la méthode la plus lente puis avec la méthode alternative.</x:v>
      </x:c>
      <x:c r="H7" s="9" t="str">
        <x:v>Contrôler les transitions de la règle suivante : Identifier objectif, secret à protéger et tâches que l’assistant ne sait pas faire.</x:v>
      </x:c>
      <x:c r="I7" s="9" t="str">
        <x:v>Capturer le moment où la sortie devient valide et celui où le choix devient indisponible.</x:v>
      </x:c>
      <x:c r="J7" s="9" t="str">
        <x:v>Interrompre une action à son anticipation et une autre après son engagement.</x:v>
      </x:c>
      <x:c r="K7" s="9" t="str">
        <x:v>Rejouer sans son pour vérifier les informations essentielles.</x:v>
      </x:c>
      <x:c r="L7" s="9" t="str">
        <x:v>qa/ini/mandate.md : état initial, actions, attendu, résultat, capture.</x:v>
      </x:c>
      <x:c r="M7" s="9" t="str">
        <x:v>Ne pas qualifier SAM-E de simple VI après la révélation de sa nature.</x:v>
      </x:c>
      <x:c r="N7" s="9" t="str">
        <x:v>Aucun blocage, récompense multiple, information future ou divergence entre pause ATB et temps normal.</x:v>
      </x:c>
      <x:c r="O7" s="9" t="str">
        <x:v>INI-MIS-MANDATE, INI-CHO-MANDATE, INI-OPT-MANDATE</x:v>
      </x:c>
      <x:c r="P7" s="9" t="str"/>
      <x:c r="Q7" s="9" t="str"/>
      <x:c r="R7" s="9" t="str"/>
      <x:c r="S7" s="9" t="str"/>
    </x:row>
    <x:row r="8" ht="54" customHeight="1">
      <x:c r="A8" s="19" t="str">
        <x:v>INI-TST-KERNEL</x:v>
      </x:c>
      <x:c r="B8" s="7" t="str">
        <x:v>Extraire un paquet de données — scénario d’acceptation</x:v>
      </x:c>
      <x:c r="C8" s="15" t="str">
        <x:v>Défini</x:v>
      </x:c>
      <x:c r="D8" s="17" t="str">
        <x:v>Extrapolation</x:v>
      </x:c>
      <x:c r="E8" s="17" t="str">
        <x:v>P1</x:v>
      </x:c>
      <x:c r="F8" s="7" t="str">
        <x:v>Test de comportement spécifique à la mission proposée.</x:v>
      </x:c>
      <x:c r="G8" s="7" t="str">
        <x:v>Exécuter Extraire un paquet de données avec la méthode la plus lente puis avec la méthode alternative.</x:v>
      </x:c>
      <x:c r="H8" s="7" t="str">
        <x:v>Contrôler les transitions de la règle suivante : Distinguer copie leurre, autorisation d’accès et paquet cible ; validation croisée avant transfert.</x:v>
      </x:c>
      <x:c r="I8" s="7" t="str">
        <x:v>Capturer le moment où la sortie devient valide et celui où le choix devient indisponible.</x:v>
      </x:c>
      <x:c r="J8" s="7" t="str">
        <x:v>Interrompre une action à son anticipation et une autre après son engagement.</x:v>
      </x:c>
      <x:c r="K8" s="7" t="str">
        <x:v>Rejouer sans son pour vérifier les informations essentielles.</x:v>
      </x:c>
      <x:c r="L8" s="7" t="str">
        <x:v>qa/ini/kernel.md : état initial, actions, attendu, résultat, capture.</x:v>
      </x:c>
      <x:c r="M8" s="7" t="str">
        <x:v>Aucune procédure réelle de piratage ni code officiel copié.</x:v>
      </x:c>
      <x:c r="N8" s="7" t="str">
        <x:v>Aucun blocage, récompense multiple, information future ou divergence entre pause ATB et temps normal.</x:v>
      </x:c>
      <x:c r="O8" s="7" t="str">
        <x:v>INI-MIS-KERNEL, INI-CHO-KERNEL, INI-OPT-KERNEL</x:v>
      </x:c>
      <x:c r="P8" s="7" t="str"/>
      <x:c r="Q8" s="7" t="str"/>
      <x:c r="R8" s="7" t="str"/>
      <x:c r="S8" s="7" t="str"/>
    </x:row>
    <x:row r="9" ht="54" customHeight="1">
      <x:c r="A9" s="18" t="str">
        <x:v>INI-TST-BETRAYAL</x:v>
      </x:c>
      <x:c r="B9" s="9" t="str">
        <x:v>Trouver une sortie sûre — scénario d’acceptation</x:v>
      </x:c>
      <x:c r="C9" s="15" t="str">
        <x:v>Défini</x:v>
      </x:c>
      <x:c r="D9" s="16" t="str">
        <x:v>Extrapolation</x:v>
      </x:c>
      <x:c r="E9" s="16" t="str">
        <x:v>P1</x:v>
      </x:c>
      <x:c r="F9" s="9" t="str">
        <x:v>Test de comportement spécifique à la mission proposée.</x:v>
      </x:c>
      <x:c r="G9" s="9" t="str">
        <x:v>Exécuter Trouver une sortie sûre avec la méthode la plus lente puis avec la méthode alternative.</x:v>
      </x:c>
      <x:c r="H9" s="9" t="str">
        <x:v>Contrôler les transitions de la règle suivante : Rester mobile entre couverts, vérifier le sas et protéger la liaison d’assistance.</x:v>
      </x:c>
      <x:c r="I9" s="9" t="str">
        <x:v>Capturer le moment où la sortie devient valide et celui où le choix devient indisponible.</x:v>
      </x:c>
      <x:c r="J9" s="9" t="str">
        <x:v>Interrompre une action à son anticipation et une autre après son engagement.</x:v>
      </x:c>
      <x:c r="K9" s="9" t="str">
        <x:v>Rejouer sans son pour vérifier les informations essentielles.</x:v>
      </x:c>
      <x:c r="L9" s="9" t="str">
        <x:v>qa/ini/betrayal.md : état initial, actions, attendu, résultat, capture.</x:v>
      </x:c>
      <x:c r="M9" s="9" t="str">
        <x:v>Le choix n’efface pas la trahison de Ygara.</x:v>
      </x:c>
      <x:c r="N9" s="9" t="str">
        <x:v>Aucun blocage, récompense multiple, information future ou divergence entre pause ATB et temps normal.</x:v>
      </x:c>
      <x:c r="O9" s="9" t="str">
        <x:v>INI-MIS-BETRAYAL, INI-CHO-BETRAYAL, INI-OPT-BETRAYAL</x:v>
      </x:c>
      <x:c r="P9" s="9" t="str"/>
      <x:c r="Q9" s="9" t="str"/>
      <x:c r="R9" s="9" t="str"/>
      <x:c r="S9" s="9" t="str"/>
    </x:row>
    <x:row r="10" ht="54" customHeight="1">
      <x:c r="A10" s="19" t="str">
        <x:v>INI-TST-BEACON</x:v>
      </x:c>
      <x:c r="B10" s="7" t="str">
        <x:v>Faire confirmer une position — scénario d’acceptation</x:v>
      </x:c>
      <x:c r="C10" s="15" t="str">
        <x:v>Défini</x:v>
      </x:c>
      <x:c r="D10" s="17" t="str">
        <x:v>Extrapolation</x:v>
      </x:c>
      <x:c r="E10" s="17" t="str">
        <x:v>P1</x:v>
      </x:c>
      <x:c r="F10" s="7" t="str">
        <x:v>Test de comportement spécifique à la mission proposée.</x:v>
      </x:c>
      <x:c r="G10" s="7" t="str">
        <x:v>Exécuter Faire confirmer une position avec la méthode la plus lente puis avec la méthode alternative.</x:v>
      </x:c>
      <x:c r="H10" s="7" t="str">
        <x:v>Contrôler les transitions de la règle suivante : Comparer dernier signal, réserve et réponse ; garder la lecture hors compte à rebours.</x:v>
      </x:c>
      <x:c r="I10" s="7" t="str">
        <x:v>Capturer le moment où la sortie devient valide et celui où le choix devient indisponible.</x:v>
      </x:c>
      <x:c r="J10" s="7" t="str">
        <x:v>Interrompre une action à son anticipation et une autre après son engagement.</x:v>
      </x:c>
      <x:c r="K10" s="7" t="str">
        <x:v>Rejouer sans son pour vérifier les informations essentielles.</x:v>
      </x:c>
      <x:c r="L10" s="7" t="str">
        <x:v>qa/ini/beacon.md : état initial, actions, attendu, résultat, capture.</x:v>
      </x:c>
      <x:c r="M10" s="7" t="str">
        <x:v>Pas de mort aléatoire pendant lecture ou réglage d’accessibilité.</x:v>
      </x:c>
      <x:c r="N10" s="7" t="str">
        <x:v>Aucun blocage, récompense multiple, information future ou divergence entre pause ATB et temps normal.</x:v>
      </x:c>
      <x:c r="O10" s="7" t="str">
        <x:v>INI-MIS-BEACON, INI-CHO-BEACON, INI-OPT-BEACON</x:v>
      </x:c>
      <x:c r="P10" s="7" t="str"/>
      <x:c r="Q10" s="7" t="str"/>
      <x:c r="R10" s="7" t="str"/>
      <x:c r="S10" s="7" t="str"/>
    </x:row>
    <x:row r="11" ht="44" customHeight="1">
      <x:c r="A11" s="18" t="str">
        <x:v>INI-TST-FOLLOW</x:v>
      </x:c>
      <x:c r="B11" s="9" t="str">
        <x:v>Suivre la copie manquante — scénario d’acceptation</x:v>
      </x:c>
      <x:c r="C11" s="15" t="str">
        <x:v>Défini</x:v>
      </x:c>
      <x:c r="D11" s="16" t="str">
        <x:v>Extrapolation</x:v>
      </x:c>
      <x:c r="E11" s="16" t="str">
        <x:v>P1</x:v>
      </x:c>
      <x:c r="F11" s="9" t="str">
        <x:v>Test de comportement spécifique à la mission proposée.</x:v>
      </x:c>
      <x:c r="G11" s="9" t="str">
        <x:v>Exécuter Suivre la copie manquante avec la méthode la plus lente puis avec la méthode alternative.</x:v>
      </x:c>
      <x:c r="H11" s="9" t="str">
        <x:v>Contrôler les transitions de la règle suivante : Vérifier un contrat, son bénéficiaire et la destination indiquée.</x:v>
      </x:c>
      <x:c r="I11" s="9" t="str">
        <x:v>Capturer le moment où la sortie devient valide et celui où le choix devient indisponible.</x:v>
      </x:c>
      <x:c r="J11" s="9" t="str">
        <x:v>Interrompre une action à son anticipation et une autre après son engagement.</x:v>
      </x:c>
      <x:c r="K11" s="9" t="str">
        <x:v>Rejouer sans son pour vérifier les informations essentielles.</x:v>
      </x:c>
      <x:c r="L11" s="9" t="str">
        <x:v>qa/ini/follow.md : état initial, actions, attendu, résultat, capture.</x:v>
      </x:c>
      <x:c r="M11" s="9" t="str">
        <x:v>Les informations restent limitées à ce que Cora découvre.</x:v>
      </x:c>
      <x:c r="N11" s="9" t="str">
        <x:v>Aucun blocage, récompense multiple, information future ou divergence entre pause ATB et temps normal.</x:v>
      </x:c>
      <x:c r="O11" s="9" t="str">
        <x:v>INI-MIS-FOLLOW, INI-CHO-FOLLOW, INI-OPT-FOLLOW</x:v>
      </x:c>
      <x:c r="P11" s="9" t="str"/>
      <x:c r="Q11" s="9" t="str"/>
      <x:c r="R11" s="9" t="str"/>
      <x:c r="S11" s="9" t="str"/>
    </x:row>
    <x:row r="12" ht="54" customHeight="1">
      <x:c r="A12" s="19" t="str">
        <x:v>INI-TST-OVERRIDE</x:v>
      </x:c>
      <x:c r="B12" s="7" t="str">
        <x:v>Tenir un accès face à Medea — scénario d’acceptation</x:v>
      </x:c>
      <x:c r="C12" s="15" t="str">
        <x:v>Défini</x:v>
      </x:c>
      <x:c r="D12" s="17" t="str">
        <x:v>Extrapolation</x:v>
      </x:c>
      <x:c r="E12" s="17" t="str">
        <x:v>P1</x:v>
      </x:c>
      <x:c r="F12" s="7" t="str">
        <x:v>Test de comportement spécifique à la mission proposée.</x:v>
      </x:c>
      <x:c r="G12" s="7" t="str">
        <x:v>Exécuter Tenir un accès face à Medea avec la méthode la plus lente puis avec la méthode alternative.</x:v>
      </x:c>
      <x:c r="H12" s="7" t="str">
        <x:v>Contrôler les transitions de la règle suivante : Une commande doit être confirmée au poste physique ; l’assistant ne peut protéger tous les nœuds.</x:v>
      </x:c>
      <x:c r="I12" s="7" t="str">
        <x:v>Capturer le moment où la sortie devient valide et celui où le choix devient indisponible.</x:v>
      </x:c>
      <x:c r="J12" s="7" t="str">
        <x:v>Interrompre une action à son anticipation et une autre après son engagement.</x:v>
      </x:c>
      <x:c r="K12" s="7" t="str">
        <x:v>Rejouer sans son pour vérifier les informations essentielles.</x:v>
      </x:c>
      <x:c r="L12" s="7" t="str">
        <x:v>qa/ini/override.md : état initial, actions, attendu, résultat, capture.</x:v>
      </x:c>
      <x:c r="M12" s="7" t="str">
        <x:v>Medea n’est pas vaincue par un simple mini-jeu universel.</x:v>
      </x:c>
      <x:c r="N12" s="7" t="str">
        <x:v>Aucun blocage, récompense multiple, information future ou divergence entre pause ATB et temps normal.</x:v>
      </x:c>
      <x:c r="O12" s="7" t="str">
        <x:v>INI-MIS-OVERRIDE, INI-CHO-OVERRIDE, INI-OPT-OVERRIDE</x:v>
      </x:c>
      <x:c r="P12" s="7" t="str"/>
      <x:c r="Q12" s="7" t="str"/>
      <x:c r="R12" s="7" t="str"/>
      <x:c r="S12" s="7" t="str"/>
    </x:row>
    <x:row r="13" ht="54" customHeight="1">
      <x:c r="A13" s="18" t="str">
        <x:v>INI-TST-ESCORT</x:v>
      </x:c>
      <x:c r="B13" s="9" t="str">
        <x:v>Accompagner les survivants — scénario d’acceptation</x:v>
      </x:c>
      <x:c r="C13" s="15" t="str">
        <x:v>Défini</x:v>
      </x:c>
      <x:c r="D13" s="16" t="str">
        <x:v>Extrapolation</x:v>
      </x:c>
      <x:c r="E13" s="16" t="str">
        <x:v>P1</x:v>
      </x:c>
      <x:c r="F13" s="9" t="str">
        <x:v>Test de comportement spécifique à la mission proposée.</x:v>
      </x:c>
      <x:c r="G13" s="9" t="str">
        <x:v>Exécuter Accompagner les survivants avec la méthode la plus lente puis avec la méthode alternative.</x:v>
      </x:c>
      <x:c r="H13" s="9" t="str">
        <x:v>Contrôler les transitions de la règle suivante : Trois groupes civils traversent des points sûrs pendant que Cora et une escorte protègent les accès.</x:v>
      </x:c>
      <x:c r="I13" s="9" t="str">
        <x:v>Capturer le moment où la sortie devient valide et celui où le choix devient indisponible.</x:v>
      </x:c>
      <x:c r="J13" s="9" t="str">
        <x:v>Interrompre une action à son anticipation et une autre après son engagement.</x:v>
      </x:c>
      <x:c r="K13" s="9" t="str">
        <x:v>Rejouer sans son pour vérifier les informations essentielles.</x:v>
      </x:c>
      <x:c r="L13" s="9" t="str">
        <x:v>qa/ini/escort.md : état initial, actions, attendu, résultat, capture.</x:v>
      </x:c>
      <x:c r="M13" s="9" t="str">
        <x:v>Le coût de la surcharge de Cora ne disparaît pas grâce à un consommable.</x:v>
      </x:c>
      <x:c r="N13" s="9" t="str">
        <x:v>Aucun blocage, récompense multiple, information future ou divergence entre pause ATB et temps normal.</x:v>
      </x:c>
      <x:c r="O13" s="9" t="str">
        <x:v>INI-MIS-ESCORT, INI-CHO-ESCORT, INI-OPT-ESCORT</x:v>
      </x:c>
      <x:c r="P13" s="9" t="str"/>
      <x:c r="Q13" s="9" t="str"/>
      <x:c r="R13" s="9" t="str"/>
      <x:c r="S13" s="9" t="str"/>
    </x:row>
    <x:row r="14" ht="54" customHeight="1">
      <x:c r="A14" s="19" t="str">
        <x:v>INI-TST-LEGACY</x:v>
      </x:c>
      <x:c r="B14" s="7" t="str">
        <x:v>Respecter la fin d’une voix — scénario d’acceptation</x:v>
      </x:c>
      <x:c r="C14" s="15" t="str">
        <x:v>Défini</x:v>
      </x:c>
      <x:c r="D14" s="17" t="str">
        <x:v>Extrapolation</x:v>
      </x:c>
      <x:c r="E14" s="17" t="str">
        <x:v>P1</x:v>
      </x:c>
      <x:c r="F14" s="7" t="str">
        <x:v>Test de comportement spécifique à la mission proposée.</x:v>
      </x:c>
      <x:c r="G14" s="7" t="str">
        <x:v>Exécuter Respecter la fin d’une voix avec la méthode la plus lente puis avec la méthode alternative.</x:v>
      </x:c>
      <x:c r="H14" s="7" t="str">
        <x:v>Contrôler les transitions de la règle suivante : Valider mémoire, présence et limitations du système ; aucune option de duplication magique.</x:v>
      </x:c>
      <x:c r="I14" s="7" t="str">
        <x:v>Capturer le moment où la sortie devient valide et celui où le choix devient indisponible.</x:v>
      </x:c>
      <x:c r="J14" s="7" t="str">
        <x:v>Interrompre une action à son anticipation et une autre après son engagement.</x:v>
      </x:c>
      <x:c r="K14" s="7" t="str">
        <x:v>Rejouer sans son pour vérifier les informations essentielles.</x:v>
      </x:c>
      <x:c r="L14" s="7" t="str">
        <x:v>qa/ini/legacy.md : état initial, actions, attendu, résultat, capture.</x:v>
      </x:c>
      <x:c r="M14" s="7" t="str">
        <x:v>SAM-E n’est pas rendu permanent et autonome dans MEA.</x:v>
      </x:c>
      <x:c r="N14" s="7" t="str">
        <x:v>Aucun blocage, récompense multiple, information future ou divergence entre pause ATB et temps normal.</x:v>
      </x:c>
      <x:c r="O14" s="7" t="str">
        <x:v>INI-MIS-LEGACY, INI-CHO-LEGACY, INI-OPT-LEGACY</x:v>
      </x:c>
      <x:c r="P14" s="7" t="str"/>
      <x:c r="Q14" s="7" t="str"/>
      <x:c r="R14" s="7" t="str"/>
      <x:c r="S14" s="7" t="str"/>
    </x:row>
    <x:row r="15" ht="68" customHeight="1">
      <x:c r="A15" s="18" t="str">
        <x:v>INI-QA-SOURCES</x:v>
      </x:c>
      <x:c r="B15" s="9" t="str">
        <x:v>Provenance et non-substitution</x:v>
      </x:c>
      <x:c r="C15" s="15" t="str">
        <x:v>Défini</x:v>
      </x:c>
      <x:c r="D15" s="16" t="str">
        <x:v>Extrapolation</x:v>
      </x:c>
      <x:c r="E15" s="16" t="str">
        <x:v>P0</x:v>
      </x:c>
      <x:c r="F15" s="9" t="str">
        <x:v>Contrôle éditorial du catalogue de production.</x:v>
      </x:c>
      <x:c r="G15" s="9" t="str">
        <x:v>Comparer les seuls faits de référence avec les pages citées ; conserver toutes les mécaniques ajoutées comme Extrapolation.</x:v>
      </x:c>
      <x:c r="H15" s="9" t="str">
        <x:v>Vérifier qu’aucune fiche ne présente une statistique ATB comme une valeur du roman ou du film.</x:v>
      </x:c>
      <x:c r="I15" s="9" t="str"/>
      <x:c r="J15" s="9" t="str"/>
      <x:c r="K15" s="9" t="str"/>
      <x:c r="L15" s="9" t="str">
        <x:v>Filtrer INI par nature puis sourceIds ; revue ciblée des éléments sans source.</x:v>
      </x:c>
      <x:c r="M15" s="9" t="str">
        <x:v>L’action reste dans la Voie lactée avant le départ des arches. SAM-E ne devient pas un compagnon durable disponible dans Andromeda ; préserver les limites et conséquences de son lien avec Cora.</x:v>
      </x:c>
      <x:c r="N15" s="9" t="str">
        <x:v>Sources accessibles ou limites tracées ; aucun long extrait, dialogue reproduit ou résumé continu substitutif.</x:v>
      </x:c>
      <x:c r="O15" s="9" t="str"/>
      <x:c r="P15" s="9" t="str"/>
      <x:c r="Q15" s="9" t="str"/>
      <x:c r="R15" s="9" t="str"/>
      <x:c r="S15" s="9" t="str"/>
    </x:row>
    <x:row r="16" ht="68" customHeight="1">
      <x:c r="A16" s="19" t="str">
        <x:v>INI-QA-SAVE</x:v>
      </x:c>
      <x:c r="B16" s="7" t="str">
        <x:v>Reprise des états et du groupe</x:v>
      </x:c>
      <x:c r="C16" s="15" t="str">
        <x:v>Défini</x:v>
      </x:c>
      <x:c r="D16" s="17" t="str">
        <x:v>Extrapolation</x:v>
      </x:c>
      <x:c r="E16" s="17" t="str">
        <x:v>P0</x:v>
      </x:c>
      <x:c r="F16" s="7" t="str">
        <x:v>Contrôle de sauvegarde du module proposé.</x:v>
      </x:c>
      <x:c r="G16" s="7" t="str">
        <x:v>Sauver avant une transition, une option et une crise ; charger puis comparer les états de progression et de présence.</x:v>
      </x:c>
      <x:c r="H16" s="7" t="str">
        <x:v>Le coût d’action est appliqué exactement une fois ; les acteurs absents ne réapparaissent pas au chargement.</x:v>
      </x:c>
      <x:c r="I16" s="7" t="str"/>
      <x:c r="J16" s="7" t="str"/>
      <x:c r="K16" s="7" t="str"/>
      <x:c r="L16" s="7" t="str">
        <x:v>qa/ini/save-reload.md avec capture avant/après.</x:v>
      </x:c>
      <x:c r="M16" s="7" t="str">
        <x:v>L’action reste dans la Voie lactée avant le départ des arches. SAM-E ne devient pas un compagnon durable disponible dans Andromeda ; préserver les limites et conséquences de son lien avec Cora.</x:v>
      </x:c>
      <x:c r="N16" s="7" t="str">
        <x:v>Inventaire, acteurs disponibles, indices et limites de continuité restent identiques.</x:v>
      </x:c>
      <x:c r="O16" s="7" t="str"/>
      <x:c r="P16" s="7" t="str"/>
      <x:c r="Q16" s="7" t="str"/>
      <x:c r="R16" s="7" t="str"/>
      <x:c r="S16" s="7" t="str"/>
    </x:row>
    <x:row r="17" ht="54" customHeight="1">
      <x:c r="A17" s="18" t="str">
        <x:v>INI-QA-VISUAL</x:v>
      </x:c>
      <x:c r="B17" s="9" t="str">
        <x:v>Lisibilité sprites 2D sur volumes 3D</x:v>
      </x:c>
      <x:c r="C17" s="15" t="str">
        <x:v>Défini</x:v>
      </x:c>
      <x:c r="D17" s="16" t="str">
        <x:v>Extrapolation</x:v>
      </x:c>
      <x:c r="E17" s="16" t="str">
        <x:v>P0</x:v>
      </x:c>
      <x:c r="F17" s="9" t="str">
        <x:v>Contrôle visuel de production du module.</x:v>
      </x:c>
      <x:c r="G17" s="9" t="str">
        <x:v>Photographier chaque carrefour et engagement avec effets actifs, puis répéter à petite résolution et sans couleur.</x:v>
      </x:c>
      <x:c r="H17" s="9" t="str">
        <x:v>La zone cliquable correspond aux pieds des sprites, jamais au sommet d’un décor.</x:v>
      </x:c>
      <x:c r="I17" s="9" t="str"/>
      <x:c r="J17" s="9" t="str"/>
      <x:c r="K17" s="9" t="str"/>
      <x:c r="L17" s="9" t="str">
        <x:v>qa/ini/readability/ : captures scènes et grille de comparaison.</x:v>
      </x:c>
      <x:c r="M17" s="9" t="str">
        <x:v>Validation sur les cartes de ce catalogue uniquement.</x:v>
      </x:c>
      <x:c r="N17" s="9" t="str">
        <x:v>Aucune occlusion totale du personnage actif ; les sorties et télégraphes restent compréhensibles.</x:v>
      </x:c>
      <x:c r="O17" s="9" t="str"/>
      <x:c r="P17" s="9" t="str"/>
      <x:c r="Q17" s="9" t="str"/>
      <x:c r="R17" s="9" t="str"/>
      <x:c r="S17" s="9" t="str"/>
    </x:row>
    <x:row r="18" ht="54" customHeight="1">
      <x:c r="A18" s="19" t="str">
        <x:v>INI-QA-ACCESS</x:v>
      </x:c>
      <x:c r="B18" s="7" t="str">
        <x:v>Commandes, texte et effets accessibles</x:v>
      </x:c>
      <x:c r="C18" s="15" t="str">
        <x:v>Défini</x:v>
      </x:c>
      <x:c r="D18" s="17" t="str">
        <x:v>Extrapolation</x:v>
      </x:c>
      <x:c r="E18" s="17" t="str">
        <x:v>P1</x:v>
      </x:c>
      <x:c r="F18" s="7" t="str">
        <x:v>Contrôle fonctionnel des options proposées.</x:v>
      </x:c>
      <x:c r="G18" s="7" t="str">
        <x:v>Parcourir le module au clavier, avec sous-titres et effets réduits ; désactiver l’audio et tester les avertissements.</x:v>
      </x:c>
      <x:c r="H18" s="7" t="str">
        <x:v>La pause ATB permet de lire un choix ou un indice sans pénalité de temps.</x:v>
      </x:c>
      <x:c r="I18" s="7" t="str"/>
      <x:c r="J18" s="7" t="str"/>
      <x:c r="K18" s="7" t="str"/>
      <x:c r="L18" s="7" t="str">
        <x:v>qa/ini/accessibility.md ; cas de navigation, focus, contraste et interruption.</x:v>
      </x:c>
      <x:c r="M18" s="7" t="str">
        <x:v>Conserver les règles de présence narrative pendant tous les essais.</x:v>
      </x:c>
      <x:c r="N18" s="7" t="str">
        <x:v>Toute action essentielle est réalisable ; aucune information indispensable ne dépend du son ou de la seule couleur.</x:v>
      </x:c>
      <x:c r="O18" s="7" t="str"/>
      <x:c r="P18" s="7" t="str"/>
      <x:c r="Q18" s="7" t="str"/>
      <x:c r="R18" s="7" t="str"/>
      <x:c r="S18" s="7" t="str"/>
    </x:row>
  </x:sheetData>
  <x:conditionalFormatting sqref="D7:D18">
    <x:cfRule type="cellIs" dxfId="96" priority="1" operator="equal">
      <x:formula>"À vérifier"</x:formula>
    </x:cfRule>
    <x:cfRule type="cellIs" dxfId="97" priority="2" operator="equal">
      <x:formula>"Extrapolation"</x:formula>
    </x:cfRule>
  </x:conditionalFormatting>
  <x:conditionalFormatting sqref="C7:C18">
    <x:cfRule type="cellIs" dxfId="98" priority="3" operator="equal">
      <x:formula>"Validé"</x:formula>
    </x:cfRule>
  </x:conditionalFormatting>
  <x:conditionalFormatting sqref="E7:E18">
    <x:cfRule type="cellIs" dxfId="99" priority="4" operator="equal">
      <x:formula>"P0"</x:formula>
    </x:cfRule>
  </x:conditionalFormatting>
  <x:dataValidations count="3">
    <x:dataValidation type="list" sqref="C7:C18">
      <x:formula1>"Défini,Prototype,Intégré,Validé"</x:formula1>
    </x:dataValidation>
    <x:dataValidation type="list" sqref="D7:D18">
      <x:formula1>"Établi,À vérifier,Extrapolation,Coupé attesté,Concept abandonné,Allégation écartée"</x:formula1>
    </x:dataValidation>
    <x:dataValidation type="list" sqref="E7:E18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31087d3f544b10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1" hidden="0" customWidth="1"/>
    <x:col min="2" max="2" width="37" hidden="0" customWidth="1"/>
    <x:col min="3" max="3" width="14" hidden="0" customWidth="1"/>
    <x:col min="4" max="4" width="21" hidden="0" customWidth="1"/>
    <x:col min="5" max="5" width="10" hidden="0" customWidth="1"/>
    <x:col min="6" max="6" width="52" hidden="0" customWidth="1"/>
    <x:col min="7" max="7" width="57" hidden="0" customWidth="1"/>
    <x:col min="8" max="8" width="60" hidden="0" customWidth="1"/>
    <x:col min="9" max="9" width="56" hidden="0" customWidth="1"/>
    <x:col min="10" max="10" width="53" hidden="0" customWidth="1"/>
    <x:col min="11" max="11" width="51" hidden="0" customWidth="1"/>
    <x:col min="12" max="12" width="58" hidden="0" customWidth="1"/>
    <x:col min="13" max="13" width="57" hidden="0" customWidth="1"/>
    <x:col min="14" max="14" width="61" hidden="0" customWidth="1"/>
    <x:col min="15" max="15" width="44" hidden="0" customWidth="1"/>
    <x:col min="16" max="16" width="45" hidden="0" customWidth="1"/>
    <x:col min="17" max="17" width="24" hidden="0" customWidth="1"/>
    <x:col min="18" max="18" width="78" hidden="0" customWidth="1"/>
    <x:col min="19" max="19" width="7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Continuité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 t="str">
        <x:v>Mass Effect Andromeda: Initiation — États persistants, chronologie et limites de l’adaptation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4" customHeight="1">
      <x:c r="A6" s="28" t="str">
        <x:v>Identifiant</x:v>
      </x:c>
      <x:c r="B6" s="29" t="str">
        <x:v>Élément</x:v>
      </x:c>
      <x:c r="C6" s="29" t="str">
        <x:v>Contenu</x:v>
      </x:c>
      <x:c r="D6" s="29" t="str">
        <x:v>Nature de la référence</x:v>
      </x:c>
      <x:c r="E6" s="29" t="str">
        <x:v>Priorité</x:v>
      </x:c>
      <x:c r="F6" s="29" t="str">
        <x:v>Fait ou hypothèse</x:v>
      </x:c>
      <x:c r="G6" s="29" t="str">
        <x:v>Adaptation proposée</x:v>
      </x:c>
      <x:c r="H6" s="29" t="str">
        <x:v>Règles et moveset proposés</x:v>
      </x:c>
      <x:c r="I6" s="29" t="str">
        <x:v>Direction visuelle</x:v>
      </x:c>
      <x:c r="J6" s="29" t="str">
        <x:v>Animation</x:v>
      </x:c>
      <x:c r="K6" s="29" t="str">
        <x:v>Audio et accessibilité</x:v>
      </x:c>
      <x:c r="L6" s="29" t="str">
        <x:v>Mise en œuvre prévue</x:v>
      </x:c>
      <x:c r="M6" s="29" t="str">
        <x:v>Conditions et variantes</x:v>
      </x:c>
      <x:c r="N6" s="29" t="str">
        <x:v>Critère d’acceptation</x:v>
      </x:c>
      <x:c r="O6" s="29" t="str">
        <x:v>Dépendances</x:v>
      </x:c>
      <x:c r="P6" s="29" t="str">
        <x:v>Repère dans l’œuvre</x:v>
      </x:c>
      <x:c r="Q6" s="29" t="str">
        <x:v>Sources</x:v>
      </x:c>
      <x:c r="R6" s="29" t="str">
        <x:v>Sources URL</x:v>
      </x:c>
      <x:c r="S6" s="30" t="str">
        <x:v>Notes et limites</x:v>
      </x:c>
    </x:row>
    <x:row r="7" ht="68" customHeight="1">
      <x:c r="A7" s="18" t="str">
        <x:v>INI-CON-01</x:v>
      </x:c>
      <x:c r="B7" s="9" t="str">
        <x:v>Avant le voyage</x:v>
      </x:c>
      <x:c r="C7" s="15" t="str">
        <x:v>Défini</x:v>
      </x:c>
      <x:c r="D7" s="16" t="str">
        <x:v>Établi</x:v>
      </x:c>
      <x:c r="E7" s="16" t="str">
        <x:v>P0</x:v>
      </x:c>
      <x:c r="F7" s="9" t="str">
        <x:v>L’opération précède le départ de l’Initiative vers Andromède.</x:v>
      </x:c>
      <x:c r="G7" s="9" t="str">
        <x:v>Contrainte éditoriale : verrouiller les dépendances avant intégration du module.</x:v>
      </x:c>
      <x:c r="H7" s="9" t="str"/>
      <x:c r="I7" s="9" t="str"/>
      <x:c r="J7" s="9" t="str"/>
      <x:c r="K7" s="9" t="str"/>
      <x:c r="L7" s="9" t="str">
        <x:v>continuity/ini.json ; règle documentée et décision de validation datée.</x:v>
      </x:c>
      <x:c r="M7" s="9" t="str">
        <x:v>L’action reste dans la Voie lactée avant le départ des arches. SAM-E ne devient pas un compagnon durable disponible dans Andromeda ; préserver les limites et conséquences de son lien avec Cora.</x:v>
      </x:c>
      <x:c r="N7" s="9" t="str">
        <x:v>La règle est contrôlée dans les textes, cartes, choix et sauvegardes ; incertitude résolue ou affichée.</x:v>
      </x:c>
      <x:c r="O7" s="9" t="str"/>
      <x:c r="P7" s="9" t="str">
        <x:v>Limite de continuité / contrôle transversal</x:v>
      </x:c>
      <x:c r="Q7" s="9" t="str">
        <x:v>INI-SRC-PUB</x:v>
      </x:c>
      <x:c r="R7" s="9" t="str">
        <x:v>https://www.penguinrandomhouse.com/books/555323/mass-effect-initiation-by-nk-jemisin/</x:v>
      </x:c>
      <x:c r="S7" s="9" t="str">
        <x:v>Aucun numéro de chapitre ou de page n’est attribué sans exemplaire vérifié.</x:v>
      </x:c>
    </x:row>
    <x:row r="8" ht="68" customHeight="1">
      <x:c r="A8" s="19" t="str">
        <x:v>INI-CON-02</x:v>
      </x:c>
      <x:c r="B8" s="7" t="str">
        <x:v>Coauteurs</x:v>
      </x:c>
      <x:c r="C8" s="15" t="str">
        <x:v>Défini</x:v>
      </x:c>
      <x:c r="D8" s="17" t="str">
        <x:v>Établi</x:v>
      </x:c>
      <x:c r="E8" s="17" t="str">
        <x:v>P0</x:v>
      </x:c>
      <x:c r="F8" s="7" t="str">
        <x:v>Créditer N. K. Jemisin et Mac Walters sur la publication retenue.</x:v>
      </x:c>
      <x:c r="G8" s="7" t="str">
        <x:v>Contrainte éditoriale : verrouiller les dépendances avant intégration du module.</x:v>
      </x:c>
      <x:c r="H8" s="7" t="str"/>
      <x:c r="I8" s="7" t="str"/>
      <x:c r="J8" s="7" t="str"/>
      <x:c r="K8" s="7" t="str"/>
      <x:c r="L8" s="7" t="str">
        <x:v>continuity/ini.json ; règle documentée et décision de validation datée.</x:v>
      </x:c>
      <x:c r="M8" s="7" t="str">
        <x:v>L’action reste dans la Voie lactée avant le départ des arches. SAM-E ne devient pas un compagnon durable disponible dans Andromeda ; préserver les limites et conséquences de son lien avec Cora.</x:v>
      </x:c>
      <x:c r="N8" s="7" t="str">
        <x:v>La règle est contrôlée dans les textes, cartes, choix et sauvegardes ; incertitude résolue ou affichée.</x:v>
      </x:c>
      <x:c r="O8" s="7" t="str"/>
      <x:c r="P8" s="7" t="str">
        <x:v>Limite de continuité / contrôle transversal</x:v>
      </x:c>
      <x:c r="Q8" s="7" t="str">
        <x:v>INI-SRC-PUB</x:v>
      </x:c>
      <x:c r="R8" s="7" t="str">
        <x:v>https://www.penguinrandomhouse.com/books/555323/mass-effect-initiation-by-nk-jemisin/</x:v>
      </x:c>
      <x:c r="S8" s="7" t="str">
        <x:v>Aucun numéro de chapitre ou de page n’est attribué sans exemplaire vérifié.</x:v>
      </x:c>
    </x:row>
    <x:row r="9" ht="68" customHeight="1">
      <x:c r="A9" s="18" t="str">
        <x:v>INI-CON-03</x:v>
      </x:c>
      <x:c r="B9" s="9" t="str">
        <x:v>SAM-E distinct de SAM</x:v>
      </x:c>
      <x:c r="C9" s="15" t="str">
        <x:v>Défini</x:v>
      </x:c>
      <x:c r="D9" s="16" t="str">
        <x:v>Établi</x:v>
      </x:c>
      <x:c r="E9" s="16" t="str">
        <x:v>P0</x:v>
      </x:c>
      <x:c r="F9" s="9" t="str">
        <x:v>SAM-E est une partition expérimentale ; ne pas traiter toutes ses fonctions comme communes à chaque SAM.</x:v>
      </x:c>
      <x:c r="G9" s="9" t="str">
        <x:v>Contrainte éditoriale : verrouiller les dépendances avant intégration du module.</x:v>
      </x:c>
      <x:c r="H9" s="9" t="str"/>
      <x:c r="I9" s="9" t="str"/>
      <x:c r="J9" s="9" t="str"/>
      <x:c r="K9" s="9" t="str"/>
      <x:c r="L9" s="9" t="str">
        <x:v>continuity/ini.json ; règle documentée et décision de validation datée.</x:v>
      </x:c>
      <x:c r="M9" s="9" t="str">
        <x:v>L’action reste dans la Voie lactée avant le départ des arches. SAM-E ne devient pas un compagnon durable disponible dans Andromeda ; préserver les limites et conséquences de son lien avec Cora.</x:v>
      </x:c>
      <x:c r="N9" s="9" t="str">
        <x:v>La règle est contrôlée dans les textes, cartes, choix et sauvegardes ; incertitude résolue ou affichée.</x:v>
      </x:c>
      <x:c r="O9" s="9" t="str"/>
      <x:c r="P9" s="9" t="str">
        <x:v>Limite de continuité / contrôle transversal</x:v>
      </x:c>
      <x:c r="Q9" s="9" t="str">
        <x:v>INI-SRC-SAME</x:v>
      </x:c>
      <x:c r="R9" s="9" t="str">
        <x:v>https://masseffect.fandom.com/wiki/SAM-E</x:v>
      </x:c>
      <x:c r="S9" s="9" t="str">
        <x:v>Aucun numéro de chapitre ou de page n’est attribué sans exemplaire vérifié.</x:v>
      </x:c>
    </x:row>
    <x:row r="10" ht="68" customHeight="1">
      <x:c r="A10" s="19" t="str">
        <x:v>INI-CON-04</x:v>
      </x:c>
      <x:c r="B10" s="7" t="str">
        <x:v>Cybersécurité</x:v>
      </x:c>
      <x:c r="C10" s="15" t="str">
        <x:v>Défini</x:v>
      </x:c>
      <x:c r="D10" s="17" t="str">
        <x:v>Établi</x:v>
      </x:c>
      <x:c r="E10" s="17" t="str">
        <x:v>P0</x:v>
      </x:c>
      <x:c r="F10" s="7" t="str">
        <x:v>SAM-E possède des limites dans ce domaine ; éviter de lui donner un contrôle instantané universel.</x:v>
      </x:c>
      <x:c r="G10" s="7" t="str">
        <x:v>Contrainte éditoriale : verrouiller les dépendances avant intégration du module.</x:v>
      </x:c>
      <x:c r="H10" s="7" t="str"/>
      <x:c r="I10" s="7" t="str"/>
      <x:c r="J10" s="7" t="str"/>
      <x:c r="K10" s="7" t="str"/>
      <x:c r="L10" s="7" t="str">
        <x:v>continuity/ini.json ; règle documentée et décision de validation datée.</x:v>
      </x:c>
      <x:c r="M10" s="7" t="str">
        <x:v>L’action reste dans la Voie lactée avant le départ des arches. SAM-E ne devient pas un compagnon durable disponible dans Andromeda ; préserver les limites et conséquences de son lien avec Cora.</x:v>
      </x:c>
      <x:c r="N10" s="7" t="str">
        <x:v>La règle est contrôlée dans les textes, cartes, choix et sauvegardes ; incertitude résolue ou affichée.</x:v>
      </x:c>
      <x:c r="O10" s="7" t="str"/>
      <x:c r="P10" s="7" t="str">
        <x:v>Limite de continuité / contrôle transversal</x:v>
      </x:c>
      <x:c r="Q10" s="7" t="str">
        <x:v>INI-SRC-SAME</x:v>
      </x:c>
      <x:c r="R10" s="7" t="str">
        <x:v>https://masseffect.fandom.com/wiki/SAM-E</x:v>
      </x:c>
      <x:c r="S10" s="7" t="str">
        <x:v>Aucun numéro de chapitre ou de page n’est attribué sans exemplaire vérifié.</x:v>
      </x:c>
    </x:row>
    <x:row r="11" ht="68" customHeight="1">
      <x:c r="A11" s="18" t="str">
        <x:v>INI-CON-05</x:v>
      </x:c>
      <x:c r="B11" s="9" t="str">
        <x:v>Coût de surcharge</x:v>
      </x:c>
      <x:c r="C11" s="15" t="str">
        <x:v>Défini</x:v>
      </x:c>
      <x:c r="D11" s="16" t="str">
        <x:v>Établi</x:v>
      </x:c>
      <x:c r="E11" s="16" t="str">
        <x:v>P0</x:v>
      </x:c>
      <x:c r="F11" s="9" t="str">
        <x:v>L’amélioration extrême de Cora s’accompagne de conséquences physiques sérieuses.</x:v>
      </x:c>
      <x:c r="G11" s="9" t="str">
        <x:v>Contrainte éditoriale : verrouiller les dépendances avant intégration du module.</x:v>
      </x:c>
      <x:c r="H11" s="9" t="str"/>
      <x:c r="I11" s="9" t="str"/>
      <x:c r="J11" s="9" t="str"/>
      <x:c r="K11" s="9" t="str"/>
      <x:c r="L11" s="9" t="str">
        <x:v>continuity/ini.json ; règle documentée et décision de validation datée.</x:v>
      </x:c>
      <x:c r="M11" s="9" t="str">
        <x:v>L’action reste dans la Voie lactée avant le départ des arches. SAM-E ne devient pas un compagnon durable disponible dans Andromeda ; préserver les limites et conséquences de son lien avec Cora.</x:v>
      </x:c>
      <x:c r="N11" s="9" t="str">
        <x:v>La règle est contrôlée dans les textes, cartes, choix et sauvegardes ; incertitude résolue ou affichée.</x:v>
      </x:c>
      <x:c r="O11" s="9" t="str"/>
      <x:c r="P11" s="9" t="str">
        <x:v>Limite de continuité / contrôle transversal</x:v>
      </x:c>
      <x:c r="Q11" s="9" t="str">
        <x:v>INI-SRC-SAME</x:v>
      </x:c>
      <x:c r="R11" s="9" t="str">
        <x:v>https://masseffect.fandom.com/wiki/SAM-E</x:v>
      </x:c>
      <x:c r="S11" s="9" t="str">
        <x:v>Aucun numéro de chapitre ou de page n’est attribué sans exemplaire vérifié.</x:v>
      </x:c>
    </x:row>
    <x:row r="12" ht="68" customHeight="1">
      <x:c r="A12" s="19" t="str">
        <x:v>INI-CON-06</x:v>
      </x:c>
      <x:c r="B12" s="7" t="str">
        <x:v>Medea</x:v>
      </x:c>
      <x:c r="C12" s="15" t="str">
        <x:v>Défini</x:v>
      </x:c>
      <x:c r="D12" s="17" t="str">
        <x:v>Établi</x:v>
      </x:c>
      <x:c r="E12" s="17" t="str">
        <x:v>P0</x:v>
      </x:c>
      <x:c r="F12" s="7" t="str">
        <x:v>L’IA hybride est liée à Quiet Eddy ; la création ne généralise pas sa conduite à toutes les IA.</x:v>
      </x:c>
      <x:c r="G12" s="7" t="str">
        <x:v>Contrainte éditoriale : verrouiller les dépendances avant intégration du module.</x:v>
      </x:c>
      <x:c r="H12" s="7" t="str"/>
      <x:c r="I12" s="7" t="str"/>
      <x:c r="J12" s="7" t="str"/>
      <x:c r="K12" s="7" t="str"/>
      <x:c r="L12" s="7" t="str">
        <x:v>continuity/ini.json ; règle documentée et décision de validation datée.</x:v>
      </x:c>
      <x:c r="M12" s="7" t="str">
        <x:v>L’action reste dans la Voie lactée avant le départ des arches. SAM-E ne devient pas un compagnon durable disponible dans Andromeda ; préserver les limites et conséquences de son lien avec Cora.</x:v>
      </x:c>
      <x:c r="N12" s="7" t="str">
        <x:v>La règle est contrôlée dans les textes, cartes, choix et sauvegardes ; incertitude résolue ou affichée.</x:v>
      </x:c>
      <x:c r="O12" s="7" t="str"/>
      <x:c r="P12" s="7" t="str">
        <x:v>Limite de continuité / contrôle transversal</x:v>
      </x:c>
      <x:c r="Q12" s="7" t="str">
        <x:v>INI-SRC-MEDEA</x:v>
      </x:c>
      <x:c r="R12" s="7" t="str">
        <x:v>https://masseffect.fandom.com/wiki/Medea</x:v>
      </x:c>
      <x:c r="S12" s="7" t="str">
        <x:v>Aucun numéro de chapitre ou de page n’est attribué sans exemplaire vérifié.</x:v>
      </x:c>
    </x:row>
    <x:row r="13" ht="68" customHeight="1">
      <x:c r="A13" s="18" t="str">
        <x:v>INI-CON-07</x:v>
      </x:c>
      <x:c r="B13" s="9" t="str">
        <x:v>Survivants de Quiet Eddy</x:v>
      </x:c>
      <x:c r="C13" s="15" t="str">
        <x:v>Défini</x:v>
      </x:c>
      <x:c r="D13" s="16" t="str">
        <x:v>À vérifier</x:v>
      </x:c>
      <x:c r="E13" s="16" t="str">
        <x:v>P0</x:v>
      </x:c>
      <x:c r="F13" s="9" t="str">
        <x:v>La liste précise et la présence par scène doivent être relues dans l’édition avant réalisation.</x:v>
      </x:c>
      <x:c r="G13" s="9" t="str">
        <x:v>Contrainte éditoriale : verrouiller les dépendances avant intégration du module.</x:v>
      </x:c>
      <x:c r="H13" s="9" t="str"/>
      <x:c r="I13" s="9" t="str"/>
      <x:c r="J13" s="9" t="str"/>
      <x:c r="K13" s="9" t="str"/>
      <x:c r="L13" s="9" t="str">
        <x:v>continuity/ini.json ; règle documentée et décision de validation datée.</x:v>
      </x:c>
      <x:c r="M13" s="9" t="str">
        <x:v>L’action reste dans la Voie lactée avant le départ des arches. SAM-E ne devient pas un compagnon durable disponible dans Andromeda ; préserver les limites et conséquences de son lien avec Cora.</x:v>
      </x:c>
      <x:c r="N13" s="9" t="str">
        <x:v>La règle est contrôlée dans les textes, cartes, choix et sauvegardes ; incertitude résolue ou affichée.</x:v>
      </x:c>
      <x:c r="O13" s="9" t="str"/>
      <x:c r="P13" s="9" t="str">
        <x:v>Limite de continuité / contrôle transversal</x:v>
      </x:c>
      <x:c r="Q13" s="9" t="str"/>
      <x:c r="R13" s="9" t="str"/>
      <x:c r="S13" s="9" t="str">
        <x:v>Aucun numéro de chapitre ou de page n’est attribué sans exemplaire vérifié.</x:v>
      </x:c>
    </x:row>
    <x:row r="14" ht="68" customHeight="1">
      <x:c r="A14" s="19" t="str">
        <x:v>INI-CON-08</x:v>
      </x:c>
      <x:c r="B14" s="7" t="str">
        <x:v>Fin du lien</x:v>
      </x:c>
      <x:c r="C14" s="15" t="str">
        <x:v>Défini</x:v>
      </x:c>
      <x:c r="D14" s="17" t="str">
        <x:v>Établi</x:v>
      </x:c>
      <x:c r="E14" s="17" t="str">
        <x:v>P0</x:v>
      </x:c>
      <x:c r="F14" s="7" t="str">
        <x:v>Les souvenirs de SAM-E et son existence autonome ne sont pas équivalents ; conserver la distinction de l’issue décrite.</x:v>
      </x:c>
      <x:c r="G14" s="7" t="str">
        <x:v>Contrainte éditoriale : verrouiller les dépendances avant intégration du module.</x:v>
      </x:c>
      <x:c r="H14" s="7" t="str"/>
      <x:c r="I14" s="7" t="str"/>
      <x:c r="J14" s="7" t="str"/>
      <x:c r="K14" s="7" t="str"/>
      <x:c r="L14" s="7" t="str">
        <x:v>continuity/ini.json ; règle documentée et décision de validation datée.</x:v>
      </x:c>
      <x:c r="M14" s="7" t="str">
        <x:v>L’action reste dans la Voie lactée avant le départ des arches. SAM-E ne devient pas un compagnon durable disponible dans Andromeda ; préserver les limites et conséquences de son lien avec Cora.</x:v>
      </x:c>
      <x:c r="N14" s="7" t="str">
        <x:v>La règle est contrôlée dans les textes, cartes, choix et sauvegardes ; incertitude résolue ou affichée.</x:v>
      </x:c>
      <x:c r="O14" s="7" t="str"/>
      <x:c r="P14" s="7" t="str">
        <x:v>Limite de continuité / contrôle transversal</x:v>
      </x:c>
      <x:c r="Q14" s="7" t="str">
        <x:v>INI-SRC-SAME</x:v>
      </x:c>
      <x:c r="R14" s="7" t="str">
        <x:v>https://masseffect.fandom.com/wiki/SAM-E</x:v>
      </x:c>
      <x:c r="S14" s="7" t="str">
        <x:v>Aucun numéro de chapitre ou de page n’est attribué sans exemplaire vérifié.</x:v>
      </x:c>
    </x:row>
  </x:sheetData>
  <x:conditionalFormatting sqref="D7:D14">
    <x:cfRule type="cellIs" dxfId="100" priority="1" operator="equal">
      <x:formula>"À vérifier"</x:formula>
    </x:cfRule>
    <x:cfRule type="cellIs" dxfId="101" priority="2" operator="equal">
      <x:formula>"Extrapolation"</x:formula>
    </x:cfRule>
  </x:conditionalFormatting>
  <x:conditionalFormatting sqref="C7:C14">
    <x:cfRule type="cellIs" dxfId="102" priority="3" operator="equal">
      <x:formula>"Validé"</x:formula>
    </x:cfRule>
  </x:conditionalFormatting>
  <x:conditionalFormatting sqref="E7:E14">
    <x:cfRule type="cellIs" dxfId="103" priority="4" operator="equal">
      <x:formula>"P0"</x:formula>
    </x:cfRule>
  </x:conditionalFormatting>
  <x:dataValidations count="3">
    <x:dataValidation type="list" sqref="C7:C14">
      <x:formula1>"Défini,Prototype,Intégré,Validé"</x:formula1>
    </x:dataValidation>
    <x:dataValidation type="list" sqref="D7:D14">
      <x:formula1>"Établi,À vérifier,Extrapolation,Coupé attesté,Concept abandonné,Allégation écartée"</x:formula1>
    </x:dataValidation>
    <x:dataValidation type="list" sqref="E7:E14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d3aea92bac47b0"/>
  </x:tableParts>
</x:worksheet>
</file>

<file path=xl/worksheets/sheet28.xml><?xml version="1.0" encoding="utf-8"?>
<x:worksheet xmlns:x="http://schemas.openxmlformats.org/spreadsheetml/2006/main">
  <x:sheetPr>
    <x:tabColor rgb="FF7892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67" hidden="0" customWidth="1"/>
    <x:col min="3" max="3" width="47" hidden="0" customWidth="1"/>
    <x:col min="4" max="4" width="90" hidden="0" customWidth="1"/>
    <x:col min="5" max="5" width="48" hidden="0" customWidth="1"/>
    <x:col min="6" max="6" width="65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Guide du catalogue</x:v>
      </x:c>
      <x:c r="B2" s="2"/>
      <x:c r="C2" s="2"/>
      <x:c r="D2" s="2"/>
      <x:c r="E2" s="2"/>
      <x:c r="F2" s="2"/>
    </x:row>
    <x:row r="3" ht="22" customHeight="1">
      <x:c r="A3" s="4" t="str">
        <x:v>Mass Effect Andromeda: Initiation</x:v>
      </x:c>
      <x:c r="B3" s="2"/>
      <x:c r="C3" s="2"/>
      <x:c r="D3" s="2"/>
      <x:c r="E3" s="2"/>
      <x:c r="F3" s="2"/>
    </x:row>
    <x:row r="4" ht="22" customHeight="1">
      <x:c r="A4" s="5"/>
      <x:c r="B4" s="5"/>
      <x:c r="C4" s="5"/>
      <x:c r="D4" s="5"/>
      <x:c r="E4" s="5"/>
      <x:c r="F4" s="5"/>
    </x:row>
    <x:row r="5" ht="22" customHeight="1">
      <x:c r="A5" s="2"/>
      <x:c r="B5" s="2"/>
      <x:c r="C5" s="2"/>
      <x:c r="D5" s="2"/>
      <x:c r="E5" s="2"/>
      <x:c r="F5" s="2"/>
    </x:row>
    <x:row r="6" ht="34" customHeight="1">
      <x:c r="A6" s="28" t="str">
        <x:v>Champ</x:v>
      </x:c>
      <x:c r="B6" s="30" t="str">
        <x:v>Définition</x:v>
      </x:c>
      <x:c r="C6" s="2"/>
      <x:c r="D6" s="2"/>
      <x:c r="E6" s="2"/>
      <x:c r="F6" s="2"/>
    </x:row>
    <x:row r="7" ht="30" customHeight="1">
      <x:c r="A7" s="7" t="str">
        <x:v>Œuvre</x:v>
      </x:c>
      <x:c r="B7" s="7" t="str">
        <x:v>Mass Effect Andromeda: Initiation</x:v>
      </x:c>
      <x:c r="C7" s="2"/>
      <x:c r="D7" s="2"/>
      <x:c r="E7" s="2"/>
      <x:c r="F7" s="2"/>
    </x:row>
    <x:row r="8" ht="30" customHeight="1">
      <x:c r="A8" s="7" t="str">
        <x:v>Support</x:v>
      </x:c>
      <x:c r="B8" s="7" t="str">
        <x:v>Roman</x:v>
      </x:c>
      <x:c r="C8" s="2"/>
      <x:c r="D8" s="2"/>
      <x:c r="E8" s="2"/>
      <x:c r="F8" s="2"/>
    </x:row>
    <x:row r="9" ht="40" customHeight="1">
      <x:c r="A9" s="7" t="str">
        <x:v>Périmètre</x:v>
      </x:c>
      <x:c r="B9" s="7" t="str">
        <x:v>Roman de N. K. Jemisin et Mac Walters ; mission de Cora avant le départ de l’Initiative.</x:v>
      </x:c>
      <x:c r="C9" s="2"/>
      <x:c r="D9" s="2"/>
      <x:c r="E9" s="2"/>
      <x:c r="F9" s="2"/>
    </x:row>
    <x:row r="10" ht="54" customHeight="1">
      <x:c r="A10" s="7" t="str">
        <x:v>Projet</x:v>
      </x:c>
      <x:c r="B10" s="7" t="str">
        <x:v>159 fiches de production ; 5 fiches au stade Prototype de portée partielle. Les autres livrables restent des spécifications ; aucun achèvement intégral 1:1 revendiqué.</x:v>
      </x:c>
      <x:c r="C10" s="2"/>
      <x:c r="D10" s="2"/>
      <x:c r="E10" s="2"/>
      <x:c r="F10" s="2"/>
    </x:row>
    <x:row r="11" ht="110" customHeight="1">
      <x:c r="A11" s="7" t="str">
        <x:v>Références et limites</x:v>
      </x:c>
      <x:c r="B11" s="7" t="str">
        <x:v>L’action reste dans la Voie lactée avant le départ des arches. SAM-E ne devient pas un compagnon durable disponible dans Andromeda ; préserver les limites et conséquences de son lien avec Cora. Les données de gameplay, plans, choix, statistiques, sprites et sons sont des créations d’adaptation ; tous les ajouts jouables sont marqués Extrapolation. Sources consultées le 22 octobre 2026.</x:v>
      </x:c>
      <x:c r="C11" s="2"/>
      <x:c r="D11" s="2"/>
      <x:c r="E11" s="2"/>
      <x:c r="F11" s="2"/>
    </x:row>
    <x:row r="12" ht="30" customHeight="1">
      <x:c r="A12" s="7" t="str">
        <x:v>Date de référence</x:v>
      </x:c>
      <x:c r="B12" s="42" t="d">
        <x:v>2026-10-22T12:00:00.000Z</x:v>
      </x:c>
      <x:c r="C12" s="2"/>
      <x:c r="D12" s="2"/>
      <x:c r="E12" s="2"/>
      <x:c r="F12" s="2"/>
    </x:row>
    <x:row r="13" ht="40" customHeight="1">
      <x:c r="A13" s="7" t="str">
        <x:v>Statut Défini</x:v>
      </x:c>
      <x:c r="B13" s="7" t="str">
        <x:v>Fiche de conception à réaliser. Aucun asset ou code supplémentaire n’est prouvé par cette valeur.</x:v>
      </x:c>
      <x:c r="C13" s="2"/>
      <x:c r="D13" s="2"/>
      <x:c r="E13" s="2"/>
      <x:c r="F13" s="2"/>
    </x:row>
    <x:row r="14" ht="40" customHeight="1">
      <x:c r="A14" s="7" t="str">
        <x:v>Établi</x:v>
      </x:c>
      <x:c r="B14" s="7" t="str">
        <x:v>Fait de référence documenté. Les colonnes adaptation, règles, visuel et animation décrivent la production envisagée.</x:v>
      </x:c>
      <x:c r="C14" s="2"/>
      <x:c r="D14" s="2"/>
      <x:c r="E14" s="2"/>
      <x:c r="F14" s="2"/>
    </x:row>
    <x:row r="15" ht="40" customHeight="1">
      <x:c r="A15" s="7" t="str">
        <x:v>À vérifier</x:v>
      </x:c>
      <x:c r="B15" s="7" t="str">
        <x:v>Information partielle, indexée ou nécessitant un contrôle dans l’œuvre originale.</x:v>
      </x:c>
      <x:c r="C15" s="2"/>
      <x:c r="D15" s="2"/>
      <x:c r="E15" s="2"/>
      <x:c r="F15" s="2"/>
    </x:row>
    <x:row r="16" ht="40" customHeight="1">
      <x:c r="A16" s="7" t="str">
        <x:v>Extrapolation</x:v>
      </x:c>
      <x:c r="B16" s="7" t="str">
        <x:v>Création ou interprétation pour le fan game. Ne décrit pas un contenu officiel.</x:v>
      </x:c>
      <x:c r="C16" s="2"/>
      <x:c r="D16" s="2"/>
      <x:c r="E16" s="2"/>
      <x:c r="F16" s="2"/>
    </x:row>
    <x:row r="17" ht="40" customHeight="1">
      <x:c r="A17" s="7" t="str">
        <x:v>Coupé attesté</x:v>
      </x:c>
      <x:c r="B17" s="7" t="str">
        <x:v>Contenu retiré appuyé par une source identifiée. Son état exact peut rester à relever.</x:v>
      </x:c>
      <x:c r="C17" s="2"/>
      <x:c r="D17" s="2"/>
      <x:c r="E17" s="2"/>
      <x:c r="F17" s="2"/>
    </x:row>
    <x:row r="18" ht="40" customHeight="1">
      <x:c r="A18" s="7" t="str">
        <x:v>Concept abandonné</x:v>
      </x:c>
      <x:c r="B18" s="7" t="str">
        <x:v>Piste ou prototype documenté, sans scénario final officiel présumé.</x:v>
      </x:c>
      <x:c r="C18" s="2"/>
      <x:c r="D18" s="2"/>
      <x:c r="E18" s="2"/>
      <x:c r="F18" s="2"/>
    </x:row>
    <x:row r="19" ht="40" customHeight="1">
      <x:c r="A19" s="7" t="str">
        <x:v>Allégation écartée</x:v>
      </x:c>
      <x:c r="B19" s="7" t="str">
        <x:v>Hypothèse exclue de la continuité de production. Motif donné dans la fiche.</x:v>
      </x:c>
      <x:c r="C19" s="2"/>
      <x:c r="D19" s="2"/>
      <x:c r="E19" s="2"/>
      <x:c r="F19" s="2"/>
    </x:row>
    <x:row r="20" ht="40" customHeight="1">
      <x:c r="A20" s="7" t="str">
        <x:v>Priorités</x:v>
      </x:c>
      <x:c r="B20" s="7" t="str">
        <x:v>P0 : dépendance structurante. P1 : production du module. P2 : enrichissement ultérieur.</x:v>
      </x:c>
      <x:c r="C20" s="2"/>
      <x:c r="D20" s="2"/>
      <x:c r="E20" s="2"/>
      <x:c r="F20" s="2"/>
    </x:row>
    <x:row r="21" ht="54" customHeight="1">
      <x:c r="A21" s="7" t="str">
        <x:v>Édition</x:v>
      </x:c>
      <x:c r="B21" s="7" t="str">
        <x:v>Les statuts se modifient dans les cellules ambre. Les compteurs se recalculent. Les modifications Excel ne sont pas réimportées automatiquement.</x:v>
      </x:c>
      <x:c r="C21" s="2"/>
      <x:c r="D21" s="2"/>
      <x:c r="E21" s="2"/>
      <x:c r="F21" s="2"/>
    </x:row>
    <x:row r="22" ht="40" customHeight="1">
      <x:c r="A22" s="7" t="str">
        <x:v>Régénération</x:v>
      </x:c>
      <x:c r="B22" s="7" t="str">
        <x:v>Conserver les décisions approuvées dans le catalogue JSON du dépôt avant de régénérer ce classeur.</x:v>
      </x:c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34" customHeight="1">
      <x:c r="A26" s="28" t="str">
        <x:v>Source</x:v>
      </x:c>
      <x:c r="B26" s="29" t="str">
        <x:v>Titre</x:v>
      </x:c>
      <x:c r="C26" s="29" t="str">
        <x:v>Type</x:v>
      </x:c>
      <x:c r="D26" s="29" t="str">
        <x:v>URL</x:v>
      </x:c>
      <x:c r="E26" s="29" t="str">
        <x:v>Périmètre</x:v>
      </x:c>
      <x:c r="F26" s="30" t="str">
        <x:v>Accès et limites</x:v>
      </x:c>
    </x:row>
    <x:row r="27" ht="54" customHeight="1">
      <x:c r="A27" s="6" t="str">
        <x:v>INI-SRC-PUB</x:v>
      </x:c>
      <x:c r="B27" s="6" t="str">
        <x:v>Penguin Random House / Titan — Initiation</x:v>
      </x:c>
      <x:c r="C27" s="6" t="str">
        <x:v>source officielle</x:v>
      </x:c>
      <x:c r="D27" s="6" t="str">
        <x:v>https://www.penguinrandomhouse.com/books/555323/mass-effect-initiation-by-nk-jemisin/</x:v>
      </x:c>
      <x:c r="E27" s="6" t="str">
        <x:v>Auteurs, publication et mission de Cora</x:v>
      </x:c>
      <x:c r="F27" s="6" t="str">
        <x:v>Consulté le 22 octobre 2026. Faits courts uniquement ; la publication originale reste nécessaire pour contrôler les détails.</x:v>
      </x:c>
    </x:row>
    <x:row r="28" ht="54" customHeight="1">
      <x:c r="A28" s="6" t="str">
        <x:v>INI-SRC-SAME</x:v>
      </x:c>
      <x:c r="B28" s="6" t="str">
        <x:v>Mass Effect Wiki — SAM-E</x:v>
      </x:c>
      <x:c r="C28" s="6" t="str">
        <x:v>wiki</x:v>
      </x:c>
      <x:c r="D28" s="6" t="str">
        <x:v>https://masseffect.fandom.com/wiki/SAM-E</x:v>
      </x:c>
      <x:c r="E28" s="6" t="str">
        <x:v>Lien avec Cora, limites, lieux et intégration à SAM</x:v>
      </x:c>
      <x:c r="F28" s="6" t="str">
        <x:v>Consulté le 22 octobre 2026. Faits courts uniquement ; la publication originale reste nécessaire pour contrôler les détails.</x:v>
      </x:c>
    </x:row>
    <x:row r="29" ht="54" customHeight="1">
      <x:c r="A29" s="6" t="str">
        <x:v>INI-SRC-QUIET</x:v>
      </x:c>
      <x:c r="B29" s="6" t="str">
        <x:v>Mass Effect Wiki — Quiet Eddy</x:v>
      </x:c>
      <x:c r="C29" s="6" t="str">
        <x:v>wiki</x:v>
      </x:c>
      <x:c r="D29" s="6" t="str">
        <x:v>https://masseffect.fandom.com/wiki/Quiet_Eddy</x:v>
      </x:c>
      <x:c r="E29" s="6" t="str">
        <x:v>Installation, survivants et évacuation</x:v>
      </x:c>
      <x:c r="F29" s="6" t="str">
        <x:v>Consulté le 22 octobre 2026. Faits courts uniquement ; la publication originale reste nécessaire pour contrôler les détails.</x:v>
      </x:c>
    </x:row>
    <x:row r="30" ht="54" customHeight="1">
      <x:c r="A30" s="6" t="str">
        <x:v>INI-SRC-MEDEA</x:v>
      </x:c>
      <x:c r="B30" s="6" t="str">
        <x:v>Mass Effect Wiki — Medea</x:v>
      </x:c>
      <x:c r="C30" s="6" t="str">
        <x:v>wiki</x:v>
      </x:c>
      <x:c r="D30" s="6" t="str">
        <x:v>https://masseffect.fandom.com/wiki/Medea</x:v>
      </x:c>
      <x:c r="E30" s="6" t="str">
        <x:v>IA hybride et contrôle des augments</x:v>
      </x:c>
      <x:c r="F30" s="6" t="str">
        <x:v>Consulté le 22 octobre 2026. Faits courts uniquement ; la publication originale reste nécessaire pour contrôler les détails.</x:v>
      </x:c>
    </x:row>
    <x:row r="31" ht="54" customHeight="1">
      <x:c r="A31" s="6" t="str">
        <x:v>INI-SRC-VLASSIA</x:v>
      </x:c>
      <x:c r="B31" s="6" t="str">
        <x:v>Mass Effect Wiki — Vlassia Ariokis</x:v>
      </x:c>
      <x:c r="C31" s="6" t="str">
        <x:v>wiki</x:v>
      </x:c>
      <x:c r="D31" s="6" t="str">
        <x:v>https://masseffect.fandom.com/wiki/Vlassia_Ariokis</x:v>
      </x:c>
      <x:c r="E31" s="6" t="str">
        <x:v>Officier du renseignement et Quiet Eddy</x:v>
      </x:c>
      <x:c r="F31" s="6" t="str">
        <x:v>Consulté le 22 octobre 2026. Faits courts uniquement ; la publication originale reste nécessaire pour contrôler les détails.</x:v>
      </x:c>
    </x:row>
    <x:row r="32" ht="54" customHeight="1">
      <x:c r="A32" s="6" t="str">
        <x:v>INI-SRC-CORA</x:v>
      </x:c>
      <x:c r="B32" s="6" t="str">
        <x:v>Mass Effect Wiki — Cora Harper</x:v>
      </x:c>
      <x:c r="C32" s="6" t="str">
        <x:v>wiki</x:v>
      </x:c>
      <x:c r="D32" s="6" t="str">
        <x:v>https://masseffect.fandom.com/wiki/Cora_Harper</x:v>
      </x:c>
      <x:c r="E32" s="6" t="str">
        <x:v>Cora, technologie volée et lien avec Medea</x:v>
      </x:c>
      <x:c r="F32" s="6" t="str">
        <x:v>Consulté le 22 octobre 2026. Faits courts uniquement ; la publication originale reste nécessaire pour contrôler les détails.</x:v>
      </x:c>
    </x:row>
    <x:row r="33" ht="54" customHeight="1">
      <x:c r="A33" s="6" t="str">
        <x:v>INI-SRC-STORY</x:v>
      </x:c>
      <x:c r="B33" s="6" t="str">
        <x:v>Mass Effect Wiki — Storyline IV</x:v>
      </x:c>
      <x:c r="C33" s="6" t="str">
        <x:v>wiki</x:v>
      </x:c>
      <x:c r="D33" s="6" t="str">
        <x:v>https://masseffect.fandom.com/wiki/Storyline_IV</x:v>
      </x:c>
      <x:c r="E33" s="6" t="str">
        <x:v>Extraits indexés : Theia, Home Away, Audacity, Illium ; ouverture directe refusée</x:v>
      </x:c>
      <x:c r="F33" s="6" t="str">
        <x:v>Consulté le 22 octobre 2026. Faits courts uniquement ; la publication originale reste nécessaire pour contrôler les détails.</x:v>
      </x:c>
    </x:row>
    <x:row r="34" ht="54" customHeight="1">
      <x:c r="A34" s="6" t="str">
        <x:v>INI-SRC-REVIEW</x:v>
      </x:c>
      <x:c r="B34" s="6" t="str">
        <x:v>Reactor — critique d’Initiation</x:v>
      </x:c>
      <x:c r="C34" s="6" t="str">
        <x:v>presse</x:v>
      </x:c>
      <x:c r="D34" s="6" t="str">
        <x:v>https://reactormag.com/book-reviews-mass-effect-initiation-by-n-k-jemisin-and-mac-walters-a-review//</x:v>
      </x:c>
      <x:c r="E34" s="6" t="str">
        <x:v>Ygara, mission d’espionnage et relation Cora/SAM-E</x:v>
      </x:c>
      <x:c r="F34" s="6" t="str">
        <x:v>Consulté le 22 octobre 2026. Faits courts uniquement ; la publication originale reste nécessaire pour contrôler les détails.</x:v>
      </x:c>
    </x:row>
    <x:row r="35" ht="54" customHeight="1">
      <x:c r="A35" s="6" t="str">
        <x:v>INI-SRC-LINEUP</x:v>
      </x:c>
      <x:c r="B35" s="6" t="str">
        <x:v>Titan Books — annonce des romans</x:v>
      </x:c>
      <x:c r="C35" s="6" t="str">
        <x:v>source officielle</x:v>
      </x:c>
      <x:c r="D35" s="6" t="str">
        <x:v>https://titanbooks.com/blog/announcing-official-mass-effect-novels/</x:v>
      </x:c>
      <x:c r="E35" s="6" t="str">
        <x:v>Collaboration avec BioWare ; annonce distincte de la publication effective</x:v>
      </x:c>
      <x:c r="F35" s="6" t="str">
        <x:v>Consulté le 22 octobre 2026. Faits courts uniquement ; la publication originale reste nécessaire pour contrôler les détails.</x:v>
      </x:c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34" customHeight="1">
      <x:c r="A39" s="28" t="str">
        <x:v>Domaine</x:v>
      </x:c>
      <x:c r="B39" s="29" t="str">
        <x:v>Couverture actuelle</x:v>
      </x:c>
      <x:c r="C39" s="30" t="str">
        <x:v>Travail restant</x:v>
      </x:c>
      <x:c r="D39" s="2"/>
      <x:c r="E39" s="2"/>
      <x:c r="F39" s="2"/>
    </x:row>
    <x:row r="40" ht="110" customHeight="1">
      <x:c r="A40" s="6" t="str">
        <x:v>Références canoniques</x:v>
      </x:c>
      <x:c r="B40" s="6" t="str">
        <x:v>Cora, SAM-E et la récupération d’une technologie volée ; adaptation originale mêlant infiltration, coopération humain/IA et évacuation de civils.</x:v>
      </x:c>
      <x:c r="C40" s="6" t="str">
        <x:v>Le roman intégral n’a pas été relu. Les marques d’armes, le détail des expériences, les plans et le calendrier des épisodes restent à confirmer. Les personnages secondaires de Quiet Eddy sont couverts par fiches courtes, sans reproduire leurs histoires.</x:v>
      </x:c>
      <x:c r="D40" s="2"/>
      <x:c r="E40" s="2"/>
      <x:c r="F40" s="2"/>
    </x:row>
    <x:row r="41" ht="68" customHeight="1">
      <x:c r="A41" s="6" t="str">
        <x:v>Personnages et direction artistique</x:v>
      </x:c>
      <x:c r="B41" s="6" t="str">
        <x:v>10 personnages/PNJ documentés, avec planches, poses et intentions de dialogues originales distinctes.</x:v>
      </x:c>
      <x:c r="C41" s="6" t="str">
        <x:v>Valider les costumes, accessoires et nuances de caractérisation avec un exemplaire légal de l’œuvre ; pour le film, établir une bible visuelle par visionnage.</x:v>
      </x:c>
      <x:c r="D41" s="2"/>
      <x:c r="E41" s="2"/>
      <x:c r="F41" s="2"/>
    </x:row>
    <x:row r="42" ht="54" customHeight="1">
      <x:c r="A42" s="6" t="str">
        <x:v>Cartes et progression</x:v>
      </x:c>
      <x:c r="B42" s="6" t="str">
        <x:v>8 cartes proposées, leurs kits et transitions ; 8 missions originales avec options, annexes, cinématiques et critères de test.</x:v>
      </x:c>
      <x:c r="C42" s="6" t="str">
        <x:v>Blockouts, distances, budgets mémoire et temps de parcours à mesurer ; aucune carte officielle n’est revendiquée.</x:v>
      </x:c>
      <x:c r="D42" s="2"/>
      <x:c r="E42" s="2"/>
      <x:c r="F42" s="2"/>
    </x:row>
    <x:row r="43" ht="68" customHeight="1">
      <x:c r="A43" s="6" t="str">
        <x:v>Combat, systèmes et médias</x:v>
      </x:c>
      <x:c r="B43" s="6" t="str">
        <x:v>4 rencontres proposées, movesets, VFX, actions alliées, interface, audio et sauvegarde.</x:v>
      </x:c>
      <x:c r="C43" s="6" t="str">
        <x:v>Prototype, équilibrage, réalisation des assets, doublage éventuel et tests encore à faire. Aucune ligne ne signifie que le fan game contient déjà cet élément.</x:v>
      </x:c>
      <x:c r="D43" s="2"/>
      <x:c r="E43" s="2"/>
      <x:c r="F43" s="2"/>
    </x:row>
    <x:row r="44" ht="68" customHeight="1">
      <x:c r="A44" s="6" t="str">
        <x:v>Accès aux pages demandées</x:v>
      </x:c>
      <x:c r="B44" s="6" t="str">
        <x:v>La page demandée https://masseffect.fandom.com/wiki/Mass_Effect_Andromeda:_Initiation a refusé l’ouverture. Notice PRH, critique de Reactor, pages indexées SAM-E, Medea et Quiet Eddy servent de remplacements.</x:v>
      </x:c>
      <x:c r="C44" s="6" t="str">
        <x:v>Les extraits indexés ne remplacent pas une vérification de l’œuvre intégrale. Les traductions françaises des noms et titres restent à contrôler selon l’édition retenue.</x:v>
      </x:c>
      <x:c r="D44" s="2"/>
      <x:c r="E44" s="2"/>
      <x:c r="F44" s="2"/>
    </x:row>
    <x:row r="45" ht="96" customHeight="1">
      <x:c r="A45" s="6" t="str">
        <x:v>Complément pouvoirs, modules et lectures</x:v>
      </x:c>
      <x:c r="B45" s="6" t="str">
        <x:v>0 fiches de pouvoirs utilisées, 0 familles de modules préparables et 5 références consultables dans une lecture documentaire. Les chemins et preuves sont inscrits sur les seules lignes Prototype.</x:v>
      </x:c>
      <x:c r="C45" s="6" t="str">
        <x:v>Arbres et progression complets, modèles et rangs exacts, campagnes et dialogues intégraux, niveaux et ressources visuelles propres à l’œuvre restent à réaliser ou vérifier. Les références lues ne rendent pas leurs personnages jouables.</x:v>
      </x:c>
      <x:c r="D45" s="2"/>
      <x:c r="E45" s="2"/>
      <x:c r="F45" s="2"/>
    </x:row>
    <x:row r="46" ht="22" customHeight="1">
      <x:c r="A46" s="2"/>
      <x:c r="B46" s="2"/>
      <x:c r="C46" s="2"/>
      <x:c r="D46" s="2"/>
      <x:c r="E46" s="2"/>
      <x:c r="F46" s="2"/>
    </x:row>
    <x:row r="47" ht="22" customHeight="1">
      <x:c r="A47" s="2"/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  <x:row r="49" ht="22" customHeight="1">
      <x:c r="A49" s="2"/>
      <x:c r="B49" s="2"/>
      <x:c r="C49" s="2"/>
      <x:c r="D49" s="2"/>
      <x:c r="E49" s="2"/>
      <x:c r="F49" s="2"/>
    </x:row>
    <x:row r="50" ht="22" customHeight="1">
      <x:c r="A50" s="2"/>
      <x:c r="B50" s="2"/>
      <x:c r="C50" s="2"/>
      <x:c r="D50" s="2"/>
      <x:c r="E50" s="2"/>
      <x:c r="F50" s="2"/>
    </x:row>
    <x:row r="51" ht="22" customHeight="1">
      <x:c r="A51" s="2"/>
      <x:c r="B51" s="2"/>
      <x:c r="C51" s="2"/>
      <x:c r="D51" s="2"/>
      <x:c r="E51" s="2"/>
      <x:c r="F51" s="2"/>
    </x:row>
    <x:row r="52" ht="22" customHeight="1">
      <x:c r="A52" s="2"/>
      <x:c r="B52" s="2"/>
      <x:c r="C52" s="2"/>
      <x:c r="D52" s="2"/>
      <x:c r="E52" s="2"/>
      <x:c r="F52" s="2"/>
    </x:row>
    <x:row r="53" ht="22" customHeight="1">
      <x:c r="A53" s="2"/>
      <x:c r="B53" s="2"/>
      <x:c r="C53" s="2"/>
      <x:c r="D53" s="2"/>
      <x:c r="E53" s="2"/>
      <x:c r="F53" s="2"/>
    </x:row>
    <x:row r="54" ht="22" customHeight="1">
      <x:c r="A54" s="2"/>
      <x:c r="B54" s="2"/>
      <x:c r="C54" s="2"/>
      <x:c r="D54" s="2"/>
      <x:c r="E54" s="2"/>
      <x:c r="F54" s="2"/>
    </x:row>
    <x:row r="55" ht="22" customHeight="1">
      <x:c r="A55" s="2"/>
      <x:c r="B55" s="2"/>
      <x:c r="C55" s="2"/>
      <x:c r="D55" s="2"/>
      <x:c r="E55" s="2"/>
      <x:c r="F55" s="2"/>
    </x:row>
    <x:row r="56" ht="22" customHeight="1">
      <x:c r="A56" s="2"/>
      <x:c r="B56" s="2"/>
      <x:c r="C56" s="2"/>
      <x:c r="D56" s="2"/>
      <x:c r="E56" s="2"/>
      <x:c r="F56" s="2"/>
    </x:row>
    <x:row r="57" ht="22" customHeight="1">
      <x:c r="A57" s="2"/>
      <x:c r="B57" s="2"/>
      <x:c r="C57" s="2"/>
      <x:c r="D57" s="2"/>
      <x:c r="E57" s="2"/>
      <x:c r="F57" s="2"/>
    </x:row>
    <x:row r="58" ht="22" customHeight="1">
      <x:c r="A58" s="2"/>
      <x:c r="B58" s="2"/>
      <x:c r="C58" s="2"/>
      <x:c r="D58" s="2"/>
      <x:c r="E58" s="2"/>
      <x:c r="F58" s="2"/>
    </x:row>
    <x:row r="59" ht="22" customHeight="1">
      <x:c r="A59" s="2"/>
      <x:c r="B59" s="2"/>
      <x:c r="C59" s="2"/>
      <x:c r="D59" s="2"/>
      <x:c r="E59" s="2"/>
      <x:c r="F59" s="2"/>
    </x:row>
    <x:row r="60" ht="22" customHeight="1">
      <x:c r="A60" s="2"/>
      <x:c r="B60" s="2"/>
      <x:c r="C60" s="2"/>
      <x:c r="D60" s="2"/>
      <x:c r="E60" s="2"/>
      <x:c r="F60" s="2"/>
    </x:row>
    <x:row r="61" ht="22" customHeight="1">
      <x:c r="A61" s="2"/>
      <x:c r="B61" s="2"/>
      <x:c r="C61" s="2"/>
      <x:c r="D61" s="2"/>
      <x:c r="E61" s="2"/>
      <x:c r="F61" s="2"/>
    </x:row>
    <x:row r="62" ht="22" customHeight="1">
      <x:c r="A62" s="2"/>
      <x:c r="B62" s="2"/>
      <x:c r="C62" s="2"/>
      <x:c r="D62" s="2"/>
      <x:c r="E62" s="2"/>
      <x:c r="F62" s="2"/>
    </x:row>
    <x:row r="63" ht="22" customHeight="1">
      <x:c r="A63" s="2"/>
      <x:c r="B63" s="2"/>
      <x:c r="C63" s="2"/>
      <x:c r="D63" s="2"/>
      <x:c r="E63" s="2"/>
      <x:c r="F63" s="2"/>
    </x:row>
    <x:row r="64" ht="22" customHeight="1">
      <x:c r="A64" s="2"/>
      <x:c r="B64" s="2"/>
      <x:c r="C64" s="2"/>
      <x:c r="D64" s="2"/>
      <x:c r="E64" s="2"/>
      <x:c r="F64" s="2"/>
    </x:row>
    <x:row r="65" ht="22" customHeight="1">
      <x:c r="A65" s="2"/>
      <x:c r="B65" s="2"/>
      <x:c r="C65" s="2"/>
      <x:c r="D65" s="2"/>
      <x:c r="E65" s="2"/>
      <x:c r="F65" s="2"/>
    </x:row>
    <x:row r="66" ht="22" customHeight="1">
      <x:c r="A66" s="2"/>
      <x:c r="B66" s="2"/>
      <x:c r="C66" s="2"/>
      <x:c r="D66" s="2"/>
      <x:c r="E66" s="2"/>
      <x:c r="F66" s="2"/>
    </x:row>
    <x:row r="67" ht="22" customHeight="1">
      <x:c r="A67" s="2"/>
      <x:c r="B67" s="2"/>
      <x:c r="C67" s="2"/>
      <x:c r="D67" s="2"/>
      <x:c r="E67" s="2"/>
      <x:c r="F67" s="2"/>
    </x:row>
    <x:row r="68" ht="22" customHeight="1">
      <x:c r="A68" s="2"/>
      <x:c r="B68" s="2"/>
      <x:c r="C68" s="2"/>
      <x:c r="D68" s="2"/>
      <x:c r="E68" s="2"/>
      <x:c r="F68" s="2"/>
    </x:row>
    <x:row r="69" ht="22" customHeight="1">
      <x:c r="A69" s="2"/>
      <x:c r="B69" s="2"/>
      <x:c r="C69" s="2"/>
      <x:c r="D69" s="2"/>
      <x:c r="E69" s="2"/>
      <x:c r="F69" s="2"/>
    </x:row>
    <x:row r="70" ht="22" customHeight="1">
      <x:c r="A70" s="2"/>
      <x:c r="B70" s="2"/>
      <x:c r="C70" s="2"/>
      <x:c r="D70" s="2"/>
      <x:c r="E70" s="2"/>
      <x:c r="F70" s="2"/>
    </x:row>
    <x:row r="71" ht="22" customHeight="1">
      <x:c r="A71" s="2"/>
      <x:c r="B71" s="2"/>
      <x:c r="C71" s="2"/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22" customHeight="1">
      <x:c r="A74" s="2"/>
      <x:c r="B74" s="2"/>
      <x:c r="C74" s="2"/>
      <x:c r="D74" s="2"/>
      <x:c r="E74" s="2"/>
      <x:c r="F74" s="2"/>
    </x:row>
    <x:row r="75" ht="22" customHeight="1">
      <x:c r="A75" s="2"/>
      <x:c r="B75" s="2"/>
      <x:c r="C75" s="2"/>
      <x:c r="D75" s="2"/>
      <x:c r="E75" s="2"/>
      <x:c r="F75" s="2"/>
    </x:row>
    <x:row r="76" ht="22" customHeight="1">
      <x:c r="A76" s="2"/>
      <x:c r="B76" s="2"/>
      <x:c r="C76" s="2"/>
      <x:c r="D76" s="2"/>
      <x:c r="E76" s="2"/>
      <x:c r="F76" s="2"/>
    </x:row>
    <x:row r="77" ht="22" customHeight="1">
      <x:c r="A77" s="2"/>
      <x:c r="B77" s="2"/>
      <x:c r="C77" s="2"/>
      <x:c r="D77" s="2"/>
      <x:c r="E77" s="2"/>
      <x:c r="F77" s="2"/>
    </x:row>
    <x:row r="78" ht="22" customHeight="1">
      <x:c r="A78" s="2"/>
      <x:c r="B78" s="2"/>
      <x:c r="C78" s="2"/>
      <x:c r="D78" s="2"/>
      <x:c r="E78" s="2"/>
      <x:c r="F78" s="2"/>
    </x:row>
    <x:row r="79" ht="22" customHeight="1">
      <x:c r="A79" s="2"/>
      <x:c r="B79" s="2"/>
      <x:c r="C79" s="2"/>
      <x:c r="D79" s="2"/>
      <x:c r="E79" s="2"/>
      <x:c r="F79" s="2"/>
    </x:row>
    <x:row r="80" ht="22" customHeight="1">
      <x:c r="A80" s="2"/>
      <x:c r="B80" s="2"/>
      <x:c r="C80" s="2"/>
      <x:c r="D80" s="2"/>
      <x:c r="E80" s="2"/>
      <x:c r="F80" s="2"/>
    </x:row>
    <x:row r="81" ht="22" customHeight="1">
      <x:c r="A81" s="2"/>
      <x:c r="B81" s="2"/>
      <x:c r="C81" s="2"/>
      <x:c r="D81" s="2"/>
      <x:c r="E81" s="2"/>
      <x:c r="F81" s="2"/>
    </x:row>
    <x:row r="82" ht="22" customHeight="1">
      <x:c r="A82" s="2"/>
      <x:c r="B82" s="2"/>
      <x:c r="C82" s="2"/>
      <x:c r="D82" s="2"/>
      <x:c r="E82" s="2"/>
      <x:c r="F82" s="2"/>
    </x:row>
    <x:row r="83" ht="22" customHeight="1">
      <x:c r="A83" s="2"/>
      <x:c r="B83" s="2"/>
      <x:c r="C83" s="2"/>
      <x:c r="D83" s="2"/>
      <x:c r="E83" s="2"/>
      <x:c r="F83" s="2"/>
    </x:row>
    <x:row r="84" ht="22" customHeight="1">
      <x:c r="A84" s="2"/>
      <x:c r="B84" s="2"/>
      <x:c r="C84" s="2"/>
      <x:c r="D84" s="2"/>
      <x:c r="E84" s="2"/>
      <x:c r="F84" s="2"/>
    </x:row>
    <x:row r="85" ht="22" customHeight="1">
      <x:c r="A85" s="2"/>
      <x:c r="B85" s="2"/>
      <x:c r="C85" s="2"/>
      <x:c r="D85" s="2"/>
      <x:c r="E85" s="2"/>
      <x:c r="F85" s="2"/>
    </x:row>
    <x:row r="86" ht="22" customHeight="1">
      <x:c r="A86" s="2"/>
      <x:c r="B86" s="2"/>
      <x:c r="C86" s="2"/>
      <x:c r="D86" s="2"/>
      <x:c r="E86" s="2"/>
      <x:c r="F86" s="2"/>
    </x:row>
    <x:row r="87" ht="22" customHeight="1">
      <x:c r="A87" s="2"/>
      <x:c r="B87" s="2"/>
      <x:c r="C87" s="2"/>
      <x:c r="D87" s="2"/>
      <x:c r="E87" s="2"/>
      <x:c r="F87" s="2"/>
    </x:row>
    <x:row r="88" ht="22" customHeight="1">
      <x:c r="A88" s="2"/>
      <x:c r="B88" s="2"/>
      <x:c r="C88" s="2"/>
      <x:c r="D88" s="2"/>
      <x:c r="E88" s="2"/>
      <x:c r="F88" s="2"/>
    </x:row>
    <x:row r="89" ht="22" customHeight="1">
      <x:c r="A89" s="2"/>
      <x:c r="B89" s="2"/>
      <x:c r="C89" s="2"/>
      <x:c r="D89" s="2"/>
      <x:c r="E89" s="2"/>
      <x:c r="F89" s="2"/>
    </x:row>
    <x:row r="90" ht="22" customHeight="1">
      <x:c r="A90" s="2"/>
      <x:c r="B90" s="2"/>
      <x:c r="C90" s="2"/>
      <x:c r="D90" s="2"/>
      <x:c r="E90" s="2"/>
      <x:c r="F90" s="2"/>
    </x:row>
    <x:row r="91" ht="22" customHeight="1">
      <x:c r="A91" s="2"/>
      <x:c r="B91" s="2"/>
      <x:c r="C91" s="2"/>
      <x:c r="D91" s="2"/>
      <x:c r="E91" s="2"/>
      <x:c r="F91" s="2"/>
    </x:row>
    <x:row r="92" ht="22" customHeight="1">
      <x:c r="A92" s="2"/>
      <x:c r="B92" s="2"/>
      <x:c r="C92" s="2"/>
      <x:c r="D92" s="2"/>
      <x:c r="E92" s="2"/>
      <x:c r="F92" s="2"/>
    </x:row>
    <x:row r="93" ht="22" customHeight="1">
      <x:c r="A93" s="2"/>
      <x:c r="B93" s="2"/>
      <x:c r="C93" s="2"/>
      <x:c r="D93" s="2"/>
      <x:c r="E93" s="2"/>
      <x:c r="F93" s="2"/>
    </x:row>
    <x:row r="94" ht="22" customHeight="1">
      <x:c r="A94" s="2"/>
      <x:c r="B94" s="2"/>
      <x:c r="C94" s="2"/>
      <x:c r="D94" s="2"/>
      <x:c r="E94" s="2"/>
      <x:c r="F94" s="2"/>
    </x:row>
    <x:row r="95" ht="22" customHeight="1">
      <x:c r="A95" s="2"/>
      <x:c r="B95" s="2"/>
      <x:c r="C95" s="2"/>
      <x:c r="D95" s="2"/>
      <x:c r="E95" s="2"/>
      <x:c r="F95" s="2"/>
    </x:row>
    <x:row r="96" ht="22" customHeight="1">
      <x:c r="A96" s="2"/>
      <x:c r="B96" s="2"/>
      <x:c r="C96" s="2"/>
      <x:c r="D96" s="2"/>
      <x:c r="E96" s="2"/>
      <x:c r="F96" s="2"/>
    </x:row>
    <x:row r="97" ht="22" customHeight="1">
      <x:c r="A97" s="2"/>
      <x:c r="B97" s="2"/>
      <x:c r="C97" s="2"/>
      <x:c r="D97" s="2"/>
      <x:c r="E97" s="2"/>
      <x:c r="F97" s="2"/>
    </x:row>
    <x:row r="98" ht="22" customHeight="1">
      <x:c r="A98" s="2"/>
      <x:c r="B98" s="2"/>
      <x:c r="C98" s="2"/>
      <x:c r="D98" s="2"/>
      <x:c r="E98" s="2"/>
      <x:c r="F98" s="2"/>
    </x:row>
    <x:row r="99" ht="22" customHeight="1">
      <x:c r="A99" s="2"/>
      <x:c r="B99" s="2"/>
      <x:c r="C99" s="2"/>
      <x:c r="D99" s="2"/>
      <x:c r="E99" s="2"/>
      <x:c r="F99" s="2"/>
    </x:row>
    <x:row r="100" ht="22" customHeight="1">
      <x:c r="A100" s="2"/>
      <x:c r="B100" s="2"/>
      <x:c r="C100" s="2"/>
      <x:c r="D100" s="2"/>
      <x:c r="E100" s="2"/>
      <x:c r="F100" s="2"/>
    </x:row>
    <x:row r="101" ht="22" customHeight="1">
      <x:c r="A101" s="2"/>
      <x:c r="B101" s="2"/>
      <x:c r="C101" s="2"/>
      <x:c r="D101" s="2"/>
      <x:c r="E101" s="2"/>
      <x:c r="F101" s="2"/>
    </x:row>
    <x:row r="102" ht="22" customHeight="1">
      <x:c r="A102" s="2"/>
      <x:c r="B102" s="2"/>
      <x:c r="C102" s="2"/>
      <x:c r="D102" s="2"/>
      <x:c r="E102" s="2"/>
      <x:c r="F102" s="2"/>
    </x:row>
    <x:row r="103" ht="22" customHeight="1">
      <x:c r="A103" s="2"/>
      <x:c r="B103" s="2"/>
      <x:c r="C103" s="2"/>
      <x:c r="D103" s="2"/>
      <x:c r="E103" s="2"/>
      <x:c r="F103" s="2"/>
    </x:row>
    <x:row r="104" ht="22" customHeight="1">
      <x:c r="A104" s="2"/>
      <x:c r="B104" s="2"/>
      <x:c r="C104" s="2"/>
      <x:c r="D104" s="2"/>
      <x:c r="E104" s="2"/>
      <x:c r="F104" s="2"/>
    </x:row>
    <x:row r="105" ht="22" customHeight="1">
      <x:c r="A105" s="2"/>
      <x:c r="B105" s="2"/>
      <x:c r="C105" s="2"/>
      <x:c r="D105" s="2"/>
      <x:c r="E105" s="2"/>
      <x:c r="F105" s="2"/>
    </x:row>
    <x:row r="106" ht="22" customHeight="1">
      <x:c r="A106" s="2"/>
      <x:c r="B106" s="2"/>
      <x:c r="C106" s="2"/>
      <x:c r="D106" s="2"/>
      <x:c r="E106" s="2"/>
      <x:c r="F106" s="2"/>
    </x:row>
    <x:row r="107" ht="22" customHeight="1">
      <x:c r="A107" s="2"/>
      <x:c r="B107" s="2"/>
      <x:c r="C107" s="2"/>
      <x:c r="D107" s="2"/>
      <x:c r="E107" s="2"/>
      <x:c r="F107" s="2"/>
    </x:row>
    <x:row r="108" ht="22" customHeight="1">
      <x:c r="A108" s="2"/>
      <x:c r="B108" s="2"/>
      <x:c r="C108" s="2"/>
      <x:c r="D108" s="2"/>
      <x:c r="E108" s="2"/>
      <x:c r="F108" s="2"/>
    </x:row>
    <x:row r="109" ht="22" customHeight="1">
      <x:c r="A109" s="2"/>
      <x:c r="B109" s="2"/>
      <x:c r="C109" s="2"/>
      <x:c r="D109" s="2"/>
      <x:c r="E109" s="2"/>
      <x:c r="F109" s="2"/>
    </x:row>
    <x:row r="110" ht="22" customHeight="1">
      <x:c r="A110" s="2"/>
      <x:c r="B110" s="2"/>
      <x:c r="C110" s="2"/>
      <x:c r="D110" s="2"/>
      <x:c r="E110" s="2"/>
      <x:c r="F110" s="2"/>
    </x:row>
    <x:row r="111" ht="22" customHeight="1">
      <x:c r="A111" s="2"/>
      <x:c r="B111" s="2"/>
      <x:c r="C111" s="2"/>
      <x:c r="D111" s="2"/>
      <x:c r="E111" s="2"/>
      <x:c r="F111" s="2"/>
    </x:row>
    <x:row r="112" ht="22" customHeight="1">
      <x:c r="A112" s="2"/>
      <x:c r="B112" s="2"/>
      <x:c r="C112" s="2"/>
      <x:c r="D112" s="2"/>
      <x:c r="E112" s="2"/>
      <x:c r="F112" s="2"/>
    </x:row>
    <x:row r="113" ht="22" customHeight="1">
      <x:c r="A113" s="2"/>
      <x:c r="B113" s="2"/>
      <x:c r="C113" s="2"/>
      <x:c r="D113" s="2"/>
      <x:c r="E113" s="2"/>
      <x:c r="F113" s="2"/>
    </x:row>
    <x:row r="114" ht="22" customHeight="1">
      <x:c r="A114" s="2"/>
      <x:c r="B114" s="2"/>
      <x:c r="C114" s="2"/>
      <x:c r="D114" s="2"/>
      <x:c r="E114" s="2"/>
      <x:c r="F114" s="2"/>
    </x:row>
    <x:row r="115" ht="22" customHeight="1">
      <x:c r="A115" s="2"/>
      <x:c r="B115" s="2"/>
      <x:c r="C115" s="2"/>
      <x:c r="D115" s="2"/>
      <x:c r="E115" s="2"/>
      <x:c r="F115" s="2"/>
    </x:row>
  </x:sheetData>
  <x:pageMargins left="0.7" right="0.7" top="0.75" bottom="0.75" header="0.3" footer="0.3"/>
</x:worksheet>
</file>