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Override PartName="/xl/worksheets/sheet19.xml" ContentType="application/vnd.openxmlformats-officedocument.spreadsheetml.worksheet+xml"/>
  <Override PartName="/xl/tables/table18.xml" ContentType="application/vnd.openxmlformats-officedocument.spreadsheetml.table+xml"/>
  <Override PartName="/xl/worksheets/sheet20.xml" ContentType="application/vnd.openxmlformats-officedocument.spreadsheetml.worksheet+xml"/>
  <Override PartName="/xl/tables/table19.xml" ContentType="application/vnd.openxmlformats-officedocument.spreadsheetml.table+xml"/>
  <Override PartName="/xl/worksheets/sheet21.xml" ContentType="application/vnd.openxmlformats-officedocument.spreadsheetml.worksheet+xml"/>
  <Override PartName="/xl/tables/table20.xml" ContentType="application/vnd.openxmlformats-officedocument.spreadsheetml.table+xml"/>
  <Override PartName="/xl/worksheets/sheet22.xml" ContentType="application/vnd.openxmlformats-officedocument.spreadsheetml.worksheet+xml"/>
  <Override PartName="/xl/tables/table21.xml" ContentType="application/vnd.openxmlformats-officedocument.spreadsheetml.table+xml"/>
  <Override PartName="/xl/worksheets/sheet23.xml" ContentType="application/vnd.openxmlformats-officedocument.spreadsheetml.worksheet+xml"/>
  <Override PartName="/xl/tables/table22.xml" ContentType="application/vnd.openxmlformats-officedocument.spreadsheetml.table+xml"/>
  <Override PartName="/xl/worksheets/sheet24.xml" ContentType="application/vnd.openxmlformats-officedocument.spreadsheetml.worksheet+xml"/>
  <Override PartName="/xl/tables/table23.xml" ContentType="application/vnd.openxmlformats-officedocument.spreadsheetml.table+xml"/>
  <Override PartName="/xl/worksheets/sheet25.xml" ContentType="application/vnd.openxmlformats-officedocument.spreadsheetml.worksheet+xml"/>
  <Override PartName="/xl/tables/table24.xml" ContentType="application/vnd.openxmlformats-officedocument.spreadsheetml.table+xml"/>
  <Override PartName="/xl/worksheets/sheet26.xml" ContentType="application/vnd.openxmlformats-officedocument.spreadsheetml.worksheet+xml"/>
  <Override PartName="/xl/tables/table25.xml" ContentType="application/vnd.openxmlformats-officedocument.spreadsheetml.table+xml"/>
  <Override PartName="/xl/worksheets/sheet27.xml" ContentType="application/vnd.openxmlformats-officedocument.spreadsheetml.worksheet+xml"/>
  <Override PartName="/xl/tables/table26.xml" ContentType="application/vnd.openxmlformats-officedocument.spreadsheetml.table+xml"/>
  <Override PartName="/xl/worksheets/sheet2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b489cd36cab4209" /></Relationships>
</file>

<file path=xl/workbook.xml><?xml version="1.0" encoding="utf-8"?>
<x:workbook xmlns:x="http://schemas.openxmlformats.org/spreadsheetml/2006/main">
  <x:sheets>
    <x:sheet xmlns:r="http://schemas.openxmlformats.org/officeDocument/2006/relationships" name="Dashboard" sheetId="1" r:id="Rd8e0fb93542648e6"/>
    <x:sheet xmlns:r="http://schemas.openxmlformats.org/officeDocument/2006/relationships" name="Personnages" sheetId="2" r:id="Ra5a57e0094cc43f6"/>
    <x:sheet xmlns:r="http://schemas.openxmlformats.org/officeDocument/2006/relationships" name="PNJ" sheetId="3" r:id="Rb4d3572e59254e40"/>
    <x:sheet xmlns:r="http://schemas.openxmlformats.org/officeDocument/2006/relationships" name="Especes_factions" sheetId="4" r:id="R787ab6d71f0e4de7"/>
    <x:sheet xmlns:r="http://schemas.openxmlformats.org/officeDocument/2006/relationships" name="Mondes" sheetId="5" r:id="R0ad6f218cf1d4ec8"/>
    <x:sheet xmlns:r="http://schemas.openxmlformats.org/officeDocument/2006/relationships" name="Zones" sheetId="6" r:id="Rbd4af0ad25984296"/>
    <x:sheet xmlns:r="http://schemas.openxmlformats.org/officeDocument/2006/relationships" name="Liaisons" sheetId="7" r:id="R517856548f0b44ac"/>
    <x:sheet xmlns:r="http://schemas.openxmlformats.org/officeDocument/2006/relationships" name="Decors" sheetId="8" r:id="R4c7bef0ef8e14fb9"/>
    <x:sheet xmlns:r="http://schemas.openxmlformats.org/officeDocument/2006/relationships" name="Props" sheetId="9" r:id="R2ee945f054c3493d"/>
    <x:sheet xmlns:r="http://schemas.openxmlformats.org/officeDocument/2006/relationships" name="Ennemis_boss" sheetId="10" r:id="R32b90d933a854cca"/>
    <x:sheet xmlns:r="http://schemas.openxmlformats.org/officeDocument/2006/relationships" name="Missions" sheetId="11" r:id="R3611b3113efd4809"/>
    <x:sheet xmlns:r="http://schemas.openxmlformats.org/officeDocument/2006/relationships" name="Secondaires_DLC" sheetId="12" r:id="R9836f5065c724cb8"/>
    <x:sheet xmlns:r="http://schemas.openxmlformats.org/officeDocument/2006/relationships" name="Choix_relations" sheetId="13" r:id="R2ef1405691954396"/>
    <x:sheet xmlns:r="http://schemas.openxmlformats.org/officeDocument/2006/relationships" name="Dialogues" sheetId="14" r:id="R782feeb84baa45aa"/>
    <x:sheet xmlns:r="http://schemas.openxmlformats.org/officeDocument/2006/relationships" name="Cinematiques" sheetId="15" r:id="R6038f58b1b4e4a6b"/>
    <x:sheet xmlns:r="http://schemas.openxmlformats.org/officeDocument/2006/relationships" name="Armes" sheetId="16" r:id="Rdcb09173034b4eaa"/>
    <x:sheet xmlns:r="http://schemas.openxmlformats.org/officeDocument/2006/relationships" name="Armures_equipement" sheetId="17" r:id="R62de488a9ab04917"/>
    <x:sheet xmlns:r="http://schemas.openxmlformats.org/officeDocument/2006/relationships" name="Pouvoirs" sheetId="18" r:id="R6e76e3ff46484008"/>
    <x:sheet xmlns:r="http://schemas.openxmlformats.org/officeDocument/2006/relationships" name="Movesets_allies" sheetId="19" r:id="Rdf143531fac44952"/>
    <x:sheet xmlns:r="http://schemas.openxmlformats.org/officeDocument/2006/relationships" name="Movesets_ennemis" sheetId="20" r:id="Rb8a9d6fbf16d4999"/>
    <x:sheet xmlns:r="http://schemas.openxmlformats.org/officeDocument/2006/relationships" name="Animations" sheetId="21" r:id="R31b6e314d7584710"/>
    <x:sheet xmlns:r="http://schemas.openxmlformats.org/officeDocument/2006/relationships" name="Sprites" sheetId="22" r:id="R39f6fdc6be6c4612"/>
    <x:sheet xmlns:r="http://schemas.openxmlformats.org/officeDocument/2006/relationships" name="VFX" sheetId="23" r:id="R1875c8a650c440f7"/>
    <x:sheet xmlns:r="http://schemas.openxmlformats.org/officeDocument/2006/relationships" name="Audio" sheetId="24" r:id="R539983fea95b46cf"/>
    <x:sheet xmlns:r="http://schemas.openxmlformats.org/officeDocument/2006/relationships" name="UI_systemes" sheetId="25" r:id="R67e1fae5d664463e"/>
    <x:sheet xmlns:r="http://schemas.openxmlformats.org/officeDocument/2006/relationships" name="QA" sheetId="26" r:id="R7bd415cb72f0401d"/>
    <x:sheet xmlns:r="http://schemas.openxmlformats.org/officeDocument/2006/relationships" name="Continuite" sheetId="27" r:id="Ree9f71fd2cd94080"/>
    <x:sheet xmlns:r="http://schemas.openxmlformats.org/officeDocument/2006/relationships" name="Guide" sheetId="28" r:id="R78496aff5b7b4bfb"/>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dd/mm/yyyy"/>
  </x:numFmts>
  <x:fonts count="8">
    <x:font>
      <x:sz val="11"/>
      <x:name val="Carlito"/>
    </x:font>
    <x:font>
      <x:sz val="10"/>
      <x:color rgb="FF183044"/>
      <x:name val="Arial"/>
    </x:font>
    <x:font>
      <x:b/>
      <x:sz val="14"/>
      <x:color rgb="FF102438"/>
      <x:name val="Arial"/>
    </x:font>
    <x:font>
      <x:i/>
      <x:sz val="10"/>
      <x:color rgb="FF4A6374"/>
      <x:name val="Arial"/>
    </x:font>
    <x:font>
      <x:sz val="10"/>
      <x:color rgb="FF557283"/>
      <x:name val="Arial"/>
    </x:font>
    <x:font>
      <x:b/>
      <x:sz val="10"/>
      <x:color rgb="FFFFFFFF"/>
      <x:name val="Arial"/>
    </x:font>
    <x:font>
      <x:b/>
      <x:sz val="14"/>
      <x:color rgb="FF087F8C"/>
      <x:name val="Arial"/>
    </x:font>
    <x:font>
      <x:i/>
      <x:sz val="10"/>
      <x:color rgb="FF183044"/>
      <x:name val="Arial"/>
    </x:font>
  </x:fonts>
  <x:fills count="6">
    <x:fill>
      <x:patternFill patternType="none"/>
    </x:fill>
    <x:fill>
      <x:patternFill patternType="gray125"/>
    </x:fill>
    <x:fill>
      <x:patternFill patternType="solid">
        <x:fgColor rgb="FFF8FBFC"/>
      </x:patternFill>
    </x:fill>
    <x:fill>
      <x:patternFill patternType="solid">
        <x:fgColor rgb="FFFFF0C7"/>
      </x:patternFill>
    </x:fill>
    <x:fill>
      <x:patternFill patternType="solid">
        <x:fgColor rgb="FF102438"/>
      </x:patternFill>
    </x:fill>
    <x:fill>
      <x:patternFill patternType="solid">
        <x:fgColor rgb="FFEDF5F7"/>
      </x:patternFill>
    </x:fill>
  </x:fills>
  <x:borders count="5">
    <x:border>
      <x:left/>
      <x:right/>
      <x:top/>
      <x:bottom/>
      <x:diagonal/>
    </x:border>
    <x:border>
      <x:left/>
      <x:right/>
      <x:top/>
      <x:bottom style="thin">
        <x:color rgb="FF087F8C"/>
      </x:bottom>
      <x:diagonal/>
    </x:border>
    <x:border>
      <x:left/>
      <x:right style="thin">
        <x:color rgb="FFFFFFFF"/>
      </x:right>
      <x:top/>
      <x:bottom style="thin">
        <x:color rgb="FF087F8C"/>
      </x:bottom>
      <x:diagonal/>
    </x:border>
    <x:border>
      <x:left style="thin">
        <x:color rgb="FFFFFFFF"/>
      </x:left>
      <x:right style="thin">
        <x:color rgb="FFFFFFFF"/>
      </x:right>
      <x:top/>
      <x:bottom style="thin">
        <x:color rgb="FF087F8C"/>
      </x:bottom>
      <x:diagonal/>
    </x:border>
    <x:border>
      <x:left style="thin">
        <x:color rgb="FFFFFFFF"/>
      </x:left>
      <x:right/>
      <x:top/>
      <x:bottom style="thin">
        <x:color rgb="FF087F8C"/>
      </x:bottom>
      <x:diagonal/>
    </x:border>
  </x:borders>
  <x:cellStyleXfs count="1">
    <x:xf numFmtId="0" fontId="0" fillId="0" borderId="0"/>
  </x:cellStyleXfs>
  <x:cellXfs count="45">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3"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0" borderId="0" xfId="0" applyNumberFormat="1" applyFont="1" applyFill="1" applyBorder="1" applyAlignment="1">
      <x:alignment vertical="top"/>
    </x:xf>
    <x:xf numFmtId="0" fontId="1" fillId="2" borderId="0" xfId="0" applyNumberFormat="1" applyFont="1" applyFill="1" applyBorder="1" applyAlignment="1">
      <x:alignment vertical="top" wrapText="1"/>
    </x:xf>
    <x:xf numFmtId="0" fontId="1" fillId="2" borderId="0" xfId="0" applyNumberFormat="1" applyFont="1" applyFill="1" applyBorder="1" applyAlignment="1">
      <x:alignment vertical="top"/>
    </x:xf>
    <x:xf numFmtId="0" fontId="1" fillId="3" borderId="0" xfId="0" applyNumberFormat="1" applyFont="1" applyFill="1" applyBorder="1" applyAlignment="1">
      <x:alignment vertical="top" wrapText="1"/>
    </x:xf>
    <x:xf numFmtId="0" fontId="1" fillId="3" borderId="0" xfId="0" applyNumberFormat="1" applyFont="1" applyFill="1" applyBorder="1" applyAlignment="1">
      <x:alignment horizontal="center" vertical="top" wrapText="1"/>
    </x:xf>
    <x:xf numFmtId="0" fontId="1" fillId="2"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1"/>
    </x:xf>
    <x:xf numFmtId="0" fontId="4" fillId="2" borderId="0" xfId="0" applyNumberFormat="1" applyFont="1" applyFill="1" applyBorder="1" applyAlignment="1">
      <x:alignment vertical="top" wrapText="1"/>
    </x:xf>
    <x:xf numFmtId="0" fontId="1" fillId="2" borderId="0" xfId="0" applyNumberFormat="1" applyFont="1" applyFill="1" applyBorder="1" applyAlignment="1">
      <x:alignment vertical="top" wrapText="0"/>
    </x:xf>
    <x:xf numFmtId="0" fontId="1" fillId="4" borderId="0" xfId="0" applyNumberFormat="1" applyFont="1" applyFill="1" applyBorder="1" applyAlignment="1">
      <x:alignment vertical="center"/>
    </x:xf>
    <x:xf numFmtId="0" fontId="5" fillId="4" borderId="0" xfId="0" applyNumberFormat="1" applyFont="1" applyFill="1" applyBorder="1" applyAlignment="1">
      <x:alignment vertical="center"/>
    </x:xf>
    <x:xf numFmtId="0" fontId="5" fillId="4" borderId="2" xfId="0" applyNumberFormat="1" applyFont="1" applyFill="1" applyBorder="1" applyAlignment="1">
      <x:alignment vertical="center"/>
    </x:xf>
    <x:xf numFmtId="0" fontId="5" fillId="4" borderId="3" xfId="0" applyNumberFormat="1" applyFont="1" applyFill="1" applyBorder="1" applyAlignment="1">
      <x:alignment vertical="center"/>
    </x:xf>
    <x:xf numFmtId="0" fontId="5" fillId="4" borderId="4" xfId="0" applyNumberFormat="1" applyFont="1" applyFill="1" applyBorder="1" applyAlignment="1">
      <x:alignment vertical="center"/>
    </x:xf>
    <x:xf numFmtId="0" fontId="5" fillId="4" borderId="2" xfId="0" applyNumberFormat="1" applyFont="1" applyFill="1" applyBorder="1" applyAlignment="1">
      <x:alignment vertical="center" wrapText="1"/>
    </x:xf>
    <x:xf numFmtId="0" fontId="5" fillId="4" borderId="3" xfId="0" applyNumberFormat="1" applyFont="1" applyFill="1" applyBorder="1" applyAlignment="1">
      <x:alignment vertical="center" wrapText="1"/>
    </x:xf>
    <x:xf numFmtId="0" fontId="5" fillId="4" borderId="4" xfId="0" applyNumberFormat="1" applyFont="1" applyFill="1" applyBorder="1" applyAlignment="1">
      <x:alignment vertical="center" wrapText="1"/>
    </x:xf>
    <x:xf numFmtId="0" fontId="5" fillId="4" borderId="2" xfId="0" applyNumberFormat="1" applyFont="1" applyFill="1" applyBorder="1" applyAlignment="1">
      <x:alignment horizontal="center" vertical="center" wrapText="1"/>
    </x:xf>
    <x:xf numFmtId="0" fontId="5" fillId="4" borderId="3" xfId="0" applyNumberFormat="1" applyFont="1" applyFill="1" applyBorder="1" applyAlignment="1">
      <x:alignment horizontal="center" vertical="center" wrapText="1"/>
    </x:xf>
    <x:xf numFmtId="0" fontId="5" fillId="4" borderId="4" xfId="0" applyNumberFormat="1" applyFont="1" applyFill="1" applyBorder="1" applyAlignment="1">
      <x:alignment horizontal="center" vertical="center" wrapText="1"/>
    </x:xf>
    <x:xf numFmtId="0" fontId="1" fillId="0" borderId="0" xfId="0" applyNumberFormat="1" applyFont="1" applyFill="1" applyBorder="1" applyAlignment="1">
      <x:alignment horizontal="center" vertical="top" wrapText="1"/>
    </x:xf>
    <x:xf numFmtId="0" fontId="1" fillId="0" borderId="0" xfId="0" applyNumberFormat="1" applyFont="1" applyFill="1" applyBorder="1" applyAlignment="1">
      <x:alignment horizontal="center" vertical="center" wrapText="1"/>
    </x:xf>
    <x:xf numFmtId="0" fontId="4" fillId="0" borderId="0" xfId="0" applyNumberFormat="1" applyFont="1" applyFill="1" applyBorder="1" applyAlignment="1">
      <x:alignment vertical="top" wrapText="1"/>
    </x:xf>
    <x:xf numFmtId="0" fontId="1" fillId="0" borderId="0" xfId="0" applyNumberFormat="1" applyFont="1" applyFill="1" applyBorder="1" applyAlignment="1">
      <x:alignment vertical="top" wrapText="0"/>
    </x:xf>
    <x:xf numFmtId="0" fontId="6" fillId="0" borderId="0" xfId="0" applyNumberFormat="1" applyFont="1" applyFill="1" applyBorder="1" applyAlignment="1">
      <x:alignment vertical="center"/>
    </x:xf>
    <x:xf numFmtId="0" fontId="7" fillId="0" borderId="0" xfId="0" applyNumberFormat="1" applyFont="1" applyFill="1" applyBorder="1" applyAlignment="1">
      <x:alignment vertical="center"/>
    </x:xf>
    <x:xf numFmtId="0" fontId="1" fillId="5" borderId="0" xfId="0" applyNumberFormat="1" applyFont="1" applyFill="1" applyBorder="1" applyAlignment="1">
      <x:alignment vertical="center"/>
    </x:xf>
    <x:xf numFmtId="200" fontId="1" fillId="5" borderId="0" xfId="0" applyNumberFormat="1" applyFont="1" applyFill="1" applyBorder="1" applyAlignment="1">
      <x:alignment vertical="center"/>
    </x:xf>
    <x:xf numFmtId="200" fontId="1" fillId="0" borderId="0" xfId="0" applyNumberFormat="1" applyFont="1" applyFill="1" applyBorder="1" applyAlignment="1">
      <x:alignment vertical="center"/>
    </x:xf>
    <x:xf numFmtId="200" fontId="5" fillId="4" borderId="0" xfId="0" applyNumberFormat="1" applyFont="1" applyFill="1" applyBorder="1" applyAlignment="1">
      <x:alignment vertical="center"/>
    </x:xf>
    <x:xf numFmtId="200" fontId="1" fillId="5" borderId="0" xfId="0" applyNumberFormat="1" applyFont="1" applyFill="1" applyBorder="1" applyAlignment="1">
      <x:alignment horizontal="right" vertical="center"/>
    </x:xf>
    <x:xf numFmtId="200" fontId="1" fillId="0" borderId="0" xfId="0" applyNumberFormat="1" applyFont="1" applyFill="1" applyBorder="1" applyAlignment="1">
      <x:alignment horizontal="right" vertical="center"/>
    </x:xf>
    <x:xf numFmtId="200" fontId="5" fillId="4" borderId="0" xfId="0" applyNumberFormat="1" applyFont="1" applyFill="1" applyBorder="1" applyAlignment="1">
      <x:alignment horizontal="right" vertical="center"/>
    </x:xf>
    <x:xf numFmtId="201" fontId="1" fillId="0" borderId="0" xfId="0" applyNumberFormat="1" applyFont="1" applyFill="1" applyBorder="1" applyAlignment="1">
      <x:alignment vertical="center"/>
    </x:xf>
    <x:xf numFmtId="201" fontId="1" fillId="0" borderId="0" xfId="0" applyNumberFormat="1" applyFont="1" applyFill="1" applyBorder="1" applyAlignment="1">
      <x:alignment vertical="center" wrapText="1"/>
    </x:xf>
    <x:xf numFmtId="201" fontId="1" fillId="0" borderId="0" xfId="0" applyNumberFormat="1" applyFont="1" applyFill="1" applyBorder="1" applyAlignment="1">
      <x:alignment vertical="top" wrapText="1"/>
    </x:xf>
  </x:cellXfs>
  <x:cellStyles count="1">
    <x:cellStyle name="Normal" xfId="0"/>
  </x:cellStyles>
  <x:dxfs count="104">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
      <x:font>
        <x:color rgb="FF79520A"/>
      </x:font>
      <x:fill>
        <x:patternFill patternType="solid">
          <x:bgColor rgb="FFFFF2DC"/>
        </x:patternFill>
      </x:fill>
    </x:dxf>
    <x:dxf>
      <x:font>
        <x:color rgb="FF436875"/>
      </x:font>
    </x:dxf>
    <x:dxf>
      <x:font>
        <x:b/>
        <x:color rgb="FF176A4D"/>
      </x:font>
      <x:fill>
        <x:patternFill patternType="solid">
          <x:bgColor rgb="FFDDF1E8"/>
        </x:patternFill>
      </x:fill>
    </x:dxf>
    <x:dxf>
      <x:font>
        <x:b/>
        <x:color rgb="FF087F8C"/>
      </x:font>
    </x:dxf>
  </x:dxfs>
</x:styleSheet>
</file>

<file path=xl/_rels/workbook.xml.rels>&#65279;<?xml version="1.0" encoding="utf-8"?><Relationships xmlns="http://schemas.openxmlformats.org/package/2006/relationships"><Relationship Type="http://schemas.openxmlformats.org/officeDocument/2006/relationships/styles" Target="/xl/styles.xml" Id="Re27b3b01362f4a51" /><Relationship Type="http://schemas.openxmlformats.org/officeDocument/2006/relationships/theme" Target="/xl/theme/theme1.xml" Id="R673fcc8be72643c0" /><Relationship Type="http://schemas.openxmlformats.org/officeDocument/2006/relationships/sharedStrings" Target="/xl/sharedStrings.xml" Id="R198d96edbb2640cd" /><Relationship Type="http://schemas.openxmlformats.org/officeDocument/2006/relationships/worksheet" Target="/xl/worksheets/sheet1.xml" Id="Rd8e0fb93542648e6" /><Relationship Type="http://schemas.openxmlformats.org/officeDocument/2006/relationships/worksheet" Target="/xl/worksheets/sheet2.xml" Id="Ra5a57e0094cc43f6" /><Relationship Type="http://schemas.openxmlformats.org/officeDocument/2006/relationships/worksheet" Target="/xl/worksheets/sheet3.xml" Id="Rb4d3572e59254e40" /><Relationship Type="http://schemas.openxmlformats.org/officeDocument/2006/relationships/worksheet" Target="/xl/worksheets/sheet4.xml" Id="R787ab6d71f0e4de7" /><Relationship Type="http://schemas.openxmlformats.org/officeDocument/2006/relationships/worksheet" Target="/xl/worksheets/sheet5.xml" Id="R0ad6f218cf1d4ec8" /><Relationship Type="http://schemas.openxmlformats.org/officeDocument/2006/relationships/worksheet" Target="/xl/worksheets/sheet6.xml" Id="Rbd4af0ad25984296" /><Relationship Type="http://schemas.openxmlformats.org/officeDocument/2006/relationships/worksheet" Target="/xl/worksheets/sheet7.xml" Id="R517856548f0b44ac" /><Relationship Type="http://schemas.openxmlformats.org/officeDocument/2006/relationships/worksheet" Target="/xl/worksheets/sheet8.xml" Id="R4c7bef0ef8e14fb9" /><Relationship Type="http://schemas.openxmlformats.org/officeDocument/2006/relationships/worksheet" Target="/xl/worksheets/sheet9.xml" Id="R2ee945f054c3493d" /><Relationship Type="http://schemas.openxmlformats.org/officeDocument/2006/relationships/worksheet" Target="/xl/worksheets/sheet10.xml" Id="R32b90d933a854cca" /><Relationship Type="http://schemas.openxmlformats.org/officeDocument/2006/relationships/worksheet" Target="/xl/worksheets/sheet11.xml" Id="R3611b3113efd4809" /><Relationship Type="http://schemas.openxmlformats.org/officeDocument/2006/relationships/worksheet" Target="/xl/worksheets/sheet12.xml" Id="R9836f5065c724cb8" /><Relationship Type="http://schemas.openxmlformats.org/officeDocument/2006/relationships/worksheet" Target="/xl/worksheets/sheet13.xml" Id="R2ef1405691954396" /><Relationship Type="http://schemas.openxmlformats.org/officeDocument/2006/relationships/worksheet" Target="/xl/worksheets/sheet14.xml" Id="R782feeb84baa45aa" /><Relationship Type="http://schemas.openxmlformats.org/officeDocument/2006/relationships/worksheet" Target="/xl/worksheets/sheet15.xml" Id="R6038f58b1b4e4a6b" /><Relationship Type="http://schemas.openxmlformats.org/officeDocument/2006/relationships/worksheet" Target="/xl/worksheets/sheet16.xml" Id="Rdcb09173034b4eaa" /><Relationship Type="http://schemas.openxmlformats.org/officeDocument/2006/relationships/worksheet" Target="/xl/worksheets/sheet17.xml" Id="R62de488a9ab04917" /><Relationship Type="http://schemas.openxmlformats.org/officeDocument/2006/relationships/worksheet" Target="/xl/worksheets/sheet18.xml" Id="R6e76e3ff46484008" /><Relationship Type="http://schemas.openxmlformats.org/officeDocument/2006/relationships/worksheet" Target="/xl/worksheets/sheet19.xml" Id="Rdf143531fac44952" /><Relationship Type="http://schemas.openxmlformats.org/officeDocument/2006/relationships/worksheet" Target="/xl/worksheets/sheet20.xml" Id="Rb8a9d6fbf16d4999" /><Relationship Type="http://schemas.openxmlformats.org/officeDocument/2006/relationships/worksheet" Target="/xl/worksheets/sheet21.xml" Id="R31b6e314d7584710" /><Relationship Type="http://schemas.openxmlformats.org/officeDocument/2006/relationships/worksheet" Target="/xl/worksheets/sheet22.xml" Id="R39f6fdc6be6c4612" /><Relationship Type="http://schemas.openxmlformats.org/officeDocument/2006/relationships/worksheet" Target="/xl/worksheets/sheet23.xml" Id="R1875c8a650c440f7" /><Relationship Type="http://schemas.openxmlformats.org/officeDocument/2006/relationships/worksheet" Target="/xl/worksheets/sheet24.xml" Id="R539983fea95b46cf" /><Relationship Type="http://schemas.openxmlformats.org/officeDocument/2006/relationships/worksheet" Target="/xl/worksheets/sheet25.xml" Id="R67e1fae5d664463e" /><Relationship Type="http://schemas.openxmlformats.org/officeDocument/2006/relationships/worksheet" Target="/xl/worksheets/sheet26.xml" Id="R7bd415cb72f0401d" /><Relationship Type="http://schemas.openxmlformats.org/officeDocument/2006/relationships/worksheet" Target="/xl/worksheets/sheet27.xml" Id="Ree9f71fd2cd94080" /><Relationship Type="http://schemas.openxmlformats.org/officeDocument/2006/relationships/worksheet" Target="/xl/worksheets/sheet28.xml" Id="R78496aff5b7b4bfb" /></Relationships>
</file>

<file path=xl/tables/table1.xml><?xml version="1.0" encoding="utf-8"?>
<x:table xmlns:x="http://schemas.openxmlformats.org/spreadsheetml/2006/main" id="1" name="INC_characters" displayName="INC_charact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xml><?xml version="1.0" encoding="utf-8"?>
<x:table xmlns:x="http://schemas.openxmlformats.org/spreadsheetml/2006/main" id="2" name="INC_npcs" displayName="INC_npc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3.xml><?xml version="1.0" encoding="utf-8"?>
<x:table xmlns:x="http://schemas.openxmlformats.org/spreadsheetml/2006/main" id="3" name="INC_lore" displayName="INC_lore"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4.xml><?xml version="1.0" encoding="utf-8"?>
<x:table xmlns:x="http://schemas.openxmlformats.org/spreadsheetml/2006/main" id="4" name="INC_worlds" displayName="INC_world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5.xml><?xml version="1.0" encoding="utf-8"?>
<x:table xmlns:x="http://schemas.openxmlformats.org/spreadsheetml/2006/main" id="5" name="INC_zones" displayName="INC_zone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6.xml><?xml version="1.0" encoding="utf-8"?>
<x:table xmlns:x="http://schemas.openxmlformats.org/spreadsheetml/2006/main" id="6" name="INC_links" displayName="INC_link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7.xml><?xml version="1.0" encoding="utf-8"?>
<x:table xmlns:x="http://schemas.openxmlformats.org/spreadsheetml/2006/main" id="7" name="INC_scenery" displayName="INC_scenery"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8.xml><?xml version="1.0" encoding="utf-8"?>
<x:table xmlns:x="http://schemas.openxmlformats.org/spreadsheetml/2006/main" id="8" name="INC_props" displayName="INC_prop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9.xml><?xml version="1.0" encoding="utf-8"?>
<x:table xmlns:x="http://schemas.openxmlformats.org/spreadsheetml/2006/main" id="9" name="INC_enemies" displayName="INC_enemi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0.xml><?xml version="1.0" encoding="utf-8"?>
<x:table xmlns:x="http://schemas.openxmlformats.org/spreadsheetml/2006/main" id="10" name="INC_main_quests" displayName="INC_main_quest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1.xml><?xml version="1.0" encoding="utf-8"?>
<x:table xmlns:x="http://schemas.openxmlformats.org/spreadsheetml/2006/main" id="11" name="INC_side_quests" displayName="INC_side_quest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2.xml><?xml version="1.0" encoding="utf-8"?>
<x:table xmlns:x="http://schemas.openxmlformats.org/spreadsheetml/2006/main" id="12" name="INC_choices" displayName="INC_choic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3.xml><?xml version="1.0" encoding="utf-8"?>
<x:table xmlns:x="http://schemas.openxmlformats.org/spreadsheetml/2006/main" id="13" name="INC_dialogues" displayName="INC_dialogue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4.xml><?xml version="1.0" encoding="utf-8"?>
<x:table xmlns:x="http://schemas.openxmlformats.org/spreadsheetml/2006/main" id="14" name="INC_cinematics" displayName="INC_cinematics"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5.xml><?xml version="1.0" encoding="utf-8"?>
<x:table xmlns:x="http://schemas.openxmlformats.org/spreadsheetml/2006/main" id="15" name="INC_weapons" displayName="INC_weapon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6.xml><?xml version="1.0" encoding="utf-8"?>
<x:table xmlns:x="http://schemas.openxmlformats.org/spreadsheetml/2006/main" id="16" name="INC_equipment" displayName="INC_equipment"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7.xml><?xml version="1.0" encoding="utf-8"?>
<x:table xmlns:x="http://schemas.openxmlformats.org/spreadsheetml/2006/main" id="17" name="INC_powers" displayName="INC_powers"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8.xml><?xml version="1.0" encoding="utf-8"?>
<x:table xmlns:x="http://schemas.openxmlformats.org/spreadsheetml/2006/main" id="18" name="INC_ally_moves" displayName="INC_ally_move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19.xml><?xml version="1.0" encoding="utf-8"?>
<x:table xmlns:x="http://schemas.openxmlformats.org/spreadsheetml/2006/main" id="19" name="INC_enemy_moves" displayName="INC_enemy_moves"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0.xml><?xml version="1.0" encoding="utf-8"?>
<x:table xmlns:x="http://schemas.openxmlformats.org/spreadsheetml/2006/main" id="20" name="INC_animations" displayName="INC_animation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1.xml><?xml version="1.0" encoding="utf-8"?>
<x:table xmlns:x="http://schemas.openxmlformats.org/spreadsheetml/2006/main" id="21" name="INC_sprites" displayName="INC_sprites"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2.xml><?xml version="1.0" encoding="utf-8"?>
<x:table xmlns:x="http://schemas.openxmlformats.org/spreadsheetml/2006/main" id="22" name="INC_vfx" displayName="INC_vfx" ref="A6:S9" headerRowCount="1" totalsRowCount="0" totalsRowShown="0">
  <x:autoFilter ref="A6:S9"/>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3.xml><?xml version="1.0" encoding="utf-8"?>
<x:table xmlns:x="http://schemas.openxmlformats.org/spreadsheetml/2006/main" id="23" name="INC_audio" displayName="INC_audio" ref="A6:S7" headerRowCount="1" totalsRowCount="0" totalsRowShown="0">
  <x:autoFilter ref="A6:S7"/>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4.xml><?xml version="1.0" encoding="utf-8"?>
<x:table xmlns:x="http://schemas.openxmlformats.org/spreadsheetml/2006/main" id="24" name="INC_systems" displayName="INC_systems" ref="A6:S10" headerRowCount="1" totalsRowCount="0" totalsRowShown="0">
  <x:autoFilter ref="A6:S10"/>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5.xml><?xml version="1.0" encoding="utf-8"?>
<x:table xmlns:x="http://schemas.openxmlformats.org/spreadsheetml/2006/main" id="25" name="INC_qa" displayName="INC_qa" ref="A6:S12" headerRowCount="1" totalsRowCount="0" totalsRowShown="0">
  <x:autoFilter ref="A6:S12"/>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ables/table26.xml><?xml version="1.0" encoding="utf-8"?>
<x:table xmlns:x="http://schemas.openxmlformats.org/spreadsheetml/2006/main" id="26" name="INC_continuity" displayName="INC_continuity" ref="A6:S8" headerRowCount="1" totalsRowCount="0" totalsRowShown="0">
  <x:autoFilter ref="A6:S8"/>
  <x:tableColumns count="19">
    <x:tableColumn id="1" name="Identifiant"/>
    <x:tableColumn id="2" name="Élément"/>
    <x:tableColumn id="3" name="Contenu"/>
    <x:tableColumn id="4" name="Nature de la référence"/>
    <x:tableColumn id="5" name="Priorité"/>
    <x:tableColumn id="6" name="Fait ou hypothèse"/>
    <x:tableColumn id="7" name="Adaptation proposée"/>
    <x:tableColumn id="8" name="Règles et moveset proposés"/>
    <x:tableColumn id="9" name="Direction visuelle"/>
    <x:tableColumn id="10" name="Animation"/>
    <x:tableColumn id="11" name="Audio et accessibilité"/>
    <x:tableColumn id="12" name="Mise en œuvre prévue"/>
    <x:tableColumn id="13" name="Conditions et variantes"/>
    <x:tableColumn id="14" name="Critère d’acceptation"/>
    <x:tableColumn id="15" name="Dépendances"/>
    <x:tableColumn id="16" name="Repère dans l’œuvre"/>
    <x:tableColumn id="17" name="Sources"/>
    <x:tableColumn id="18" name="Sources URL"/>
    <x:tableColumn id="19" name="Notes et limi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57d77c3a051f434f" /></Relationships>
</file>

<file path=xl/worksheets/_rels/sheet3.xml.rels>&#65279;<?xml version="1.0" encoding="utf-8"?><Relationships xmlns="http://schemas.openxmlformats.org/package/2006/relationships"><Relationship Type="http://schemas.openxmlformats.org/officeDocument/2006/relationships/table" Target="/xl/tables/table2.xml" Id="R7ca07f60402d42e8" /></Relationships>
</file>

<file path=xl/worksheets/_rels/sheet4.xml.rels>&#65279;<?xml version="1.0" encoding="utf-8"?><Relationships xmlns="http://schemas.openxmlformats.org/package/2006/relationships"><Relationship Type="http://schemas.openxmlformats.org/officeDocument/2006/relationships/table" Target="/xl/tables/table3.xml" Id="Ree1d5517b43b424b" /></Relationships>
</file>

<file path=xl/worksheets/_rels/sheet5.xml.rels>&#65279;<?xml version="1.0" encoding="utf-8"?><Relationships xmlns="http://schemas.openxmlformats.org/package/2006/relationships"><Relationship Type="http://schemas.openxmlformats.org/officeDocument/2006/relationships/table" Target="/xl/tables/table4.xml" Id="R287c36b0850a4564" /></Relationships>
</file>

<file path=xl/worksheets/_rels/sheet6.xml.rels>&#65279;<?xml version="1.0" encoding="utf-8"?><Relationships xmlns="http://schemas.openxmlformats.org/package/2006/relationships"><Relationship Type="http://schemas.openxmlformats.org/officeDocument/2006/relationships/table" Target="/xl/tables/table5.xml" Id="R4640e78174af425f" /></Relationships>
</file>

<file path=xl/worksheets/_rels/sheet7.xml.rels>&#65279;<?xml version="1.0" encoding="utf-8"?><Relationships xmlns="http://schemas.openxmlformats.org/package/2006/relationships"><Relationship Type="http://schemas.openxmlformats.org/officeDocument/2006/relationships/table" Target="/xl/tables/table6.xml" Id="R5138e72ff9d74be9" /></Relationships>
</file>

<file path=xl/worksheets/_rels/sheet8.xml.rels>&#65279;<?xml version="1.0" encoding="utf-8"?><Relationships xmlns="http://schemas.openxmlformats.org/package/2006/relationships"><Relationship Type="http://schemas.openxmlformats.org/officeDocument/2006/relationships/table" Target="/xl/tables/table7.xml" Id="R1cb9108d437246a1" /></Relationships>
</file>

<file path=xl/worksheets/_rels/sheet9.xml.rels>&#65279;<?xml version="1.0" encoding="utf-8"?><Relationships xmlns="http://schemas.openxmlformats.org/package/2006/relationships"><Relationship Type="http://schemas.openxmlformats.org/officeDocument/2006/relationships/table" Target="/xl/tables/table8.xml" Id="Rdf32046d4d0a47ab" /></Relationships>
</file>

<file path=xl/worksheets/_rels/sheet10.xml.rels>&#65279;<?xml version="1.0" encoding="utf-8"?><Relationships xmlns="http://schemas.openxmlformats.org/package/2006/relationships"><Relationship Type="http://schemas.openxmlformats.org/officeDocument/2006/relationships/table" Target="/xl/tables/table9.xml" Id="Rb41f5d6d8ae241be" /></Relationships>
</file>

<file path=xl/worksheets/_rels/sheet11.xml.rels>&#65279;<?xml version="1.0" encoding="utf-8"?><Relationships xmlns="http://schemas.openxmlformats.org/package/2006/relationships"><Relationship Type="http://schemas.openxmlformats.org/officeDocument/2006/relationships/table" Target="/xl/tables/table10.xml" Id="Rbcca84afc1ce4f39" /></Relationships>
</file>

<file path=xl/worksheets/_rels/sheet12.xml.rels>&#65279;<?xml version="1.0" encoding="utf-8"?><Relationships xmlns="http://schemas.openxmlformats.org/package/2006/relationships"><Relationship Type="http://schemas.openxmlformats.org/officeDocument/2006/relationships/table" Target="/xl/tables/table11.xml" Id="Rd0e8c59c1530437c" /></Relationships>
</file>

<file path=xl/worksheets/_rels/sheet13.xml.rels>&#65279;<?xml version="1.0" encoding="utf-8"?><Relationships xmlns="http://schemas.openxmlformats.org/package/2006/relationships"><Relationship Type="http://schemas.openxmlformats.org/officeDocument/2006/relationships/table" Target="/xl/tables/table12.xml" Id="R9a18d1ed051b4473" /></Relationships>
</file>

<file path=xl/worksheets/_rels/sheet14.xml.rels>&#65279;<?xml version="1.0" encoding="utf-8"?><Relationships xmlns="http://schemas.openxmlformats.org/package/2006/relationships"><Relationship Type="http://schemas.openxmlformats.org/officeDocument/2006/relationships/table" Target="/xl/tables/table13.xml" Id="Rbde62d1654074fff" /></Relationships>
</file>

<file path=xl/worksheets/_rels/sheet15.xml.rels>&#65279;<?xml version="1.0" encoding="utf-8"?><Relationships xmlns="http://schemas.openxmlformats.org/package/2006/relationships"><Relationship Type="http://schemas.openxmlformats.org/officeDocument/2006/relationships/table" Target="/xl/tables/table14.xml" Id="Rc4df1f16f32d4ea5" /></Relationships>
</file>

<file path=xl/worksheets/_rels/sheet16.xml.rels>&#65279;<?xml version="1.0" encoding="utf-8"?><Relationships xmlns="http://schemas.openxmlformats.org/package/2006/relationships"><Relationship Type="http://schemas.openxmlformats.org/officeDocument/2006/relationships/table" Target="/xl/tables/table15.xml" Id="R30bc47a819d3468f" /></Relationships>
</file>

<file path=xl/worksheets/_rels/sheet17.xml.rels>&#65279;<?xml version="1.0" encoding="utf-8"?><Relationships xmlns="http://schemas.openxmlformats.org/package/2006/relationships"><Relationship Type="http://schemas.openxmlformats.org/officeDocument/2006/relationships/table" Target="/xl/tables/table16.xml" Id="R2394dbe70589433d" /></Relationships>
</file>

<file path=xl/worksheets/_rels/sheet18.xml.rels>&#65279;<?xml version="1.0" encoding="utf-8"?><Relationships xmlns="http://schemas.openxmlformats.org/package/2006/relationships"><Relationship Type="http://schemas.openxmlformats.org/officeDocument/2006/relationships/table" Target="/xl/tables/table17.xml" Id="R7f83bcf881a447bc" /></Relationships>
</file>

<file path=xl/worksheets/_rels/sheet19.xml.rels>&#65279;<?xml version="1.0" encoding="utf-8"?><Relationships xmlns="http://schemas.openxmlformats.org/package/2006/relationships"><Relationship Type="http://schemas.openxmlformats.org/officeDocument/2006/relationships/table" Target="/xl/tables/table18.xml" Id="R5541069492734b77" /></Relationships>
</file>

<file path=xl/worksheets/_rels/sheet20.xml.rels>&#65279;<?xml version="1.0" encoding="utf-8"?><Relationships xmlns="http://schemas.openxmlformats.org/package/2006/relationships"><Relationship Type="http://schemas.openxmlformats.org/officeDocument/2006/relationships/table" Target="/xl/tables/table19.xml" Id="R11e7cc7cf62646d8" /></Relationships>
</file>

<file path=xl/worksheets/_rels/sheet21.xml.rels>&#65279;<?xml version="1.0" encoding="utf-8"?><Relationships xmlns="http://schemas.openxmlformats.org/package/2006/relationships"><Relationship Type="http://schemas.openxmlformats.org/officeDocument/2006/relationships/table" Target="/xl/tables/table20.xml" Id="R0f07ffdf48414a76" /></Relationships>
</file>

<file path=xl/worksheets/_rels/sheet22.xml.rels>&#65279;<?xml version="1.0" encoding="utf-8"?><Relationships xmlns="http://schemas.openxmlformats.org/package/2006/relationships"><Relationship Type="http://schemas.openxmlformats.org/officeDocument/2006/relationships/table" Target="/xl/tables/table21.xml" Id="R647f72471b184644" /></Relationships>
</file>

<file path=xl/worksheets/_rels/sheet23.xml.rels>&#65279;<?xml version="1.0" encoding="utf-8"?><Relationships xmlns="http://schemas.openxmlformats.org/package/2006/relationships"><Relationship Type="http://schemas.openxmlformats.org/officeDocument/2006/relationships/table" Target="/xl/tables/table22.xml" Id="Racfaa13e80f14795" /></Relationships>
</file>

<file path=xl/worksheets/_rels/sheet24.xml.rels>&#65279;<?xml version="1.0" encoding="utf-8"?><Relationships xmlns="http://schemas.openxmlformats.org/package/2006/relationships"><Relationship Type="http://schemas.openxmlformats.org/officeDocument/2006/relationships/table" Target="/xl/tables/table23.xml" Id="Rbd57a023e6824cfa" /></Relationships>
</file>

<file path=xl/worksheets/_rels/sheet25.xml.rels>&#65279;<?xml version="1.0" encoding="utf-8"?><Relationships xmlns="http://schemas.openxmlformats.org/package/2006/relationships"><Relationship Type="http://schemas.openxmlformats.org/officeDocument/2006/relationships/table" Target="/xl/tables/table24.xml" Id="R79256bf94b5c4d24" /></Relationships>
</file>

<file path=xl/worksheets/_rels/sheet26.xml.rels>&#65279;<?xml version="1.0" encoding="utf-8"?><Relationships xmlns="http://schemas.openxmlformats.org/package/2006/relationships"><Relationship Type="http://schemas.openxmlformats.org/officeDocument/2006/relationships/table" Target="/xl/tables/table25.xml" Id="R97b2f511ce614a44" /></Relationships>
</file>

<file path=xl/worksheets/_rels/sheet27.xml.rels>&#65279;<?xml version="1.0" encoding="utf-8"?><Relationships xmlns="http://schemas.openxmlformats.org/package/2006/relationships"><Relationship Type="http://schemas.openxmlformats.org/officeDocument/2006/relationships/table" Target="/xl/tables/table26.xml" Id="R61fe610a141348c6" /></Relationships>
</file>

<file path=xl/worksheets/sheet1.xml><?xml version="1.0" encoding="utf-8"?>
<x:worksheet xmlns:x="http://schemas.openxmlformats.org/spreadsheetml/2006/main">
  <x:sheetPr>
    <x:tabColor rgb="FF102438"/>
  </x:sheetPr>
  <x:sheetViews>
    <x:sheetView showGridLines="0" workbookViewId="0"/>
  </x:sheetViews>
  <x:sheetFormatPr defaultRowHeight="15"/>
  <x:cols>
    <x:col min="1" max="1" width="28" hidden="0" customWidth="1"/>
    <x:col min="2" max="2" width="12" hidden="0" customWidth="1"/>
    <x:col min="3" max="3" width="13" hidden="0" customWidth="1"/>
    <x:col min="4" max="4" width="13" hidden="0" customWidth="1"/>
    <x:col min="5" max="5" width="13" hidden="0" customWidth="1"/>
    <x:col min="6" max="6" width="13" hidden="0" customWidth="1"/>
    <x:col min="7" max="7" width="14" hidden="0" customWidth="1"/>
    <x:col min="8" max="8" width="15" hidden="0" customWidth="1"/>
    <x:col min="9" max="9" width="16" hidden="0" customWidth="1"/>
    <x:col min="10" max="10" width="17" hidden="0" customWidth="1"/>
    <x:col min="11" max="11" width="17" hidden="0" customWidth="1"/>
    <x:col min="12" max="12" width="17" hidden="0" customWidth="1"/>
    <x:col min="13" max="13" width="14" hidden="0" customWidth="1"/>
  </x:cols>
  <x:sheetData>
    <x:row r="1" ht="22" customHeight="1">
      <x:c r="A1" s="2"/>
      <x:c r="B1" s="2"/>
      <x:c r="C1" s="2"/>
      <x:c r="D1" s="2"/>
      <x:c r="E1" s="2"/>
      <x:c r="F1" s="2"/>
      <x:c r="G1" s="2"/>
      <x:c r="H1" s="2"/>
      <x:c r="I1" s="2"/>
      <x:c r="J1" s="2"/>
      <x:c r="K1" s="2"/>
      <x:c r="L1" s="2"/>
      <x:c r="M1" s="2"/>
    </x:row>
    <x:row r="2" ht="22" customHeight="1">
      <x:c r="A2" s="3" t="str">
        <x:v>Mass Effect: Incursion</x:v>
      </x:c>
      <x:c r="B2" s="2"/>
      <x:c r="C2" s="2"/>
      <x:c r="D2" s="2"/>
      <x:c r="E2" s="2"/>
      <x:c r="F2" s="2"/>
      <x:c r="G2" s="2"/>
      <x:c r="H2" s="2"/>
      <x:c r="I2" s="2"/>
      <x:c r="J2" s="2"/>
      <x:c r="K2" s="2"/>
      <x:c r="L2" s="2"/>
      <x:c r="M2" s="2"/>
    </x:row>
    <x:row r="3" ht="22" customHeight="1">
      <x:c r="A3" s="4" t="str">
        <x:v>Catalogue de production. Statuts et références calculés depuis les fiches.</x:v>
      </x:c>
      <x:c r="B3" s="2"/>
      <x:c r="C3" s="2"/>
      <x:c r="D3" s="2"/>
      <x:c r="E3" s="2"/>
      <x:c r="F3" s="2"/>
      <x:c r="G3" s="2"/>
      <x:c r="H3" s="2"/>
      <x:c r="I3" s="2"/>
      <x:c r="J3" s="2"/>
      <x:c r="K3" s="2"/>
      <x:c r="L3" s="2"/>
      <x:c r="M3" s="2"/>
    </x:row>
    <x:row r="4" ht="22" customHeight="1">
      <x:c r="A4" s="5"/>
      <x:c r="B4" s="5"/>
      <x:c r="C4" s="5"/>
      <x:c r="D4" s="5"/>
      <x:c r="E4" s="5"/>
      <x:c r="F4" s="5"/>
      <x:c r="G4" s="5"/>
      <x:c r="H4" s="5"/>
      <x:c r="I4" s="5"/>
      <x:c r="J4" s="5"/>
      <x:c r="K4" s="5"/>
      <x:c r="L4" s="5"/>
      <x:c r="M4" s="5"/>
    </x:row>
    <x:row r="5" ht="22" customHeight="1">
      <x:c r="A5" s="2" t="str">
        <x:v>Fiches suivies</x:v>
      </x:c>
      <x:c r="B5" s="33" t="n">
        <x:f>SUM(B10:B35)</x:f>
        <x:v>64</x:v>
      </x:c>
      <x:c r="C5" s="2"/>
      <x:c r="D5" s="2" t="str">
        <x:v>Intégrés</x:v>
      </x:c>
      <x:c r="E5" s="33" t="n">
        <x:f>SUM(E10:F35)</x:f>
        <x:v>0</x:v>
      </x:c>
      <x:c r="F5" s="2"/>
      <x:c r="G5" s="2" t="str">
        <x:v>À vérifier</x:v>
      </x:c>
      <x:c r="H5" s="33" t="n">
        <x:f>SUM(H10:H35)</x:f>
        <x:v>8</x:v>
      </x:c>
      <x:c r="I5" s="2"/>
      <x:c r="J5" s="2" t="str">
        <x:v>Extrapolations</x:v>
      </x:c>
      <x:c r="K5" s="33" t="n">
        <x:f>SUM(I10:I35)</x:f>
        <x:v>52</x:v>
      </x:c>
      <x:c r="L5" s="2"/>
      <x:c r="M5" s="2"/>
    </x:row>
    <x:row r="6" ht="22" customHeight="1">
      <x:c r="A6" s="2"/>
      <x:c r="B6" s="2"/>
      <x:c r="C6" s="2"/>
      <x:c r="D6" s="2"/>
      <x:c r="E6" s="2"/>
      <x:c r="F6" s="2"/>
      <x:c r="G6" s="2"/>
      <x:c r="H6" s="2"/>
      <x:c r="I6" s="2"/>
      <x:c r="J6" s="2"/>
      <x:c r="K6" s="2"/>
      <x:c r="L6" s="2"/>
      <x:c r="M6" s="2"/>
    </x:row>
    <x:row r="7" ht="22" customHeight="1">
      <x:c r="A7" s="34" t="str">
        <x:v>Défini = spécification. Établi = référence documentée. Les colonnes d’adaptation restent des propositions.</x:v>
      </x:c>
      <x:c r="B7" s="2"/>
      <x:c r="C7" s="2"/>
      <x:c r="D7" s="2"/>
      <x:c r="E7" s="2"/>
      <x:c r="F7" s="2"/>
      <x:c r="G7" s="2"/>
      <x:c r="H7" s="2"/>
      <x:c r="I7" s="2"/>
      <x:c r="J7" s="2"/>
      <x:c r="K7" s="2"/>
      <x:c r="L7" s="2"/>
      <x:c r="M7" s="2"/>
    </x:row>
    <x:row r="8" ht="22" customHeight="1">
      <x:c r="A8" s="2"/>
      <x:c r="B8" s="2"/>
      <x:c r="C8" s="2"/>
      <x:c r="D8" s="2"/>
      <x:c r="E8" s="2"/>
      <x:c r="F8" s="2"/>
      <x:c r="G8" s="2"/>
      <x:c r="H8" s="2"/>
      <x:c r="I8" s="2"/>
      <x:c r="J8" s="2"/>
      <x:c r="K8" s="2"/>
      <x:c r="L8" s="2"/>
      <x:c r="M8" s="2"/>
    </x:row>
    <x:row r="9" ht="34" customHeight="1">
      <x:c r="A9" s="26" t="str">
        <x:v>Domaine</x:v>
      </x:c>
      <x:c r="B9" s="27" t="str">
        <x:v>Total</x:v>
      </x:c>
      <x:c r="C9" s="27" t="str">
        <x:v>Défini</x:v>
      </x:c>
      <x:c r="D9" s="27" t="str">
        <x:v>Prototype</x:v>
      </x:c>
      <x:c r="E9" s="27" t="str">
        <x:v>Intégré</x:v>
      </x:c>
      <x:c r="F9" s="27" t="str">
        <x:v>Validé</x:v>
      </x:c>
      <x:c r="G9" s="27" t="str">
        <x:v>Établi</x:v>
      </x:c>
      <x:c r="H9" s="27" t="str">
        <x:v>À vérifier</x:v>
      </x:c>
      <x:c r="I9" s="27" t="str">
        <x:v>Extrapolation</x:v>
      </x:c>
      <x:c r="J9" s="27" t="str">
        <x:v>Coupé attesté</x:v>
      </x:c>
      <x:c r="K9" s="27" t="str">
        <x:v>Concept abandonné</x:v>
      </x:c>
      <x:c r="L9" s="27" t="str">
        <x:v>Allégation écartée</x:v>
      </x:c>
      <x:c r="M9" s="28" t="str">
        <x:v>Priorité P0</x:v>
      </x:c>
    </x:row>
    <x:row r="10" ht="22" customHeight="1">
      <x:c r="A10" s="35" t="str">
        <x:v>Personnages</x:v>
      </x:c>
      <x:c r="B10" s="39" t="n">
        <x:f>COUNTA('Personnages'!$A$7:$A$7)</x:f>
        <x:v>1</x:v>
      </x:c>
      <x:c r="C10" s="39" t="n">
        <x:f>COUNTIFS('Personnages'!$C$7:$C$7,"Défini")</x:f>
        <x:v>1</x:v>
      </x:c>
      <x:c r="D10" s="39" t="n">
        <x:f>COUNTIFS('Personnages'!$C$7:$C$7,"Prototype")</x:f>
        <x:v>0</x:v>
      </x:c>
      <x:c r="E10" s="39" t="n">
        <x:f>COUNTIFS('Personnages'!$C$7:$C$7,"Intégré")</x:f>
        <x:v>0</x:v>
      </x:c>
      <x:c r="F10" s="39" t="n">
        <x:f>COUNTIFS('Personnages'!$C$7:$C$7,"Validé")</x:f>
        <x:v>0</x:v>
      </x:c>
      <x:c r="G10" s="39" t="n">
        <x:f>COUNTIFS('Personnages'!$D$7:$D$7,"Établi")</x:f>
        <x:v>1</x:v>
      </x:c>
      <x:c r="H10" s="39" t="n">
        <x:f>COUNTIFS('Personnages'!$D$7:$D$7,"À vérifier")</x:f>
        <x:v>0</x:v>
      </x:c>
      <x:c r="I10" s="39" t="n">
        <x:f>COUNTIFS('Personnages'!$D$7:$D$7,"Extrapolation")</x:f>
        <x:v>0</x:v>
      </x:c>
      <x:c r="J10" s="39" t="n">
        <x:f>COUNTIFS('Personnages'!$D$7:$D$7,"Coupé attesté")</x:f>
        <x:v>0</x:v>
      </x:c>
      <x:c r="K10" s="39" t="n">
        <x:f>COUNTIFS('Personnages'!$D$7:$D$7,"Concept abandonné")</x:f>
        <x:v>0</x:v>
      </x:c>
      <x:c r="L10" s="39" t="n">
        <x:f>COUNTIFS('Personnages'!$D$7:$D$7,"Allégation écartée")</x:f>
        <x:v>0</x:v>
      </x:c>
      <x:c r="M10" s="39" t="n">
        <x:f>COUNTIFS('Personnages'!$E$7:$E$7,"P0")</x:f>
        <x:v>0</x:v>
      </x:c>
    </x:row>
    <x:row r="11" ht="22" customHeight="1">
      <x:c r="A11" s="2" t="str">
        <x:v>PNJ</x:v>
      </x:c>
      <x:c r="B11" s="40" t="n">
        <x:f>COUNTA('PNJ'!$A$7:$A$7)</x:f>
        <x:v>1</x:v>
      </x:c>
      <x:c r="C11" s="40" t="n">
        <x:f>COUNTIFS('PNJ'!$C$7:$C$7,"Défini")</x:f>
        <x:v>1</x:v>
      </x:c>
      <x:c r="D11" s="40" t="n">
        <x:f>COUNTIFS('PNJ'!$C$7:$C$7,"Prototype")</x:f>
        <x:v>0</x:v>
      </x:c>
      <x:c r="E11" s="40" t="n">
        <x:f>COUNTIFS('PNJ'!$C$7:$C$7,"Intégré")</x:f>
        <x:v>0</x:v>
      </x:c>
      <x:c r="F11" s="40" t="n">
        <x:f>COUNTIFS('PNJ'!$C$7:$C$7,"Validé")</x:f>
        <x:v>0</x:v>
      </x:c>
      <x:c r="G11" s="40" t="n">
        <x:f>COUNTIFS('PNJ'!$D$7:$D$7,"Établi")</x:f>
        <x:v>0</x:v>
      </x:c>
      <x:c r="H11" s="40" t="n">
        <x:f>COUNTIFS('PNJ'!$D$7:$D$7,"À vérifier")</x:f>
        <x:v>1</x:v>
      </x:c>
      <x:c r="I11" s="40" t="n">
        <x:f>COUNTIFS('PNJ'!$D$7:$D$7,"Extrapolation")</x:f>
        <x:v>0</x:v>
      </x:c>
      <x:c r="J11" s="40" t="n">
        <x:f>COUNTIFS('PNJ'!$D$7:$D$7,"Coupé attesté")</x:f>
        <x:v>0</x:v>
      </x:c>
      <x:c r="K11" s="40" t="n">
        <x:f>COUNTIFS('PNJ'!$D$7:$D$7,"Concept abandonné")</x:f>
        <x:v>0</x:v>
      </x:c>
      <x:c r="L11" s="40" t="n">
        <x:f>COUNTIFS('PNJ'!$D$7:$D$7,"Allégation écartée")</x:f>
        <x:v>0</x:v>
      </x:c>
      <x:c r="M11" s="40" t="n">
        <x:f>COUNTIFS('PNJ'!$E$7:$E$7,"P0")</x:f>
        <x:v>0</x:v>
      </x:c>
    </x:row>
    <x:row r="12" ht="22" customHeight="1">
      <x:c r="A12" s="35" t="str">
        <x:v>Espèces et factions</x:v>
      </x:c>
      <x:c r="B12" s="39" t="n">
        <x:f>COUNTA('Especes_factions'!$A$7:$A$12)</x:f>
        <x:v>6</x:v>
      </x:c>
      <x:c r="C12" s="39" t="n">
        <x:f>COUNTIFS('Especes_factions'!$C$7:$C$12,"Défini")</x:f>
        <x:v>6</x:v>
      </x:c>
      <x:c r="D12" s="39" t="n">
        <x:f>COUNTIFS('Especes_factions'!$C$7:$C$12,"Prototype")</x:f>
        <x:v>0</x:v>
      </x:c>
      <x:c r="E12" s="39" t="n">
        <x:f>COUNTIFS('Especes_factions'!$C$7:$C$12,"Intégré")</x:f>
        <x:v>0</x:v>
      </x:c>
      <x:c r="F12" s="39" t="n">
        <x:f>COUNTIFS('Especes_factions'!$C$7:$C$12,"Validé")</x:f>
        <x:v>0</x:v>
      </x:c>
      <x:c r="G12" s="39" t="n">
        <x:f>COUNTIFS('Especes_factions'!$D$7:$D$12,"Établi")</x:f>
        <x:v>1</x:v>
      </x:c>
      <x:c r="H12" s="39" t="n">
        <x:f>COUNTIFS('Especes_factions'!$D$7:$D$12,"À vérifier")</x:f>
        <x:v>5</x:v>
      </x:c>
      <x:c r="I12" s="39" t="n">
        <x:f>COUNTIFS('Especes_factions'!$D$7:$D$12,"Extrapolation")</x:f>
        <x:v>0</x:v>
      </x:c>
      <x:c r="J12" s="39" t="n">
        <x:f>COUNTIFS('Especes_factions'!$D$7:$D$12,"Coupé attesté")</x:f>
        <x:v>0</x:v>
      </x:c>
      <x:c r="K12" s="39" t="n">
        <x:f>COUNTIFS('Especes_factions'!$D$7:$D$12,"Concept abandonné")</x:f>
        <x:v>0</x:v>
      </x:c>
      <x:c r="L12" s="39" t="n">
        <x:f>COUNTIFS('Especes_factions'!$D$7:$D$12,"Allégation écartée")</x:f>
        <x:v>0</x:v>
      </x:c>
      <x:c r="M12" s="39" t="n">
        <x:f>COUNTIFS('Especes_factions'!$E$7:$E$12,"P0")</x:f>
        <x:v>3</x:v>
      </x:c>
    </x:row>
    <x:row r="13" ht="22" customHeight="1">
      <x:c r="A13" s="2" t="str">
        <x:v>Mondes</x:v>
      </x:c>
      <x:c r="B13" s="40" t="n">
        <x:f>COUNTA('Mondes'!$A$7:$A$7)</x:f>
        <x:v>1</x:v>
      </x:c>
      <x:c r="C13" s="40" t="n">
        <x:f>COUNTIFS('Mondes'!$C$7:$C$7,"Défini")</x:f>
        <x:v>1</x:v>
      </x:c>
      <x:c r="D13" s="40" t="n">
        <x:f>COUNTIFS('Mondes'!$C$7:$C$7,"Prototype")</x:f>
        <x:v>0</x:v>
      </x:c>
      <x:c r="E13" s="40" t="n">
        <x:f>COUNTIFS('Mondes'!$C$7:$C$7,"Intégré")</x:f>
        <x:v>0</x:v>
      </x:c>
      <x:c r="F13" s="40" t="n">
        <x:f>COUNTIFS('Mondes'!$C$7:$C$7,"Validé")</x:f>
        <x:v>0</x:v>
      </x:c>
      <x:c r="G13" s="40" t="n">
        <x:f>COUNTIFS('Mondes'!$D$7:$D$7,"Établi")</x:f>
        <x:v>1</x:v>
      </x:c>
      <x:c r="H13" s="40" t="n">
        <x:f>COUNTIFS('Mondes'!$D$7:$D$7,"À vérifier")</x:f>
        <x:v>0</x:v>
      </x:c>
      <x:c r="I13" s="40" t="n">
        <x:f>COUNTIFS('Mondes'!$D$7:$D$7,"Extrapolation")</x:f>
        <x:v>0</x:v>
      </x:c>
      <x:c r="J13" s="40" t="n">
        <x:f>COUNTIFS('Mondes'!$D$7:$D$7,"Coupé attesté")</x:f>
        <x:v>0</x:v>
      </x:c>
      <x:c r="K13" s="40" t="n">
        <x:f>COUNTIFS('Mondes'!$D$7:$D$7,"Concept abandonné")</x:f>
        <x:v>0</x:v>
      </x:c>
      <x:c r="L13" s="40" t="n">
        <x:f>COUNTIFS('Mondes'!$D$7:$D$7,"Allégation écartée")</x:f>
        <x:v>0</x:v>
      </x:c>
      <x:c r="M13" s="40" t="n">
        <x:f>COUNTIFS('Mondes'!$E$7:$E$7,"P0")</x:f>
        <x:v>0</x:v>
      </x:c>
    </x:row>
    <x:row r="14" ht="22" customHeight="1">
      <x:c r="A14" s="35" t="str">
        <x:v>Zones</x:v>
      </x:c>
      <x:c r="B14" s="39" t="n">
        <x:f>COUNTA('Zones'!$A$7:$A$7)</x:f>
        <x:v>1</x:v>
      </x:c>
      <x:c r="C14" s="39" t="n">
        <x:f>COUNTIFS('Zones'!$C$7:$C$7,"Défini")</x:f>
        <x:v>1</x:v>
      </x:c>
      <x:c r="D14" s="39" t="n">
        <x:f>COUNTIFS('Zones'!$C$7:$C$7,"Prototype")</x:f>
        <x:v>0</x:v>
      </x:c>
      <x:c r="E14" s="39" t="n">
        <x:f>COUNTIFS('Zones'!$C$7:$C$7,"Intégré")</x:f>
        <x:v>0</x:v>
      </x:c>
      <x:c r="F14" s="39" t="n">
        <x:f>COUNTIFS('Zones'!$C$7:$C$7,"Validé")</x:f>
        <x:v>0</x:v>
      </x:c>
      <x:c r="G14" s="39" t="n">
        <x:f>COUNTIFS('Zones'!$D$7:$D$7,"Établi")</x:f>
        <x:v>0</x:v>
      </x:c>
      <x:c r="H14" s="39" t="n">
        <x:f>COUNTIFS('Zones'!$D$7:$D$7,"À vérifier")</x:f>
        <x:v>0</x:v>
      </x:c>
      <x:c r="I14" s="39" t="n">
        <x:f>COUNTIFS('Zones'!$D$7:$D$7,"Extrapolation")</x:f>
        <x:v>1</x:v>
      </x:c>
      <x:c r="J14" s="39" t="n">
        <x:f>COUNTIFS('Zones'!$D$7:$D$7,"Coupé attesté")</x:f>
        <x:v>0</x:v>
      </x:c>
      <x:c r="K14" s="39" t="n">
        <x:f>COUNTIFS('Zones'!$D$7:$D$7,"Concept abandonné")</x:f>
        <x:v>0</x:v>
      </x:c>
      <x:c r="L14" s="39" t="n">
        <x:f>COUNTIFS('Zones'!$D$7:$D$7,"Allégation écartée")</x:f>
        <x:v>0</x:v>
      </x:c>
      <x:c r="M14" s="39" t="n">
        <x:f>COUNTIFS('Zones'!$E$7:$E$7,"P0")</x:f>
        <x:v>0</x:v>
      </x:c>
    </x:row>
    <x:row r="15" ht="22" customHeight="1">
      <x:c r="A15" s="2" t="str">
        <x:v>Liaisons</x:v>
      </x:c>
      <x:c r="B15" s="40" t="n">
        <x:f>COUNTA('Liaisons'!$A$7:$A$7)</x:f>
        <x:v>1</x:v>
      </x:c>
      <x:c r="C15" s="40" t="n">
        <x:f>COUNTIFS('Liaisons'!$C$7:$C$7,"Défini")</x:f>
        <x:v>1</x:v>
      </x:c>
      <x:c r="D15" s="40" t="n">
        <x:f>COUNTIFS('Liaisons'!$C$7:$C$7,"Prototype")</x:f>
        <x:v>0</x:v>
      </x:c>
      <x:c r="E15" s="40" t="n">
        <x:f>COUNTIFS('Liaisons'!$C$7:$C$7,"Intégré")</x:f>
        <x:v>0</x:v>
      </x:c>
      <x:c r="F15" s="40" t="n">
        <x:f>COUNTIFS('Liaisons'!$C$7:$C$7,"Validé")</x:f>
        <x:v>0</x:v>
      </x:c>
      <x:c r="G15" s="40" t="n">
        <x:f>COUNTIFS('Liaisons'!$D$7:$D$7,"Établi")</x:f>
        <x:v>0</x:v>
      </x:c>
      <x:c r="H15" s="40" t="n">
        <x:f>COUNTIFS('Liaisons'!$D$7:$D$7,"À vérifier")</x:f>
        <x:v>0</x:v>
      </x:c>
      <x:c r="I15" s="40" t="n">
        <x:f>COUNTIFS('Liaisons'!$D$7:$D$7,"Extrapolation")</x:f>
        <x:v>1</x:v>
      </x:c>
      <x:c r="J15" s="40" t="n">
        <x:f>COUNTIFS('Liaisons'!$D$7:$D$7,"Coupé attesté")</x:f>
        <x:v>0</x:v>
      </x:c>
      <x:c r="K15" s="40" t="n">
        <x:f>COUNTIFS('Liaisons'!$D$7:$D$7,"Concept abandonné")</x:f>
        <x:v>0</x:v>
      </x:c>
      <x:c r="L15" s="40" t="n">
        <x:f>COUNTIFS('Liaisons'!$D$7:$D$7,"Allégation écartée")</x:f>
        <x:v>0</x:v>
      </x:c>
      <x:c r="M15" s="40" t="n">
        <x:f>COUNTIFS('Liaisons'!$E$7:$E$7,"P0")</x:f>
        <x:v>0</x:v>
      </x:c>
    </x:row>
    <x:row r="16" ht="22" customHeight="1">
      <x:c r="A16" s="35" t="str">
        <x:v>Décors</x:v>
      </x:c>
      <x:c r="B16" s="39" t="n">
        <x:f>COUNTA('Decors'!$A$7:$A$7)</x:f>
        <x:v>1</x:v>
      </x:c>
      <x:c r="C16" s="39" t="n">
        <x:f>COUNTIFS('Decors'!$C$7:$C$7,"Défini")</x:f>
        <x:v>1</x:v>
      </x:c>
      <x:c r="D16" s="39" t="n">
        <x:f>COUNTIFS('Decors'!$C$7:$C$7,"Prototype")</x:f>
        <x:v>0</x:v>
      </x:c>
      <x:c r="E16" s="39" t="n">
        <x:f>COUNTIFS('Decors'!$C$7:$C$7,"Intégré")</x:f>
        <x:v>0</x:v>
      </x:c>
      <x:c r="F16" s="39" t="n">
        <x:f>COUNTIFS('Decors'!$C$7:$C$7,"Validé")</x:f>
        <x:v>0</x:v>
      </x:c>
      <x:c r="G16" s="39" t="n">
        <x:f>COUNTIFS('Decors'!$D$7:$D$7,"Établi")</x:f>
        <x:v>0</x:v>
      </x:c>
      <x:c r="H16" s="39" t="n">
        <x:f>COUNTIFS('Decors'!$D$7:$D$7,"À vérifier")</x:f>
        <x:v>0</x:v>
      </x:c>
      <x:c r="I16" s="39" t="n">
        <x:f>COUNTIFS('Decors'!$D$7:$D$7,"Extrapolation")</x:f>
        <x:v>1</x:v>
      </x:c>
      <x:c r="J16" s="39" t="n">
        <x:f>COUNTIFS('Decors'!$D$7:$D$7,"Coupé attesté")</x:f>
        <x:v>0</x:v>
      </x:c>
      <x:c r="K16" s="39" t="n">
        <x:f>COUNTIFS('Decors'!$D$7:$D$7,"Concept abandonné")</x:f>
        <x:v>0</x:v>
      </x:c>
      <x:c r="L16" s="39" t="n">
        <x:f>COUNTIFS('Decors'!$D$7:$D$7,"Allégation écartée")</x:f>
        <x:v>0</x:v>
      </x:c>
      <x:c r="M16" s="39" t="n">
        <x:f>COUNTIFS('Decors'!$E$7:$E$7,"P0")</x:f>
        <x:v>0</x:v>
      </x:c>
    </x:row>
    <x:row r="17" ht="22" customHeight="1">
      <x:c r="A17" s="2" t="str">
        <x:v>Props</x:v>
      </x:c>
      <x:c r="B17" s="40" t="n">
        <x:f>COUNTA('Props'!$A$7:$A$9)</x:f>
        <x:v>3</x:v>
      </x:c>
      <x:c r="C17" s="40" t="n">
        <x:f>COUNTIFS('Props'!$C$7:$C$9,"Défini")</x:f>
        <x:v>3</x:v>
      </x:c>
      <x:c r="D17" s="40" t="n">
        <x:f>COUNTIFS('Props'!$C$7:$C$9,"Prototype")</x:f>
        <x:v>0</x:v>
      </x:c>
      <x:c r="E17" s="40" t="n">
        <x:f>COUNTIFS('Props'!$C$7:$C$9,"Intégré")</x:f>
        <x:v>0</x:v>
      </x:c>
      <x:c r="F17" s="40" t="n">
        <x:f>COUNTIFS('Props'!$C$7:$C$9,"Validé")</x:f>
        <x:v>0</x:v>
      </x:c>
      <x:c r="G17" s="40" t="n">
        <x:f>COUNTIFS('Props'!$D$7:$D$9,"Établi")</x:f>
        <x:v>0</x:v>
      </x:c>
      <x:c r="H17" s="40" t="n">
        <x:f>COUNTIFS('Props'!$D$7:$D$9,"À vérifier")</x:f>
        <x:v>0</x:v>
      </x:c>
      <x:c r="I17" s="40" t="n">
        <x:f>COUNTIFS('Props'!$D$7:$D$9,"Extrapolation")</x:f>
        <x:v>3</x:v>
      </x:c>
      <x:c r="J17" s="40" t="n">
        <x:f>COUNTIFS('Props'!$D$7:$D$9,"Coupé attesté")</x:f>
        <x:v>0</x:v>
      </x:c>
      <x:c r="K17" s="40" t="n">
        <x:f>COUNTIFS('Props'!$D$7:$D$9,"Concept abandonné")</x:f>
        <x:v>0</x:v>
      </x:c>
      <x:c r="L17" s="40" t="n">
        <x:f>COUNTIFS('Props'!$D$7:$D$9,"Allégation écartée")</x:f>
        <x:v>0</x:v>
      </x:c>
      <x:c r="M17" s="40" t="n">
        <x:f>COUNTIFS('Props'!$E$7:$E$9,"P0")</x:f>
        <x:v>0</x:v>
      </x:c>
    </x:row>
    <x:row r="18" ht="22" customHeight="1">
      <x:c r="A18" s="35" t="str">
        <x:v>Ennemis et boss</x:v>
      </x:c>
      <x:c r="B18" s="39" t="n">
        <x:f>COUNTA('Ennemis_boss'!$A$7:$A$9)</x:f>
        <x:v>3</x:v>
      </x:c>
      <x:c r="C18" s="39" t="n">
        <x:f>COUNTIFS('Ennemis_boss'!$C$7:$C$9,"Défini")</x:f>
        <x:v>3</x:v>
      </x:c>
      <x:c r="D18" s="39" t="n">
        <x:f>COUNTIFS('Ennemis_boss'!$C$7:$C$9,"Prototype")</x:f>
        <x:v>0</x:v>
      </x:c>
      <x:c r="E18" s="39" t="n">
        <x:f>COUNTIFS('Ennemis_boss'!$C$7:$C$9,"Intégré")</x:f>
        <x:v>0</x:v>
      </x:c>
      <x:c r="F18" s="39" t="n">
        <x:f>COUNTIFS('Ennemis_boss'!$C$7:$C$9,"Validé")</x:f>
        <x:v>0</x:v>
      </x:c>
      <x:c r="G18" s="39" t="n">
        <x:f>COUNTIFS('Ennemis_boss'!$D$7:$D$9,"Établi")</x:f>
        <x:v>1</x:v>
      </x:c>
      <x:c r="H18" s="39" t="n">
        <x:f>COUNTIFS('Ennemis_boss'!$D$7:$D$9,"À vérifier")</x:f>
        <x:v>2</x:v>
      </x:c>
      <x:c r="I18" s="39" t="n">
        <x:f>COUNTIFS('Ennemis_boss'!$D$7:$D$9,"Extrapolation")</x:f>
        <x:v>0</x:v>
      </x:c>
      <x:c r="J18" s="39" t="n">
        <x:f>COUNTIFS('Ennemis_boss'!$D$7:$D$9,"Coupé attesté")</x:f>
        <x:v>0</x:v>
      </x:c>
      <x:c r="K18" s="39" t="n">
        <x:f>COUNTIFS('Ennemis_boss'!$D$7:$D$9,"Concept abandonné")</x:f>
        <x:v>0</x:v>
      </x:c>
      <x:c r="L18" s="39" t="n">
        <x:f>COUNTIFS('Ennemis_boss'!$D$7:$D$9,"Allégation écartée")</x:f>
        <x:v>0</x:v>
      </x:c>
      <x:c r="M18" s="39" t="n">
        <x:f>COUNTIFS('Ennemis_boss'!$E$7:$E$9,"P0")</x:f>
        <x:v>0</x:v>
      </x:c>
    </x:row>
    <x:row r="19" ht="22" customHeight="1">
      <x:c r="A19" s="2" t="str">
        <x:v>Missions</x:v>
      </x:c>
      <x:c r="B19" s="40" t="n">
        <x:f>COUNTA('Missions'!$A$7:$A$9)</x:f>
        <x:v>3</x:v>
      </x:c>
      <x:c r="C19" s="40" t="n">
        <x:f>COUNTIFS('Missions'!$C$7:$C$9,"Défini")</x:f>
        <x:v>3</x:v>
      </x:c>
      <x:c r="D19" s="40" t="n">
        <x:f>COUNTIFS('Missions'!$C$7:$C$9,"Prototype")</x:f>
        <x:v>0</x:v>
      </x:c>
      <x:c r="E19" s="40" t="n">
        <x:f>COUNTIFS('Missions'!$C$7:$C$9,"Intégré")</x:f>
        <x:v>0</x:v>
      </x:c>
      <x:c r="F19" s="40" t="n">
        <x:f>COUNTIFS('Missions'!$C$7:$C$9,"Validé")</x:f>
        <x:v>0</x:v>
      </x:c>
      <x:c r="G19" s="40" t="n">
        <x:f>COUNTIFS('Missions'!$D$7:$D$9,"Établi")</x:f>
        <x:v>0</x:v>
      </x:c>
      <x:c r="H19" s="40" t="n">
        <x:f>COUNTIFS('Missions'!$D$7:$D$9,"À vérifier")</x:f>
        <x:v>0</x:v>
      </x:c>
      <x:c r="I19" s="40" t="n">
        <x:f>COUNTIFS('Missions'!$D$7:$D$9,"Extrapolation")</x:f>
        <x:v>3</x:v>
      </x:c>
      <x:c r="J19" s="40" t="n">
        <x:f>COUNTIFS('Missions'!$D$7:$D$9,"Coupé attesté")</x:f>
        <x:v>0</x:v>
      </x:c>
      <x:c r="K19" s="40" t="n">
        <x:f>COUNTIFS('Missions'!$D$7:$D$9,"Concept abandonné")</x:f>
        <x:v>0</x:v>
      </x:c>
      <x:c r="L19" s="40" t="n">
        <x:f>COUNTIFS('Missions'!$D$7:$D$9,"Allégation écartée")</x:f>
        <x:v>0</x:v>
      </x:c>
      <x:c r="M19" s="40" t="n">
        <x:f>COUNTIFS('Missions'!$E$7:$E$9,"P0")</x:f>
        <x:v>3</x:v>
      </x:c>
    </x:row>
    <x:row r="20" ht="22" customHeight="1">
      <x:c r="A20" s="35" t="str">
        <x:v>Secondaires et DLC</x:v>
      </x:c>
      <x:c r="B20" s="39" t="n">
        <x:f>COUNTA('Secondaires_DLC'!$A$7:$A$9)</x:f>
        <x:v>3</x:v>
      </x:c>
      <x:c r="C20" s="39" t="n">
        <x:f>COUNTIFS('Secondaires_DLC'!$C$7:$C$9,"Défini")</x:f>
        <x:v>3</x:v>
      </x:c>
      <x:c r="D20" s="39" t="n">
        <x:f>COUNTIFS('Secondaires_DLC'!$C$7:$C$9,"Prototype")</x:f>
        <x:v>0</x:v>
      </x:c>
      <x:c r="E20" s="39" t="n">
        <x:f>COUNTIFS('Secondaires_DLC'!$C$7:$C$9,"Intégré")</x:f>
        <x:v>0</x:v>
      </x:c>
      <x:c r="F20" s="39" t="n">
        <x:f>COUNTIFS('Secondaires_DLC'!$C$7:$C$9,"Validé")</x:f>
        <x:v>0</x:v>
      </x:c>
      <x:c r="G20" s="39" t="n">
        <x:f>COUNTIFS('Secondaires_DLC'!$D$7:$D$9,"Établi")</x:f>
        <x:v>0</x:v>
      </x:c>
      <x:c r="H20" s="39" t="n">
        <x:f>COUNTIFS('Secondaires_DLC'!$D$7:$D$9,"À vérifier")</x:f>
        <x:v>0</x:v>
      </x:c>
      <x:c r="I20" s="39" t="n">
        <x:f>COUNTIFS('Secondaires_DLC'!$D$7:$D$9,"Extrapolation")</x:f>
        <x:v>3</x:v>
      </x:c>
      <x:c r="J20" s="39" t="n">
        <x:f>COUNTIFS('Secondaires_DLC'!$D$7:$D$9,"Coupé attesté")</x:f>
        <x:v>0</x:v>
      </x:c>
      <x:c r="K20" s="39" t="n">
        <x:f>COUNTIFS('Secondaires_DLC'!$D$7:$D$9,"Concept abandonné")</x:f>
        <x:v>0</x:v>
      </x:c>
      <x:c r="L20" s="39" t="n">
        <x:f>COUNTIFS('Secondaires_DLC'!$D$7:$D$9,"Allégation écartée")</x:f>
        <x:v>0</x:v>
      </x:c>
      <x:c r="M20" s="39" t="n">
        <x:f>COUNTIFS('Secondaires_DLC'!$E$7:$E$9,"P0")</x:f>
        <x:v>0</x:v>
      </x:c>
    </x:row>
    <x:row r="21" ht="22" customHeight="1">
      <x:c r="A21" s="2" t="str">
        <x:v>Choix et relations</x:v>
      </x:c>
      <x:c r="B21" s="40" t="n">
        <x:f>COUNTA('Choix_relations'!$A$7:$A$9)</x:f>
        <x:v>3</x:v>
      </x:c>
      <x:c r="C21" s="40" t="n">
        <x:f>COUNTIFS('Choix_relations'!$C$7:$C$9,"Défini")</x:f>
        <x:v>3</x:v>
      </x:c>
      <x:c r="D21" s="40" t="n">
        <x:f>COUNTIFS('Choix_relations'!$C$7:$C$9,"Prototype")</x:f>
        <x:v>0</x:v>
      </x:c>
      <x:c r="E21" s="40" t="n">
        <x:f>COUNTIFS('Choix_relations'!$C$7:$C$9,"Intégré")</x:f>
        <x:v>0</x:v>
      </x:c>
      <x:c r="F21" s="40" t="n">
        <x:f>COUNTIFS('Choix_relations'!$C$7:$C$9,"Validé")</x:f>
        <x:v>0</x:v>
      </x:c>
      <x:c r="G21" s="40" t="n">
        <x:f>COUNTIFS('Choix_relations'!$D$7:$D$9,"Établi")</x:f>
        <x:v>0</x:v>
      </x:c>
      <x:c r="H21" s="40" t="n">
        <x:f>COUNTIFS('Choix_relations'!$D$7:$D$9,"À vérifier")</x:f>
        <x:v>0</x:v>
      </x:c>
      <x:c r="I21" s="40" t="n">
        <x:f>COUNTIFS('Choix_relations'!$D$7:$D$9,"Extrapolation")</x:f>
        <x:v>3</x:v>
      </x:c>
      <x:c r="J21" s="40" t="n">
        <x:f>COUNTIFS('Choix_relations'!$D$7:$D$9,"Coupé attesté")</x:f>
        <x:v>0</x:v>
      </x:c>
      <x:c r="K21" s="40" t="n">
        <x:f>COUNTIFS('Choix_relations'!$D$7:$D$9,"Concept abandonné")</x:f>
        <x:v>0</x:v>
      </x:c>
      <x:c r="L21" s="40" t="n">
        <x:f>COUNTIFS('Choix_relations'!$D$7:$D$9,"Allégation écartée")</x:f>
        <x:v>0</x:v>
      </x:c>
      <x:c r="M21" s="40" t="n">
        <x:f>COUNTIFS('Choix_relations'!$E$7:$E$9,"P0")</x:f>
        <x:v>0</x:v>
      </x:c>
    </x:row>
    <x:row r="22" ht="22" customHeight="1">
      <x:c r="A22" s="35" t="str">
        <x:v>Dialogues</x:v>
      </x:c>
      <x:c r="B22" s="39" t="n">
        <x:f>COUNTA('Dialogues'!$A$7:$A$9)</x:f>
        <x:v>3</x:v>
      </x:c>
      <x:c r="C22" s="39" t="n">
        <x:f>COUNTIFS('Dialogues'!$C$7:$C$9,"Défini")</x:f>
        <x:v>3</x:v>
      </x:c>
      <x:c r="D22" s="39" t="n">
        <x:f>COUNTIFS('Dialogues'!$C$7:$C$9,"Prototype")</x:f>
        <x:v>0</x:v>
      </x:c>
      <x:c r="E22" s="39" t="n">
        <x:f>COUNTIFS('Dialogues'!$C$7:$C$9,"Intégré")</x:f>
        <x:v>0</x:v>
      </x:c>
      <x:c r="F22" s="39" t="n">
        <x:f>COUNTIFS('Dialogues'!$C$7:$C$9,"Validé")</x:f>
        <x:v>0</x:v>
      </x:c>
      <x:c r="G22" s="39" t="n">
        <x:f>COUNTIFS('Dialogues'!$D$7:$D$9,"Établi")</x:f>
        <x:v>0</x:v>
      </x:c>
      <x:c r="H22" s="39" t="n">
        <x:f>COUNTIFS('Dialogues'!$D$7:$D$9,"À vérifier")</x:f>
        <x:v>0</x:v>
      </x:c>
      <x:c r="I22" s="39" t="n">
        <x:f>COUNTIFS('Dialogues'!$D$7:$D$9,"Extrapolation")</x:f>
        <x:v>3</x:v>
      </x:c>
      <x:c r="J22" s="39" t="n">
        <x:f>COUNTIFS('Dialogues'!$D$7:$D$9,"Coupé attesté")</x:f>
        <x:v>0</x:v>
      </x:c>
      <x:c r="K22" s="39" t="n">
        <x:f>COUNTIFS('Dialogues'!$D$7:$D$9,"Concept abandonné")</x:f>
        <x:v>0</x:v>
      </x:c>
      <x:c r="L22" s="39" t="n">
        <x:f>COUNTIFS('Dialogues'!$D$7:$D$9,"Allégation écartée")</x:f>
        <x:v>0</x:v>
      </x:c>
      <x:c r="M22" s="39" t="n">
        <x:f>COUNTIFS('Dialogues'!$E$7:$E$9,"P0")</x:f>
        <x:v>0</x:v>
      </x:c>
    </x:row>
    <x:row r="23" ht="22" customHeight="1">
      <x:c r="A23" s="2" t="str">
        <x:v>Cinématiques</x:v>
      </x:c>
      <x:c r="B23" s="40" t="n">
        <x:f>COUNTA('Cinematiques'!$A$7:$A$9)</x:f>
        <x:v>3</x:v>
      </x:c>
      <x:c r="C23" s="40" t="n">
        <x:f>COUNTIFS('Cinematiques'!$C$7:$C$9,"Défini")</x:f>
        <x:v>3</x:v>
      </x:c>
      <x:c r="D23" s="40" t="n">
        <x:f>COUNTIFS('Cinematiques'!$C$7:$C$9,"Prototype")</x:f>
        <x:v>0</x:v>
      </x:c>
      <x:c r="E23" s="40" t="n">
        <x:f>COUNTIFS('Cinematiques'!$C$7:$C$9,"Intégré")</x:f>
        <x:v>0</x:v>
      </x:c>
      <x:c r="F23" s="40" t="n">
        <x:f>COUNTIFS('Cinematiques'!$C$7:$C$9,"Validé")</x:f>
        <x:v>0</x:v>
      </x:c>
      <x:c r="G23" s="40" t="n">
        <x:f>COUNTIFS('Cinematiques'!$D$7:$D$9,"Établi")</x:f>
        <x:v>0</x:v>
      </x:c>
      <x:c r="H23" s="40" t="n">
        <x:f>COUNTIFS('Cinematiques'!$D$7:$D$9,"À vérifier")</x:f>
        <x:v>0</x:v>
      </x:c>
      <x:c r="I23" s="40" t="n">
        <x:f>COUNTIFS('Cinematiques'!$D$7:$D$9,"Extrapolation")</x:f>
        <x:v>3</x:v>
      </x:c>
      <x:c r="J23" s="40" t="n">
        <x:f>COUNTIFS('Cinematiques'!$D$7:$D$9,"Coupé attesté")</x:f>
        <x:v>0</x:v>
      </x:c>
      <x:c r="K23" s="40" t="n">
        <x:f>COUNTIFS('Cinematiques'!$D$7:$D$9,"Concept abandonné")</x:f>
        <x:v>0</x:v>
      </x:c>
      <x:c r="L23" s="40" t="n">
        <x:f>COUNTIFS('Cinematiques'!$D$7:$D$9,"Allégation écartée")</x:f>
        <x:v>0</x:v>
      </x:c>
      <x:c r="M23" s="40" t="n">
        <x:f>COUNTIFS('Cinematiques'!$E$7:$E$9,"P0")</x:f>
        <x:v>0</x:v>
      </x:c>
    </x:row>
    <x:row r="24" ht="22" customHeight="1">
      <x:c r="A24" s="35" t="str">
        <x:v>Armes</x:v>
      </x:c>
      <x:c r="B24" s="39" t="n">
        <x:f>COUNTA('Armes'!$A$7:$A$7)</x:f>
        <x:v>1</x:v>
      </x:c>
      <x:c r="C24" s="39" t="n">
        <x:f>COUNTIFS('Armes'!$C$7:$C$7,"Défini")</x:f>
        <x:v>1</x:v>
      </x:c>
      <x:c r="D24" s="39" t="n">
        <x:f>COUNTIFS('Armes'!$C$7:$C$7,"Prototype")</x:f>
        <x:v>0</x:v>
      </x:c>
      <x:c r="E24" s="39" t="n">
        <x:f>COUNTIFS('Armes'!$C$7:$C$7,"Intégré")</x:f>
        <x:v>0</x:v>
      </x:c>
      <x:c r="F24" s="39" t="n">
        <x:f>COUNTIFS('Armes'!$C$7:$C$7,"Validé")</x:f>
        <x:v>0</x:v>
      </x:c>
      <x:c r="G24" s="39" t="n">
        <x:f>COUNTIFS('Armes'!$D$7:$D$7,"Établi")</x:f>
        <x:v>0</x:v>
      </x:c>
      <x:c r="H24" s="39" t="n">
        <x:f>COUNTIFS('Armes'!$D$7:$D$7,"À vérifier")</x:f>
        <x:v>0</x:v>
      </x:c>
      <x:c r="I24" s="39" t="n">
        <x:f>COUNTIFS('Armes'!$D$7:$D$7,"Extrapolation")</x:f>
        <x:v>1</x:v>
      </x:c>
      <x:c r="J24" s="39" t="n">
        <x:f>COUNTIFS('Armes'!$D$7:$D$7,"Coupé attesté")</x:f>
        <x:v>0</x:v>
      </x:c>
      <x:c r="K24" s="39" t="n">
        <x:f>COUNTIFS('Armes'!$D$7:$D$7,"Concept abandonné")</x:f>
        <x:v>0</x:v>
      </x:c>
      <x:c r="L24" s="39" t="n">
        <x:f>COUNTIFS('Armes'!$D$7:$D$7,"Allégation écartée")</x:f>
        <x:v>0</x:v>
      </x:c>
      <x:c r="M24" s="39" t="n">
        <x:f>COUNTIFS('Armes'!$E$7:$E$7,"P0")</x:f>
        <x:v>0</x:v>
      </x:c>
    </x:row>
    <x:row r="25" ht="22" customHeight="1">
      <x:c r="A25" s="2" t="str">
        <x:v>Armures et équipement</x:v>
      </x:c>
      <x:c r="B25" s="40" t="n">
        <x:f>COUNTA('Armures_equipement'!$A$7:$A$7)</x:f>
        <x:v>1</x:v>
      </x:c>
      <x:c r="C25" s="40" t="n">
        <x:f>COUNTIFS('Armures_equipement'!$C$7:$C$7,"Défini")</x:f>
        <x:v>1</x:v>
      </x:c>
      <x:c r="D25" s="40" t="n">
        <x:f>COUNTIFS('Armures_equipement'!$C$7:$C$7,"Prototype")</x:f>
        <x:v>0</x:v>
      </x:c>
      <x:c r="E25" s="40" t="n">
        <x:f>COUNTIFS('Armures_equipement'!$C$7:$C$7,"Intégré")</x:f>
        <x:v>0</x:v>
      </x:c>
      <x:c r="F25" s="40" t="n">
        <x:f>COUNTIFS('Armures_equipement'!$C$7:$C$7,"Validé")</x:f>
        <x:v>0</x:v>
      </x:c>
      <x:c r="G25" s="40" t="n">
        <x:f>COUNTIFS('Armures_equipement'!$D$7:$D$7,"Établi")</x:f>
        <x:v>0</x:v>
      </x:c>
      <x:c r="H25" s="40" t="n">
        <x:f>COUNTIFS('Armures_equipement'!$D$7:$D$7,"À vérifier")</x:f>
        <x:v>0</x:v>
      </x:c>
      <x:c r="I25" s="40" t="n">
        <x:f>COUNTIFS('Armures_equipement'!$D$7:$D$7,"Extrapolation")</x:f>
        <x:v>1</x:v>
      </x:c>
      <x:c r="J25" s="40" t="n">
        <x:f>COUNTIFS('Armures_equipement'!$D$7:$D$7,"Coupé attesté")</x:f>
        <x:v>0</x:v>
      </x:c>
      <x:c r="K25" s="40" t="n">
        <x:f>COUNTIFS('Armures_equipement'!$D$7:$D$7,"Concept abandonné")</x:f>
        <x:v>0</x:v>
      </x:c>
      <x:c r="L25" s="40" t="n">
        <x:f>COUNTIFS('Armures_equipement'!$D$7:$D$7,"Allégation écartée")</x:f>
        <x:v>0</x:v>
      </x:c>
      <x:c r="M25" s="40" t="n">
        <x:f>COUNTIFS('Armures_equipement'!$E$7:$E$7,"P0")</x:f>
        <x:v>0</x:v>
      </x:c>
    </x:row>
    <x:row r="26" ht="22" customHeight="1">
      <x:c r="A26" s="35" t="str">
        <x:v>Pouvoirs</x:v>
      </x:c>
      <x:c r="B26" s="39" t="n">
        <x:f>COUNTA('Pouvoirs'!$A$7:$A$7)</x:f>
        <x:v>1</x:v>
      </x:c>
      <x:c r="C26" s="39" t="n">
        <x:f>COUNTIFS('Pouvoirs'!$C$7:$C$7,"Défini")</x:f>
        <x:v>1</x:v>
      </x:c>
      <x:c r="D26" s="39" t="n">
        <x:f>COUNTIFS('Pouvoirs'!$C$7:$C$7,"Prototype")</x:f>
        <x:v>0</x:v>
      </x:c>
      <x:c r="E26" s="39" t="n">
        <x:f>COUNTIFS('Pouvoirs'!$C$7:$C$7,"Intégré")</x:f>
        <x:v>0</x:v>
      </x:c>
      <x:c r="F26" s="39" t="n">
        <x:f>COUNTIFS('Pouvoirs'!$C$7:$C$7,"Validé")</x:f>
        <x:v>0</x:v>
      </x:c>
      <x:c r="G26" s="39" t="n">
        <x:f>COUNTIFS('Pouvoirs'!$D$7:$D$7,"Établi")</x:f>
        <x:v>0</x:v>
      </x:c>
      <x:c r="H26" s="39" t="n">
        <x:f>COUNTIFS('Pouvoirs'!$D$7:$D$7,"À vérifier")</x:f>
        <x:v>0</x:v>
      </x:c>
      <x:c r="I26" s="39" t="n">
        <x:f>COUNTIFS('Pouvoirs'!$D$7:$D$7,"Extrapolation")</x:f>
        <x:v>1</x:v>
      </x:c>
      <x:c r="J26" s="39" t="n">
        <x:f>COUNTIFS('Pouvoirs'!$D$7:$D$7,"Coupé attesté")</x:f>
        <x:v>0</x:v>
      </x:c>
      <x:c r="K26" s="39" t="n">
        <x:f>COUNTIFS('Pouvoirs'!$D$7:$D$7,"Concept abandonné")</x:f>
        <x:v>0</x:v>
      </x:c>
      <x:c r="L26" s="39" t="n">
        <x:f>COUNTIFS('Pouvoirs'!$D$7:$D$7,"Allégation écartée")</x:f>
        <x:v>0</x:v>
      </x:c>
      <x:c r="M26" s="39" t="n">
        <x:f>COUNTIFS('Pouvoirs'!$E$7:$E$7,"P0")</x:f>
        <x:v>0</x:v>
      </x:c>
    </x:row>
    <x:row r="27" ht="22" customHeight="1">
      <x:c r="A27" s="2" t="str">
        <x:v>Movesets alliés</x:v>
      </x:c>
      <x:c r="B27" s="40" t="n">
        <x:f>COUNTA('Movesets_allies'!$A$7:$A$8)</x:f>
        <x:v>2</x:v>
      </x:c>
      <x:c r="C27" s="40" t="n">
        <x:f>COUNTIFS('Movesets_allies'!$C$7:$C$8,"Défini")</x:f>
        <x:v>2</x:v>
      </x:c>
      <x:c r="D27" s="40" t="n">
        <x:f>COUNTIFS('Movesets_allies'!$C$7:$C$8,"Prototype")</x:f>
        <x:v>0</x:v>
      </x:c>
      <x:c r="E27" s="40" t="n">
        <x:f>COUNTIFS('Movesets_allies'!$C$7:$C$8,"Intégré")</x:f>
        <x:v>0</x:v>
      </x:c>
      <x:c r="F27" s="40" t="n">
        <x:f>COUNTIFS('Movesets_allies'!$C$7:$C$8,"Validé")</x:f>
        <x:v>0</x:v>
      </x:c>
      <x:c r="G27" s="40" t="n">
        <x:f>COUNTIFS('Movesets_allies'!$D$7:$D$8,"Établi")</x:f>
        <x:v>0</x:v>
      </x:c>
      <x:c r="H27" s="40" t="n">
        <x:f>COUNTIFS('Movesets_allies'!$D$7:$D$8,"À vérifier")</x:f>
        <x:v>0</x:v>
      </x:c>
      <x:c r="I27" s="40" t="n">
        <x:f>COUNTIFS('Movesets_allies'!$D$7:$D$8,"Extrapolation")</x:f>
        <x:v>2</x:v>
      </x:c>
      <x:c r="J27" s="40" t="n">
        <x:f>COUNTIFS('Movesets_allies'!$D$7:$D$8,"Coupé attesté")</x:f>
        <x:v>0</x:v>
      </x:c>
      <x:c r="K27" s="40" t="n">
        <x:f>COUNTIFS('Movesets_allies'!$D$7:$D$8,"Concept abandonné")</x:f>
        <x:v>0</x:v>
      </x:c>
      <x:c r="L27" s="40" t="n">
        <x:f>COUNTIFS('Movesets_allies'!$D$7:$D$8,"Allégation écartée")</x:f>
        <x:v>0</x:v>
      </x:c>
      <x:c r="M27" s="40" t="n">
        <x:f>COUNTIFS('Movesets_allies'!$E$7:$E$8,"P0")</x:f>
        <x:v>0</x:v>
      </x:c>
    </x:row>
    <x:row r="28" ht="22" customHeight="1">
      <x:c r="A28" s="35" t="str">
        <x:v>Movesets ennemis</x:v>
      </x:c>
      <x:c r="B28" s="39" t="n">
        <x:f>COUNTA('Movesets_ennemis'!$A$7:$A$12)</x:f>
        <x:v>6</x:v>
      </x:c>
      <x:c r="C28" s="39" t="n">
        <x:f>COUNTIFS('Movesets_ennemis'!$C$7:$C$12,"Défini")</x:f>
        <x:v>6</x:v>
      </x:c>
      <x:c r="D28" s="39" t="n">
        <x:f>COUNTIFS('Movesets_ennemis'!$C$7:$C$12,"Prototype")</x:f>
        <x:v>0</x:v>
      </x:c>
      <x:c r="E28" s="39" t="n">
        <x:f>COUNTIFS('Movesets_ennemis'!$C$7:$C$12,"Intégré")</x:f>
        <x:v>0</x:v>
      </x:c>
      <x:c r="F28" s="39" t="n">
        <x:f>COUNTIFS('Movesets_ennemis'!$C$7:$C$12,"Validé")</x:f>
        <x:v>0</x:v>
      </x:c>
      <x:c r="G28" s="39" t="n">
        <x:f>COUNTIFS('Movesets_ennemis'!$D$7:$D$12,"Établi")</x:f>
        <x:v>0</x:v>
      </x:c>
      <x:c r="H28" s="39" t="n">
        <x:f>COUNTIFS('Movesets_ennemis'!$D$7:$D$12,"À vérifier")</x:f>
        <x:v>0</x:v>
      </x:c>
      <x:c r="I28" s="39" t="n">
        <x:f>COUNTIFS('Movesets_ennemis'!$D$7:$D$12,"Extrapolation")</x:f>
        <x:v>6</x:v>
      </x:c>
      <x:c r="J28" s="39" t="n">
        <x:f>COUNTIFS('Movesets_ennemis'!$D$7:$D$12,"Coupé attesté")</x:f>
        <x:v>0</x:v>
      </x:c>
      <x:c r="K28" s="39" t="n">
        <x:f>COUNTIFS('Movesets_ennemis'!$D$7:$D$12,"Concept abandonné")</x:f>
        <x:v>0</x:v>
      </x:c>
      <x:c r="L28" s="39" t="n">
        <x:f>COUNTIFS('Movesets_ennemis'!$D$7:$D$12,"Allégation écartée")</x:f>
        <x:v>0</x:v>
      </x:c>
      <x:c r="M28" s="39" t="n">
        <x:f>COUNTIFS('Movesets_ennemis'!$E$7:$E$12,"P0")</x:f>
        <x:v>0</x:v>
      </x:c>
    </x:row>
    <x:row r="29" ht="22" customHeight="1">
      <x:c r="A29" s="2" t="str">
        <x:v>Animations</x:v>
      </x:c>
      <x:c r="B29" s="40" t="n">
        <x:f>COUNTA('Animations'!$A$7:$A$8)</x:f>
        <x:v>2</x:v>
      </x:c>
      <x:c r="C29" s="40" t="n">
        <x:f>COUNTIFS('Animations'!$C$7:$C$8,"Défini")</x:f>
        <x:v>2</x:v>
      </x:c>
      <x:c r="D29" s="40" t="n">
        <x:f>COUNTIFS('Animations'!$C$7:$C$8,"Prototype")</x:f>
        <x:v>0</x:v>
      </x:c>
      <x:c r="E29" s="40" t="n">
        <x:f>COUNTIFS('Animations'!$C$7:$C$8,"Intégré")</x:f>
        <x:v>0</x:v>
      </x:c>
      <x:c r="F29" s="40" t="n">
        <x:f>COUNTIFS('Animations'!$C$7:$C$8,"Validé")</x:f>
        <x:v>0</x:v>
      </x:c>
      <x:c r="G29" s="40" t="n">
        <x:f>COUNTIFS('Animations'!$D$7:$D$8,"Établi")</x:f>
        <x:v>0</x:v>
      </x:c>
      <x:c r="H29" s="40" t="n">
        <x:f>COUNTIFS('Animations'!$D$7:$D$8,"À vérifier")</x:f>
        <x:v>0</x:v>
      </x:c>
      <x:c r="I29" s="40" t="n">
        <x:f>COUNTIFS('Animations'!$D$7:$D$8,"Extrapolation")</x:f>
        <x:v>2</x:v>
      </x:c>
      <x:c r="J29" s="40" t="n">
        <x:f>COUNTIFS('Animations'!$D$7:$D$8,"Coupé attesté")</x:f>
        <x:v>0</x:v>
      </x:c>
      <x:c r="K29" s="40" t="n">
        <x:f>COUNTIFS('Animations'!$D$7:$D$8,"Concept abandonné")</x:f>
        <x:v>0</x:v>
      </x:c>
      <x:c r="L29" s="40" t="n">
        <x:f>COUNTIFS('Animations'!$D$7:$D$8,"Allégation écartée")</x:f>
        <x:v>0</x:v>
      </x:c>
      <x:c r="M29" s="40" t="n">
        <x:f>COUNTIFS('Animations'!$E$7:$E$8,"P0")</x:f>
        <x:v>0</x:v>
      </x:c>
    </x:row>
    <x:row r="30" ht="22" customHeight="1">
      <x:c r="A30" s="35" t="str">
        <x:v>Sprites</x:v>
      </x:c>
      <x:c r="B30" s="39" t="n">
        <x:f>COUNTA('Sprites'!$A$7:$A$8)</x:f>
        <x:v>2</x:v>
      </x:c>
      <x:c r="C30" s="39" t="n">
        <x:f>COUNTIFS('Sprites'!$C$7:$C$8,"Défini")</x:f>
        <x:v>2</x:v>
      </x:c>
      <x:c r="D30" s="39" t="n">
        <x:f>COUNTIFS('Sprites'!$C$7:$C$8,"Prototype")</x:f>
        <x:v>0</x:v>
      </x:c>
      <x:c r="E30" s="39" t="n">
        <x:f>COUNTIFS('Sprites'!$C$7:$C$8,"Intégré")</x:f>
        <x:v>0</x:v>
      </x:c>
      <x:c r="F30" s="39" t="n">
        <x:f>COUNTIFS('Sprites'!$C$7:$C$8,"Validé")</x:f>
        <x:v>0</x:v>
      </x:c>
      <x:c r="G30" s="39" t="n">
        <x:f>COUNTIFS('Sprites'!$D$7:$D$8,"Établi")</x:f>
        <x:v>0</x:v>
      </x:c>
      <x:c r="H30" s="39" t="n">
        <x:f>COUNTIFS('Sprites'!$D$7:$D$8,"À vérifier")</x:f>
        <x:v>0</x:v>
      </x:c>
      <x:c r="I30" s="39" t="n">
        <x:f>COUNTIFS('Sprites'!$D$7:$D$8,"Extrapolation")</x:f>
        <x:v>2</x:v>
      </x:c>
      <x:c r="J30" s="39" t="n">
        <x:f>COUNTIFS('Sprites'!$D$7:$D$8,"Coupé attesté")</x:f>
        <x:v>0</x:v>
      </x:c>
      <x:c r="K30" s="39" t="n">
        <x:f>COUNTIFS('Sprites'!$D$7:$D$8,"Concept abandonné")</x:f>
        <x:v>0</x:v>
      </x:c>
      <x:c r="L30" s="39" t="n">
        <x:f>COUNTIFS('Sprites'!$D$7:$D$8,"Allégation écartée")</x:f>
        <x:v>0</x:v>
      </x:c>
      <x:c r="M30" s="39" t="n">
        <x:f>COUNTIFS('Sprites'!$E$7:$E$8,"P0")</x:f>
        <x:v>0</x:v>
      </x:c>
    </x:row>
    <x:row r="31" ht="22" customHeight="1">
      <x:c r="A31" s="2" t="str">
        <x:v>VFX</x:v>
      </x:c>
      <x:c r="B31" s="40" t="n">
        <x:f>COUNTA('VFX'!$A$7:$A$9)</x:f>
        <x:v>3</x:v>
      </x:c>
      <x:c r="C31" s="40" t="n">
        <x:f>COUNTIFS('VFX'!$C$7:$C$9,"Défini")</x:f>
        <x:v>3</x:v>
      </x:c>
      <x:c r="D31" s="40" t="n">
        <x:f>COUNTIFS('VFX'!$C$7:$C$9,"Prototype")</x:f>
        <x:v>0</x:v>
      </x:c>
      <x:c r="E31" s="40" t="n">
        <x:f>COUNTIFS('VFX'!$C$7:$C$9,"Intégré")</x:f>
        <x:v>0</x:v>
      </x:c>
      <x:c r="F31" s="40" t="n">
        <x:f>COUNTIFS('VFX'!$C$7:$C$9,"Validé")</x:f>
        <x:v>0</x:v>
      </x:c>
      <x:c r="G31" s="40" t="n">
        <x:f>COUNTIFS('VFX'!$D$7:$D$9,"Établi")</x:f>
        <x:v>0</x:v>
      </x:c>
      <x:c r="H31" s="40" t="n">
        <x:f>COUNTIFS('VFX'!$D$7:$D$9,"À vérifier")</x:f>
        <x:v>0</x:v>
      </x:c>
      <x:c r="I31" s="40" t="n">
        <x:f>COUNTIFS('VFX'!$D$7:$D$9,"Extrapolation")</x:f>
        <x:v>3</x:v>
      </x:c>
      <x:c r="J31" s="40" t="n">
        <x:f>COUNTIFS('VFX'!$D$7:$D$9,"Coupé attesté")</x:f>
        <x:v>0</x:v>
      </x:c>
      <x:c r="K31" s="40" t="n">
        <x:f>COUNTIFS('VFX'!$D$7:$D$9,"Concept abandonné")</x:f>
        <x:v>0</x:v>
      </x:c>
      <x:c r="L31" s="40" t="n">
        <x:f>COUNTIFS('VFX'!$D$7:$D$9,"Allégation écartée")</x:f>
        <x:v>0</x:v>
      </x:c>
      <x:c r="M31" s="40" t="n">
        <x:f>COUNTIFS('VFX'!$E$7:$E$9,"P0")</x:f>
        <x:v>0</x:v>
      </x:c>
    </x:row>
    <x:row r="32" ht="22" customHeight="1">
      <x:c r="A32" s="35" t="str">
        <x:v>Audio</x:v>
      </x:c>
      <x:c r="B32" s="39" t="n">
        <x:f>COUNTA('Audio'!$A$7:$A$7)</x:f>
        <x:v>1</x:v>
      </x:c>
      <x:c r="C32" s="39" t="n">
        <x:f>COUNTIFS('Audio'!$C$7:$C$7,"Défini")</x:f>
        <x:v>1</x:v>
      </x:c>
      <x:c r="D32" s="39" t="n">
        <x:f>COUNTIFS('Audio'!$C$7:$C$7,"Prototype")</x:f>
        <x:v>0</x:v>
      </x:c>
      <x:c r="E32" s="39" t="n">
        <x:f>COUNTIFS('Audio'!$C$7:$C$7,"Intégré")</x:f>
        <x:v>0</x:v>
      </x:c>
      <x:c r="F32" s="39" t="n">
        <x:f>COUNTIFS('Audio'!$C$7:$C$7,"Validé")</x:f>
        <x:v>0</x:v>
      </x:c>
      <x:c r="G32" s="39" t="n">
        <x:f>COUNTIFS('Audio'!$D$7:$D$7,"Établi")</x:f>
        <x:v>0</x:v>
      </x:c>
      <x:c r="H32" s="39" t="n">
        <x:f>COUNTIFS('Audio'!$D$7:$D$7,"À vérifier")</x:f>
        <x:v>0</x:v>
      </x:c>
      <x:c r="I32" s="39" t="n">
        <x:f>COUNTIFS('Audio'!$D$7:$D$7,"Extrapolation")</x:f>
        <x:v>1</x:v>
      </x:c>
      <x:c r="J32" s="39" t="n">
        <x:f>COUNTIFS('Audio'!$D$7:$D$7,"Coupé attesté")</x:f>
        <x:v>0</x:v>
      </x:c>
      <x:c r="K32" s="39" t="n">
        <x:f>COUNTIFS('Audio'!$D$7:$D$7,"Concept abandonné")</x:f>
        <x:v>0</x:v>
      </x:c>
      <x:c r="L32" s="39" t="n">
        <x:f>COUNTIFS('Audio'!$D$7:$D$7,"Allégation écartée")</x:f>
        <x:v>0</x:v>
      </x:c>
      <x:c r="M32" s="39" t="n">
        <x:f>COUNTIFS('Audio'!$E$7:$E$7,"P0")</x:f>
        <x:v>0</x:v>
      </x:c>
    </x:row>
    <x:row r="33" ht="22" customHeight="1">
      <x:c r="A33" s="2" t="str">
        <x:v>Systèmes et UI</x:v>
      </x:c>
      <x:c r="B33" s="40" t="n">
        <x:f>COUNTA('UI_systemes'!$A$7:$A$10)</x:f>
        <x:v>4</x:v>
      </x:c>
      <x:c r="C33" s="40" t="n">
        <x:f>COUNTIFS('UI_systemes'!$C$7:$C$10,"Défini")</x:f>
        <x:v>4</x:v>
      </x:c>
      <x:c r="D33" s="40" t="n">
        <x:f>COUNTIFS('UI_systemes'!$C$7:$C$10,"Prototype")</x:f>
        <x:v>0</x:v>
      </x:c>
      <x:c r="E33" s="40" t="n">
        <x:f>COUNTIFS('UI_systemes'!$C$7:$C$10,"Intégré")</x:f>
        <x:v>0</x:v>
      </x:c>
      <x:c r="F33" s="40" t="n">
        <x:f>COUNTIFS('UI_systemes'!$C$7:$C$10,"Validé")</x:f>
        <x:v>0</x:v>
      </x:c>
      <x:c r="G33" s="40" t="n">
        <x:f>COUNTIFS('UI_systemes'!$D$7:$D$10,"Établi")</x:f>
        <x:v>0</x:v>
      </x:c>
      <x:c r="H33" s="40" t="n">
        <x:f>COUNTIFS('UI_systemes'!$D$7:$D$10,"À vérifier")</x:f>
        <x:v>0</x:v>
      </x:c>
      <x:c r="I33" s="40" t="n">
        <x:f>COUNTIFS('UI_systemes'!$D$7:$D$10,"Extrapolation")</x:f>
        <x:v>4</x:v>
      </x:c>
      <x:c r="J33" s="40" t="n">
        <x:f>COUNTIFS('UI_systemes'!$D$7:$D$10,"Coupé attesté")</x:f>
        <x:v>0</x:v>
      </x:c>
      <x:c r="K33" s="40" t="n">
        <x:f>COUNTIFS('UI_systemes'!$D$7:$D$10,"Concept abandonné")</x:f>
        <x:v>0</x:v>
      </x:c>
      <x:c r="L33" s="40" t="n">
        <x:f>COUNTIFS('UI_systemes'!$D$7:$D$10,"Allégation écartée")</x:f>
        <x:v>0</x:v>
      </x:c>
      <x:c r="M33" s="40" t="n">
        <x:f>COUNTIFS('UI_systemes'!$E$7:$E$10,"P0")</x:f>
        <x:v>0</x:v>
      </x:c>
    </x:row>
    <x:row r="34" ht="22" customHeight="1">
      <x:c r="A34" s="35" t="str">
        <x:v>QA</x:v>
      </x:c>
      <x:c r="B34" s="39" t="n">
        <x:f>COUNTA('QA'!$A$7:$A$12)</x:f>
        <x:v>6</x:v>
      </x:c>
      <x:c r="C34" s="39" t="n">
        <x:f>COUNTIFS('QA'!$C$7:$C$12,"Défini")</x:f>
        <x:v>6</x:v>
      </x:c>
      <x:c r="D34" s="39" t="n">
        <x:f>COUNTIFS('QA'!$C$7:$C$12,"Prototype")</x:f>
        <x:v>0</x:v>
      </x:c>
      <x:c r="E34" s="39" t="n">
        <x:f>COUNTIFS('QA'!$C$7:$C$12,"Intégré")</x:f>
        <x:v>0</x:v>
      </x:c>
      <x:c r="F34" s="39" t="n">
        <x:f>COUNTIFS('QA'!$C$7:$C$12,"Validé")</x:f>
        <x:v>0</x:v>
      </x:c>
      <x:c r="G34" s="39" t="n">
        <x:f>COUNTIFS('QA'!$D$7:$D$12,"Établi")</x:f>
        <x:v>0</x:v>
      </x:c>
      <x:c r="H34" s="39" t="n">
        <x:f>COUNTIFS('QA'!$D$7:$D$12,"À vérifier")</x:f>
        <x:v>0</x:v>
      </x:c>
      <x:c r="I34" s="39" t="n">
        <x:f>COUNTIFS('QA'!$D$7:$D$12,"Extrapolation")</x:f>
        <x:v>6</x:v>
      </x:c>
      <x:c r="J34" s="39" t="n">
        <x:f>COUNTIFS('QA'!$D$7:$D$12,"Coupé attesté")</x:f>
        <x:v>0</x:v>
      </x:c>
      <x:c r="K34" s="39" t="n">
        <x:f>COUNTIFS('QA'!$D$7:$D$12,"Concept abandonné")</x:f>
        <x:v>0</x:v>
      </x:c>
      <x:c r="L34" s="39" t="n">
        <x:f>COUNTIFS('QA'!$D$7:$D$12,"Allégation écartée")</x:f>
        <x:v>0</x:v>
      </x:c>
      <x:c r="M34" s="39" t="n">
        <x:f>COUNTIFS('QA'!$E$7:$E$12,"P0")</x:f>
        <x:v>6</x:v>
      </x:c>
    </x:row>
    <x:row r="35" ht="22" customHeight="1">
      <x:c r="A35" s="2" t="str">
        <x:v>Continuité</x:v>
      </x:c>
      <x:c r="B35" s="40" t="n">
        <x:f>COUNTA('Continuite'!$A$7:$A$8)</x:f>
        <x:v>2</x:v>
      </x:c>
      <x:c r="C35" s="40" t="n">
        <x:f>COUNTIFS('Continuite'!$C$7:$C$8,"Défini")</x:f>
        <x:v>2</x:v>
      </x:c>
      <x:c r="D35" s="40" t="n">
        <x:f>COUNTIFS('Continuite'!$C$7:$C$8,"Prototype")</x:f>
        <x:v>0</x:v>
      </x:c>
      <x:c r="E35" s="40" t="n">
        <x:f>COUNTIFS('Continuite'!$C$7:$C$8,"Intégré")</x:f>
        <x:v>0</x:v>
      </x:c>
      <x:c r="F35" s="40" t="n">
        <x:f>COUNTIFS('Continuite'!$C$7:$C$8,"Validé")</x:f>
        <x:v>0</x:v>
      </x:c>
      <x:c r="G35" s="40" t="n">
        <x:f>COUNTIFS('Continuite'!$D$7:$D$8,"Établi")</x:f>
        <x:v>0</x:v>
      </x:c>
      <x:c r="H35" s="40" t="n">
        <x:f>COUNTIFS('Continuite'!$D$7:$D$8,"À vérifier")</x:f>
        <x:v>0</x:v>
      </x:c>
      <x:c r="I35" s="40" t="n">
        <x:f>COUNTIFS('Continuite'!$D$7:$D$8,"Extrapolation")</x:f>
        <x:v>2</x:v>
      </x:c>
      <x:c r="J35" s="40" t="n">
        <x:f>COUNTIFS('Continuite'!$D$7:$D$8,"Coupé attesté")</x:f>
        <x:v>0</x:v>
      </x:c>
      <x:c r="K35" s="40" t="n">
        <x:f>COUNTIFS('Continuite'!$D$7:$D$8,"Concept abandonné")</x:f>
        <x:v>0</x:v>
      </x:c>
      <x:c r="L35" s="40" t="n">
        <x:f>COUNTIFS('Continuite'!$D$7:$D$8,"Allégation écartée")</x:f>
        <x:v>0</x:v>
      </x:c>
      <x:c r="M35" s="40" t="n">
        <x:f>COUNTIFS('Continuite'!$E$7:$E$8,"P0")</x:f>
        <x:v>0</x:v>
      </x:c>
    </x:row>
    <x:row r="36" ht="22" customHeight="1">
      <x:c r="A36" s="2"/>
      <x:c r="B36" s="40"/>
      <x:c r="C36" s="40"/>
      <x:c r="D36" s="40"/>
      <x:c r="E36" s="40"/>
      <x:c r="F36" s="40"/>
      <x:c r="G36" s="40"/>
      <x:c r="H36" s="40"/>
      <x:c r="I36" s="40"/>
      <x:c r="J36" s="40"/>
      <x:c r="K36" s="40"/>
      <x:c r="L36" s="40"/>
      <x:c r="M36" s="40"/>
    </x:row>
    <x:row r="37" ht="28" customHeight="1">
      <x:c r="A37" s="19" t="str">
        <x:v>TOTAL</x:v>
      </x:c>
      <x:c r="B37" s="41" t="n">
        <x:f>SUM(B10:B35)</x:f>
        <x:v>64</x:v>
      </x:c>
      <x:c r="C37" s="41" t="n">
        <x:f>SUM(C10:C35)</x:f>
        <x:v>64</x:v>
      </x:c>
      <x:c r="D37" s="41" t="n">
        <x:f>SUM(D10:D35)</x:f>
        <x:v>0</x:v>
      </x:c>
      <x:c r="E37" s="41" t="n">
        <x:f>SUM(E10:E35)</x:f>
        <x:v>0</x:v>
      </x:c>
      <x:c r="F37" s="41" t="n">
        <x:f>SUM(F10:F35)</x:f>
        <x:v>0</x:v>
      </x:c>
      <x:c r="G37" s="41" t="n">
        <x:f>SUM(G10:G35)</x:f>
        <x:v>4</x:v>
      </x:c>
      <x:c r="H37" s="41" t="n">
        <x:f>SUM(H10:H35)</x:f>
        <x:v>8</x:v>
      </x:c>
      <x:c r="I37" s="41" t="n">
        <x:f>SUM(I10:I35)</x:f>
        <x:v>52</x:v>
      </x:c>
      <x:c r="J37" s="41" t="n">
        <x:f>SUM(J10:J35)</x:f>
        <x:v>0</x:v>
      </x:c>
      <x:c r="K37" s="41" t="n">
        <x:f>SUM(K10:K35)</x:f>
        <x:v>0</x:v>
      </x:c>
      <x:c r="L37" s="41" t="n">
        <x:f>SUM(L10:L35)</x:f>
        <x:v>0</x:v>
      </x:c>
      <x:c r="M37" s="41" t="n">
        <x:f>SUM(M10:M35)</x:f>
        <x:v>12</x:v>
      </x:c>
    </x:row>
    <x:row r="38" ht="22" customHeight="1">
      <x:c r="A38" s="2"/>
      <x:c r="B38" s="2"/>
      <x:c r="C38" s="2"/>
      <x:c r="D38" s="2"/>
      <x:c r="E38" s="2"/>
      <x:c r="F38" s="2"/>
      <x:c r="G38" s="2"/>
      <x:c r="H38" s="2"/>
      <x:c r="I38" s="2"/>
      <x:c r="J38" s="2"/>
      <x:c r="K38" s="2"/>
      <x:c r="L38" s="2"/>
      <x:c r="M38" s="2"/>
    </x:row>
    <x:row r="39" ht="22" customHeight="1">
      <x:c r="A39" s="2" t="str">
        <x:v>Les compteurs mesurent les fiches présentes, pas un pourcentage d’exhaustivité ou de réalisation.</x:v>
      </x:c>
      <x:c r="B39" s="2"/>
      <x:c r="C39" s="2"/>
      <x:c r="D39" s="2"/>
      <x:c r="E39" s="2"/>
      <x:c r="F39" s="2"/>
      <x:c r="G39" s="2"/>
      <x:c r="H39" s="2"/>
      <x:c r="I39" s="2"/>
      <x:c r="J39" s="2"/>
      <x:c r="K39" s="2"/>
      <x:c r="L39" s="2"/>
      <x:c r="M39" s="2"/>
    </x:row>
    <x:row r="40" ht="22" customHeight="1">
      <x:c r="A40" s="2"/>
      <x:c r="B40" s="2"/>
      <x:c r="C40" s="2"/>
      <x:c r="D40" s="2"/>
      <x:c r="E40" s="2"/>
      <x:c r="F40" s="2"/>
      <x:c r="G40" s="2"/>
      <x:c r="H40" s="2"/>
      <x:c r="I40" s="2"/>
      <x:c r="J40" s="2"/>
      <x:c r="K40" s="2"/>
      <x:c r="L40" s="2"/>
      <x:c r="M40" s="2"/>
    </x:row>
    <x:row r="41" ht="22" customHeight="1">
      <x:c r="A41" s="2" t="str">
        <x:v>Périmètre, sources, incertitudes et méthode de suivi : voir Guide.</x:v>
      </x:c>
      <x:c r="B41" s="2"/>
      <x:c r="C41" s="2"/>
      <x:c r="D41" s="2"/>
      <x:c r="E41" s="2"/>
      <x:c r="F41" s="2"/>
      <x:c r="G41" s="2"/>
      <x:c r="H41" s="2"/>
      <x:c r="I41" s="2"/>
      <x:c r="J41" s="2"/>
      <x:c r="K41" s="2"/>
      <x:c r="L41" s="2"/>
      <x:c r="M41" s="2"/>
    </x:row>
    <x:row r="42" ht="22" customHeight="1">
      <x:c r="A42" s="2"/>
      <x:c r="B42" s="2"/>
      <x:c r="C42" s="2"/>
      <x:c r="D42" s="2"/>
      <x:c r="E42" s="2"/>
      <x:c r="F42" s="2"/>
      <x:c r="G42" s="2"/>
      <x:c r="H42" s="2"/>
      <x:c r="I42" s="2"/>
      <x:c r="J42" s="2"/>
      <x:c r="K42" s="2"/>
      <x:c r="L42" s="2"/>
      <x:c r="M42" s="2"/>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Personnages</x:v>
      </x:c>
      <x:c r="B2" s="2"/>
      <x:c r="C2" s="2"/>
      <x:c r="D2" s="2"/>
      <x:c r="E2" s="2"/>
      <x:c r="F2" s="2"/>
      <x:c r="G2" s="2"/>
      <x:c r="H2" s="2"/>
      <x:c r="I2" s="2"/>
      <x:c r="J2" s="2"/>
      <x:c r="K2" s="2"/>
      <x:c r="L2" s="2"/>
      <x:c r="M2" s="2"/>
      <x:c r="N2" s="2"/>
      <x:c r="O2" s="2"/>
      <x:c r="P2" s="2"/>
      <x:c r="Q2" s="2"/>
      <x:c r="R2" s="2"/>
      <x:c r="S2" s="2"/>
    </x:row>
    <x:row r="3" ht="22" customHeight="1">
      <x:c r="A3" s="4" t="str">
        <x:v>Mass Effect: Incursion — Identités et fonctions dans l’œuvre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INC-ACT-ARIA</x:v>
      </x:c>
      <x:c r="B7" s="9" t="str">
        <x:v>Aria T’Loak</x:v>
      </x:c>
      <x:c r="C7" s="14" t="str">
        <x:v>Défini</x:v>
      </x:c>
      <x:c r="D7" s="15" t="str">
        <x:v>Établi</x:v>
      </x:c>
      <x:c r="E7" s="15" t="str">
        <x:v>P1</x:v>
      </x:c>
      <x:c r="F7" s="9" t="str">
        <x:v>Aria affronte les Collectors dans ce récit.</x:v>
      </x:c>
      <x:c r="G7" s="9" t="str">
        <x:v>Point de vue principal; reconnaissance et contrôle d’un engagement bref.</x:v>
      </x:c>
      <x:c r="H7" s="9" t="str">
        <x:v>Rôle narratif; aucune statistique officielle déduite.</x:v>
      </x:c>
      <x:c r="I7" s="9" t="str">
        <x:v>Direction proposée : Silhouette asari angulaire, veste sombre et accents violets proposés. Vérifier le costume sur l'édition autorisée avant peinture finale.</x:v>
      </x:c>
      <x:c r="J7" s="9" t="str">
        <x:v>Marche décidée, inspection, ordre bref et poussée biotique.</x:v>
      </x:c>
      <x:c r="K7" s="9" t="str">
        <x:v>Interprétation originale; sous-titres attribués au locuteur et aucune reprise des voix du jeu.</x:v>
      </x:c>
      <x:c r="L7" s="9" t="str">
        <x:v>Livrable proposé : spécification INC/characters/act-aria; brancher au registre de contenu de l'œuvre seulement après production.</x:v>
      </x:c>
      <x:c r="M7" s="9" t="str">
        <x:v>Le résultat narratif du raid reste fixé; une tâche de gameplay ne réécrit pas le sort des captifs ni ne fait d’Aria la libératrice de toutes les colonies.</x:v>
      </x:c>
      <x:c r="N7" s="9" t="str">
        <x:v>Aria T’Loak possède une fiche de référence séparant rôle attesté, silhouette à contrôler et commandes proposées.</x:v>
      </x:c>
      <x:c r="O7" s="9" t="str"/>
      <x:c r="P7" s="9" t="str">
        <x:v>Mass Effect: Incursion, récit court</x:v>
      </x:c>
      <x:c r="Q7" s="9" t="str">
        <x:v>INC-S-PAIR</x:v>
      </x:c>
      <x:c r="R7" s="17" t="str">
        <x:v>https://books.apple.com/gr/book/mass-effect-incursion-inquisition/id1047054838</x:v>
      </x:c>
      <x:c r="S7" s="17" t="str">
        <x:v>Le rôle dans la source ne prouve ni recrutement jouable ni disponibilité permanente.</x:v>
      </x:c>
    </x:row>
  </x:sheetData>
  <x:conditionalFormatting sqref="D7:D7">
    <x:cfRule type="cellIs" dxfId="0" priority="1" operator="equal">
      <x:formula>"À vérifier"</x:formula>
    </x:cfRule>
    <x:cfRule type="cellIs" dxfId="1" priority="2" operator="equal">
      <x:formula>"Extrapolation"</x:formula>
    </x:cfRule>
  </x:conditionalFormatting>
  <x:conditionalFormatting sqref="C7:C7">
    <x:cfRule type="cellIs" dxfId="2" priority="3" operator="equal">
      <x:formula>"Validé"</x:formula>
    </x:cfRule>
  </x:conditionalFormatting>
  <x:conditionalFormatting sqref="E7:E7">
    <x:cfRule type="cellIs" dxfId="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57d77c3a051f434f"/>
  </x:tableParts>
</x:worksheet>
</file>

<file path=xl/worksheets/sheet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7"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PNJ</x:v>
      </x:c>
      <x:c r="B2" s="2"/>
      <x:c r="C2" s="2"/>
      <x:c r="D2" s="2"/>
      <x:c r="E2" s="2"/>
      <x:c r="F2" s="2"/>
      <x:c r="G2" s="2"/>
      <x:c r="H2" s="2"/>
      <x:c r="I2" s="2"/>
      <x:c r="J2" s="2"/>
      <x:c r="K2" s="2"/>
      <x:c r="L2" s="2"/>
      <x:c r="M2" s="2"/>
      <x:c r="N2" s="2"/>
      <x:c r="O2" s="2"/>
      <x:c r="P2" s="2"/>
      <x:c r="Q2" s="2"/>
      <x:c r="R2" s="2"/>
      <x:c r="S2" s="2"/>
    </x:row>
    <x:row r="3" ht="22" customHeight="1">
      <x:c r="A3" s="4" t="str">
        <x:v>Mass Effect: Incursion — Personnages de rencontre et services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INC-ACT-GUARDS</x:v>
      </x:c>
      <x:c r="B7" s="9" t="str">
        <x:v>Gardes batariens d’Aria</x:v>
      </x:c>
      <x:c r="C7" s="14" t="str">
        <x:v>Défini</x:v>
      </x:c>
      <x:c r="D7" s="15" t="str">
        <x:v>À vérifier</x:v>
      </x:c>
      <x:c r="E7" s="15" t="str">
        <x:v>P1</x:v>
      </x:c>
      <x:c r="F7" s="9" t="str">
        <x:v>Le wiki décrit deux gardes accompagnant Aria.</x:v>
      </x:c>
      <x:c r="G7" s="9" t="str">
        <x:v>Soutien collectif limité au raid; aucun nom propre inventé.</x:v>
      </x:c>
      <x:c r="H7" s="9" t="str">
        <x:v>Rôle narratif; aucune statistique officielle déduite.</x:v>
      </x:c>
      <x:c r="I7" s="9" t="str">
        <x:v>Direction proposée : Deux silhouettes distinctes par équipement et gabarit, costumes à contrôler. Vérifier le costume sur l'édition autorisée avant peinture finale.</x:v>
      </x:c>
      <x:c r="J7" s="9" t="str">
        <x:v>Couverture, signal d’alerte et déplacement de flanc.</x:v>
      </x:c>
      <x:c r="K7" s="9" t="str">
        <x:v>Interprétation originale; sous-titres attribués au locuteur et aucune reprise des voix du jeu.</x:v>
      </x:c>
      <x:c r="L7" s="9" t="str">
        <x:v>Livrable proposé : spécification INC/npcs/act-guards; brancher au registre de contenu de l'œuvre seulement après production.</x:v>
      </x:c>
      <x:c r="M7" s="9" t="str">
        <x:v>Le résultat narratif du raid reste fixé; une tâche de gameplay ne réécrit pas le sort des captifs ni ne fait d’Aria la libératrice de toutes les colonies.</x:v>
      </x:c>
      <x:c r="N7" s="9" t="str">
        <x:v>Gardes batariens d’Aria possède une fiche de référence séparant rôle attesté, silhouette à contrôler et commandes proposées.</x:v>
      </x:c>
      <x:c r="O7" s="9" t="str"/>
      <x:c r="P7" s="9" t="str">
        <x:v>Mass Effect: Incursion, récit court</x:v>
      </x:c>
      <x:c r="Q7" s="9" t="str">
        <x:v>INC-S-WIKI</x:v>
      </x:c>
      <x:c r="R7" s="17" t="str">
        <x:v>https://masseffect.fandom.com/wiki/Mass_Effect%3A_Incursion</x:v>
      </x:c>
      <x:c r="S7" s="17" t="str">
        <x:v>Le rôle dans la source ne prouve ni recrutement jouable ni disponibilité permanente.</x:v>
      </x:c>
    </x:row>
  </x:sheetData>
  <x:conditionalFormatting sqref="D7:D7">
    <x:cfRule type="cellIs" dxfId="4" priority="1" operator="equal">
      <x:formula>"À vérifier"</x:formula>
    </x:cfRule>
    <x:cfRule type="cellIs" dxfId="5" priority="2" operator="equal">
      <x:formula>"Extrapolation"</x:formula>
    </x:cfRule>
  </x:conditionalFormatting>
  <x:conditionalFormatting sqref="C7:C7">
    <x:cfRule type="cellIs" dxfId="6" priority="3" operator="equal">
      <x:formula>"Validé"</x:formula>
    </x:cfRule>
  </x:conditionalFormatting>
  <x:conditionalFormatting sqref="E7:E7">
    <x:cfRule type="cellIs" dxfId="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7ca07f60402d42e8"/>
  </x:tableParts>
</x:worksheet>
</file>

<file path=xl/worksheets/sheet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Espèces et factions</x:v>
      </x:c>
      <x:c r="B2" s="2"/>
      <x:c r="C2" s="2"/>
      <x:c r="D2" s="2"/>
      <x:c r="E2" s="2"/>
      <x:c r="F2" s="2"/>
      <x:c r="G2" s="2"/>
      <x:c r="H2" s="2"/>
      <x:c r="I2" s="2"/>
      <x:c r="J2" s="2"/>
      <x:c r="K2" s="2"/>
      <x:c r="L2" s="2"/>
      <x:c r="M2" s="2"/>
      <x:c r="N2" s="2"/>
      <x:c r="O2" s="2"/>
      <x:c r="P2" s="2"/>
      <x:c r="Q2" s="2"/>
      <x:c r="R2" s="2"/>
      <x:c r="S2" s="2"/>
    </x:row>
    <x:row r="3" ht="22" customHeight="1">
      <x:c r="A3" s="4" t="str">
        <x:v>Mass Effect: Incursion — Espèces, organisations et règles culturelles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INC-REF-SCOPE</x:v>
      </x:c>
      <x:c r="B7" s="9" t="str">
        <x:v>Aria et les Collectors</x:v>
      </x:c>
      <x:c r="C7" s="14" t="str">
        <x:v>Défini</x:v>
      </x:c>
      <x:c r="D7" s="15" t="str">
        <x:v>Établi</x:v>
      </x:c>
      <x:c r="E7" s="15" t="str">
        <x:v>P0</x:v>
      </x:c>
      <x:c r="F7" s="9" t="str">
        <x:v>La notice éditeur décrit une attaque des Collectors sur Omega affrontée par Aria.</x:v>
      </x:c>
      <x:c r="G7" s="9" t="str">
        <x:v>Conserver cet ancrage dans les données éditoriales; les variantes de jeu restent dans un espace séparé.</x:v>
      </x:c>
      <x:c r="H7" s="9" t="str"/>
      <x:c r="I7" s="9" t="str"/>
      <x:c r="J7" s="9" t="str"/>
      <x:c r="K7" s="9" t="str"/>
      <x:c r="L7" s="9" t="str">
        <x:v>Livrable proposé : spécification INC/lore/ref-scope; brancher au registre de contenu de l'œuvre seulement après production.</x:v>
      </x:c>
      <x:c r="M7" s="9" t="str">
        <x:v>Vérifier toute précision non contenue dans cette notice avant de la déclarer canon.</x:v>
      </x:c>
      <x:c r="N7" s="9" t="str">
        <x:v>Le dossier cite la source PAIR et distingue cette information de toute règle de gameplay.</x:v>
      </x:c>
      <x:c r="O7" s="9" t="str"/>
      <x:c r="P7" s="9" t="str">
        <x:v>Mass Effect: Incursion, récit court</x:v>
      </x:c>
      <x:c r="Q7" s="9" t="str">
        <x:v>INC-S-PAIR</x:v>
      </x:c>
      <x:c r="R7" s="17" t="str">
        <x:v>https://books.apple.com/gr/book/mass-effect-incursion-inquisition/id1047054838</x:v>
      </x:c>
      <x:c r="S7" s="17" t="str">
        <x:v>Fait résumé brièvement; aucun dialogue ni découpage intégral du comic reproduit.</x:v>
      </x:c>
    </x:row>
    <x:row r="8" ht="54" customHeight="1">
      <x:c r="A8" s="31" t="str">
        <x:v>INC-REF-TIMING</x:v>
      </x:c>
      <x:c r="B8" s="7" t="str">
        <x:v>Position avant ME2</x:v>
      </x:c>
      <x:c r="C8" s="14" t="str">
        <x:v>Défini</x:v>
      </x:c>
      <x:c r="D8" s="30" t="str">
        <x:v>À vérifier</x:v>
      </x:c>
      <x:c r="E8" s="30" t="str">
        <x:v>P0</x:v>
      </x:c>
      <x:c r="F8" s="7" t="str">
        <x:v>Le wiki situe Incursion une semaine avant la destruction du Normandy.</x:v>
      </x:c>
      <x:c r="G8" s="7" t="str">
        <x:v>Étiquette chronologique à contrôler; ne pas calculer une date de calendrier inventée.</x:v>
      </x:c>
      <x:c r="H8" s="7" t="str"/>
      <x:c r="I8" s="7" t="str"/>
      <x:c r="J8" s="7" t="str"/>
      <x:c r="K8" s="7" t="str"/>
      <x:c r="L8" s="7" t="str">
        <x:v>Livrable proposé : spécification INC/lore/ref-timing; brancher au registre de contenu de l'œuvre seulement après production.</x:v>
      </x:c>
      <x:c r="M8" s="7" t="str">
        <x:v>Vérifier toute précision non contenue dans cette notice avant de la déclarer canon.</x:v>
      </x:c>
      <x:c r="N8" s="7" t="str">
        <x:v>Le dossier cite la source WIKI et distingue cette information de toute règle de gameplay.</x:v>
      </x:c>
      <x:c r="O8" s="7" t="str"/>
      <x:c r="P8" s="7" t="str">
        <x:v>Mass Effect: Incursion, récit court</x:v>
      </x:c>
      <x:c r="Q8" s="7" t="str">
        <x:v>INC-S-WIKI</x:v>
      </x:c>
      <x:c r="R8" s="32" t="str">
        <x:v>https://masseffect.fandom.com/wiki/Mass_Effect%3A_Incursion</x:v>
      </x:c>
      <x:c r="S8" s="32" t="str">
        <x:v>Fait résumé brièvement; aucun dialogue ni découpage intégral du comic reproduit.</x:v>
      </x:c>
    </x:row>
    <x:row r="9" ht="54" customHeight="1">
      <x:c r="A9" s="16" t="str">
        <x:v>INC-REF-INTEL</x:v>
      </x:c>
      <x:c r="B9" s="9" t="str">
        <x:v>Portée du renseignement</x:v>
      </x:c>
      <x:c r="C9" s="14" t="str">
        <x:v>Défini</x:v>
      </x:c>
      <x:c r="D9" s="15" t="str">
        <x:v>À vérifier</x:v>
      </x:c>
      <x:c r="E9" s="15" t="str">
        <x:v>P0</x:v>
      </x:c>
      <x:c r="F9" s="9" t="str">
        <x:v>Le récit rapporte un document de populations humaines, dont Horizon, Freedom’s Progress et la Terre.</x:v>
      </x:c>
      <x:c r="G9" s="9" t="str">
        <x:v>Traiter ces noms comme éléments de dossier et non comme destinations jouables.</x:v>
      </x:c>
      <x:c r="H9" s="9" t="str"/>
      <x:c r="I9" s="9" t="str"/>
      <x:c r="J9" s="9" t="str"/>
      <x:c r="K9" s="9" t="str"/>
      <x:c r="L9" s="9" t="str">
        <x:v>Livrable proposé : spécification INC/lore/ref-intel; brancher au registre de contenu de l'œuvre seulement après production.</x:v>
      </x:c>
      <x:c r="M9" s="9" t="str">
        <x:v>Vérifier toute précision non contenue dans cette notice avant de la déclarer canon.</x:v>
      </x:c>
      <x:c r="N9" s="9" t="str">
        <x:v>Le dossier cite la source WIKI et distingue cette information de toute règle de gameplay.</x:v>
      </x:c>
      <x:c r="O9" s="9" t="str"/>
      <x:c r="P9" s="9" t="str">
        <x:v>Mass Effect: Incursion, récit court</x:v>
      </x:c>
      <x:c r="Q9" s="9" t="str">
        <x:v>INC-S-WIKI</x:v>
      </x:c>
      <x:c r="R9" s="17" t="str">
        <x:v>https://masseffect.fandom.com/wiki/Mass_Effect%3A_Incursion</x:v>
      </x:c>
      <x:c r="S9" s="17" t="str">
        <x:v>Fait résumé brièvement; aucun dialogue ni découpage intégral du comic reproduit.</x:v>
      </x:c>
    </x:row>
    <x:row r="10" ht="54" customHeight="1">
      <x:c r="A10" s="31" t="str">
        <x:v>INC-SC-CHECK-REF</x:v>
      </x:c>
      <x:c r="B10" s="7" t="str">
        <x:v>Examiner la perturbation</x:v>
      </x:c>
      <x:c r="C10" s="14" t="str">
        <x:v>Défini</x:v>
      </x:c>
      <x:c r="D10" s="30" t="str">
        <x:v>À vérifier</x:v>
      </x:c>
      <x:c r="E10" s="30" t="str">
        <x:v>P1</x:v>
      </x:c>
      <x:c r="F10" s="7" t="str">
        <x:v>Aria enquête personnellement sur une perturbation avec ses gardes. </x:v>
      </x:c>
      <x:c r="G10" s="7" t="str">
        <x:v>Ancrage du module; les intitulés de quêtes et options ci-dessous sont des créations de production.</x:v>
      </x:c>
      <x:c r="H10" s="7" t="str"/>
      <x:c r="I10" s="7" t="str"/>
      <x:c r="J10" s="7" t="str"/>
      <x:c r="K10" s="7" t="str"/>
      <x:c r="L10" s="7" t="str">
        <x:v>Livrable proposé : spécification INC/lore/sc-check-ref; brancher au registre de contenu de l'œuvre seulement après production.</x:v>
      </x:c>
      <x:c r="M10" s="7" t="str">
        <x:v>Le résultat narratif du raid reste fixé; une tâche de gameplay ne réécrit pas le sort des captifs ni ne fait d’Aria la libératrice de toutes les colonies.</x:v>
      </x:c>
      <x:c r="N10" s="7" t="str">
        <x:v>L’ancrage reste bref et son numéro/segment est identifiable dans les sources; les détails non confirmés portent À vérifier.</x:v>
      </x:c>
      <x:c r="O10" s="7" t="str"/>
      <x:c r="P10" s="7" t="str">
        <x:v>Mass Effect: Incursion, récit court</x:v>
      </x:c>
      <x:c r="Q10" s="7" t="str">
        <x:v>INC-S-WIKI</x:v>
      </x:c>
      <x:c r="R10" s="32" t="str">
        <x:v>https://masseffect.fandom.com/wiki/Mass_Effect%3A_Incursion</x:v>
      </x:c>
      <x:c r="S10" s="32" t="str">
        <x:v>Ne remplace pas la lecture du numéro.</x:v>
      </x:c>
    </x:row>
    <x:row r="11" ht="54" customHeight="1">
      <x:c r="A11" s="16" t="str">
        <x:v>INC-SC-RAID-REF</x:v>
      </x:c>
      <x:c r="B11" s="9" t="str">
        <x:v>Interrompre la transaction</x:v>
      </x:c>
      <x:c r="C11" s="14" t="str">
        <x:v>Défini</x:v>
      </x:c>
      <x:c r="D11" s="15" t="str">
        <x:v>À vérifier</x:v>
      </x:c>
      <x:c r="E11" s="15" t="str">
        <x:v>P1</x:v>
      </x:c>
      <x:c r="F11" s="9" t="str">
        <x:v>Le wiki décrit une transaction entre Blue Suns et Collectors impliquant des humains. </x:v>
      </x:c>
      <x:c r="G11" s="9" t="str">
        <x:v>Ancrage du module; les intitulés de quêtes et options ci-dessous sont des créations de production.</x:v>
      </x:c>
      <x:c r="H11" s="9" t="str"/>
      <x:c r="I11" s="9" t="str"/>
      <x:c r="J11" s="9" t="str"/>
      <x:c r="K11" s="9" t="str"/>
      <x:c r="L11" s="9" t="str">
        <x:v>Livrable proposé : spécification INC/lore/sc-raid-ref; brancher au registre de contenu de l'œuvre seulement après production.</x:v>
      </x:c>
      <x:c r="M11" s="9" t="str">
        <x:v>Le résultat narratif du raid reste fixé; une tâche de gameplay ne réécrit pas le sort des captifs ni ne fait d’Aria la libératrice de toutes les colonies.</x:v>
      </x:c>
      <x:c r="N11" s="9" t="str">
        <x:v>L’ancrage reste bref et son numéro/segment est identifiable dans les sources; les détails non confirmés portent À vérifier.</x:v>
      </x:c>
      <x:c r="O11" s="9" t="str"/>
      <x:c r="P11" s="9" t="str">
        <x:v>Mass Effect: Incursion, récit court</x:v>
      </x:c>
      <x:c r="Q11" s="9" t="str">
        <x:v>INC-S-WIKI</x:v>
      </x:c>
      <x:c r="R11" s="17" t="str">
        <x:v>https://masseffect.fandom.com/wiki/Mass_Effect%3A_Incursion</x:v>
      </x:c>
      <x:c r="S11" s="17" t="str">
        <x:v>Ne remplace pas la lecture du numéro.</x:v>
      </x:c>
    </x:row>
    <x:row r="12" ht="54" customHeight="1">
      <x:c r="A12" s="31" t="str">
        <x:v>INC-SC-REPORT-REF</x:v>
      </x:c>
      <x:c r="B12" s="7" t="str">
        <x:v>Comprendre la cible humaine</x:v>
      </x:c>
      <x:c r="C12" s="14" t="str">
        <x:v>Défini</x:v>
      </x:c>
      <x:c r="D12" s="30" t="str">
        <x:v>À vérifier</x:v>
      </x:c>
      <x:c r="E12" s="30" t="str">
        <x:v>P1</x:v>
      </x:c>
      <x:c r="F12" s="7" t="str">
        <x:v>Aria reçoit après le raid des données de population humaine. </x:v>
      </x:c>
      <x:c r="G12" s="7" t="str">
        <x:v>Ancrage du module; les intitulés de quêtes et options ci-dessous sont des créations de production.</x:v>
      </x:c>
      <x:c r="H12" s="7" t="str"/>
      <x:c r="I12" s="7" t="str"/>
      <x:c r="J12" s="7" t="str"/>
      <x:c r="K12" s="7" t="str"/>
      <x:c r="L12" s="7" t="str">
        <x:v>Livrable proposé : spécification INC/lore/sc-report-ref; brancher au registre de contenu de l'œuvre seulement après production.</x:v>
      </x:c>
      <x:c r="M12" s="7" t="str">
        <x:v>Le résultat narratif du raid reste fixé; une tâche de gameplay ne réécrit pas le sort des captifs ni ne fait d’Aria la libératrice de toutes les colonies.</x:v>
      </x:c>
      <x:c r="N12" s="7" t="str">
        <x:v>L’ancrage reste bref et son numéro/segment est identifiable dans les sources; les détails non confirmés portent À vérifier.</x:v>
      </x:c>
      <x:c r="O12" s="7" t="str"/>
      <x:c r="P12" s="7" t="str">
        <x:v>Mass Effect: Incursion, récit court</x:v>
      </x:c>
      <x:c r="Q12" s="7" t="str">
        <x:v>INC-S-WIKI</x:v>
      </x:c>
      <x:c r="R12" s="32" t="str">
        <x:v>https://masseffect.fandom.com/wiki/Mass_Effect%3A_Incursion</x:v>
      </x:c>
      <x:c r="S12" s="32" t="str">
        <x:v>Ne remplace pas la lecture du numéro.</x:v>
      </x:c>
    </x:row>
  </x:sheetData>
  <x:conditionalFormatting sqref="D7:D12">
    <x:cfRule type="cellIs" dxfId="8" priority="1" operator="equal">
      <x:formula>"À vérifier"</x:formula>
    </x:cfRule>
    <x:cfRule type="cellIs" dxfId="9" priority="2" operator="equal">
      <x:formula>"Extrapolation"</x:formula>
    </x:cfRule>
  </x:conditionalFormatting>
  <x:conditionalFormatting sqref="C7:C12">
    <x:cfRule type="cellIs" dxfId="10" priority="3" operator="equal">
      <x:formula>"Validé"</x:formula>
    </x:cfRule>
  </x:conditionalFormatting>
  <x:conditionalFormatting sqref="E7:E12">
    <x:cfRule type="cellIs" dxfId="11"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ee1d5517b43b424b"/>
  </x:tableParts>
</x:worksheet>
</file>

<file path=xl/worksheets/sheet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90"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Mondes</x:v>
      </x:c>
      <x:c r="B2" s="2"/>
      <x:c r="C2" s="2"/>
      <x:c r="D2" s="2"/>
      <x:c r="E2" s="2"/>
      <x:c r="F2" s="2"/>
      <x:c r="G2" s="2"/>
      <x:c r="H2" s="2"/>
      <x:c r="I2" s="2"/>
      <x:c r="J2" s="2"/>
      <x:c r="K2" s="2"/>
      <x:c r="L2" s="2"/>
      <x:c r="M2" s="2"/>
      <x:c r="N2" s="2"/>
      <x:c r="O2" s="2"/>
      <x:c r="P2" s="2"/>
      <x:c r="Q2" s="2"/>
      <x:c r="R2" s="2"/>
      <x:c r="S2" s="2"/>
    </x:row>
    <x:row r="3" ht="22" customHeight="1">
      <x:c r="A3" s="4" t="str">
        <x:v>Mass Effect: Incursion — Destinations et identité environnementale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INC-WRL-OMEGA</x:v>
      </x:c>
      <x:c r="B7" s="9" t="str">
        <x:v>Omega — secteur du raid</x:v>
      </x:c>
      <x:c r="C7" s="14" t="str">
        <x:v>Défini</x:v>
      </x:c>
      <x:c r="D7" s="15" t="str">
        <x:v>Établi</x:v>
      </x:c>
      <x:c r="E7" s="15" t="str">
        <x:v>P1</x:v>
      </x:c>
      <x:c r="F7" s="9" t="str">
        <x:v>Omega est le lieu de l’affrontement présenté par l’éditeur.</x:v>
      </x:c>
      <x:c r="G7" s="9" t="str">
        <x:v>Construire un espace compact d’observation et d’engagement.</x:v>
      </x:c>
      <x:c r="H7" s="9" t="str"/>
      <x:c r="I7" s="9" t="str">
        <x:v>Métal usé, orange de service et zones d’ombre qui ne masquent pas les cibles.</x:v>
      </x:c>
      <x:c r="J7" s="9" t="str"/>
      <x:c r="K7" s="9" t="str"/>
      <x:c r="L7" s="9" t="str">
        <x:v>Livrable proposé : spécification INC/worlds/wrl-omega; brancher au registre de contenu de l'œuvre seulement après production.</x:v>
      </x:c>
      <x:c r="M7" s="9" t="str">
        <x:v>Le résultat narratif du raid reste fixé; une tâche de gameplay ne réécrit pas le sort des captifs ni ne fait d’Aria la libératrice de toutes les colonies.</x:v>
      </x:c>
      <x:c r="N7" s="9" t="str">
        <x:v>Le nom Omega — secteur du raid et sa fonction sont sourcés; les dimensions, chemins et interactions restent explicitement proposés.</x:v>
      </x:c>
      <x:c r="O7" s="9" t="str"/>
      <x:c r="P7" s="9" t="str">
        <x:v>Mass Effect: Incursion, récit court</x:v>
      </x:c>
      <x:c r="Q7" s="9" t="str">
        <x:v>INC-S-PAIR</x:v>
      </x:c>
      <x:c r="R7" s="17" t="str">
        <x:v>https://books.apple.com/gr/book/mass-effect-incursion-inquisition/id1047054838</x:v>
      </x:c>
      <x:c r="S7" s="17" t="str">
        <x:v>La géométrie jouable ci-dessous est originale et ne prétend pas reconstituer une carte officielle.</x:v>
      </x:c>
    </x:row>
  </x:sheetData>
  <x:conditionalFormatting sqref="D7:D7">
    <x:cfRule type="cellIs" dxfId="12" priority="1" operator="equal">
      <x:formula>"À vérifier"</x:formula>
    </x:cfRule>
    <x:cfRule type="cellIs" dxfId="13" priority="2" operator="equal">
      <x:formula>"Extrapolation"</x:formula>
    </x:cfRule>
  </x:conditionalFormatting>
  <x:conditionalFormatting sqref="C7:C7">
    <x:cfRule type="cellIs" dxfId="14" priority="3" operator="equal">
      <x:formula>"Validé"</x:formula>
    </x:cfRule>
  </x:conditionalFormatting>
  <x:conditionalFormatting sqref="E7:E7">
    <x:cfRule type="cellIs" dxfId="15"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287c36b0850a4564"/>
  </x:tableParts>
</x:worksheet>
</file>

<file path=xl/worksheets/sheet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Zones</x:v>
      </x:c>
      <x:c r="B2" s="2"/>
      <x:c r="C2" s="2"/>
      <x:c r="D2" s="2"/>
      <x:c r="E2" s="2"/>
      <x:c r="F2" s="2"/>
      <x:c r="G2" s="2"/>
      <x:c r="H2" s="2"/>
      <x:c r="I2" s="2"/>
      <x:c r="J2" s="2"/>
      <x:c r="K2" s="2"/>
      <x:c r="L2" s="2"/>
      <x:c r="M2" s="2"/>
      <x:c r="N2" s="2"/>
      <x:c r="O2" s="2"/>
      <x:c r="P2" s="2"/>
      <x:c r="Q2" s="2"/>
      <x:c r="R2" s="2"/>
      <x:c r="S2" s="2"/>
    </x:row>
    <x:row r="3" ht="22" customHeight="1">
      <x:c r="A3" s="4" t="str">
        <x:v>Mass Effect: Incursion — Pièces, espaces extérieurs et points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INC-ZONE-OMEGA</x:v>
      </x:c>
      <x:c r="B7" s="9" t="str">
        <x:v>Omega — secteur du raid — espace jouable proposé</x:v>
      </x:c>
      <x:c r="C7" s="14" t="str">
        <x:v>Défini</x:v>
      </x:c>
      <x:c r="D7" s="15" t="str">
        <x:v>Extrapolation</x:v>
      </x:c>
      <x:c r="E7" s="15" t="str">
        <x:v>P1</x:v>
      </x:c>
      <x:c r="F7" s="9" t="str">
        <x:v>Entrée haute, aire de transaction et sortie technique; géométrie originale.</x:v>
      </x:c>
      <x:c r="G7" s="9" t="str">
        <x:v>Construire un espace compact d’observation et d’engagement.</x:v>
      </x:c>
      <x:c r="H7" s="9" t="str">
        <x:v>L’évacuation des protagonistes reste lisible; les figurants ne servent pas de munitions ou de score.</x:v>
      </x:c>
      <x:c r="I7" s="9" t="str">
        <x:v>Métal usé, orange de service et zones d’ombre qui ne masquent pas les cibles.</x:v>
      </x:c>
      <x:c r="J7" s="9" t="str">
        <x:v>Garder les trajectoires de sprites sur le sol navigable; traversées de premier plan traitées par masques.</x:v>
      </x:c>
      <x:c r="K7" s="9" t="str"/>
      <x:c r="L7" s="9" t="str">
        <x:v>Scène 3D prévue inc/zones/omega; volumes de navigation, ancrages d'actions et caméras fixes séparés.</x:v>
      </x:c>
      <x:c r="M7" s="9" t="str">
        <x:v>Le résultat narratif du raid reste fixé; une tâche de gameplay ne réécrit pas le sort des captifs ni ne fait d’Aria la libératrice de toutes les colonies.</x:v>
      </x:c>
      <x:c r="N7" s="9" t="str">
        <x:v>Le blocage de Omega — secteur du raid permet un parcours aller-retour sans caméra aveugle; chaque danger annoncé possède une sortie lisible.</x:v>
      </x:c>
      <x:c r="O7" s="9" t="str">
        <x:v>INC-WRL-OMEGA</x:v>
      </x:c>
      <x:c r="P7" s="9" t="str">
        <x:v>Plan original, dimensions à prototyper.</x:v>
      </x:c>
      <x:c r="Q7" s="9" t="str"/>
      <x:c r="R7" s="17" t="str"/>
      <x:c r="S7" s="17" t="str"/>
    </x:row>
  </x:sheetData>
  <x:conditionalFormatting sqref="D7:D7">
    <x:cfRule type="cellIs" dxfId="16" priority="1" operator="equal">
      <x:formula>"À vérifier"</x:formula>
    </x:cfRule>
    <x:cfRule type="cellIs" dxfId="17" priority="2" operator="equal">
      <x:formula>"Extrapolation"</x:formula>
    </x:cfRule>
  </x:conditionalFormatting>
  <x:conditionalFormatting sqref="C7:C7">
    <x:cfRule type="cellIs" dxfId="18" priority="3" operator="equal">
      <x:formula>"Validé"</x:formula>
    </x:cfRule>
  </x:conditionalFormatting>
  <x:conditionalFormatting sqref="E7:E7">
    <x:cfRule type="cellIs" dxfId="1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4640e78174af425f"/>
  </x:tableParts>
</x:worksheet>
</file>

<file path=xl/worksheets/sheet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Liaisons</x:v>
      </x:c>
      <x:c r="B2" s="2"/>
      <x:c r="C2" s="2"/>
      <x:c r="D2" s="2"/>
      <x:c r="E2" s="2"/>
      <x:c r="F2" s="2"/>
      <x:c r="G2" s="2"/>
      <x:c r="H2" s="2"/>
      <x:c r="I2" s="2"/>
      <x:c r="J2" s="2"/>
      <x:c r="K2" s="2"/>
      <x:c r="L2" s="2"/>
      <x:c r="M2" s="2"/>
      <x:c r="N2" s="2"/>
      <x:c r="O2" s="2"/>
      <x:c r="P2" s="2"/>
      <x:c r="Q2" s="2"/>
      <x:c r="R2" s="2"/>
      <x:c r="S2" s="2"/>
    </x:row>
    <x:row r="3" ht="22" customHeight="1">
      <x:c r="A3" s="4" t="str">
        <x:v>Mass Effect: Incursion — Continuité spatiale et conditions de passage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INC-LINK-OMEGA</x:v>
      </x:c>
      <x:c r="B7" s="9" t="str">
        <x:v>Omega — secteur du raid — accès et sortie</x:v>
      </x:c>
      <x:c r="C7" s="14" t="str">
        <x:v>Défini</x:v>
      </x:c>
      <x:c r="D7" s="15" t="str">
        <x:v>Extrapolation</x:v>
      </x:c>
      <x:c r="E7" s="15" t="str">
        <x:v>P1</x:v>
      </x:c>
      <x:c r="F7" s="9" t="str">
        <x:v>Approche du secteur → aire centrale → retour d’information à Afterlife par ellipse.</x:v>
      </x:c>
      <x:c r="G7" s="9" t="str">
        <x:v>Conserver les raccords nécessaires au parcours sans inventer une route galactique officielle.</x:v>
      </x:c>
      <x:c r="H7" s="9" t="str">
        <x:v>Prévisualiser la destination; déclenchement sur confirmation hors combat; conserver objectifs et objets de mission au retour.</x:v>
      </x:c>
      <x:c r="I7" s="9" t="str">
        <x:v>Marquage de direction doublé d’un nom de destination; pas de code fondé sur une seule couleur.</x:v>
      </x:c>
      <x:c r="J7" s="9" t="str"/>
      <x:c r="K7" s="9" t="str"/>
      <x:c r="L7" s="9" t="str">
        <x:v>Liaison proposée INC/OMEGA; sauvegarder zone, point d'entrée et version de chapitre.</x:v>
      </x:c>
      <x:c r="M7" s="9" t="str">
        <x:v>Le résultat narratif du raid reste fixé; une tâche de gameplay ne réécrit pas le sort des captifs ni ne fait d’Aria la libératrice de toutes les colonies.</x:v>
      </x:c>
      <x:c r="N7" s="9" t="str">
        <x:v>Entrer, ressortir et recharger au seuil restitue le même état du chapitre; aucun accès ne court-circuite sa conclusion fixée.</x:v>
      </x:c>
      <x:c r="O7" s="9" t="str">
        <x:v>INC-ZONE-OMEGA</x:v>
      </x:c>
      <x:c r="P7" s="9" t="str">
        <x:v>Raccord de gameplay original; ordre narratif selon les ancrages sourcés.</x:v>
      </x:c>
      <x:c r="Q7" s="9" t="str"/>
      <x:c r="R7" s="17" t="str"/>
      <x:c r="S7" s="17" t="str"/>
    </x:row>
  </x:sheetData>
  <x:conditionalFormatting sqref="D7:D7">
    <x:cfRule type="cellIs" dxfId="20" priority="1" operator="equal">
      <x:formula>"À vérifier"</x:formula>
    </x:cfRule>
    <x:cfRule type="cellIs" dxfId="21" priority="2" operator="equal">
      <x:formula>"Extrapolation"</x:formula>
    </x:cfRule>
  </x:conditionalFormatting>
  <x:conditionalFormatting sqref="C7:C7">
    <x:cfRule type="cellIs" dxfId="22" priority="3" operator="equal">
      <x:formula>"Validé"</x:formula>
    </x:cfRule>
  </x:conditionalFormatting>
  <x:conditionalFormatting sqref="E7:E7">
    <x:cfRule type="cellIs" dxfId="2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5138e72ff9d74be9"/>
  </x:tableParts>
</x:worksheet>
</file>

<file path=xl/worksheets/sheet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Décors</x:v>
      </x:c>
      <x:c r="B2" s="2"/>
      <x:c r="C2" s="2"/>
      <x:c r="D2" s="2"/>
      <x:c r="E2" s="2"/>
      <x:c r="F2" s="2"/>
      <x:c r="G2" s="2"/>
      <x:c r="H2" s="2"/>
      <x:c r="I2" s="2"/>
      <x:c r="J2" s="2"/>
      <x:c r="K2" s="2"/>
      <x:c r="L2" s="2"/>
      <x:c r="M2" s="2"/>
      <x:c r="N2" s="2"/>
      <x:c r="O2" s="2"/>
      <x:c r="P2" s="2"/>
      <x:c r="Q2" s="2"/>
      <x:c r="R2" s="2"/>
      <x:c r="S2" s="2"/>
    </x:row>
    <x:row r="3" ht="22" customHeight="1">
      <x:c r="A3" s="4" t="str">
        <x:v>Mass Effect: Incursion — Architecture, matières et cadrages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INC-SET-OMEGA</x:v>
      </x:c>
      <x:c r="B7" s="9" t="str">
        <x:v>Omega — secteur du raid — décor et repère</x:v>
      </x:c>
      <x:c r="C7" s="14" t="str">
        <x:v>Défini</x:v>
      </x:c>
      <x:c r="D7" s="15" t="str">
        <x:v>Extrapolation</x:v>
      </x:c>
      <x:c r="E7" s="15" t="str">
        <x:v>P1</x:v>
      </x:c>
      <x:c r="F7" s="9" t="str">
        <x:v>Grue industrielle au-dessus de l’espace central.</x:v>
      </x:c>
      <x:c r="G7" s="9" t="str">
        <x:v>Construire un espace compact d’observation et d’engagement.</x:v>
      </x:c>
      <x:c r="H7" s="9" t="str"/>
      <x:c r="I7" s="9" t="str">
        <x:v>Métal usé, orange de service et zones d’ombre qui ne masquent pas les cibles. Séparer gros volumes, surfaces de parcours et petits accessoires; réserver le contraste maximal aux éléments utilisables.</x:v>
      </x:c>
      <x:c r="J7" s="9" t="str">
        <x:v>Seuls les éléments mobiles nécessaires à la lecture du lieu ont une boucle; les lumières restent stables en mode confort.</x:v>
      </x:c>
      <x:c r="K7" s="9" t="str"/>
      <x:c r="L7" s="9" t="str">
        <x:v>Kit modulaire prévu inc/sets/omega; collisions simples et matériau de repère distinct.</x:v>
      </x:c>
      <x:c r="M7" s="9" t="str">
        <x:v>Le résultat narratif du raid reste fixé; une tâche de gameplay ne réécrit pas le sort des captifs ni ne fait d’Aria la libératrice de toutes les colonies.</x:v>
      </x:c>
      <x:c r="N7" s="9" t="str">
        <x:v>Le repère décrit reste visible depuis l'entrée et depuis le retour; aucune décoration ne masque un signal d'interaction.</x:v>
      </x:c>
      <x:c r="O7" s="9" t="str">
        <x:v>INC-ZONE-OMEGA</x:v>
      </x:c>
      <x:c r="P7" s="9" t="str">
        <x:v>Direction artistique originale, matériaux à confronter aux planches.</x:v>
      </x:c>
      <x:c r="Q7" s="9" t="str"/>
      <x:c r="R7" s="17" t="str"/>
      <x:c r="S7" s="17" t="str"/>
    </x:row>
  </x:sheetData>
  <x:conditionalFormatting sqref="D7:D7">
    <x:cfRule type="cellIs" dxfId="24" priority="1" operator="equal">
      <x:formula>"À vérifier"</x:formula>
    </x:cfRule>
    <x:cfRule type="cellIs" dxfId="25" priority="2" operator="equal">
      <x:formula>"Extrapolation"</x:formula>
    </x:cfRule>
  </x:conditionalFormatting>
  <x:conditionalFormatting sqref="C7:C7">
    <x:cfRule type="cellIs" dxfId="26" priority="3" operator="equal">
      <x:formula>"Validé"</x:formula>
    </x:cfRule>
  </x:conditionalFormatting>
  <x:conditionalFormatting sqref="E7:E7">
    <x:cfRule type="cellIs" dxfId="2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1cb9108d437246a1"/>
  </x:tableParts>
</x:worksheet>
</file>

<file path=xl/worksheets/sheet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Props</x:v>
      </x:c>
      <x:c r="B2" s="2"/>
      <x:c r="C2" s="2"/>
      <x:c r="D2" s="2"/>
      <x:c r="E2" s="2"/>
      <x:c r="F2" s="2"/>
      <x:c r="G2" s="2"/>
      <x:c r="H2" s="2"/>
      <x:c r="I2" s="2"/>
      <x:c r="J2" s="2"/>
      <x:c r="K2" s="2"/>
      <x:c r="L2" s="2"/>
      <x:c r="M2" s="2"/>
      <x:c r="N2" s="2"/>
      <x:c r="O2" s="2"/>
      <x:c r="P2" s="2"/>
      <x:c r="Q2" s="2"/>
      <x:c r="R2" s="2"/>
      <x:c r="S2" s="2"/>
    </x:row>
    <x:row r="3" ht="22" customHeight="1">
      <x:c r="A3" s="4" t="str">
        <x:v>Mass Effect: Incursion — Objets de décor et interactions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INC-SC-CHECK-PROP</x:v>
      </x:c>
      <x:c r="B7" s="9" t="str">
        <x:v>Repère d’observation</x:v>
      </x:c>
      <x:c r="C7" s="14" t="str">
        <x:v>Défini</x:v>
      </x:c>
      <x:c r="D7" s="15" t="str">
        <x:v>Extrapolation</x:v>
      </x:c>
      <x:c r="E7" s="15" t="str">
        <x:v>P1</x:v>
      </x:c>
      <x:c r="F7" s="9" t="str">
        <x:v>Accessoire de prototype.</x:v>
      </x:c>
      <x:c r="G7" s="9" t="str">
        <x:v>Présenter une information de terrain sans scanner omniscient.</x:v>
      </x:c>
      <x:c r="H7" s="9" t="str">
        <x:v>Observer révèle seulement les unités visibles depuis le poste.</x:v>
      </x:c>
      <x:c r="I7" s="9" t="str">
        <x:v>Marquage au sol et petit viseur d’interface.</x:v>
      </x:c>
      <x:c r="J7" s="9" t="str">
        <x:v>État repos, sélection, utilisation et remise en place; l’objet conserve son pivot entre ces états.</x:v>
      </x:c>
      <x:c r="K7" s="9" t="str">
        <x:v>Bruit de manipulation original et confirmation visible.</x:v>
      </x:c>
      <x:c r="L7" s="9" t="str">
        <x:v>Objet proposé INC/CHECK/prop; composant inspectable distinct du déclencheur narratif.</x:v>
      </x:c>
      <x:c r="M7" s="9" t="str">
        <x:v>Le résultat narratif du raid reste fixé; une tâche de gameplay ne réécrit pas le sort des captifs ni ne fait d’Aria la libératrice de toutes les colonies.</x:v>
      </x:c>
      <x:c r="N7" s="9" t="str">
        <x:v>L’objet possède un état visible avant et après interaction; il ne peut pas être perdu ni dupliqué par rechargement.</x:v>
      </x:c>
      <x:c r="O7" s="9" t="str">
        <x:v>INC-SC-CHECK-MAIN</x:v>
      </x:c>
      <x:c r="P7" s="9" t="str">
        <x:v>Accessoire ou interaction de production proposé; ne vaut pas relevé exhaustif de la planche.</x:v>
      </x:c>
      <x:c r="Q7" s="9" t="str"/>
      <x:c r="R7" s="17" t="str"/>
      <x:c r="S7" s="17" t="str"/>
    </x:row>
    <x:row r="8" ht="54" customHeight="1">
      <x:c r="A8" s="31" t="str">
        <x:v>INC-SC-RAID-PROP</x:v>
      </x:c>
      <x:c r="B8" s="7" t="str">
        <x:v>Commande de grue — prototype</x:v>
      </x:c>
      <x:c r="C8" s="14" t="str">
        <x:v>Défini</x:v>
      </x:c>
      <x:c r="D8" s="30" t="str">
        <x:v>Extrapolation</x:v>
      </x:c>
      <x:c r="E8" s="30" t="str">
        <x:v>P1</x:v>
      </x:c>
      <x:c r="F8" s="7" t="str">
        <x:v>Interaction de terrain ajoutée pour le prototype.</x:v>
      </x:c>
      <x:c r="G8" s="7" t="str">
        <x:v>Créer un déplacement de couvert sans attribuer une scène au comic.</x:v>
      </x:c>
      <x:c r="H8" s="7" t="str">
        <x:v>Une seule utilisation; prévisualiser la zone de passage conservée.</x:v>
      </x:c>
      <x:c r="I8" s="7" t="str">
        <x:v>Levier de service et câble mobile.</x:v>
      </x:c>
      <x:c r="J8" s="7" t="str">
        <x:v>État repos, sélection, utilisation et remise en place; l’objet conserve son pivot entre ces états.</x:v>
      </x:c>
      <x:c r="K8" s="7" t="str">
        <x:v>Bruit de manipulation original et confirmation visible.</x:v>
      </x:c>
      <x:c r="L8" s="7" t="str">
        <x:v>Objet proposé INC/RAID/prop; composant inspectable distinct du déclencheur narratif.</x:v>
      </x:c>
      <x:c r="M8" s="7" t="str">
        <x:v>Le résultat narratif du raid reste fixé; une tâche de gameplay ne réécrit pas le sort des captifs ni ne fait d’Aria la libératrice de toutes les colonies.</x:v>
      </x:c>
      <x:c r="N8" s="7" t="str">
        <x:v>L’objet possède un état visible avant et après interaction; il ne peut pas être perdu ni dupliqué par rechargement.</x:v>
      </x:c>
      <x:c r="O8" s="7" t="str">
        <x:v>INC-SC-RAID-MAIN</x:v>
      </x:c>
      <x:c r="P8" s="7" t="str">
        <x:v>Accessoire ou interaction de production proposé; ne vaut pas relevé exhaustif de la planche.</x:v>
      </x:c>
      <x:c r="Q8" s="7" t="str"/>
      <x:c r="R8" s="32" t="str"/>
      <x:c r="S8" s="32" t="str"/>
    </x:row>
    <x:row r="9" ht="54" customHeight="1">
      <x:c r="A9" s="16" t="str">
        <x:v>INC-SC-REPORT-PROP</x:v>
      </x:c>
      <x:c r="B9" s="9" t="str">
        <x:v>Datapad démographique — représentation proposée</x:v>
      </x:c>
      <x:c r="C9" s="14" t="str">
        <x:v>Défini</x:v>
      </x:c>
      <x:c r="D9" s="15" t="str">
        <x:v>Extrapolation</x:v>
      </x:c>
      <x:c r="E9" s="15" t="str">
        <x:v>P1</x:v>
      </x:c>
      <x:c r="F9" s="9" t="str">
        <x:v>Objet de renseignement; nombres exacts non transcrits.</x:v>
      </x:c>
      <x:c r="G9" s="9" t="str">
        <x:v>Faire comprendre la nature des cibles.</x:v>
      </x:c>
      <x:c r="H9" s="9" t="str">
        <x:v>Affiche les noms confirmés et une échelle qualitative, pas de valeurs fabriquées.</x:v>
      </x:c>
      <x:c r="I9" s="9" t="str">
        <x:v>Tableau court et en-tête provenance à vérifier.</x:v>
      </x:c>
      <x:c r="J9" s="9" t="str">
        <x:v>État repos, sélection, utilisation et remise en place; l’objet conserve son pivot entre ces états.</x:v>
      </x:c>
      <x:c r="K9" s="9" t="str">
        <x:v>Bruit de manipulation original et confirmation visible.</x:v>
      </x:c>
      <x:c r="L9" s="9" t="str">
        <x:v>Objet proposé INC/REPORT/prop; composant inspectable distinct du déclencheur narratif.</x:v>
      </x:c>
      <x:c r="M9" s="9" t="str">
        <x:v>Le résultat narratif du raid reste fixé; une tâche de gameplay ne réécrit pas le sort des captifs ni ne fait d’Aria la libératrice de toutes les colonies.</x:v>
      </x:c>
      <x:c r="N9" s="9" t="str">
        <x:v>L’objet possède un état visible avant et après interaction; il ne peut pas être perdu ni dupliqué par rechargement.</x:v>
      </x:c>
      <x:c r="O9" s="9" t="str">
        <x:v>INC-SC-REPORT-MAIN</x:v>
      </x:c>
      <x:c r="P9" s="9" t="str">
        <x:v>Accessoire ou interaction de production proposé; ne vaut pas relevé exhaustif de la planche.</x:v>
      </x:c>
      <x:c r="Q9" s="9" t="str"/>
      <x:c r="R9" s="17" t="str"/>
      <x:c r="S9" s="17" t="str"/>
    </x:row>
  </x:sheetData>
  <x:conditionalFormatting sqref="D7:D9">
    <x:cfRule type="cellIs" dxfId="28" priority="1" operator="equal">
      <x:formula>"À vérifier"</x:formula>
    </x:cfRule>
    <x:cfRule type="cellIs" dxfId="29" priority="2" operator="equal">
      <x:formula>"Extrapolation"</x:formula>
    </x:cfRule>
  </x:conditionalFormatting>
  <x:conditionalFormatting sqref="C7:C9">
    <x:cfRule type="cellIs" dxfId="30" priority="3" operator="equal">
      <x:formula>"Validé"</x:formula>
    </x:cfRule>
  </x:conditionalFormatting>
  <x:conditionalFormatting sqref="E7:E9">
    <x:cfRule type="cellIs" dxfId="3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df32046d4d0a47ab"/>
  </x:tableParts>
</x:worksheet>
</file>

<file path=xl/worksheets/sheet1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71" hidden="0" customWidth="1"/>
    <x:col min="19" max="19" width="99"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Ennemis et boss</x:v>
      </x:c>
      <x:c r="B2" s="2"/>
      <x:c r="C2" s="2"/>
      <x:c r="D2" s="2"/>
      <x:c r="E2" s="2"/>
      <x:c r="F2" s="2"/>
      <x:c r="G2" s="2"/>
      <x:c r="H2" s="2"/>
      <x:c r="I2" s="2"/>
      <x:c r="J2" s="2"/>
      <x:c r="K2" s="2"/>
      <x:c r="L2" s="2"/>
      <x:c r="M2" s="2"/>
      <x:c r="N2" s="2"/>
      <x:c r="O2" s="2"/>
      <x:c r="P2" s="2"/>
      <x:c r="Q2" s="2"/>
      <x:c r="R2" s="2"/>
      <x:c r="S2" s="2"/>
    </x:row>
    <x:row r="3" ht="22" customHeight="1">
      <x:c r="A3" s="4" t="str">
        <x:v>Mass Effect: Incursion — Bestiaire, adversaires et affrontements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INC-EN-SUNS</x:v>
      </x:c>
      <x:c r="B7" s="9" t="str">
        <x:v>Blue Suns</x:v>
      </x:c>
      <x:c r="C7" s="14" t="str">
        <x:v>Défini</x:v>
      </x:c>
      <x:c r="D7" s="15" t="str">
        <x:v>À vérifier</x:v>
      </x:c>
      <x:c r="E7" s="15" t="str">
        <x:v>P1</x:v>
      </x:c>
      <x:c r="F7" s="9" t="str">
        <x:v>Le wiki associe les Blue Suns à la transaction.</x:v>
      </x:c>
      <x:c r="G7" s="9" t="str">
        <x:v>Tireurs de couvert de la rencontre.</x:v>
      </x:c>
      <x:c r="H7" s="9" t="str">
        <x:v>Profil proposé : Appui de tir; ne pas faire apparaître des renforts infinis.</x:v>
      </x:c>
      <x:c r="I7" s="9" t="str">
        <x:v>Silhouette proposée : Armures bleues à vérifier, silhouettes humaines ou autres selon les planches.</x:v>
      </x:c>
      <x:c r="J7" s="9" t="str">
        <x:v>Visée, recul et sortie de couvert.</x:v>
      </x:c>
      <x:c r="K7" s="9" t="str">
        <x:v>Tirs secs.</x:v>
      </x:c>
      <x:c r="L7" s="9" t="str">
        <x:v>Livrable proposé : spécification INC/enemies/en-suns; brancher au registre de contenu de l'œuvre seulement après production.</x:v>
      </x:c>
      <x:c r="M7" s="9" t="str">
        <x:v>Le résultat narratif du raid reste fixé; une tâche de gameplay ne réécrit pas le sort des captifs ni ne fait d’Aria la libératrice de toutes les colonies.</x:v>
      </x:c>
      <x:c r="N7" s="9" t="str">
        <x:v>Blue Suns a une silhouette distincte, un comportement télégraphié et une contre-mesure documentée; aucune valeur n'est annoncée comme statistique officielle.</x:v>
      </x:c>
      <x:c r="O7" s="9" t="str"/>
      <x:c r="P7" s="9" t="str">
        <x:v>Mass Effect: Incursion, récit court</x:v>
      </x:c>
      <x:c r="Q7" s="9" t="str">
        <x:v>INC-S-WIKI</x:v>
      </x:c>
      <x:c r="R7" s="17" t="str">
        <x:v>https://masseffect.fandom.com/wiki/Mass_Effect%3A_Incursion</x:v>
      </x:c>
      <x:c r="S7" s="17" t="str">
        <x:v>L’adversaire ou groupe est attesté selon la source; le combat ATB et ses réglages sont entièrement proposés.</x:v>
      </x:c>
    </x:row>
    <x:row r="8" ht="68" customHeight="1">
      <x:c r="A8" s="31" t="str">
        <x:v>INC-EN-COLLECTOR</x:v>
      </x:c>
      <x:c r="B8" s="7" t="str">
        <x:v>Unité Collector</x:v>
      </x:c>
      <x:c r="C8" s="14" t="str">
        <x:v>Défini</x:v>
      </x:c>
      <x:c r="D8" s="30" t="str">
        <x:v>Établi</x:v>
      </x:c>
      <x:c r="E8" s="30" t="str">
        <x:v>P1</x:v>
      </x:c>
      <x:c r="F8" s="7" t="str">
        <x:v>Les Collectors sont la menace décrite par l’éditeur.</x:v>
      </x:c>
      <x:c r="G8" s="7" t="str">
        <x:v>Adversaire distinct des trafiquants.</x:v>
      </x:c>
      <x:c r="H8" s="7" t="str">
        <x:v>Profil proposé : Pression à distance puis récupération visible; pas d’aptitude de Harbinger ajoutée par défaut.</x:v>
      </x:c>
      <x:c r="I8" s="7" t="str">
        <x:v>Silhouette proposée : Silhouette insectoïde et arme organique à contrôler; animation d’antenne discrète.</x:v>
      </x:c>
      <x:c r="J8" s="7" t="str">
        <x:v>Préparation de tir et réorientation complète.</x:v>
      </x:c>
      <x:c r="K8" s="7" t="str">
        <x:v>Timbre organique original.</x:v>
      </x:c>
      <x:c r="L8" s="7" t="str">
        <x:v>Livrable proposé : spécification INC/enemies/en-collector; brancher au registre de contenu de l'œuvre seulement après production.</x:v>
      </x:c>
      <x:c r="M8" s="7" t="str">
        <x:v>Le résultat narratif du raid reste fixé; une tâche de gameplay ne réécrit pas le sort des captifs ni ne fait d’Aria la libératrice de toutes les colonies.</x:v>
      </x:c>
      <x:c r="N8" s="7" t="str">
        <x:v>Unité Collector a une silhouette distincte, un comportement télégraphié et une contre-mesure documentée; aucune valeur n'est annoncée comme statistique officielle.</x:v>
      </x:c>
      <x:c r="O8" s="7" t="str"/>
      <x:c r="P8" s="7" t="str">
        <x:v>Mass Effect: Incursion, récit court</x:v>
      </x:c>
      <x:c r="Q8" s="7" t="str">
        <x:v>INC-S-PAIR</x:v>
      </x:c>
      <x:c r="R8" s="32" t="str">
        <x:v>https://books.apple.com/gr/book/mass-effect-incursion-inquisition/id1047054838</x:v>
      </x:c>
      <x:c r="S8" s="32" t="str">
        <x:v>L’adversaire ou groupe est attesté selon la source; le combat ATB et ses réglages sont entièrement proposés.</x:v>
      </x:c>
    </x:row>
    <x:row r="9" ht="54" customHeight="1">
      <x:c r="A9" s="16" t="str">
        <x:v>INC-EN-PRAETORIAN</x:v>
      </x:c>
      <x:c r="B9" s="9" t="str">
        <x:v>Praetorian</x:v>
      </x:c>
      <x:c r="C9" s="14" t="str">
        <x:v>Défini</x:v>
      </x:c>
      <x:c r="D9" s="15" t="str">
        <x:v>À vérifier</x:v>
      </x:c>
      <x:c r="E9" s="15" t="str">
        <x:v>P1</x:v>
      </x:c>
      <x:c r="F9" s="9" t="str">
        <x:v>Le wiki mentionne un Praetorian dans le raid.</x:v>
      </x:c>
      <x:c r="G9" s="9" t="str">
        <x:v>Menace lourde ponctuelle, pas boss doté de statistiques officielles.</x:v>
      </x:c>
      <x:c r="H9" s="9" t="str">
        <x:v>Profil proposé : Alternance pression de zone et fenêtre de récupération proposée.</x:v>
      </x:c>
      <x:c r="I9" s="9" t="str">
        <x:v>Silhouette proposée : Grand volume flottant à comparer; ombre au sol distincte des sprites.</x:v>
      </x:c>
      <x:c r="J9" s="9" t="str">
        <x:v>Charge lumineuse lente et déplacement lourd.</x:v>
      </x:c>
      <x:c r="K9" s="9" t="str">
        <x:v>Grave de charge doublé d’un symbole.</x:v>
      </x:c>
      <x:c r="L9" s="9" t="str">
        <x:v>Livrable proposé : spécification INC/enemies/en-praetorian; brancher au registre de contenu de l'œuvre seulement après production.</x:v>
      </x:c>
      <x:c r="M9" s="9" t="str">
        <x:v>Le résultat narratif du raid reste fixé; une tâche de gameplay ne réécrit pas le sort des captifs ni ne fait d’Aria la libératrice de toutes les colonies.</x:v>
      </x:c>
      <x:c r="N9" s="9" t="str">
        <x:v>Praetorian a une silhouette distincte, un comportement télégraphié et une contre-mesure documentée; aucune valeur n'est annoncée comme statistique officielle.</x:v>
      </x:c>
      <x:c r="O9" s="9" t="str"/>
      <x:c r="P9" s="9" t="str">
        <x:v>Mass Effect: Incursion, récit court</x:v>
      </x:c>
      <x:c r="Q9" s="9" t="str">
        <x:v>INC-S-WIKI</x:v>
      </x:c>
      <x:c r="R9" s="17" t="str">
        <x:v>https://masseffect.fandom.com/wiki/Mass_Effect%3A_Incursion</x:v>
      </x:c>
      <x:c r="S9" s="17" t="str">
        <x:v>L’adversaire ou groupe est attesté selon la source; le combat ATB et ses réglages sont entièrement proposés.</x:v>
      </x:c>
    </x:row>
  </x:sheetData>
  <x:conditionalFormatting sqref="D7:D9">
    <x:cfRule type="cellIs" dxfId="32" priority="1" operator="equal">
      <x:formula>"À vérifier"</x:formula>
    </x:cfRule>
    <x:cfRule type="cellIs" dxfId="33" priority="2" operator="equal">
      <x:formula>"Extrapolation"</x:formula>
    </x:cfRule>
  </x:conditionalFormatting>
  <x:conditionalFormatting sqref="C7:C9">
    <x:cfRule type="cellIs" dxfId="34" priority="3" operator="equal">
      <x:formula>"Validé"</x:formula>
    </x:cfRule>
  </x:conditionalFormatting>
  <x:conditionalFormatting sqref="E7:E9">
    <x:cfRule type="cellIs" dxfId="3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b41f5d6d8ae241be"/>
  </x:tableParts>
</x:worksheet>
</file>

<file path=xl/worksheets/sheet1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Missions</x:v>
      </x:c>
      <x:c r="B2" s="2"/>
      <x:c r="C2" s="2"/>
      <x:c r="D2" s="2"/>
      <x:c r="E2" s="2"/>
      <x:c r="F2" s="2"/>
      <x:c r="G2" s="2"/>
      <x:c r="H2" s="2"/>
      <x:c r="I2" s="2"/>
      <x:c r="J2" s="2"/>
      <x:c r="K2" s="2"/>
      <x:c r="L2" s="2"/>
      <x:c r="M2" s="2"/>
      <x:c r="N2" s="2"/>
      <x:c r="O2" s="2"/>
      <x:c r="P2" s="2"/>
      <x:c r="Q2" s="2"/>
      <x:c r="R2" s="2"/>
      <x:c r="S2" s="2"/>
    </x:row>
    <x:row r="3" ht="22" customHeight="1">
      <x:c r="A3" s="4" t="str">
        <x:v>Mass Effect: Incursion — Étapes de l’intrigue principale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INC-SC-CHECK-MAIN</x:v>
      </x:c>
      <x:c r="B7" s="9" t="str">
        <x:v>Examiner la perturbation — objectif jouable</x:v>
      </x:c>
      <x:c r="C7" s="14" t="str">
        <x:v>Défini</x:v>
      </x:c>
      <x:c r="D7" s="15" t="str">
        <x:v>Extrapolation</x:v>
      </x:c>
      <x:c r="E7" s="15" t="str">
        <x:v>P0</x:v>
      </x:c>
      <x:c r="F7" s="9" t="str">
        <x:v>Observer le secteur avant de franchir le seuil.</x:v>
      </x:c>
      <x:c r="G7" s="9" t="str">
        <x:v>Arrivée → observation de rôles → choix d’approche → accès.</x:v>
      </x:c>
      <x:c r="H7" s="9" t="str">
        <x:v>Deux postes d’observation révèlent les lignes de vue; aucun dialogue n’explique déjà toute l’origine des Collectors.</x:v>
      </x:c>
      <x:c r="I7" s="9" t="str">
        <x:v>Poutre de premier plan et aire de transaction dégagée.</x:v>
      </x:c>
      <x:c r="J7" s="9" t="str">
        <x:v>Entrée prudente, geste d'inspection et retour au contrôle pour « Examiner la perturbation »; poser les sprites avant tout changement de caméra.</x:v>
      </x:c>
      <x:c r="K7" s="9" t="str">
        <x:v>Activité industrielle interrompue par bruits inhabituels.</x:v>
      </x:c>
      <x:c r="L7" s="9" t="str">
        <x:v>Graphe proposé INC/quests/CHECK: entrée → objectif actif → résolution → raccord; conditions terminales séparées des points facultatifs.</x:v>
      </x:c>
      <x:c r="M7" s="9" t="str">
        <x:v>Le résultat narratif du raid reste fixé; une tâche de gameplay ne réécrit pas le sort des captifs ni ne fait d’Aria la libératrice de toutes les colonies.</x:v>
      </x:c>
      <x:c r="N7" s="9" t="str">
        <x:v>L'objectif « Examiner la perturbation » atteint son raccord annoncé après chaque méthode; sauvegarde, rechargement et saut de scène n'en changent ni le groupe ni les informations acquises.</x:v>
      </x:c>
      <x:c r="O7" s="9" t="str">
        <x:v>INC-SC-CHECK-REF</x:v>
      </x:c>
      <x:c r="P7" s="9" t="str">
        <x:v>Conception originale rattachée à Mass Effect: Incursion, récit court</x:v>
      </x:c>
      <x:c r="Q7" s="9" t="str"/>
      <x:c r="R7" s="17" t="str"/>
      <x:c r="S7" s="17" t="str"/>
    </x:row>
    <x:row r="8" ht="68" customHeight="1">
      <x:c r="A8" s="31" t="str">
        <x:v>INC-SC-RAID-MAIN</x:v>
      </x:c>
      <x:c r="B8" s="7" t="str">
        <x:v>Interrompre la transaction — objectif jouable</x:v>
      </x:c>
      <x:c r="C8" s="14" t="str">
        <x:v>Défini</x:v>
      </x:c>
      <x:c r="D8" s="30" t="str">
        <x:v>Extrapolation</x:v>
      </x:c>
      <x:c r="E8" s="30" t="str">
        <x:v>P0</x:v>
      </x:c>
      <x:c r="F8" s="7" t="str">
        <x:v>Contenir une rencontre concentrée dans l’aire industrielle.</x:v>
      </x:c>
      <x:c r="G8" s="7" t="str">
        <x:v>Révélation → engagement → déplacement de menace lourde → fin du raid.</x:v>
      </x:c>
      <x:c r="H8" s="7" t="str">
        <x:v>Le résultat source est fixé; les objectifs locaux portent sur la survie du groupe et le contrôle de position, pas sur un décompte de victimes canon.</x:v>
      </x:c>
      <x:c r="I8" s="7" t="str">
        <x:v>Caisses basses, grand volume central et contrastes d’espèces.</x:v>
      </x:c>
      <x:c r="J8" s="7" t="str">
        <x:v>Entrée prudente, geste d'inspection et retour au contrôle pour « Interrompre la transaction »; poser les sprites avant tout changement de caméra.</x:v>
      </x:c>
      <x:c r="K8" s="7" t="str">
        <x:v>Armes distinctes par timbre, sans reproduction des sons commerciaux.</x:v>
      </x:c>
      <x:c r="L8" s="7" t="str">
        <x:v>Graphe proposé INC/quests/RAID: entrée → objectif actif → résolution → raccord; conditions terminales séparées des points facultatifs.</x:v>
      </x:c>
      <x:c r="M8" s="7" t="str">
        <x:v>Le résultat narratif du raid reste fixé; une tâche de gameplay ne réécrit pas le sort des captifs ni ne fait d’Aria la libératrice de toutes les colonies.</x:v>
      </x:c>
      <x:c r="N8" s="7" t="str">
        <x:v>L'objectif « Interrompre la transaction » atteint son raccord annoncé après chaque méthode; sauvegarde, rechargement et saut de scène n'en changent ni le groupe ni les informations acquises.</x:v>
      </x:c>
      <x:c r="O8" s="7" t="str">
        <x:v>INC-SC-RAID-REF</x:v>
      </x:c>
      <x:c r="P8" s="7" t="str">
        <x:v>Conception originale rattachée à Mass Effect: Incursion, récit court</x:v>
      </x:c>
      <x:c r="Q8" s="7" t="str"/>
      <x:c r="R8" s="32" t="str"/>
      <x:c r="S8" s="32" t="str"/>
    </x:row>
    <x:row r="9" ht="68" customHeight="1">
      <x:c r="A9" s="16" t="str">
        <x:v>INC-SC-REPORT-MAIN</x:v>
      </x:c>
      <x:c r="B9" s="9" t="str">
        <x:v>Comprendre la cible humaine — objectif jouable</x:v>
      </x:c>
      <x:c r="C9" s="14" t="str">
        <x:v>Défini</x:v>
      </x:c>
      <x:c r="D9" s="15" t="str">
        <x:v>Extrapolation</x:v>
      </x:c>
      <x:c r="E9" s="15" t="str">
        <x:v>P0</x:v>
      </x:c>
      <x:c r="F9" s="9" t="str">
        <x:v>Lire un document bref et clore le module sur son implication.</x:v>
      </x:c>
      <x:c r="G9" s="9" t="str">
        <x:v>Retour → lecture → constat de portée → fin.</x:v>
      </x:c>
      <x:c r="H9" s="9" t="str">
        <x:v>Le document sert de renseignement; cliquer un nom n’ouvre aucune planète visitable.</x:v>
      </x:c>
      <x:c r="I9" s="9" t="str">
        <x:v>Espace d’Afterlife réduit à un décor de conclusion original.</x:v>
      </x:c>
      <x:c r="J9" s="9" t="str">
        <x:v>Entrée prudente, geste d'inspection et retour au contrôle pour « Comprendre la cible humaine »; poser les sprites avant tout changement de caméra.</x:v>
      </x:c>
      <x:c r="K9" s="9" t="str">
        <x:v>Fond de club très filtré et note grave ouverte.</x:v>
      </x:c>
      <x:c r="L9" s="9" t="str">
        <x:v>Graphe proposé INC/quests/REPORT: entrée → objectif actif → résolution → raccord; conditions terminales séparées des points facultatifs.</x:v>
      </x:c>
      <x:c r="M9" s="9" t="str">
        <x:v>Le résultat narratif du raid reste fixé; une tâche de gameplay ne réécrit pas le sort des captifs ni ne fait d’Aria la libératrice de toutes les colonies.</x:v>
      </x:c>
      <x:c r="N9" s="9" t="str">
        <x:v>L'objectif « Comprendre la cible humaine » atteint son raccord annoncé après chaque méthode; sauvegarde, rechargement et saut de scène n'en changent ni le groupe ni les informations acquises.</x:v>
      </x:c>
      <x:c r="O9" s="9" t="str">
        <x:v>INC-SC-REPORT-REF</x:v>
      </x:c>
      <x:c r="P9" s="9" t="str">
        <x:v>Conception originale rattachée à Mass Effect: Incursion, récit court</x:v>
      </x:c>
      <x:c r="Q9" s="9" t="str"/>
      <x:c r="R9" s="17" t="str"/>
      <x:c r="S9" s="17" t="str"/>
    </x:row>
  </x:sheetData>
  <x:conditionalFormatting sqref="D7:D9">
    <x:cfRule type="cellIs" dxfId="36" priority="1" operator="equal">
      <x:formula>"À vérifier"</x:formula>
    </x:cfRule>
    <x:cfRule type="cellIs" dxfId="37" priority="2" operator="equal">
      <x:formula>"Extrapolation"</x:formula>
    </x:cfRule>
  </x:conditionalFormatting>
  <x:conditionalFormatting sqref="C7:C9">
    <x:cfRule type="cellIs" dxfId="38" priority="3" operator="equal">
      <x:formula>"Validé"</x:formula>
    </x:cfRule>
  </x:conditionalFormatting>
  <x:conditionalFormatting sqref="E7:E9">
    <x:cfRule type="cellIs" dxfId="39"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bcca84afc1ce4f39"/>
  </x:tableParts>
</x:worksheet>
</file>

<file path=xl/worksheets/sheet1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Secondaires et DLC</x:v>
      </x:c>
      <x:c r="B2" s="2"/>
      <x:c r="C2" s="2"/>
      <x:c r="D2" s="2"/>
      <x:c r="E2" s="2"/>
      <x:c r="F2" s="2"/>
      <x:c r="G2" s="2"/>
      <x:c r="H2" s="2"/>
      <x:c r="I2" s="2"/>
      <x:c r="J2" s="2"/>
      <x:c r="K2" s="2"/>
      <x:c r="L2" s="2"/>
      <x:c r="M2" s="2"/>
      <x:c r="N2" s="2"/>
      <x:c r="O2" s="2"/>
      <x:c r="P2" s="2"/>
      <x:c r="Q2" s="2"/>
      <x:c r="R2" s="2"/>
      <x:c r="S2" s="2"/>
    </x:row>
    <x:row r="3" ht="22" customHeight="1">
      <x:c r="A3" s="4" t="str">
        <x:v>Mass Effect: Incursion — Contenus annexes, variantes et extensions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INC-SC-CHECK-SIDE</x:v>
      </x:c>
      <x:c r="B7" s="9" t="str">
        <x:v>Vérifier le flanc de sortie</x:v>
      </x:c>
      <x:c r="C7" s="14" t="str">
        <x:v>Défini</x:v>
      </x:c>
      <x:c r="D7" s="15" t="str">
        <x:v>Extrapolation</x:v>
      </x:c>
      <x:c r="E7" s="15" t="str">
        <x:v>P2</x:v>
      </x:c>
      <x:c r="F7" s="9" t="str">
        <x:v>Tâche facultative originale.</x:v>
      </x:c>
      <x:c r="G7" s="9" t="str">
        <x:v>Préparer le retour.</x:v>
      </x:c>
      <x:c r="H7" s="9" t="str">
        <x:v>Révèle un accès; ne sauve pas automatiquement les captifs du récit.</x:v>
      </x:c>
      <x:c r="I7" s="9" t="str">
        <x:v>Poutre de premier plan et aire de transaction dégagée.</x:v>
      </x:c>
      <x:c r="J7" s="9" t="str">
        <x:v>Inspection, interaction courte, confirmation; permettre de renoncer sans bloquer le chemin principal.</x:v>
      </x:c>
      <x:c r="K7" s="9" t="str">
        <x:v>Confirmation discrète; aucune réplique source réemployée.</x:v>
      </x:c>
      <x:c r="L7" s="9" t="str">
        <x:v>Objectif facultatif INC/CHECK/optional; récompense locale de contexte, pas de modification de la fin.</x:v>
      </x:c>
      <x:c r="M7" s="9" t="str">
        <x:v>Le résultat narratif du raid reste fixé; une tâche de gameplay ne réécrit pas le sort des captifs ni ne fait d’Aria la libératrice de toutes les colonies.</x:v>
      </x:c>
      <x:c r="N7" s="9" t="str">
        <x:v>Terminer, ignorer ou abandonner cette tâche laisse le récit principal accessible et conserve correctement l’état en sauvegarde.</x:v>
      </x:c>
      <x:c r="O7" s="9" t="str">
        <x:v>INC-SC-CHECK-MAIN</x:v>
      </x:c>
      <x:c r="P7" s="9" t="str">
        <x:v>Ajout original; cette tâche n’est pas attestée dans le comic.</x:v>
      </x:c>
      <x:c r="Q7" s="9" t="str"/>
      <x:c r="R7" s="17" t="str"/>
      <x:c r="S7" s="17" t="str"/>
    </x:row>
    <x:row r="8" ht="54" customHeight="1">
      <x:c r="A8" s="31" t="str">
        <x:v>INC-SC-RAID-SIDE</x:v>
      </x:c>
      <x:c r="B8" s="7" t="str">
        <x:v>Isoler un accès technique</x:v>
      </x:c>
      <x:c r="C8" s="14" t="str">
        <x:v>Défini</x:v>
      </x:c>
      <x:c r="D8" s="30" t="str">
        <x:v>Extrapolation</x:v>
      </x:c>
      <x:c r="E8" s="30" t="str">
        <x:v>P2</x:v>
      </x:c>
      <x:c r="F8" s="7" t="str">
        <x:v>Objectif facultatif original de confinement.</x:v>
      </x:c>
      <x:c r="G8" s="7" t="str">
        <x:v>Réduire un risque local de débordement.</x:v>
      </x:c>
      <x:c r="H8" s="7" t="str">
        <x:v>Ne change pas la liste des survivants publiée.</x:v>
      </x:c>
      <x:c r="I8" s="7" t="str">
        <x:v>Caisses basses, grand volume central et contrastes d’espèces.</x:v>
      </x:c>
      <x:c r="J8" s="7" t="str">
        <x:v>Inspection, interaction courte, confirmation; permettre de renoncer sans bloquer le chemin principal.</x:v>
      </x:c>
      <x:c r="K8" s="7" t="str">
        <x:v>Confirmation discrète; aucune réplique source réemployée.</x:v>
      </x:c>
      <x:c r="L8" s="7" t="str">
        <x:v>Objectif facultatif INC/RAID/optional; récompense locale de contexte, pas de modification de la fin.</x:v>
      </x:c>
      <x:c r="M8" s="7" t="str">
        <x:v>Le résultat narratif du raid reste fixé; une tâche de gameplay ne réécrit pas le sort des captifs ni ne fait d’Aria la libératrice de toutes les colonies.</x:v>
      </x:c>
      <x:c r="N8" s="7" t="str">
        <x:v>Terminer, ignorer ou abandonner cette tâche laisse le récit principal accessible et conserve correctement l’état en sauvegarde.</x:v>
      </x:c>
      <x:c r="O8" s="7" t="str">
        <x:v>INC-SC-RAID-MAIN</x:v>
      </x:c>
      <x:c r="P8" s="7" t="str">
        <x:v>Ajout original; cette tâche n’est pas attestée dans le comic.</x:v>
      </x:c>
      <x:c r="Q8" s="7" t="str"/>
      <x:c r="R8" s="32" t="str"/>
      <x:c r="S8" s="32" t="str"/>
    </x:row>
    <x:row r="9" ht="54" customHeight="1">
      <x:c r="A9" s="16" t="str">
        <x:v>INC-SC-REPORT-SIDE</x:v>
      </x:c>
      <x:c r="B9" s="9" t="str">
        <x:v>Relier le dossier à Redemption</x:v>
      </x:c>
      <x:c r="C9" s="14" t="str">
        <x:v>Défini</x:v>
      </x:c>
      <x:c r="D9" s="15" t="str">
        <x:v>Extrapolation</x:v>
      </x:c>
      <x:c r="E9" s="15" t="str">
        <x:v>P2</x:v>
      </x:c>
      <x:c r="F9" s="9" t="str">
        <x:v>Renvoi documentaire facultatif.</x:v>
      </x:c>
      <x:c r="G9" s="9" t="str">
        <x:v>Éviter de rejouer l’explication dans deux modules.</x:v>
      </x:c>
      <x:c r="H9" s="9" t="str">
        <x:v>Un lien de lecture rappelle seulement le contexte déjà établi.</x:v>
      </x:c>
      <x:c r="I9" s="9" t="str">
        <x:v>Espace d’Afterlife réduit à un décor de conclusion original.</x:v>
      </x:c>
      <x:c r="J9" s="9" t="str">
        <x:v>Inspection, interaction courte, confirmation; permettre de renoncer sans bloquer le chemin principal.</x:v>
      </x:c>
      <x:c r="K9" s="9" t="str">
        <x:v>Confirmation discrète; aucune réplique source réemployée.</x:v>
      </x:c>
      <x:c r="L9" s="9" t="str">
        <x:v>Objectif facultatif INC/REPORT/optional; récompense locale de contexte, pas de modification de la fin.</x:v>
      </x:c>
      <x:c r="M9" s="9" t="str">
        <x:v>Le résultat narratif du raid reste fixé; une tâche de gameplay ne réécrit pas le sort des captifs ni ne fait d’Aria la libératrice de toutes les colonies.</x:v>
      </x:c>
      <x:c r="N9" s="9" t="str">
        <x:v>Terminer, ignorer ou abandonner cette tâche laisse le récit principal accessible et conserve correctement l’état en sauvegarde.</x:v>
      </x:c>
      <x:c r="O9" s="9" t="str">
        <x:v>INC-SC-REPORT-MAIN</x:v>
      </x:c>
      <x:c r="P9" s="9" t="str">
        <x:v>Ajout original; cette tâche n’est pas attestée dans le comic.</x:v>
      </x:c>
      <x:c r="Q9" s="9" t="str"/>
      <x:c r="R9" s="17" t="str"/>
      <x:c r="S9" s="17" t="str"/>
    </x:row>
  </x:sheetData>
  <x:conditionalFormatting sqref="D7:D9">
    <x:cfRule type="cellIs" dxfId="40" priority="1" operator="equal">
      <x:formula>"À vérifier"</x:formula>
    </x:cfRule>
    <x:cfRule type="cellIs" dxfId="41" priority="2" operator="equal">
      <x:formula>"Extrapolation"</x:formula>
    </x:cfRule>
  </x:conditionalFormatting>
  <x:conditionalFormatting sqref="C7:C9">
    <x:cfRule type="cellIs" dxfId="42" priority="3" operator="equal">
      <x:formula>"Validé"</x:formula>
    </x:cfRule>
  </x:conditionalFormatting>
  <x:conditionalFormatting sqref="E7:E9">
    <x:cfRule type="cellIs" dxfId="43"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d0e8c59c1530437c"/>
  </x:tableParts>
</x:worksheet>
</file>

<file path=xl/worksheets/sheet1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Choix et relations</x:v>
      </x:c>
      <x:c r="B2" s="2"/>
      <x:c r="C2" s="2"/>
      <x:c r="D2" s="2"/>
      <x:c r="E2" s="2"/>
      <x:c r="F2" s="2"/>
      <x:c r="G2" s="2"/>
      <x:c r="H2" s="2"/>
      <x:c r="I2" s="2"/>
      <x:c r="J2" s="2"/>
      <x:c r="K2" s="2"/>
      <x:c r="L2" s="2"/>
      <x:c r="M2" s="2"/>
      <x:c r="N2" s="2"/>
      <x:c r="O2" s="2"/>
      <x:c r="P2" s="2"/>
      <x:c r="Q2" s="2"/>
      <x:c r="R2" s="2"/>
      <x:c r="S2" s="2"/>
    </x:row>
    <x:row r="3" ht="22" customHeight="1">
      <x:c r="A3" s="4" t="str">
        <x:v>Mass Effect: Incursion — Conséquences persistantes et relations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INC-SC-CHECK-CHOICE</x:v>
      </x:c>
      <x:c r="B7" s="9" t="str">
        <x:v>Examiner la perturbation — stratégie locale</x:v>
      </x:c>
      <x:c r="C7" s="14" t="str">
        <x:v>Défini</x:v>
      </x:c>
      <x:c r="D7" s="15" t="str">
        <x:v>Extrapolation</x:v>
      </x:c>
      <x:c r="E7" s="15" t="str">
        <x:v>P1</x:v>
      </x:c>
      <x:c r="F7" s="9" t="str">
        <x:v>Entrer par l’axe direct ou préparer un flanc.</x:v>
      </x:c>
      <x:c r="G7" s="9" t="str">
        <x:v>Choix de méthode dans une adaptation; aucun embranchement alternatif n’est déclaré officiel.</x:v>
      </x:c>
      <x:c r="H7" s="9" t="str">
        <x:v>L’axe direct conserve un soutien près d’Aria; le flanc ouvre une route latérale plus courte.</x:v>
      </x:c>
      <x:c r="I7" s="9" t="str">
        <x:v>Deux options nommées avec leur conséquence immédiate; coût affiché avant engagement.</x:v>
      </x:c>
      <x:c r="J7" s="9" t="str">
        <x:v>Geler les poses de dialogue pendant le choix; ne pas consommer une action en quittant le menu.</x:v>
      </x:c>
      <x:c r="K7" s="9" t="str">
        <x:v>Retour de sélection sobre; confirmation distincte d’une simple navigation.</x:v>
      </x:c>
      <x:c r="L7" s="9" t="str">
        <x:v>Décision locale INC/CHECK; stocker la méthode choisie et les conséquences temporaires, puis rejoindre le point de raccord.</x:v>
      </x:c>
      <x:c r="M7" s="9" t="str">
        <x:v>Le résultat narratif du raid reste fixé; une tâche de gameplay ne réécrit pas le sort des captifs ni ne fait d’Aria la libératrice de toutes les colonies.</x:v>
      </x:c>
      <x:c r="N7" s="9" t="str">
        <x:v>Les deux méthodes peuvent être comprises avant sélection; chacune rejoint le même ancrage canon sans supprimer un personnage nécessaire.</x:v>
      </x:c>
      <x:c r="O7" s="9" t="str">
        <x:v>INC-SC-CHECK-MAIN</x:v>
      </x:c>
      <x:c r="P7" s="9" t="str">
        <x:v>Bifurcation de gameplay originale, pas un choix présent dans l’œuvre.</x:v>
      </x:c>
      <x:c r="Q7" s="9" t="str"/>
      <x:c r="R7" s="17" t="str"/>
      <x:c r="S7" s="17" t="str"/>
    </x:row>
    <x:row r="8" ht="54" customHeight="1">
      <x:c r="A8" s="31" t="str">
        <x:v>INC-SC-RAID-CHOICE</x:v>
      </x:c>
      <x:c r="B8" s="7" t="str">
        <x:v>Interrompre la transaction — stratégie locale</x:v>
      </x:c>
      <x:c r="C8" s="14" t="str">
        <x:v>Défini</x:v>
      </x:c>
      <x:c r="D8" s="30" t="str">
        <x:v>Extrapolation</x:v>
      </x:c>
      <x:c r="E8" s="30" t="str">
        <x:v>P1</x:v>
      </x:c>
      <x:c r="F8" s="7" t="str">
        <x:v>Écarter la menace lourde ou supprimer l’appui des tireurs.</x:v>
      </x:c>
      <x:c r="G8" s="7" t="str">
        <x:v>Choix de méthode dans une adaptation; aucun embranchement alternatif n’est déclaré officiel.</x:v>
      </x:c>
      <x:c r="H8" s="7" t="str">
        <x:v>L’une ouvre de l’espace, l’autre réduit la pression; mêmes ancrages narratifs.</x:v>
      </x:c>
      <x:c r="I8" s="7" t="str">
        <x:v>Deux options nommées avec leur conséquence immédiate; coût affiché avant engagement.</x:v>
      </x:c>
      <x:c r="J8" s="7" t="str">
        <x:v>Geler les poses de dialogue pendant le choix; ne pas consommer une action en quittant le menu.</x:v>
      </x:c>
      <x:c r="K8" s="7" t="str">
        <x:v>Retour de sélection sobre; confirmation distincte d’une simple navigation.</x:v>
      </x:c>
      <x:c r="L8" s="7" t="str">
        <x:v>Décision locale INC/RAID; stocker la méthode choisie et les conséquences temporaires, puis rejoindre le point de raccord.</x:v>
      </x:c>
      <x:c r="M8" s="7" t="str">
        <x:v>Le résultat narratif du raid reste fixé; une tâche de gameplay ne réécrit pas le sort des captifs ni ne fait d’Aria la libératrice de toutes les colonies.</x:v>
      </x:c>
      <x:c r="N8" s="7" t="str">
        <x:v>Les deux méthodes peuvent être comprises avant sélection; chacune rejoint le même ancrage canon sans supprimer un personnage nécessaire.</x:v>
      </x:c>
      <x:c r="O8" s="7" t="str">
        <x:v>INC-SC-RAID-MAIN</x:v>
      </x:c>
      <x:c r="P8" s="7" t="str">
        <x:v>Bifurcation de gameplay originale, pas un choix présent dans l’œuvre.</x:v>
      </x:c>
      <x:c r="Q8" s="7" t="str"/>
      <x:c r="R8" s="32" t="str"/>
      <x:c r="S8" s="32" t="str"/>
    </x:row>
    <x:row r="9" ht="54" customHeight="1">
      <x:c r="A9" s="16" t="str">
        <x:v>INC-SC-REPORT-CHOICE</x:v>
      </x:c>
      <x:c r="B9" s="9" t="str">
        <x:v>Comprendre la cible humaine — stratégie locale</x:v>
      </x:c>
      <x:c r="C9" s="14" t="str">
        <x:v>Défini</x:v>
      </x:c>
      <x:c r="D9" s="15" t="str">
        <x:v>Extrapolation</x:v>
      </x:c>
      <x:c r="E9" s="15" t="str">
        <x:v>P1</x:v>
      </x:c>
      <x:c r="F9" s="9" t="str">
        <x:v>Examiner d’abord les colonies ou l’échelle générale.</x:v>
      </x:c>
      <x:c r="G9" s="9" t="str">
        <x:v>Choix de méthode dans une adaptation; aucun embranchement alternatif n’est déclaré officiel.</x:v>
      </x:c>
      <x:c r="H9" s="9" t="str">
        <x:v>Ordre de lecture uniquement; toutes les informations restent accessibles.</x:v>
      </x:c>
      <x:c r="I9" s="9" t="str">
        <x:v>Deux options nommées avec leur conséquence immédiate; coût affiché avant engagement.</x:v>
      </x:c>
      <x:c r="J9" s="9" t="str">
        <x:v>Geler les poses de dialogue pendant le choix; ne pas consommer une action en quittant le menu.</x:v>
      </x:c>
      <x:c r="K9" s="9" t="str">
        <x:v>Retour de sélection sobre; confirmation distincte d’une simple navigation.</x:v>
      </x:c>
      <x:c r="L9" s="9" t="str">
        <x:v>Décision locale INC/REPORT; stocker la méthode choisie et les conséquences temporaires, puis rejoindre le point de raccord.</x:v>
      </x:c>
      <x:c r="M9" s="9" t="str">
        <x:v>Le résultat narratif du raid reste fixé; une tâche de gameplay ne réécrit pas le sort des captifs ni ne fait d’Aria la libératrice de toutes les colonies.</x:v>
      </x:c>
      <x:c r="N9" s="9" t="str">
        <x:v>Les deux méthodes peuvent être comprises avant sélection; chacune rejoint le même ancrage canon sans supprimer un personnage nécessaire.</x:v>
      </x:c>
      <x:c r="O9" s="9" t="str">
        <x:v>INC-SC-REPORT-MAIN</x:v>
      </x:c>
      <x:c r="P9" s="9" t="str">
        <x:v>Bifurcation de gameplay originale, pas un choix présent dans l’œuvre.</x:v>
      </x:c>
      <x:c r="Q9" s="9" t="str"/>
      <x:c r="R9" s="17" t="str"/>
      <x:c r="S9" s="17" t="str"/>
    </x:row>
  </x:sheetData>
  <x:conditionalFormatting sqref="D7:D9">
    <x:cfRule type="cellIs" dxfId="44" priority="1" operator="equal">
      <x:formula>"À vérifier"</x:formula>
    </x:cfRule>
    <x:cfRule type="cellIs" dxfId="45" priority="2" operator="equal">
      <x:formula>"Extrapolation"</x:formula>
    </x:cfRule>
  </x:conditionalFormatting>
  <x:conditionalFormatting sqref="C7:C9">
    <x:cfRule type="cellIs" dxfId="46" priority="3" operator="equal">
      <x:formula>"Validé"</x:formula>
    </x:cfRule>
  </x:conditionalFormatting>
  <x:conditionalFormatting sqref="E7:E9">
    <x:cfRule type="cellIs" dxfId="47"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9a18d1ed051b4473"/>
  </x:tableParts>
</x:worksheet>
</file>

<file path=xl/worksheets/sheet1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Dialogues</x:v>
      </x:c>
      <x:c r="B2" s="2"/>
      <x:c r="C2" s="2"/>
      <x:c r="D2" s="2"/>
      <x:c r="E2" s="2"/>
      <x:c r="F2" s="2"/>
      <x:c r="G2" s="2"/>
      <x:c r="H2" s="2"/>
      <x:c r="I2" s="2"/>
      <x:c r="J2" s="2"/>
      <x:c r="K2" s="2"/>
      <x:c r="L2" s="2"/>
      <x:c r="M2" s="2"/>
      <x:c r="N2" s="2"/>
      <x:c r="O2" s="2"/>
      <x:c r="P2" s="2"/>
      <x:c r="Q2" s="2"/>
      <x:c r="R2" s="2"/>
      <x:c r="S2" s="2"/>
    </x:row>
    <x:row r="3" ht="22" customHeight="1">
      <x:c r="A3" s="4" t="str">
        <x:v>Mass Effect: Incursion — Situations de dialogue et conditions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INC-SC-CHECK-DIA</x:v>
      </x:c>
      <x:c r="B7" s="9" t="str">
        <x:v>Examiner la perturbation — intentions de conversation</x:v>
      </x:c>
      <x:c r="C7" s="14" t="str">
        <x:v>Défini</x:v>
      </x:c>
      <x:c r="D7" s="15" t="str">
        <x:v>Extrapolation</x:v>
      </x:c>
      <x:c r="E7" s="15" t="str">
        <x:v>P1</x:v>
      </x:c>
      <x:c r="F7" s="9" t="str">
        <x:v>Aria insiste pour évaluer elle-même la situation; les gardes expriment des hypothèses attribuées comme telles.</x:v>
      </x:c>
      <x:c r="G7" s="9" t="str">
        <x:v>Préserver le thème « contrôle du territoire »; échanges nouveaux, sans recopier les bulles.</x:v>
      </x:c>
      <x:c r="H7" s="9" t="str">
        <x:v>Proposer questions de contexte, reformulation et fin de conversation; les informations nécessaires restent accessibles après une réponse sceptique.</x:v>
      </x:c>
      <x:c r="I7" s="9" t="str">
        <x:v>Portraits sobres avec locuteur et destinataire; encart distinct si l’information est un soupçon.</x:v>
      </x:c>
      <x:c r="J7" s="9" t="str">
        <x:v>Entrée prudente, geste d'inspection et retour au contrôle pour « Examiner la perturbation »; poser les sprites avant tout changement de caméra.</x:v>
      </x:c>
      <x:c r="K7" s="9" t="str">
        <x:v>Dialogue original à écrire; texte intégral accessible, avance manuelle et rappel des locuteurs.</x:v>
      </x:c>
      <x:c r="L7" s="9" t="str">
        <x:v>Arbre proposé INC/CHECK/dialogue; séparer ce qui est su, ce qui est affirmé et ce qui reste caché au joueur.</x:v>
      </x:c>
      <x:c r="M7" s="9" t="str">
        <x:v>Le résultat narratif du raid reste fixé; une tâche de gameplay ne réécrit pas le sort des captifs ni ne fait d’Aria la libératrice de toutes les colonies.</x:v>
      </x:c>
      <x:c r="N7" s="9" t="str">
        <x:v>Le lecteur peut identifier le locuteur, son but et le niveau de certitude; aucune phrase du comic n’est reproduite comme dialogue final.</x:v>
      </x:c>
      <x:c r="O7" s="9" t="str">
        <x:v>INC-SC-CHECK-MAIN</x:v>
      </x:c>
      <x:c r="P7" s="9" t="str">
        <x:v>Écriture originale à partir des thèmes, sans transcrire les bulles.</x:v>
      </x:c>
      <x:c r="Q7" s="9" t="str"/>
      <x:c r="R7" s="17" t="str"/>
      <x:c r="S7" s="17" t="str"/>
    </x:row>
    <x:row r="8" ht="54" customHeight="1">
      <x:c r="A8" s="31" t="str">
        <x:v>INC-SC-RAID-DIA</x:v>
      </x:c>
      <x:c r="B8" s="7" t="str">
        <x:v>Interrompre la transaction — intentions de conversation</x:v>
      </x:c>
      <x:c r="C8" s="14" t="str">
        <x:v>Défini</x:v>
      </x:c>
      <x:c r="D8" s="30" t="str">
        <x:v>Extrapolation</x:v>
      </x:c>
      <x:c r="E8" s="30" t="str">
        <x:v>P1</x:v>
      </x:c>
      <x:c r="F8" s="7" t="str">
        <x:v>Instructions tactiques originales courtes; pas de discours des captifs inventé comme contenu publié.</x:v>
      </x:c>
      <x:c r="G8" s="7" t="str">
        <x:v>Préserver le thème « violence et contrôle »; échanges nouveaux, sans recopier les bulles.</x:v>
      </x:c>
      <x:c r="H8" s="7" t="str">
        <x:v>Proposer questions de contexte, reformulation et fin de conversation; les informations nécessaires restent accessibles après une réponse sceptique.</x:v>
      </x:c>
      <x:c r="I8" s="7" t="str">
        <x:v>Portraits sobres avec locuteur et destinataire; encart distinct si l’information est un soupçon.</x:v>
      </x:c>
      <x:c r="J8" s="7" t="str">
        <x:v>Entrée prudente, geste d'inspection et retour au contrôle pour « Interrompre la transaction »; poser les sprites avant tout changement de caméra.</x:v>
      </x:c>
      <x:c r="K8" s="7" t="str">
        <x:v>Dialogue original à écrire; texte intégral accessible, avance manuelle et rappel des locuteurs.</x:v>
      </x:c>
      <x:c r="L8" s="7" t="str">
        <x:v>Arbre proposé INC/RAID/dialogue; séparer ce qui est su, ce qui est affirmé et ce qui reste caché au joueur.</x:v>
      </x:c>
      <x:c r="M8" s="7" t="str">
        <x:v>Le résultat narratif du raid reste fixé; une tâche de gameplay ne réécrit pas le sort des captifs ni ne fait d’Aria la libératrice de toutes les colonies.</x:v>
      </x:c>
      <x:c r="N8" s="7" t="str">
        <x:v>Le lecteur peut identifier le locuteur, son but et le niveau de certitude; aucune phrase du comic n’est reproduite comme dialogue final.</x:v>
      </x:c>
      <x:c r="O8" s="7" t="str">
        <x:v>INC-SC-RAID-MAIN</x:v>
      </x:c>
      <x:c r="P8" s="7" t="str">
        <x:v>Écriture originale à partir des thèmes, sans transcrire les bulles.</x:v>
      </x:c>
      <x:c r="Q8" s="7" t="str"/>
      <x:c r="R8" s="32" t="str"/>
      <x:c r="S8" s="32" t="str"/>
    </x:row>
    <x:row r="9" ht="54" customHeight="1">
      <x:c r="A9" s="16" t="str">
        <x:v>INC-SC-REPORT-DIA</x:v>
      </x:c>
      <x:c r="B9" s="9" t="str">
        <x:v>Comprendre la cible humaine — intentions de conversation</x:v>
      </x:c>
      <x:c r="C9" s="14" t="str">
        <x:v>Défini</x:v>
      </x:c>
      <x:c r="D9" s="15" t="str">
        <x:v>Extrapolation</x:v>
      </x:c>
      <x:c r="E9" s="15" t="str">
        <x:v>P1</x:v>
      </x:c>
      <x:c r="F9" s="9" t="str">
        <x:v>Aria évalue une menace plus large; ne pas lui donner les révélations tardives de ME2.</x:v>
      </x:c>
      <x:c r="G9" s="9" t="str">
        <x:v>Préserver le thème « menace au-delà d’Omega »; échanges nouveaux, sans recopier les bulles.</x:v>
      </x:c>
      <x:c r="H9" s="9" t="str">
        <x:v>Proposer questions de contexte, reformulation et fin de conversation; les informations nécessaires restent accessibles après une réponse sceptique.</x:v>
      </x:c>
      <x:c r="I9" s="9" t="str">
        <x:v>Portraits sobres avec locuteur et destinataire; encart distinct si l’information est un soupçon.</x:v>
      </x:c>
      <x:c r="J9" s="9" t="str">
        <x:v>Entrée prudente, geste d'inspection et retour au contrôle pour « Comprendre la cible humaine »; poser les sprites avant tout changement de caméra.</x:v>
      </x:c>
      <x:c r="K9" s="9" t="str">
        <x:v>Dialogue original à écrire; texte intégral accessible, avance manuelle et rappel des locuteurs.</x:v>
      </x:c>
      <x:c r="L9" s="9" t="str">
        <x:v>Arbre proposé INC/REPORT/dialogue; séparer ce qui est su, ce qui est affirmé et ce qui reste caché au joueur.</x:v>
      </x:c>
      <x:c r="M9" s="9" t="str">
        <x:v>Le résultat narratif du raid reste fixé; une tâche de gameplay ne réécrit pas le sort des captifs ni ne fait d’Aria la libératrice de toutes les colonies.</x:v>
      </x:c>
      <x:c r="N9" s="9" t="str">
        <x:v>Le lecteur peut identifier le locuteur, son but et le niveau de certitude; aucune phrase du comic n’est reproduite comme dialogue final.</x:v>
      </x:c>
      <x:c r="O9" s="9" t="str">
        <x:v>INC-SC-REPORT-MAIN</x:v>
      </x:c>
      <x:c r="P9" s="9" t="str">
        <x:v>Écriture originale à partir des thèmes, sans transcrire les bulles.</x:v>
      </x:c>
      <x:c r="Q9" s="9" t="str"/>
      <x:c r="R9" s="17" t="str"/>
      <x:c r="S9" s="17" t="str"/>
    </x:row>
  </x:sheetData>
  <x:conditionalFormatting sqref="D7:D9">
    <x:cfRule type="cellIs" dxfId="48" priority="1" operator="equal">
      <x:formula>"À vérifier"</x:formula>
    </x:cfRule>
    <x:cfRule type="cellIs" dxfId="49" priority="2" operator="equal">
      <x:formula>"Extrapolation"</x:formula>
    </x:cfRule>
  </x:conditionalFormatting>
  <x:conditionalFormatting sqref="C7:C9">
    <x:cfRule type="cellIs" dxfId="50" priority="3" operator="equal">
      <x:formula>"Validé"</x:formula>
    </x:cfRule>
  </x:conditionalFormatting>
  <x:conditionalFormatting sqref="E7:E9">
    <x:cfRule type="cellIs" dxfId="51"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bde62d1654074fff"/>
  </x:tableParts>
</x:worksheet>
</file>

<file path=xl/worksheets/sheet1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Cinématiques</x:v>
      </x:c>
      <x:c r="B2" s="2"/>
      <x:c r="C2" s="2"/>
      <x:c r="D2" s="2"/>
      <x:c r="E2" s="2"/>
      <x:c r="F2" s="2"/>
      <x:c r="G2" s="2"/>
      <x:c r="H2" s="2"/>
      <x:c r="I2" s="2"/>
      <x:c r="J2" s="2"/>
      <x:c r="K2" s="2"/>
      <x:c r="L2" s="2"/>
      <x:c r="M2" s="2"/>
      <x:c r="N2" s="2"/>
      <x:c r="O2" s="2"/>
      <x:c r="P2" s="2"/>
      <x:c r="Q2" s="2"/>
      <x:c r="R2" s="2"/>
      <x:c r="S2" s="2"/>
    </x:row>
    <x:row r="3" ht="22" customHeight="1">
      <x:c r="A3" s="4" t="str">
        <x:v>Mass Effect: Incursion — Séquences et mise en scène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INC-SC-CHECK-CINE</x:v>
      </x:c>
      <x:c r="B7" s="9" t="str">
        <x:v>Examiner la perturbation — raccord mis en scène</x:v>
      </x:c>
      <x:c r="C7" s="14" t="str">
        <x:v>Défini</x:v>
      </x:c>
      <x:c r="D7" s="15" t="str">
        <x:v>Extrapolation</x:v>
      </x:c>
      <x:c r="E7" s="15" t="str">
        <x:v>P1</x:v>
      </x:c>
      <x:c r="F7" s="9" t="str">
        <x:v>Vue par-dessus le seuil puis recul pour montrer les deux routes proposées.</x:v>
      </x:c>
      <x:c r="G7" s="9" t="str">
        <x:v>Arrivée → observation de rôles → choix d’approche → accès.</x:v>
      </x:c>
      <x:c r="H7" s="9" t="str"/>
      <x:c r="I7" s="9" t="str">
        <x:v>Poutre de premier plan et aire de transaction dégagée.</x:v>
      </x:c>
      <x:c r="J7" s="9" t="str">
        <x:v>Entrée prudente, geste d'inspection et retour au contrôle pour « Examiner la perturbation »; poser les sprites avant tout changement de caméra.</x:v>
      </x:c>
      <x:c r="K7" s="9" t="str">
        <x:v>Activité industrielle interrompue par bruits inhabituels.</x:v>
      </x:c>
      <x:c r="L7" s="9" t="str">
        <x:v>Séquence proposée INC/CHECK/cinematic; mise à jour des états avant restitution du contrôle; bouton passer et relecture séparés.</x:v>
      </x:c>
      <x:c r="M7" s="9" t="str">
        <x:v>Le résultat narratif du raid reste fixé; une tâche de gameplay ne réécrit pas le sort des captifs ni ne fait d’Aria la libératrice de toutes les colonies.</x:v>
      </x:c>
      <x:c r="N7" s="9" t="str">
        <x:v>La version passée et la version regardée aboutissent au même placement, inventaire et objectif; les sous-titres ne sont pas coupés.</x:v>
      </x:c>
      <x:c r="O7" s="9" t="str">
        <x:v>INC-SC-CHECK-MAIN</x:v>
      </x:c>
      <x:c r="P7" s="9" t="str">
        <x:v>Découpage original pour sprites 2D sur décor 3D.</x:v>
      </x:c>
      <x:c r="Q7" s="9" t="str"/>
      <x:c r="R7" s="17" t="str"/>
      <x:c r="S7" s="17" t="str"/>
    </x:row>
    <x:row r="8" ht="54" customHeight="1">
      <x:c r="A8" s="31" t="str">
        <x:v>INC-SC-RAID-CINE</x:v>
      </x:c>
      <x:c r="B8" s="7" t="str">
        <x:v>Interrompre la transaction — raccord mis en scène</x:v>
      </x:c>
      <x:c r="C8" s="14" t="str">
        <x:v>Défini</x:v>
      </x:c>
      <x:c r="D8" s="30" t="str">
        <x:v>Extrapolation</x:v>
      </x:c>
      <x:c r="E8" s="30" t="str">
        <x:v>P1</x:v>
      </x:c>
      <x:c r="F8" s="7" t="str">
        <x:v>Garder la menace lourde entière dans le cadre et les accès visibles.</x:v>
      </x:c>
      <x:c r="G8" s="7" t="str">
        <x:v>Révélation → engagement → déplacement de menace lourde → fin du raid.</x:v>
      </x:c>
      <x:c r="H8" s="7" t="str"/>
      <x:c r="I8" s="7" t="str">
        <x:v>Caisses basses, grand volume central et contrastes d’espèces.</x:v>
      </x:c>
      <x:c r="J8" s="7" t="str">
        <x:v>Entrée prudente, geste d'inspection et retour au contrôle pour « Interrompre la transaction »; poser les sprites avant tout changement de caméra.</x:v>
      </x:c>
      <x:c r="K8" s="7" t="str">
        <x:v>Armes distinctes par timbre, sans reproduction des sons commerciaux.</x:v>
      </x:c>
      <x:c r="L8" s="7" t="str">
        <x:v>Séquence proposée INC/RAID/cinematic; mise à jour des états avant restitution du contrôle; bouton passer et relecture séparés.</x:v>
      </x:c>
      <x:c r="M8" s="7" t="str">
        <x:v>Le résultat narratif du raid reste fixé; une tâche de gameplay ne réécrit pas le sort des captifs ni ne fait d’Aria la libératrice de toutes les colonies.</x:v>
      </x:c>
      <x:c r="N8" s="7" t="str">
        <x:v>La version passée et la version regardée aboutissent au même placement, inventaire et objectif; les sous-titres ne sont pas coupés.</x:v>
      </x:c>
      <x:c r="O8" s="7" t="str">
        <x:v>INC-SC-RAID-MAIN</x:v>
      </x:c>
      <x:c r="P8" s="7" t="str">
        <x:v>Découpage original pour sprites 2D sur décor 3D.</x:v>
      </x:c>
      <x:c r="Q8" s="7" t="str"/>
      <x:c r="R8" s="32" t="str"/>
      <x:c r="S8" s="32" t="str"/>
    </x:row>
    <x:row r="9" ht="54" customHeight="1">
      <x:c r="A9" s="16" t="str">
        <x:v>INC-SC-REPORT-CINE</x:v>
      </x:c>
      <x:c r="B9" s="9" t="str">
        <x:v>Comprendre la cible humaine — raccord mis en scène</x:v>
      </x:c>
      <x:c r="C9" s="14" t="str">
        <x:v>Défini</x:v>
      </x:c>
      <x:c r="D9" s="15" t="str">
        <x:v>Extrapolation</x:v>
      </x:c>
      <x:c r="E9" s="15" t="str">
        <x:v>P1</x:v>
      </x:c>
      <x:c r="F9" s="9" t="str">
        <x:v>Plan rapproché du document puis silhouette d’Aria en retrait.</x:v>
      </x:c>
      <x:c r="G9" s="9" t="str">
        <x:v>Retour → lecture → constat de portée → fin.</x:v>
      </x:c>
      <x:c r="H9" s="9" t="str"/>
      <x:c r="I9" s="9" t="str">
        <x:v>Espace d’Afterlife réduit à un décor de conclusion original.</x:v>
      </x:c>
      <x:c r="J9" s="9" t="str">
        <x:v>Entrée prudente, geste d'inspection et retour au contrôle pour « Comprendre la cible humaine »; poser les sprites avant tout changement de caméra.</x:v>
      </x:c>
      <x:c r="K9" s="9" t="str">
        <x:v>Fond de club très filtré et note grave ouverte.</x:v>
      </x:c>
      <x:c r="L9" s="9" t="str">
        <x:v>Séquence proposée INC/REPORT/cinematic; mise à jour des états avant restitution du contrôle; bouton passer et relecture séparés.</x:v>
      </x:c>
      <x:c r="M9" s="9" t="str">
        <x:v>Le résultat narratif du raid reste fixé; une tâche de gameplay ne réécrit pas le sort des captifs ni ne fait d’Aria la libératrice de toutes les colonies.</x:v>
      </x:c>
      <x:c r="N9" s="9" t="str">
        <x:v>La version passée et la version regardée aboutissent au même placement, inventaire et objectif; les sous-titres ne sont pas coupés.</x:v>
      </x:c>
      <x:c r="O9" s="9" t="str">
        <x:v>INC-SC-REPORT-MAIN</x:v>
      </x:c>
      <x:c r="P9" s="9" t="str">
        <x:v>Découpage original pour sprites 2D sur décor 3D.</x:v>
      </x:c>
      <x:c r="Q9" s="9" t="str"/>
      <x:c r="R9" s="17" t="str"/>
      <x:c r="S9" s="17" t="str"/>
    </x:row>
  </x:sheetData>
  <x:conditionalFormatting sqref="D7:D9">
    <x:cfRule type="cellIs" dxfId="52" priority="1" operator="equal">
      <x:formula>"À vérifier"</x:formula>
    </x:cfRule>
    <x:cfRule type="cellIs" dxfId="53" priority="2" operator="equal">
      <x:formula>"Extrapolation"</x:formula>
    </x:cfRule>
  </x:conditionalFormatting>
  <x:conditionalFormatting sqref="C7:C9">
    <x:cfRule type="cellIs" dxfId="54" priority="3" operator="equal">
      <x:formula>"Validé"</x:formula>
    </x:cfRule>
  </x:conditionalFormatting>
  <x:conditionalFormatting sqref="E7:E9">
    <x:cfRule type="cellIs" dxfId="55"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c4df1f16f32d4ea5"/>
  </x:tableParts>
</x:worksheet>
</file>

<file path=xl/worksheets/sheet1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Armes</x:v>
      </x:c>
      <x:c r="B2" s="2"/>
      <x:c r="C2" s="2"/>
      <x:c r="D2" s="2"/>
      <x:c r="E2" s="2"/>
      <x:c r="F2" s="2"/>
      <x:c r="G2" s="2"/>
      <x:c r="H2" s="2"/>
      <x:c r="I2" s="2"/>
      <x:c r="J2" s="2"/>
      <x:c r="K2" s="2"/>
      <x:c r="L2" s="2"/>
      <x:c r="M2" s="2"/>
      <x:c r="N2" s="2"/>
      <x:c r="O2" s="2"/>
      <x:c r="P2" s="2"/>
      <x:c r="Q2" s="2"/>
      <x:c r="R2" s="2"/>
      <x:c r="S2" s="2"/>
    </x:row>
    <x:row r="3" ht="22" customHeight="1">
      <x:c r="A3" s="4" t="str">
        <x:v>Mass Effect: Incursion — Familles, modèles et comportements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INC-KIT-GUARD</x:v>
      </x:c>
      <x:c r="B7" s="9" t="str">
        <x:v>Arme de garde — profil proposé</x:v>
      </x:c>
      <x:c r="C7" s="14" t="str">
        <x:v>Défini</x:v>
      </x:c>
      <x:c r="D7" s="15" t="str">
        <x:v>Extrapolation</x:v>
      </x:c>
      <x:c r="E7" s="15" t="str">
        <x:v>P1</x:v>
      </x:c>
      <x:c r="F7" s="9" t="str">
        <x:v>Profil de soutien à choisir sur référence.</x:v>
      </x:c>
      <x:c r="G7" s="9" t="str">
        <x:v>Offrir un tir d’appui distinct d’Aria.</x:v>
      </x:c>
      <x:c r="H7" s="9" t="str">
        <x:v>Coût ATB annoncé et portée limitée.</x:v>
      </x:c>
      <x:c r="I7" s="9" t="str">
        <x:v>Arme compacte, recul court.</x:v>
      </x:c>
      <x:c r="J7" s="9" t="str">
        <x:v>Visée et retour en garde.</x:v>
      </x:c>
      <x:c r="K7" s="9" t="str">
        <x:v>Confirmation audiovisuelle originale, doublée d’un libellé.</x:v>
      </x:c>
      <x:c r="L7" s="9" t="str">
        <x:v>Spécification de ressource INC/kit/GUARD; données séparées du moteur, interface de coût et états d'épuisement prévus.</x:v>
      </x:c>
      <x:c r="M7" s="9" t="str">
        <x:v>Le résultat narratif du raid reste fixé; une tâche de gameplay ne réécrit pas le sort des captifs ni ne fait d’Aria la libératrice de toutes les colonies.</x:v>
      </x:c>
      <x:c r="N7" s="9" t="str">
        <x:v>Ne vise pas automatiquement un figurant neutre.</x:v>
      </x:c>
      <x:c r="O7" s="9" t="str"/>
      <x:c r="P7" s="9" t="str">
        <x:v>Création de gameplay et direction visuelle originales; modèle exact à vérifier si une arme source est évoquée.</x:v>
      </x:c>
      <x:c r="Q7" s="9" t="str"/>
      <x:c r="R7" s="17" t="str"/>
      <x:c r="S7" s="17" t="str"/>
    </x:row>
  </x:sheetData>
  <x:conditionalFormatting sqref="D7:D7">
    <x:cfRule type="cellIs" dxfId="56" priority="1" operator="equal">
      <x:formula>"À vérifier"</x:formula>
    </x:cfRule>
    <x:cfRule type="cellIs" dxfId="57" priority="2" operator="equal">
      <x:formula>"Extrapolation"</x:formula>
    </x:cfRule>
  </x:conditionalFormatting>
  <x:conditionalFormatting sqref="C7:C7">
    <x:cfRule type="cellIs" dxfId="58" priority="3" operator="equal">
      <x:formula>"Validé"</x:formula>
    </x:cfRule>
  </x:conditionalFormatting>
  <x:conditionalFormatting sqref="E7:E7">
    <x:cfRule type="cellIs" dxfId="59"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30bc47a819d3468f"/>
  </x:tableParts>
</x:worksheet>
</file>

<file path=xl/worksheets/sheet1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Armures et équipement</x:v>
      </x:c>
      <x:c r="B2" s="2"/>
      <x:c r="C2" s="2"/>
      <x:c r="D2" s="2"/>
      <x:c r="E2" s="2"/>
      <x:c r="F2" s="2"/>
      <x:c r="G2" s="2"/>
      <x:c r="H2" s="2"/>
      <x:c r="I2" s="2"/>
      <x:c r="J2" s="2"/>
      <x:c r="K2" s="2"/>
      <x:c r="L2" s="2"/>
      <x:c r="M2" s="2"/>
      <x:c r="N2" s="2"/>
      <x:c r="O2" s="2"/>
      <x:c r="P2" s="2"/>
      <x:c r="Q2" s="2"/>
      <x:c r="R2" s="2"/>
      <x:c r="S2" s="2"/>
    </x:row>
    <x:row r="3" ht="22" customHeight="1">
      <x:c r="A3" s="4" t="str">
        <x:v>Mass Effect: Incursion — Protections, modules et consommables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INC-KIT-DATA</x:v>
      </x:c>
      <x:c r="B7" s="9" t="str">
        <x:v>Porte-document d’opération</x:v>
      </x:c>
      <x:c r="C7" s="14" t="str">
        <x:v>Défini</x:v>
      </x:c>
      <x:c r="D7" s="15" t="str">
        <x:v>Extrapolation</x:v>
      </x:c>
      <x:c r="E7" s="15" t="str">
        <x:v>P1</x:v>
      </x:c>
      <x:c r="F7" s="9" t="str">
        <x:v>Objet de journal original.</x:v>
      </x:c>
      <x:c r="G7" s="9" t="str">
        <x:v>Conserver les observations du raid.</x:v>
      </x:c>
      <x:c r="H7" s="9" t="str">
        <x:v>Données consultables après la fin; non vendables.</x:v>
      </x:c>
      <x:c r="I7" s="9" t="str">
        <x:v>Icône de dossier et origine attribuée.</x:v>
      </x:c>
      <x:c r="J7" s="9" t="str">
        <x:v>Inspection simple.</x:v>
      </x:c>
      <x:c r="K7" s="9" t="str">
        <x:v>Confirmation audiovisuelle originale, doublée d’un libellé.</x:v>
      </x:c>
      <x:c r="L7" s="9" t="str">
        <x:v>Spécification de ressource INC/kit/DATA; données séparées du moteur, interface de coût et états d'épuisement prévus.</x:v>
      </x:c>
      <x:c r="M7" s="9" t="str">
        <x:v>Le résultat narratif du raid reste fixé; une tâche de gameplay ne réécrit pas le sort des captifs ni ne fait d’Aria la libératrice de toutes les colonies.</x:v>
      </x:c>
      <x:c r="N7" s="9" t="str">
        <x:v>Le dossier ne devient pas une carte de nouvelles quêtes.</x:v>
      </x:c>
      <x:c r="O7" s="9" t="str"/>
      <x:c r="P7" s="9" t="str">
        <x:v>Création de gameplay et direction visuelle originales; modèle exact à vérifier si une arme source est évoquée.</x:v>
      </x:c>
      <x:c r="Q7" s="9" t="str"/>
      <x:c r="R7" s="17" t="str"/>
      <x:c r="S7" s="17" t="str"/>
    </x:row>
  </x:sheetData>
  <x:conditionalFormatting sqref="D7:D7">
    <x:cfRule type="cellIs" dxfId="60" priority="1" operator="equal">
      <x:formula>"À vérifier"</x:formula>
    </x:cfRule>
    <x:cfRule type="cellIs" dxfId="61" priority="2" operator="equal">
      <x:formula>"Extrapolation"</x:formula>
    </x:cfRule>
  </x:conditionalFormatting>
  <x:conditionalFormatting sqref="C7:C7">
    <x:cfRule type="cellIs" dxfId="62" priority="3" operator="equal">
      <x:formula>"Validé"</x:formula>
    </x:cfRule>
  </x:conditionalFormatting>
  <x:conditionalFormatting sqref="E7:E7">
    <x:cfRule type="cellIs" dxfId="63"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2394dbe70589433d"/>
  </x:tableParts>
</x:worksheet>
</file>

<file path=xl/worksheets/sheet18.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Pouvoirs</x:v>
      </x:c>
      <x:c r="B2" s="2"/>
      <x:c r="C2" s="2"/>
      <x:c r="D2" s="2"/>
      <x:c r="E2" s="2"/>
      <x:c r="F2" s="2"/>
      <x:c r="G2" s="2"/>
      <x:c r="H2" s="2"/>
      <x:c r="I2" s="2"/>
      <x:c r="J2" s="2"/>
      <x:c r="K2" s="2"/>
      <x:c r="L2" s="2"/>
      <x:c r="M2" s="2"/>
      <x:c r="N2" s="2"/>
      <x:c r="O2" s="2"/>
      <x:c r="P2" s="2"/>
      <x:c r="Q2" s="2"/>
      <x:c r="R2" s="2"/>
      <x:c r="S2" s="2"/>
    </x:row>
    <x:row r="3" ht="22" customHeight="1">
      <x:c r="A3" s="4" t="str">
        <x:v>Mass Effect: Incursion — Capacités canoniques et traduction ATB</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INC-KIT-PUSH</x:v>
      </x:c>
      <x:c r="B7" s="9" t="str">
        <x:v>Projection d’Aria — proposition</x:v>
      </x:c>
      <x:c r="C7" s="14" t="str">
        <x:v>Défini</x:v>
      </x:c>
      <x:c r="D7" s="15" t="str">
        <x:v>Extrapolation</x:v>
      </x:c>
      <x:c r="E7" s="15" t="str">
        <x:v>P1</x:v>
      </x:c>
      <x:c r="F7" s="9" t="str">
        <x:v>Action de contrôle de terrain originale.</x:v>
      </x:c>
      <x:c r="G7" s="9" t="str">
        <x:v>Créer un passage dans une rencontre dense.</x:v>
      </x:c>
      <x:c r="H7" s="9" t="str">
        <x:v>Cibles compatibles seulement; la menace lourde résiste selon un profil de prototype explicite.</x:v>
      </x:c>
      <x:c r="I7" s="9" t="str">
        <x:v>Flèche et contour violet.</x:v>
      </x:c>
      <x:c r="J7" s="9" t="str">
        <x:v>Appui du pied et geste large.</x:v>
      </x:c>
      <x:c r="K7" s="9" t="str">
        <x:v>Confirmation audiovisuelle originale, doublée d’un libellé.</x:v>
      </x:c>
      <x:c r="L7" s="9" t="str">
        <x:v>Spécification de ressource INC/kit/PUSH; données séparées du moteur, interface de coût et états d'épuisement prévus.</x:v>
      </x:c>
      <x:c r="M7" s="9" t="str">
        <x:v>Le résultat narratif du raid reste fixé; une tâche de gameplay ne réécrit pas le sort des captifs ni ne fait d’Aria la libératrice de toutes les colonies.</x:v>
      </x:c>
      <x:c r="N7" s="9" t="str">
        <x:v>La prévision montre exactement le déplacement possible.</x:v>
      </x:c>
      <x:c r="O7" s="9" t="str"/>
      <x:c r="P7" s="9" t="str">
        <x:v>Création de gameplay et direction visuelle originales; modèle exact à vérifier si une arme source est évoquée.</x:v>
      </x:c>
      <x:c r="Q7" s="9" t="str"/>
      <x:c r="R7" s="17" t="str"/>
      <x:c r="S7" s="17" t="str"/>
    </x:row>
  </x:sheetData>
  <x:conditionalFormatting sqref="D7:D7">
    <x:cfRule type="cellIs" dxfId="64" priority="1" operator="equal">
      <x:formula>"À vérifier"</x:formula>
    </x:cfRule>
    <x:cfRule type="cellIs" dxfId="65" priority="2" operator="equal">
      <x:formula>"Extrapolation"</x:formula>
    </x:cfRule>
  </x:conditionalFormatting>
  <x:conditionalFormatting sqref="C7:C7">
    <x:cfRule type="cellIs" dxfId="66" priority="3" operator="equal">
      <x:formula>"Validé"</x:formula>
    </x:cfRule>
  </x:conditionalFormatting>
  <x:conditionalFormatting sqref="E7:E7">
    <x:cfRule type="cellIs" dxfId="67"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7f83bcf881a447bc"/>
  </x:tableParts>
</x:worksheet>
</file>

<file path=xl/worksheets/sheet19.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alliés</x:v>
      </x:c>
      <x:c r="B2" s="2"/>
      <x:c r="C2" s="2"/>
      <x:c r="D2" s="2"/>
      <x:c r="E2" s="2"/>
      <x:c r="F2" s="2"/>
      <x:c r="G2" s="2"/>
      <x:c r="H2" s="2"/>
      <x:c r="I2" s="2"/>
      <x:c r="J2" s="2"/>
      <x:c r="K2" s="2"/>
      <x:c r="L2" s="2"/>
      <x:c r="M2" s="2"/>
      <x:c r="N2" s="2"/>
      <x:c r="O2" s="2"/>
      <x:c r="P2" s="2"/>
      <x:c r="Q2" s="2"/>
      <x:c r="R2" s="2"/>
      <x:c r="S2" s="2"/>
    </x:row>
    <x:row r="3" ht="22" customHeight="1">
      <x:c r="A3" s="4" t="str">
        <x:v>Mass Effect: Incursion — Actions et contraintes par équipier</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INC-ALLY-ARIA</x:v>
      </x:c>
      <x:c r="B7" s="9" t="str">
        <x:v>Percée de terrain</x:v>
      </x:c>
      <x:c r="C7" s="14" t="str">
        <x:v>Défini</x:v>
      </x:c>
      <x:c r="D7" s="15" t="str">
        <x:v>Extrapolation</x:v>
      </x:c>
      <x:c r="E7" s="15" t="str">
        <x:v>P1</x:v>
      </x:c>
      <x:c r="F7" s="9" t="str">
        <x:v>Action de groupe originale pour Aria T’Loak.</x:v>
      </x:c>
      <x:c r="G7" s="9" t="str">
        <x:v>Point de vue principal; reconnaissance et contrôle d’un engagement bref.</x:v>
      </x:c>
      <x:c r="H7" s="9" t="str">
        <x:v>Proposition : déplacer une cible légère hors d’un passage pour rejoindre le point d’objectif; la trajectoire doit rester libre.</x:v>
      </x:c>
      <x:c r="I7" s="9" t="str">
        <x:v>Flèche de déplacement et contour de zone.</x:v>
      </x:c>
      <x:c r="J7" s="9" t="str">
        <x:v>Marche décidée, inspection, ordre bref et poussée biotique.</x:v>
      </x:c>
      <x:c r="K7" s="9" t="str">
        <x:v>Confirmation courte doublée d’un pictogramme; événement silencieux visible dans le journal de combat.</x:v>
      </x:c>
      <x:c r="L7" s="9" t="str">
        <x:v>Commande ATB proposée INC/ARIA/assist; résoudre cible, coût proposé, contre-mesure et annulation avant les dégâts.</x:v>
      </x:c>
      <x:c r="M7" s="9" t="str">
        <x:v>Le résultat narratif du raid reste fixé; une tâche de gameplay ne réécrit pas le sort des captifs ni ne fait d’Aria la libératrice de toutes les colonies.</x:v>
      </x:c>
      <x:c r="N7" s="9" t="str">
        <x:v>La commande indique son coût avant validation, échoue proprement si la cible devient invalide et ne déclenche pas une action canon supplémentaire.</x:v>
      </x:c>
      <x:c r="O7" s="9" t="str">
        <x:v>INC-ACT-ARIA, INC-ANI-ARIA</x:v>
      </x:c>
      <x:c r="P7" s="9" t="str">
        <x:v>Adaptation originale du rôle; pas un pouvoir officiel du comic.</x:v>
      </x:c>
      <x:c r="Q7" s="9" t="str"/>
      <x:c r="R7" s="17" t="str"/>
      <x:c r="S7" s="17" t="str"/>
    </x:row>
    <x:row r="8" ht="54" customHeight="1">
      <x:c r="A8" s="31" t="str">
        <x:v>INC-ALLY-GUARDS</x:v>
      </x:c>
      <x:c r="B8" s="7" t="str">
        <x:v>Appui de garde</x:v>
      </x:c>
      <x:c r="C8" s="14" t="str">
        <x:v>Défini</x:v>
      </x:c>
      <x:c r="D8" s="30" t="str">
        <x:v>Extrapolation</x:v>
      </x:c>
      <x:c r="E8" s="30" t="str">
        <x:v>P1</x:v>
      </x:c>
      <x:c r="F8" s="7" t="str">
        <x:v>Action de groupe originale pour Gardes batariens d’Aria.</x:v>
      </x:c>
      <x:c r="G8" s="7" t="str">
        <x:v>Soutien collectif limité au raid; aucun nom propre inventé.</x:v>
      </x:c>
      <x:c r="H8" s="7" t="str">
        <x:v>Proposition : réserver une action pour protéger un flanc identifié; la réserve ne survit pas à la séparation du groupe.</x:v>
      </x:c>
      <x:c r="I8" s="7" t="str">
        <x:v>Secteur protégé avec portrait de rôle.</x:v>
      </x:c>
      <x:c r="J8" s="7" t="str">
        <x:v>Couverture, signal d’alerte et déplacement de flanc.</x:v>
      </x:c>
      <x:c r="K8" s="7" t="str">
        <x:v>Confirmation courte doublée d’un pictogramme; événement silencieux visible dans le journal de combat.</x:v>
      </x:c>
      <x:c r="L8" s="7" t="str">
        <x:v>Commande ATB proposée INC/GUARDS/assist; résoudre cible, coût proposé, contre-mesure et annulation avant les dégâts.</x:v>
      </x:c>
      <x:c r="M8" s="7" t="str">
        <x:v>Le résultat narratif du raid reste fixé; une tâche de gameplay ne réécrit pas le sort des captifs ni ne fait d’Aria la libératrice de toutes les colonies.</x:v>
      </x:c>
      <x:c r="N8" s="7" t="str">
        <x:v>La commande indique son coût avant validation, échoue proprement si la cible devient invalide et ne déclenche pas une action canon supplémentaire.</x:v>
      </x:c>
      <x:c r="O8" s="7" t="str">
        <x:v>INC-ACT-GUARDS, INC-ANI-GUARDS</x:v>
      </x:c>
      <x:c r="P8" s="7" t="str">
        <x:v>Adaptation originale du rôle; pas un pouvoir officiel du comic.</x:v>
      </x:c>
      <x:c r="Q8" s="7" t="str"/>
      <x:c r="R8" s="32" t="str"/>
      <x:c r="S8" s="32" t="str"/>
    </x:row>
  </x:sheetData>
  <x:conditionalFormatting sqref="D7:D8">
    <x:cfRule type="cellIs" dxfId="68" priority="1" operator="equal">
      <x:formula>"À vérifier"</x:formula>
    </x:cfRule>
    <x:cfRule type="cellIs" dxfId="69" priority="2" operator="equal">
      <x:formula>"Extrapolation"</x:formula>
    </x:cfRule>
  </x:conditionalFormatting>
  <x:conditionalFormatting sqref="C7:C8">
    <x:cfRule type="cellIs" dxfId="70" priority="3" operator="equal">
      <x:formula>"Validé"</x:formula>
    </x:cfRule>
  </x:conditionalFormatting>
  <x:conditionalFormatting sqref="E7:E8">
    <x:cfRule type="cellIs" dxfId="71"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5541069492734b77"/>
  </x:tableParts>
</x:worksheet>
</file>

<file path=xl/worksheets/sheet20.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Movesets ennemis</x:v>
      </x:c>
      <x:c r="B2" s="2"/>
      <x:c r="C2" s="2"/>
      <x:c r="D2" s="2"/>
      <x:c r="E2" s="2"/>
      <x:c r="F2" s="2"/>
      <x:c r="G2" s="2"/>
      <x:c r="H2" s="2"/>
      <x:c r="I2" s="2"/>
      <x:c r="J2" s="2"/>
      <x:c r="K2" s="2"/>
      <x:c r="L2" s="2"/>
      <x:c r="M2" s="2"/>
      <x:c r="N2" s="2"/>
      <x:c r="O2" s="2"/>
      <x:c r="P2" s="2"/>
      <x:c r="Q2" s="2"/>
      <x:c r="R2" s="2"/>
      <x:c r="S2" s="2"/>
    </x:row>
    <x:row r="3" ht="22" customHeight="1">
      <x:c r="A3" s="4" t="str">
        <x:v>Mass Effect: Incursion — Télégraphes, actions et réponses tactiques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INC-EN-SUNS-M1</x:v>
      </x:c>
      <x:c r="B7" s="9" t="str">
        <x:v>Tir de quai</x:v>
      </x:c>
      <x:c r="C7" s="14" t="str">
        <x:v>Défini</x:v>
      </x:c>
      <x:c r="D7" s="15" t="str">
        <x:v>Extrapolation</x:v>
      </x:c>
      <x:c r="E7" s="15" t="str">
        <x:v>P1</x:v>
      </x:c>
      <x:c r="F7" s="9" t="str">
        <x:v>Pattern original de ligne de vue.</x:v>
      </x:c>
      <x:c r="G7" s="9" t="str">
        <x:v>Tireurs de couvert de la rencontre.</x:v>
      </x:c>
      <x:c r="H7" s="9" t="str">
        <x:v>Le couvert l’arrête; une interruption ouvre la traversée.</x:v>
      </x:c>
      <x:c r="I7" s="9" t="str">
        <x:v>Trait hachuré.</x:v>
      </x:c>
      <x:c r="J7" s="9" t="str">
        <x:v>Visée, recul et sortie de couvert.</x:v>
      </x:c>
      <x:c r="K7" s="9" t="str">
        <x:v>Tirs secs.</x:v>
      </x:c>
      <x:c r="L7" s="9" t="str">
        <x:v>Action proposée INC/SUNS/1; étapes annonce → attente ATB → validation cible → résolution; annulation explicite si neutralisé.</x:v>
      </x:c>
      <x:c r="M7" s="9" t="str">
        <x:v>Le résultat narratif du raid reste fixé; une tâche de gameplay ne réécrit pas le sort des captifs ni ne fait d’Aria la libératrice de toutes les colonies.</x:v>
      </x:c>
      <x:c r="N7" s="9" t="str">
        <x:v>Le joueur peut reconnaître la préparation et employer la contre-mesure avant la résolution; aucune attaque invisible ou imparable hors séquence annoncée.</x:v>
      </x:c>
      <x:c r="O7" s="9" t="str">
        <x:v>INC-EN-SUNS</x:v>
      </x:c>
      <x:c r="P7" s="9" t="str">
        <x:v>Pattern original; pas de valeur numérique canon.</x:v>
      </x:c>
      <x:c r="Q7" s="9" t="str"/>
      <x:c r="R7" s="17" t="str"/>
      <x:c r="S7" s="17" t="str"/>
    </x:row>
    <x:row r="8" ht="54" customHeight="1">
      <x:c r="A8" s="31" t="str">
        <x:v>INC-EN-SUNS-M2</x:v>
      </x:c>
      <x:c r="B8" s="7" t="str">
        <x:v>Repli vers sortie</x:v>
      </x:c>
      <x:c r="C8" s="14" t="str">
        <x:v>Défini</x:v>
      </x:c>
      <x:c r="D8" s="30" t="str">
        <x:v>Extrapolation</x:v>
      </x:c>
      <x:c r="E8" s="30" t="str">
        <x:v>P1</x:v>
      </x:c>
      <x:c r="F8" s="7" t="str">
        <x:v>Pattern original de mouvement.</x:v>
      </x:c>
      <x:c r="G8" s="7" t="str">
        <x:v>Tireurs de couvert de la rencontre.</x:v>
      </x:c>
      <x:c r="H8" s="7" t="str">
        <x:v>Une route de repli est annoncée et peut être bloquée par positionnement.</x:v>
      </x:c>
      <x:c r="I8" s="7" t="str">
        <x:v>Flèche de déplacement.</x:v>
      </x:c>
      <x:c r="J8" s="7" t="str">
        <x:v>Visée, recul et sortie de couvert.</x:v>
      </x:c>
      <x:c r="K8" s="7" t="str">
        <x:v>Tirs secs.</x:v>
      </x:c>
      <x:c r="L8" s="7" t="str">
        <x:v>Action proposée INC/SUNS/2; étapes annonce → attente ATB → validation cible → résolution; annulation explicite si neutralisé.</x:v>
      </x:c>
      <x:c r="M8" s="7" t="str">
        <x:v>Le résultat narratif du raid reste fixé; une tâche de gameplay ne réécrit pas le sort des captifs ni ne fait d’Aria la libératrice de toutes les colonies.</x:v>
      </x:c>
      <x:c r="N8" s="7" t="str">
        <x:v>Le joueur peut reconnaître la préparation et employer la contre-mesure avant la résolution; aucune attaque invisible ou imparable hors séquence annoncée.</x:v>
      </x:c>
      <x:c r="O8" s="7" t="str">
        <x:v>INC-EN-SUNS</x:v>
      </x:c>
      <x:c r="P8" s="7" t="str">
        <x:v>Pattern original; pas de valeur numérique canon.</x:v>
      </x:c>
      <x:c r="Q8" s="7" t="str"/>
      <x:c r="R8" s="32" t="str"/>
      <x:c r="S8" s="32" t="str"/>
    </x:row>
    <x:row r="9" ht="54" customHeight="1">
      <x:c r="A9" s="16" t="str">
        <x:v>INC-EN-COLLECTOR-M1</x:v>
      </x:c>
      <x:c r="B9" s="9" t="str">
        <x:v>Salve concentrée</x:v>
      </x:c>
      <x:c r="C9" s="14" t="str">
        <x:v>Défini</x:v>
      </x:c>
      <x:c r="D9" s="15" t="str">
        <x:v>Extrapolation</x:v>
      </x:c>
      <x:c r="E9" s="15" t="str">
        <x:v>P1</x:v>
      </x:c>
      <x:c r="F9" s="9" t="str">
        <x:v>Attaque originale ciblée.</x:v>
      </x:c>
      <x:c r="G9" s="9" t="str">
        <x:v>Adversaire distinct des trafiquants.</x:v>
      </x:c>
      <x:c r="H9" s="9" t="str">
        <x:v>Annoncer la cible et laisser un déplacement ou une protection.</x:v>
      </x:c>
      <x:c r="I9" s="9" t="str">
        <x:v>Marque de cible géométrique.</x:v>
      </x:c>
      <x:c r="J9" s="9" t="str">
        <x:v>Préparation de tir et réorientation complète.</x:v>
      </x:c>
      <x:c r="K9" s="9" t="str">
        <x:v>Timbre organique original.</x:v>
      </x:c>
      <x:c r="L9" s="9" t="str">
        <x:v>Action proposée INC/COLLECTOR/1; étapes annonce → attente ATB → validation cible → résolution; annulation explicite si neutralisé.</x:v>
      </x:c>
      <x:c r="M9" s="9" t="str">
        <x:v>Le résultat narratif du raid reste fixé; une tâche de gameplay ne réécrit pas le sort des captifs ni ne fait d’Aria la libératrice de toutes les colonies.</x:v>
      </x:c>
      <x:c r="N9" s="9" t="str">
        <x:v>Le joueur peut reconnaître la préparation et employer la contre-mesure avant la résolution; aucune attaque invisible ou imparable hors séquence annoncée.</x:v>
      </x:c>
      <x:c r="O9" s="9" t="str">
        <x:v>INC-EN-COLLECTOR</x:v>
      </x:c>
      <x:c r="P9" s="9" t="str">
        <x:v>Pattern original; pas de valeur numérique canon.</x:v>
      </x:c>
      <x:c r="Q9" s="9" t="str"/>
      <x:c r="R9" s="17" t="str"/>
      <x:c r="S9" s="17" t="str"/>
    </x:row>
    <x:row r="10" ht="54" customHeight="1">
      <x:c r="A10" s="31" t="str">
        <x:v>INC-EN-COLLECTOR-M2</x:v>
      </x:c>
      <x:c r="B10" s="7" t="str">
        <x:v>Couverture croisée</x:v>
      </x:c>
      <x:c r="C10" s="14" t="str">
        <x:v>Défini</x:v>
      </x:c>
      <x:c r="D10" s="30" t="str">
        <x:v>Extrapolation</x:v>
      </x:c>
      <x:c r="E10" s="30" t="str">
        <x:v>P1</x:v>
      </x:c>
      <x:c r="F10" s="7" t="str">
        <x:v>Pattern original de groupe.</x:v>
      </x:c>
      <x:c r="G10" s="7" t="str">
        <x:v>Adversaire distinct des trafiquants.</x:v>
      </x:c>
      <x:c r="H10" s="7" t="str">
        <x:v>Les lignes se croisent seulement dans une zone affichée; sortir de l’intersection suffit.</x:v>
      </x:c>
      <x:c r="I10" s="7" t="str">
        <x:v>Deux arcs étroits.</x:v>
      </x:c>
      <x:c r="J10" s="7" t="str">
        <x:v>Préparation de tir et réorientation complète.</x:v>
      </x:c>
      <x:c r="K10" s="7" t="str">
        <x:v>Timbre organique original.</x:v>
      </x:c>
      <x:c r="L10" s="7" t="str">
        <x:v>Action proposée INC/COLLECTOR/2; étapes annonce → attente ATB → validation cible → résolution; annulation explicite si neutralisé.</x:v>
      </x:c>
      <x:c r="M10" s="7" t="str">
        <x:v>Le résultat narratif du raid reste fixé; une tâche de gameplay ne réécrit pas le sort des captifs ni ne fait d’Aria la libératrice de toutes les colonies.</x:v>
      </x:c>
      <x:c r="N10" s="7" t="str">
        <x:v>Le joueur peut reconnaître la préparation et employer la contre-mesure avant la résolution; aucune attaque invisible ou imparable hors séquence annoncée.</x:v>
      </x:c>
      <x:c r="O10" s="7" t="str">
        <x:v>INC-EN-COLLECTOR</x:v>
      </x:c>
      <x:c r="P10" s="7" t="str">
        <x:v>Pattern original; pas de valeur numérique canon.</x:v>
      </x:c>
      <x:c r="Q10" s="7" t="str"/>
      <x:c r="R10" s="32" t="str"/>
      <x:c r="S10" s="32" t="str"/>
    </x:row>
    <x:row r="11" ht="54" customHeight="1">
      <x:c r="A11" s="16" t="str">
        <x:v>INC-EN-PRAETORIAN-M1</x:v>
      </x:c>
      <x:c r="B11" s="9" t="str">
        <x:v>Zone de pression lourde</x:v>
      </x:c>
      <x:c r="C11" s="14" t="str">
        <x:v>Défini</x:v>
      </x:c>
      <x:c r="D11" s="15" t="str">
        <x:v>Extrapolation</x:v>
      </x:c>
      <x:c r="E11" s="15" t="str">
        <x:v>P1</x:v>
      </x:c>
      <x:c r="F11" s="9" t="str">
        <x:v>Pattern original d’aire.</x:v>
      </x:c>
      <x:c r="G11" s="9" t="str">
        <x:v>Menace lourde ponctuelle, pas boss doté de statistiques officielles.</x:v>
      </x:c>
      <x:c r="H11" s="9" t="str">
        <x:v>Marquer l’aire avant résolution; sortie latérale ou protection.</x:v>
      </x:c>
      <x:c r="I11" s="9" t="str">
        <x:v>Grand cercle hachuré.</x:v>
      </x:c>
      <x:c r="J11" s="9" t="str">
        <x:v>Charge lumineuse lente et déplacement lourd.</x:v>
      </x:c>
      <x:c r="K11" s="9" t="str">
        <x:v>Grave de charge doublé d’un symbole.</x:v>
      </x:c>
      <x:c r="L11" s="9" t="str">
        <x:v>Action proposée INC/PRAETORIAN/1; étapes annonce → attente ATB → validation cible → résolution; annulation explicite si neutralisé.</x:v>
      </x:c>
      <x:c r="M11" s="9" t="str">
        <x:v>Le résultat narratif du raid reste fixé; une tâche de gameplay ne réécrit pas le sort des captifs ni ne fait d’Aria la libératrice de toutes les colonies.</x:v>
      </x:c>
      <x:c r="N11" s="9" t="str">
        <x:v>Le joueur peut reconnaître la préparation et employer la contre-mesure avant la résolution; aucune attaque invisible ou imparable hors séquence annoncée.</x:v>
      </x:c>
      <x:c r="O11" s="9" t="str">
        <x:v>INC-EN-PRAETORIAN</x:v>
      </x:c>
      <x:c r="P11" s="9" t="str">
        <x:v>Pattern original; pas de valeur numérique canon.</x:v>
      </x:c>
      <x:c r="Q11" s="9" t="str"/>
      <x:c r="R11" s="17" t="str"/>
      <x:c r="S11" s="17" t="str"/>
    </x:row>
    <x:row r="12" ht="54" customHeight="1">
      <x:c r="A12" s="31" t="str">
        <x:v>INC-EN-PRAETORIAN-M2</x:v>
      </x:c>
      <x:c r="B12" s="7" t="str">
        <x:v>Balayage frontal</x:v>
      </x:c>
      <x:c r="C12" s="14" t="str">
        <x:v>Défini</x:v>
      </x:c>
      <x:c r="D12" s="30" t="str">
        <x:v>Extrapolation</x:v>
      </x:c>
      <x:c r="E12" s="30" t="str">
        <x:v>P1</x:v>
      </x:c>
      <x:c r="F12" s="7" t="str">
        <x:v>Pattern original de cône.</x:v>
      </x:c>
      <x:c r="G12" s="7" t="str">
        <x:v>Menace lourde ponctuelle, pas boss doté de statistiques officielles.</x:v>
      </x:c>
      <x:c r="H12" s="7" t="str">
        <x:v>Passer sur le flanc pendant la préparation; la rotation est visible.</x:v>
      </x:c>
      <x:c r="I12" s="7" t="str">
        <x:v>Cône large tronqué par le décor.</x:v>
      </x:c>
      <x:c r="J12" s="7" t="str">
        <x:v>Charge lumineuse lente et déplacement lourd.</x:v>
      </x:c>
      <x:c r="K12" s="7" t="str">
        <x:v>Grave de charge doublé d’un symbole.</x:v>
      </x:c>
      <x:c r="L12" s="7" t="str">
        <x:v>Action proposée INC/PRAETORIAN/2; étapes annonce → attente ATB → validation cible → résolution; annulation explicite si neutralisé.</x:v>
      </x:c>
      <x:c r="M12" s="7" t="str">
        <x:v>Le résultat narratif du raid reste fixé; une tâche de gameplay ne réécrit pas le sort des captifs ni ne fait d’Aria la libératrice de toutes les colonies.</x:v>
      </x:c>
      <x:c r="N12" s="7" t="str">
        <x:v>Le joueur peut reconnaître la préparation et employer la contre-mesure avant la résolution; aucune attaque invisible ou imparable hors séquence annoncée.</x:v>
      </x:c>
      <x:c r="O12" s="7" t="str">
        <x:v>INC-EN-PRAETORIAN</x:v>
      </x:c>
      <x:c r="P12" s="7" t="str">
        <x:v>Pattern original; pas de valeur numérique canon.</x:v>
      </x:c>
      <x:c r="Q12" s="7" t="str"/>
      <x:c r="R12" s="32" t="str"/>
      <x:c r="S12" s="32" t="str"/>
    </x:row>
  </x:sheetData>
  <x:conditionalFormatting sqref="D7:D12">
    <x:cfRule type="cellIs" dxfId="72" priority="1" operator="equal">
      <x:formula>"À vérifier"</x:formula>
    </x:cfRule>
    <x:cfRule type="cellIs" dxfId="73" priority="2" operator="equal">
      <x:formula>"Extrapolation"</x:formula>
    </x:cfRule>
  </x:conditionalFormatting>
  <x:conditionalFormatting sqref="C7:C12">
    <x:cfRule type="cellIs" dxfId="74" priority="3" operator="equal">
      <x:formula>"Validé"</x:formula>
    </x:cfRule>
  </x:conditionalFormatting>
  <x:conditionalFormatting sqref="E7:E12">
    <x:cfRule type="cellIs" dxfId="75"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11e7cc7cf62646d8"/>
  </x:tableParts>
</x:worksheet>
</file>

<file path=xl/worksheets/sheet21.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Animations</x:v>
      </x:c>
      <x:c r="B2" s="2"/>
      <x:c r="C2" s="2"/>
      <x:c r="D2" s="2"/>
      <x:c r="E2" s="2"/>
      <x:c r="F2" s="2"/>
      <x:c r="G2" s="2"/>
      <x:c r="H2" s="2"/>
      <x:c r="I2" s="2"/>
      <x:c r="J2" s="2"/>
      <x:c r="K2" s="2"/>
      <x:c r="L2" s="2"/>
      <x:c r="M2" s="2"/>
      <x:c r="N2" s="2"/>
      <x:c r="O2" s="2"/>
      <x:c r="P2" s="2"/>
      <x:c r="Q2" s="2"/>
      <x:c r="R2" s="2"/>
      <x:c r="S2" s="2"/>
    </x:row>
    <x:row r="3" ht="22" customHeight="1">
      <x:c r="A3" s="4" t="str">
        <x:v>Mass Effect: Incursion — Bibliothèque d’animation pour sprites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INC-ANI-ARIA</x:v>
      </x:c>
      <x:c r="B7" s="9" t="str">
        <x:v>Aria T’Loak — jeu de poses</x:v>
      </x:c>
      <x:c r="C7" s="14" t="str">
        <x:v>Défini</x:v>
      </x:c>
      <x:c r="D7" s="15" t="str">
        <x:v>Extrapolation</x:v>
      </x:c>
      <x:c r="E7" s="15" t="str">
        <x:v>P1</x:v>
      </x:c>
      <x:c r="F7" s="9" t="str">
        <x:v>Définir les transitions propres au rôle de Aria T’Loak.</x:v>
      </x:c>
      <x:c r="G7" s="9" t="str">
        <x:v>Point de vue principal; reconnaissance et contrôle d’un engagement bref.</x:v>
      </x:c>
      <x:c r="H7" s="9" t="str"/>
      <x:c r="I7" s="9" t="str">
        <x:v>Silhouette asari angulaire, veste sombre et accents violets proposés.</x:v>
      </x:c>
      <x:c r="J7" s="9" t="str">
        <x:v>Marche décidée, inspection, ordre bref et poussée biotique. Décomposer anticipation, action, retour et interruption; garder un état neutre utilisable après une cinématique sautée.</x:v>
      </x:c>
      <x:c r="K7" s="9" t="str">
        <x:v>Associer les contacts de sol ou de siège à des événements; éviter le bruitage répété sur une pose tenue.</x:v>
      </x:c>
      <x:c r="L7" s="9" t="str">
        <x:v>Table d'animation prévue INC/ARIA; paramètres direction, locomotion, accessoire et interruption.</x:v>
      </x:c>
      <x:c r="M7" s="9" t="str">
        <x:v>Le résultat narratif du raid reste fixé; une tâche de gameplay ne réécrit pas le sort des captifs ni ne fait d’Aria la libératrice de toutes les colonies.</x:v>
      </x:c>
      <x:c r="N7" s="9" t="str">
        <x:v>Un enchaînement déplacement → interaction → interruption → reprise conserve le pivot et les accessoires de Aria T’Loak.</x:v>
      </x:c>
      <x:c r="O7" s="9" t="str">
        <x:v>INC-ACT-ARIA, INC-SPR-ARIA</x:v>
      </x:c>
      <x:c r="P7" s="9" t="str">
        <x:v>Conception originale, aucune cadence extraite du comic.</x:v>
      </x:c>
      <x:c r="Q7" s="9" t="str"/>
      <x:c r="R7" s="17" t="str"/>
      <x:c r="S7" s="17" t="str"/>
    </x:row>
    <x:row r="8" ht="68" customHeight="1">
      <x:c r="A8" s="31" t="str">
        <x:v>INC-ANI-GUARDS</x:v>
      </x:c>
      <x:c r="B8" s="7" t="str">
        <x:v>Gardes batariens d’Aria — jeu de poses</x:v>
      </x:c>
      <x:c r="C8" s="14" t="str">
        <x:v>Défini</x:v>
      </x:c>
      <x:c r="D8" s="30" t="str">
        <x:v>Extrapolation</x:v>
      </x:c>
      <x:c r="E8" s="30" t="str">
        <x:v>P1</x:v>
      </x:c>
      <x:c r="F8" s="7" t="str">
        <x:v>Définir les transitions propres au rôle de Gardes batariens d’Aria.</x:v>
      </x:c>
      <x:c r="G8" s="7" t="str">
        <x:v>Soutien collectif limité au raid; aucun nom propre inventé.</x:v>
      </x:c>
      <x:c r="H8" s="7" t="str"/>
      <x:c r="I8" s="7" t="str">
        <x:v>Deux silhouettes distinctes par équipement et gabarit, costumes à contrôler.</x:v>
      </x:c>
      <x:c r="J8" s="7" t="str">
        <x:v>Couverture, signal d’alerte et déplacement de flanc. Décomposer anticipation, action, retour et interruption; garder un état neutre utilisable après une cinématique sautée.</x:v>
      </x:c>
      <x:c r="K8" s="7" t="str">
        <x:v>Associer les contacts de sol ou de siège à des événements; éviter le bruitage répété sur une pose tenue.</x:v>
      </x:c>
      <x:c r="L8" s="7" t="str">
        <x:v>Table d'animation prévue INC/GUARDS; paramètres direction, locomotion, accessoire et interruption.</x:v>
      </x:c>
      <x:c r="M8" s="7" t="str">
        <x:v>Le résultat narratif du raid reste fixé; une tâche de gameplay ne réécrit pas le sort des captifs ni ne fait d’Aria la libératrice de toutes les colonies.</x:v>
      </x:c>
      <x:c r="N8" s="7" t="str">
        <x:v>Un enchaînement déplacement → interaction → interruption → reprise conserve le pivot et les accessoires de Gardes batariens d’Aria.</x:v>
      </x:c>
      <x:c r="O8" s="7" t="str">
        <x:v>INC-ACT-GUARDS, INC-SPR-GUARDS</x:v>
      </x:c>
      <x:c r="P8" s="7" t="str">
        <x:v>Conception originale, aucune cadence extraite du comic.</x:v>
      </x:c>
      <x:c r="Q8" s="7" t="str"/>
      <x:c r="R8" s="32" t="str"/>
      <x:c r="S8" s="32" t="str"/>
    </x:row>
  </x:sheetData>
  <x:conditionalFormatting sqref="D7:D8">
    <x:cfRule type="cellIs" dxfId="76" priority="1" operator="equal">
      <x:formula>"À vérifier"</x:formula>
    </x:cfRule>
    <x:cfRule type="cellIs" dxfId="77" priority="2" operator="equal">
      <x:formula>"Extrapolation"</x:formula>
    </x:cfRule>
  </x:conditionalFormatting>
  <x:conditionalFormatting sqref="C7:C8">
    <x:cfRule type="cellIs" dxfId="78" priority="3" operator="equal">
      <x:formula>"Validé"</x:formula>
    </x:cfRule>
  </x:conditionalFormatting>
  <x:conditionalFormatting sqref="E7:E8">
    <x:cfRule type="cellIs" dxfId="79"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0f07ffdf48414a76"/>
  </x:tableParts>
</x:worksheet>
</file>

<file path=xl/worksheets/sheet22.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Sprites</x:v>
      </x:c>
      <x:c r="B2" s="2"/>
      <x:c r="C2" s="2"/>
      <x:c r="D2" s="2"/>
      <x:c r="E2" s="2"/>
      <x:c r="F2" s="2"/>
      <x:c r="G2" s="2"/>
      <x:c r="H2" s="2"/>
      <x:c r="I2" s="2"/>
      <x:c r="J2" s="2"/>
      <x:c r="K2" s="2"/>
      <x:c r="L2" s="2"/>
      <x:c r="M2" s="2"/>
      <x:c r="N2" s="2"/>
      <x:c r="O2" s="2"/>
      <x:c r="P2" s="2"/>
      <x:c r="Q2" s="2"/>
      <x:c r="R2" s="2"/>
      <x:c r="S2" s="2"/>
    </x:row>
    <x:row r="3" ht="22" customHeight="1">
      <x:c r="A3" s="4" t="str">
        <x:v>Mass Effect: Incursion — Livrables 2D, portraits et variantes</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INC-SPR-ARIA</x:v>
      </x:c>
      <x:c r="B7" s="9" t="str">
        <x:v>Aria T’Loak — planche de sprites</x:v>
      </x:c>
      <x:c r="C7" s="14" t="str">
        <x:v>Défini</x:v>
      </x:c>
      <x:c r="D7" s="15" t="str">
        <x:v>Extrapolation</x:v>
      </x:c>
      <x:c r="E7" s="15" t="str">
        <x:v>P1</x:v>
      </x:c>
      <x:c r="F7" s="9" t="str">
        <x:v>Produire une silhouette lisible pour Aria T’Loak dans le module Incursion.</x:v>
      </x:c>
      <x:c r="G7" s="9" t="str">
        <x:v>Point de vue principal; reconnaissance et contrôle d’un engagement bref.</x:v>
      </x:c>
      <x:c r="H7" s="9" t="str"/>
      <x:c r="I7" s="9" t="str">
        <x:v>Silhouette asari angulaire, veste sombre et accents violets proposés. Prévoir face, dos et profils trois-quarts; conserver le même pivot de pieds dans chaque pose.</x:v>
      </x:c>
      <x:c r="J7" s="9" t="str">
        <x:v>Marche décidée, inspection, ordre bref et poussée biotique. Séparer arme/objet tenu du corps lorsque le changement de main est nécessaire.</x:v>
      </x:c>
      <x:c r="K7" s="9" t="str"/>
      <x:c r="L7" s="9" t="str">
        <x:v>Atlas prévu inc/actors/aria; métadonnées pivot, masque d'occlusion, orientation et état. Aucun fichier de sprite n'est livré par ce catalogue.</x:v>
      </x:c>
      <x:c r="M7" s="9" t="str">
        <x:v>Le résultat narratif du raid reste fixé; une tâche de gameplay ne réécrit pas le sort des captifs ni ne fait d’Aria la libératrice de toutes les colonies.</x:v>
      </x:c>
      <x:c r="N7" s="9" t="str">
        <x:v>La planche permet d'identifier Aria T’Loak sans portrait UI à l'échelle de jeu; pieds stables devant les occultations du décor 3D.</x:v>
      </x:c>
      <x:c r="O7" s="9" t="str">
        <x:v>INC-ACT-ARIA</x:v>
      </x:c>
      <x:c r="P7" s="9" t="str">
        <x:v>Conception originale; référence visuelle du personnage à contrôler.</x:v>
      </x:c>
      <x:c r="Q7" s="9" t="str"/>
      <x:c r="R7" s="17" t="str"/>
      <x:c r="S7" s="17" t="str"/>
    </x:row>
    <x:row r="8" ht="68" customHeight="1">
      <x:c r="A8" s="31" t="str">
        <x:v>INC-SPR-GUARDS</x:v>
      </x:c>
      <x:c r="B8" s="7" t="str">
        <x:v>Gardes batariens d’Aria — planche de sprites</x:v>
      </x:c>
      <x:c r="C8" s="14" t="str">
        <x:v>Défini</x:v>
      </x:c>
      <x:c r="D8" s="30" t="str">
        <x:v>Extrapolation</x:v>
      </x:c>
      <x:c r="E8" s="30" t="str">
        <x:v>P1</x:v>
      </x:c>
      <x:c r="F8" s="7" t="str">
        <x:v>Produire une silhouette lisible pour Gardes batariens d’Aria dans le module Incursion.</x:v>
      </x:c>
      <x:c r="G8" s="7" t="str">
        <x:v>Soutien collectif limité au raid; aucun nom propre inventé.</x:v>
      </x:c>
      <x:c r="H8" s="7" t="str"/>
      <x:c r="I8" s="7" t="str">
        <x:v>Deux silhouettes distinctes par équipement et gabarit, costumes à contrôler. Prévoir face, dos et profils trois-quarts; conserver le même pivot de pieds dans chaque pose.</x:v>
      </x:c>
      <x:c r="J8" s="7" t="str">
        <x:v>Couverture, signal d’alerte et déplacement de flanc. Séparer arme/objet tenu du corps lorsque le changement de main est nécessaire.</x:v>
      </x:c>
      <x:c r="K8" s="7" t="str"/>
      <x:c r="L8" s="7" t="str">
        <x:v>Atlas prévu inc/actors/guards; métadonnées pivot, masque d'occlusion, orientation et état. Aucun fichier de sprite n'est livré par ce catalogue.</x:v>
      </x:c>
      <x:c r="M8" s="7" t="str">
        <x:v>Le résultat narratif du raid reste fixé; une tâche de gameplay ne réécrit pas le sort des captifs ni ne fait d’Aria la libératrice de toutes les colonies.</x:v>
      </x:c>
      <x:c r="N8" s="7" t="str">
        <x:v>La planche permet d'identifier Gardes batariens d’Aria sans portrait UI à l'échelle de jeu; pieds stables devant les occultations du décor 3D.</x:v>
      </x:c>
      <x:c r="O8" s="7" t="str">
        <x:v>INC-ACT-GUARDS</x:v>
      </x:c>
      <x:c r="P8" s="7" t="str">
        <x:v>Conception originale; référence visuelle du personnage à contrôler.</x:v>
      </x:c>
      <x:c r="Q8" s="7" t="str"/>
      <x:c r="R8" s="32" t="str"/>
      <x:c r="S8" s="32" t="str"/>
    </x:row>
  </x:sheetData>
  <x:conditionalFormatting sqref="D7:D8">
    <x:cfRule type="cellIs" dxfId="80" priority="1" operator="equal">
      <x:formula>"À vérifier"</x:formula>
    </x:cfRule>
    <x:cfRule type="cellIs" dxfId="81" priority="2" operator="equal">
      <x:formula>"Extrapolation"</x:formula>
    </x:cfRule>
  </x:conditionalFormatting>
  <x:conditionalFormatting sqref="C7:C8">
    <x:cfRule type="cellIs" dxfId="82" priority="3" operator="equal">
      <x:formula>"Validé"</x:formula>
    </x:cfRule>
  </x:conditionalFormatting>
  <x:conditionalFormatting sqref="E7:E8">
    <x:cfRule type="cellIs" dxfId="8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647f72471b184644"/>
  </x:tableParts>
</x:worksheet>
</file>

<file path=xl/worksheets/sheet23.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VFX</x:v>
      </x:c>
      <x:c r="B2" s="2"/>
      <x:c r="C2" s="2"/>
      <x:c r="D2" s="2"/>
      <x:c r="E2" s="2"/>
      <x:c r="F2" s="2"/>
      <x:c r="G2" s="2"/>
      <x:c r="H2" s="2"/>
      <x:c r="I2" s="2"/>
      <x:c r="J2" s="2"/>
      <x:c r="K2" s="2"/>
      <x:c r="L2" s="2"/>
      <x:c r="M2" s="2"/>
      <x:c r="N2" s="2"/>
      <x:c r="O2" s="2"/>
      <x:c r="P2" s="2"/>
      <x:c r="Q2" s="2"/>
      <x:c r="R2" s="2"/>
      <x:c r="S2" s="2"/>
    </x:row>
    <x:row r="3" ht="22" customHeight="1">
      <x:c r="A3" s="4" t="str">
        <x:v>Mass Effect: Incursion — Effets visuels et lisibilité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INC-SC-CHECK-VFX</x:v>
      </x:c>
      <x:c r="B7" s="9" t="str">
        <x:v>Examiner la perturbation — signal visuel</x:v>
      </x:c>
      <x:c r="C7" s="14" t="str">
        <x:v>Défini</x:v>
      </x:c>
      <x:c r="D7" s="15" t="str">
        <x:v>Extrapolation</x:v>
      </x:c>
      <x:c r="E7" s="15" t="str">
        <x:v>P1</x:v>
      </x:c>
      <x:c r="F7" s="9" t="str">
        <x:v>Contours de lignes de vue qui s’arrêtent aux obstacles.</x:v>
      </x:c>
      <x:c r="G7" s="9" t="str">
        <x:v>Rendre lisibles les interactions propres à cette séquence à la taille réelle du jeu.</x:v>
      </x:c>
      <x:c r="H7" s="9" t="str"/>
      <x:c r="I7" s="9" t="str">
        <x:v>Contours de lignes de vue qui s’arrêtent aux obstacles.</x:v>
      </x:c>
      <x:c r="J7" s="9" t="str">
        <x:v>Anticipation séparée de l’impact; variante sans flash, sans secousse et à contraste renforcé.</x:v>
      </x:c>
      <x:c r="K7" s="9" t="str">
        <x:v>Activité industrielle interrompue par bruits inhabituels.</x:v>
      </x:c>
      <x:c r="L7" s="9" t="str">
        <x:v>Émetteur proposé INC/CHECK/vfx; ancrage sur monde 3D et tri compatible avec les sprites; options de confort indépendantes.</x:v>
      </x:c>
      <x:c r="M7" s="9" t="str">
        <x:v>Le résultat narratif du raid reste fixé; une tâche de gameplay ne réécrit pas le sort des captifs ni ne fait d’Aria la libératrice de toutes les colonies.</x:v>
      </x:c>
      <x:c r="N7" s="9" t="str">
        <x:v>Le signal reste identifiable en pause et sans son; aucun flash plein écran indispensable pour comprendre la résolution.</x:v>
      </x:c>
      <x:c r="O7" s="9" t="str">
        <x:v>INC-SC-CHECK-MAIN</x:v>
      </x:c>
      <x:c r="P7" s="9" t="str">
        <x:v>VFX original; intensité et timing à régler au prototype.</x:v>
      </x:c>
      <x:c r="Q7" s="9" t="str"/>
      <x:c r="R7" s="17" t="str"/>
      <x:c r="S7" s="17" t="str"/>
    </x:row>
    <x:row r="8" ht="54" customHeight="1">
      <x:c r="A8" s="31" t="str">
        <x:v>INC-SC-RAID-VFX</x:v>
      </x:c>
      <x:c r="B8" s="7" t="str">
        <x:v>Interrompre la transaction — signal visuel</x:v>
      </x:c>
      <x:c r="C8" s="14" t="str">
        <x:v>Défini</x:v>
      </x:c>
      <x:c r="D8" s="30" t="str">
        <x:v>Extrapolation</x:v>
      </x:c>
      <x:c r="E8" s="30" t="str">
        <x:v>P1</x:v>
      </x:c>
      <x:c r="F8" s="7" t="str">
        <x:v>Zones de menace lourde en hachures, dégâts sans gros flash.</x:v>
      </x:c>
      <x:c r="G8" s="7" t="str">
        <x:v>Rendre lisibles les interactions propres à cette séquence à la taille réelle du jeu.</x:v>
      </x:c>
      <x:c r="H8" s="7" t="str"/>
      <x:c r="I8" s="7" t="str">
        <x:v>Zones de menace lourde en hachures, dégâts sans gros flash.</x:v>
      </x:c>
      <x:c r="J8" s="7" t="str">
        <x:v>Anticipation séparée de l’impact; variante sans flash, sans secousse et à contraste renforcé.</x:v>
      </x:c>
      <x:c r="K8" s="7" t="str">
        <x:v>Armes distinctes par timbre, sans reproduction des sons commerciaux.</x:v>
      </x:c>
      <x:c r="L8" s="7" t="str">
        <x:v>Émetteur proposé INC/RAID/vfx; ancrage sur monde 3D et tri compatible avec les sprites; options de confort indépendantes.</x:v>
      </x:c>
      <x:c r="M8" s="7" t="str">
        <x:v>Le résultat narratif du raid reste fixé; une tâche de gameplay ne réécrit pas le sort des captifs ni ne fait d’Aria la libératrice de toutes les colonies.</x:v>
      </x:c>
      <x:c r="N8" s="7" t="str">
        <x:v>Le signal reste identifiable en pause et sans son; aucun flash plein écran indispensable pour comprendre la résolution.</x:v>
      </x:c>
      <x:c r="O8" s="7" t="str">
        <x:v>INC-SC-RAID-MAIN</x:v>
      </x:c>
      <x:c r="P8" s="7" t="str">
        <x:v>VFX original; intensité et timing à régler au prototype.</x:v>
      </x:c>
      <x:c r="Q8" s="7" t="str"/>
      <x:c r="R8" s="32" t="str"/>
      <x:c r="S8" s="32" t="str"/>
    </x:row>
    <x:row r="9" ht="54" customHeight="1">
      <x:c r="A9" s="16" t="str">
        <x:v>INC-SC-REPORT-VFX</x:v>
      </x:c>
      <x:c r="B9" s="9" t="str">
        <x:v>Comprendre la cible humaine — signal visuel</x:v>
      </x:c>
      <x:c r="C9" s="14" t="str">
        <x:v>Défini</x:v>
      </x:c>
      <x:c r="D9" s="15" t="str">
        <x:v>Extrapolation</x:v>
      </x:c>
      <x:c r="E9" s="15" t="str">
        <x:v>P1</x:v>
      </x:c>
      <x:c r="F9" s="9" t="str">
        <x:v>Mise en évidence de l’échelle par groupe de lignes; pas de carte de missions.</x:v>
      </x:c>
      <x:c r="G9" s="9" t="str">
        <x:v>Rendre lisibles les interactions propres à cette séquence à la taille réelle du jeu.</x:v>
      </x:c>
      <x:c r="H9" s="9" t="str"/>
      <x:c r="I9" s="9" t="str">
        <x:v>Mise en évidence de l’échelle par groupe de lignes; pas de carte de missions.</x:v>
      </x:c>
      <x:c r="J9" s="9" t="str">
        <x:v>Anticipation séparée de l’impact; variante sans flash, sans secousse et à contraste renforcé.</x:v>
      </x:c>
      <x:c r="K9" s="9" t="str">
        <x:v>Fond de club très filtré et note grave ouverte.</x:v>
      </x:c>
      <x:c r="L9" s="9" t="str">
        <x:v>Émetteur proposé INC/REPORT/vfx; ancrage sur monde 3D et tri compatible avec les sprites; options de confort indépendantes.</x:v>
      </x:c>
      <x:c r="M9" s="9" t="str">
        <x:v>Le résultat narratif du raid reste fixé; une tâche de gameplay ne réécrit pas le sort des captifs ni ne fait d’Aria la libératrice de toutes les colonies.</x:v>
      </x:c>
      <x:c r="N9" s="9" t="str">
        <x:v>Le signal reste identifiable en pause et sans son; aucun flash plein écran indispensable pour comprendre la résolution.</x:v>
      </x:c>
      <x:c r="O9" s="9" t="str">
        <x:v>INC-SC-REPORT-MAIN</x:v>
      </x:c>
      <x:c r="P9" s="9" t="str">
        <x:v>VFX original; intensité et timing à régler au prototype.</x:v>
      </x:c>
      <x:c r="Q9" s="9" t="str"/>
      <x:c r="R9" s="17" t="str"/>
      <x:c r="S9" s="17" t="str"/>
    </x:row>
  </x:sheetData>
  <x:conditionalFormatting sqref="D7:D9">
    <x:cfRule type="cellIs" dxfId="84" priority="1" operator="equal">
      <x:formula>"À vérifier"</x:formula>
    </x:cfRule>
    <x:cfRule type="cellIs" dxfId="85" priority="2" operator="equal">
      <x:formula>"Extrapolation"</x:formula>
    </x:cfRule>
  </x:conditionalFormatting>
  <x:conditionalFormatting sqref="C7:C9">
    <x:cfRule type="cellIs" dxfId="86" priority="3" operator="equal">
      <x:formula>"Validé"</x:formula>
    </x:cfRule>
  </x:conditionalFormatting>
  <x:conditionalFormatting sqref="E7:E9">
    <x:cfRule type="cellIs" dxfId="87" priority="4" operator="equal">
      <x:formula>"P0"</x:formula>
    </x:cfRule>
  </x:conditionalFormatting>
  <x:dataValidations count="3">
    <x:dataValidation type="list" sqref="C7:C9">
      <x:formula1>"Défini,Prototype,Intégré,Validé"</x:formula1>
    </x:dataValidation>
    <x:dataValidation type="list" sqref="D7:D9">
      <x:formula1>"Établi,À vérifier,Extrapolation,Coupé attesté,Concept abandonné,Allégation écartée"</x:formula1>
    </x:dataValidation>
    <x:dataValidation type="list" sqref="E7:E9">
      <x:formula1>"P0,P1,P2"</x:formula1>
    </x:dataValidation>
  </x:dataValidations>
  <x:pageMargins left="0.7" right="0.7" top="0.75" bottom="0.75" header="0.3" footer="0.3"/>
  <x:tableParts count="1">
    <x:tablePart xmlns:r="http://schemas.openxmlformats.org/officeDocument/2006/relationships" r:id="Racfaa13e80f14795"/>
  </x:tableParts>
</x:worksheet>
</file>

<file path=xl/worksheets/sheet24.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Audio</x:v>
      </x:c>
      <x:c r="B2" s="2"/>
      <x:c r="C2" s="2"/>
      <x:c r="D2" s="2"/>
      <x:c r="E2" s="2"/>
      <x:c r="F2" s="2"/>
      <x:c r="G2" s="2"/>
      <x:c r="H2" s="2"/>
      <x:c r="I2" s="2"/>
      <x:c r="J2" s="2"/>
      <x:c r="K2" s="2"/>
      <x:c r="L2" s="2"/>
      <x:c r="M2" s="2"/>
      <x:c r="N2" s="2"/>
      <x:c r="O2" s="2"/>
      <x:c r="P2" s="2"/>
      <x:c r="Q2" s="2"/>
      <x:c r="R2" s="2"/>
      <x:c r="S2" s="2"/>
    </x:row>
    <x:row r="3" ht="22" customHeight="1">
      <x:c r="A3" s="4" t="str">
        <x:v>Mass Effect: Incursion — Ambiances, effets et musique originale</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INC-AUD-OMEGA</x:v>
      </x:c>
      <x:c r="B7" s="9" t="str">
        <x:v>Omega — secteur du raid — paysage sonore</x:v>
      </x:c>
      <x:c r="C7" s="14" t="str">
        <x:v>Défini</x:v>
      </x:c>
      <x:c r="D7" s="15" t="str">
        <x:v>Extrapolation</x:v>
      </x:c>
      <x:c r="E7" s="15" t="str">
        <x:v>P1</x:v>
      </x:c>
      <x:c r="F7" s="9" t="str">
        <x:v>Ventilation et machines, puis silence lorsque le renseignement est consulté.</x:v>
      </x:c>
      <x:c r="G7" s="9" t="str">
        <x:v>Construire un espace compact d’observation et d’engagement.</x:v>
      </x:c>
      <x:c r="H7" s="9" t="str">
        <x:v>Doubler les alarmes utiles par texte, symbole ou changement de pose; les bruits d’ambiance ne portent pas seuls une information obligatoire.</x:v>
      </x:c>
      <x:c r="I7" s="9" t="str">
        <x:v>Métal usé, orange de service et zones d’ombre qui ne masquent pas les cibles.</x:v>
      </x:c>
      <x:c r="J7" s="9" t="str">
        <x:v>Déclencher les contacts mécaniques au mouvement visible; éviter les boucles désynchronisées des portes.</x:v>
      </x:c>
      <x:c r="K7" s="9" t="str">
        <x:v>Ventilation et machines, puis silence lorsque le renseignement est consulté. Composer une ambiance originale en couches fond / activité / danger, avec réglage indépendant des voix.</x:v>
      </x:c>
      <x:c r="L7" s="9" t="str">
        <x:v>Bus proposé INC/OMEGA; snapshots exploration, tension et dialogue; fondus après chargement.</x:v>
      </x:c>
      <x:c r="M7" s="9" t="str">
        <x:v>Le résultat narratif du raid reste fixé; une tâche de gameplay ne réécrit pas le sort des captifs ni ne fait d’Aria la libératrice de toutes les colonies.</x:v>
      </x:c>
      <x:c r="N7" s="9" t="str">
        <x:v>Un parcours muet reste compréhensible; l’entrée en dialogue baisse les ambiances sans couper brutalement leur réverbération.</x:v>
      </x:c>
      <x:c r="O7" s="9" t="str">
        <x:v>INC-ZONE-OMEGA</x:v>
      </x:c>
      <x:c r="P7" s="9" t="str">
        <x:v>Création sonore originale; aucune piste commerciale requise.</x:v>
      </x:c>
      <x:c r="Q7" s="9" t="str"/>
      <x:c r="R7" s="17" t="str"/>
      <x:c r="S7" s="17" t="str"/>
    </x:row>
  </x:sheetData>
  <x:conditionalFormatting sqref="D7:D7">
    <x:cfRule type="cellIs" dxfId="88" priority="1" operator="equal">
      <x:formula>"À vérifier"</x:formula>
    </x:cfRule>
    <x:cfRule type="cellIs" dxfId="89" priority="2" operator="equal">
      <x:formula>"Extrapolation"</x:formula>
    </x:cfRule>
  </x:conditionalFormatting>
  <x:conditionalFormatting sqref="C7:C7">
    <x:cfRule type="cellIs" dxfId="90" priority="3" operator="equal">
      <x:formula>"Validé"</x:formula>
    </x:cfRule>
  </x:conditionalFormatting>
  <x:conditionalFormatting sqref="E7:E7">
    <x:cfRule type="cellIs" dxfId="91" priority="4" operator="equal">
      <x:formula>"P0"</x:formula>
    </x:cfRule>
  </x:conditionalFormatting>
  <x:dataValidations count="3">
    <x:dataValidation type="list" sqref="C7">
      <x:formula1>"Défini,Prototype,Intégré,Validé"</x:formula1>
    </x:dataValidation>
    <x:dataValidation type="list" sqref="D7">
      <x:formula1>"Établi,À vérifier,Extrapolation,Coupé attesté,Concept abandonné,Allégation écartée"</x:formula1>
    </x:dataValidation>
    <x:dataValidation type="list" sqref="E7">
      <x:formula1>"P0,P1,P2"</x:formula1>
    </x:dataValidation>
  </x:dataValidations>
  <x:pageMargins left="0.7" right="0.7" top="0.75" bottom="0.75" header="0.3" footer="0.3"/>
  <x:tableParts count="1">
    <x:tablePart xmlns:r="http://schemas.openxmlformats.org/officeDocument/2006/relationships" r:id="Rbd57a023e6824cfa"/>
  </x:tableParts>
</x:worksheet>
</file>

<file path=xl/worksheets/sheet25.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Systèmes et UI</x:v>
      </x:c>
      <x:c r="B2" s="2"/>
      <x:c r="C2" s="2"/>
      <x:c r="D2" s="2"/>
      <x:c r="E2" s="2"/>
      <x:c r="F2" s="2"/>
      <x:c r="G2" s="2"/>
      <x:c r="H2" s="2"/>
      <x:c r="I2" s="2"/>
      <x:c r="J2" s="2"/>
      <x:c r="K2" s="2"/>
      <x:c r="L2" s="2"/>
      <x:c r="M2" s="2"/>
      <x:c r="N2" s="2"/>
      <x:c r="O2" s="2"/>
      <x:c r="P2" s="2"/>
      <x:c r="Q2" s="2"/>
      <x:c r="R2" s="2"/>
      <x:c r="S2" s="2"/>
    </x:row>
    <x:row r="3" ht="22" customHeight="1">
      <x:c r="A3" s="4" t="str">
        <x:v>Mass Effect: Incursion — Interface et règles de jeu</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54" customHeight="1">
      <x:c r="A7" s="16" t="str">
        <x:v>INC-SYS-CANON</x:v>
      </x:c>
      <x:c r="B7" s="9" t="str">
        <x:v>Journal à deux niveaux</x:v>
      </x:c>
      <x:c r="C7" s="14" t="str">
        <x:v>Défini</x:v>
      </x:c>
      <x:c r="D7" s="15" t="str">
        <x:v>Extrapolation</x:v>
      </x:c>
      <x:c r="E7" s="15" t="str">
        <x:v>P1</x:v>
      </x:c>
      <x:c r="F7" s="9" t="str">
        <x:v>Dans Incursion, séparer faits attestés, données à contrôler et événements issus des règles du fan game.</x:v>
      </x:c>
      <x:c r="G7" s="9" t="str">
        <x:v>La continuité éditoriale est distincte des essais de gameplay; un choix stratégique ne réécrit pas la fin publiée.</x:v>
      </x:c>
      <x:c r="H7" s="9" t="str">
        <x:v>La continuité éditoriale est distincte des essais de gameplay; un choix stratégique ne réécrit pas la fin publiée.</x:v>
      </x:c>
      <x:c r="I7" s="9" t="str"/>
      <x:c r="J7" s="9" t="str"/>
      <x:c r="K7" s="9" t="str"/>
      <x:c r="L7" s="9" t="str">
        <x:v>Contrat de production INC/SYS-CANON; à appliquer au futur contenu de l'œuvre.</x:v>
      </x:c>
      <x:c r="M7" s="9" t="str">
        <x:v>Le résultat narratif du raid reste fixé; une tâche de gameplay ne réécrit pas le sort des captifs ni ne fait d’Aria la libératrice de toutes les colonies.</x:v>
      </x:c>
      <x:c r="N7" s="9" t="str">
        <x:v>Chaque entrée de journal porte sa provenance; un résultat de combat ne change jamais le niveau de certitude du fait source.</x:v>
      </x:c>
      <x:c r="O7" s="9" t="str">
        <x:v>INC-REF-SCOPE</x:v>
      </x:c>
      <x:c r="P7" s="9" t="str">
        <x:v>Règle originale de production; les ancrages de continuité sont documentés dans les fiches REF.</x:v>
      </x:c>
      <x:c r="Q7" s="9" t="str"/>
      <x:c r="R7" s="17" t="str"/>
      <x:c r="S7" s="17" t="str"/>
    </x:row>
    <x:row r="8" ht="54" customHeight="1">
      <x:c r="A8" s="31" t="str">
        <x:v>INC-SYS-GROUP</x:v>
      </x:c>
      <x:c r="B8" s="7" t="str">
        <x:v>Groupe propre au chapitre</x:v>
      </x:c>
      <x:c r="C8" s="14" t="str">
        <x:v>Défini</x:v>
      </x:c>
      <x:c r="D8" s="30" t="str">
        <x:v>Extrapolation</x:v>
      </x:c>
      <x:c r="E8" s="30" t="str">
        <x:v>P1</x:v>
      </x:c>
      <x:c r="F8" s="7" t="str">
        <x:v>Aria avec un soutien de garde local proposé; aucun Shepard jouable ni recrutement de Feron.</x:v>
      </x:c>
      <x:c r="G8" s="7" t="str">
        <x:v>Former le groupe à partir du chapitre actif; les rôles de soutien ne deviennent pas des recrutements permanents.</x:v>
      </x:c>
      <x:c r="H8" s="7" t="str">
        <x:v>Former le groupe à partir du chapitre actif; les rôles de soutien ne deviennent pas des recrutements permanents.</x:v>
      </x:c>
      <x:c r="I8" s="7" t="str"/>
      <x:c r="J8" s="7" t="str"/>
      <x:c r="K8" s="7" t="str"/>
      <x:c r="L8" s="7" t="str">
        <x:v>Contrat de production INC/SYS-GROUP; à appliquer au futur contenu de l'œuvre.</x:v>
      </x:c>
      <x:c r="M8" s="7" t="str">
        <x:v>Le résultat narratif du raid reste fixé; une tâche de gameplay ne réécrit pas le sort des captifs ni ne fait d’Aria la libératrice de toutes les colonies.</x:v>
      </x:c>
      <x:c r="N8" s="7" t="str">
        <x:v>Recharger un chapitre restitue uniquement son groupe autorisé, ses positions et ses commandes proposées.</x:v>
      </x:c>
      <x:c r="O8" s="7" t="str">
        <x:v>INC-REF-SCOPE</x:v>
      </x:c>
      <x:c r="P8" s="7" t="str">
        <x:v>Règle originale de production; les ancrages de continuité sont documentés dans les fiches REF.</x:v>
      </x:c>
      <x:c r="Q8" s="7" t="str"/>
      <x:c r="R8" s="32" t="str"/>
      <x:c r="S8" s="32" t="str"/>
    </x:row>
    <x:row r="9" ht="68" customHeight="1">
      <x:c r="A9" s="16" t="str">
        <x:v>INC-SYS-ATB</x:v>
      </x:c>
      <x:c r="B9" s="9" t="str">
        <x:v>Rythme ATB proposé</x:v>
      </x:c>
      <x:c r="C9" s="14" t="str">
        <x:v>Défini</x:v>
      </x:c>
      <x:c r="D9" s="15" t="str">
        <x:v>Extrapolation</x:v>
      </x:c>
      <x:c r="E9" s="15" t="str">
        <x:v>P1</x:v>
      </x:c>
      <x:c r="F9" s="9" t="str">
        <x:v>Trois rôles ennemis au maximum à l’écran : tireur, unité Collector et menace lourde; rencontre courte privilégiant lecture du terrain et protection du groupe.</x:v>
      </x:c>
      <x:c r="G9" s="9" t="str">
        <x:v>Pause de planification, annonce visible, résolution déterministe et commandes annulables avant confirmation.</x:v>
      </x:c>
      <x:c r="H9" s="9" t="str">
        <x:v>Pause de planification, annonce visible, résolution déterministe et commandes annulables avant confirmation.</x:v>
      </x:c>
      <x:c r="I9" s="9" t="str"/>
      <x:c r="J9" s="9" t="str"/>
      <x:c r="K9" s="9" t="str"/>
      <x:c r="L9" s="9" t="str">
        <x:v>Contrat de production INC/SYS-ATB; à appliquer au futur contenu de l'œuvre.</x:v>
      </x:c>
      <x:c r="M9" s="9" t="str">
        <x:v>Le résultat narratif du raid reste fixé; une tâche de gameplay ne réécrit pas le sort des captifs ni ne fait d’Aria la libératrice de toutes les colonies.</x:v>
      </x:c>
      <x:c r="N9" s="9" t="str">
        <x:v>Un lecteur peut suivre chaque préparation sans son; la vitesse réglable ne modifie pas les conditions du raccord narratif.</x:v>
      </x:c>
      <x:c r="O9" s="9" t="str">
        <x:v>INC-REF-SCOPE</x:v>
      </x:c>
      <x:c r="P9" s="9" t="str">
        <x:v>Règle originale de production; les ancrages de continuité sont documentés dans les fiches REF.</x:v>
      </x:c>
      <x:c r="Q9" s="9" t="str"/>
      <x:c r="R9" s="17" t="str"/>
      <x:c r="S9" s="17" t="str"/>
    </x:row>
    <x:row r="10" ht="54" customHeight="1">
      <x:c r="A10" s="31" t="str">
        <x:v>INC-SYS-SAVE</x:v>
      </x:c>
      <x:c r="B10" s="7" t="str">
        <x:v>Sauvegarde des modules</x:v>
      </x:c>
      <x:c r="C10" s="14" t="str">
        <x:v>Défini</x:v>
      </x:c>
      <x:c r="D10" s="30" t="str">
        <x:v>Extrapolation</x:v>
      </x:c>
      <x:c r="E10" s="30" t="str">
        <x:v>P1</x:v>
      </x:c>
      <x:c r="F10" s="7" t="str">
        <x:v>Conserver la progression de Incursion sans exporter une issue hypothétique vers la continuité des jeux.</x:v>
      </x:c>
      <x:c r="G10" s="7" t="str">
        <x:v>Stocker le numéro/segment, la méthode locale, les indices acquis et le raccord déjà vu; ne pas écrire dans une sauvegarde canon du jeu.</x:v>
      </x:c>
      <x:c r="H10" s="7" t="str">
        <x:v>Stocker le numéro/segment, la méthode locale, les indices acquis et le raccord déjà vu; ne pas écrire dans une sauvegarde canon du jeu.</x:v>
      </x:c>
      <x:c r="I10" s="7" t="str"/>
      <x:c r="J10" s="7" t="str"/>
      <x:c r="K10" s="7" t="str"/>
      <x:c r="L10" s="7" t="str">
        <x:v>Contrat de production INC/SYS-SAVE; à appliquer au futur contenu de l'œuvre.</x:v>
      </x:c>
      <x:c r="M10" s="7" t="str">
        <x:v>Le résultat narratif du raid reste fixé; une tâche de gameplay ne réécrit pas le sort des captifs ni ne fait d’Aria la libératrice de toutes les colonies.</x:v>
      </x:c>
      <x:c r="N10" s="7" t="str">
        <x:v>Sauvegarder, quitter et reprendre avant/après un raccord ne double aucun objet, objectif ou récompense.</x:v>
      </x:c>
      <x:c r="O10" s="7" t="str">
        <x:v>INC-REF-SCOPE</x:v>
      </x:c>
      <x:c r="P10" s="7" t="str">
        <x:v>Règle originale de production; les ancrages de continuité sont documentés dans les fiches REF.</x:v>
      </x:c>
      <x:c r="Q10" s="7" t="str"/>
      <x:c r="R10" s="32" t="str"/>
      <x:c r="S10" s="32" t="str"/>
    </x:row>
  </x:sheetData>
  <x:conditionalFormatting sqref="D7:D10">
    <x:cfRule type="cellIs" dxfId="92" priority="1" operator="equal">
      <x:formula>"À vérifier"</x:formula>
    </x:cfRule>
    <x:cfRule type="cellIs" dxfId="93" priority="2" operator="equal">
      <x:formula>"Extrapolation"</x:formula>
    </x:cfRule>
  </x:conditionalFormatting>
  <x:conditionalFormatting sqref="C7:C10">
    <x:cfRule type="cellIs" dxfId="94" priority="3" operator="equal">
      <x:formula>"Validé"</x:formula>
    </x:cfRule>
  </x:conditionalFormatting>
  <x:conditionalFormatting sqref="E7:E10">
    <x:cfRule type="cellIs" dxfId="95" priority="4" operator="equal">
      <x:formula>"P0"</x:formula>
    </x:cfRule>
  </x:conditionalFormatting>
  <x:dataValidations count="3">
    <x:dataValidation type="list" sqref="C7:C10">
      <x:formula1>"Défini,Prototype,Intégré,Validé"</x:formula1>
    </x:dataValidation>
    <x:dataValidation type="list" sqref="D7:D10">
      <x:formula1>"Établi,À vérifier,Extrapolation,Coupé attesté,Concept abandonné,Allégation écartée"</x:formula1>
    </x:dataValidation>
    <x:dataValidation type="list" sqref="E7:E10">
      <x:formula1>"P0,P1,P2"</x:formula1>
    </x:dataValidation>
  </x:dataValidations>
  <x:pageMargins left="0.7" right="0.7" top="0.75" bottom="0.75" header="0.3" footer="0.3"/>
  <x:tableParts count="1">
    <x:tablePart xmlns:r="http://schemas.openxmlformats.org/officeDocument/2006/relationships" r:id="R79256bf94b5c4d24"/>
  </x:tableParts>
</x:worksheet>
</file>

<file path=xl/worksheets/sheet26.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QA</x:v>
      </x:c>
      <x:c r="B2" s="2"/>
      <x:c r="C2" s="2"/>
      <x:c r="D2" s="2"/>
      <x:c r="E2" s="2"/>
      <x:c r="F2" s="2"/>
      <x:c r="G2" s="2"/>
      <x:c r="H2" s="2"/>
      <x:c r="I2" s="2"/>
      <x:c r="J2" s="2"/>
      <x:c r="K2" s="2"/>
      <x:c r="L2" s="2"/>
      <x:c r="M2" s="2"/>
      <x:c r="N2" s="2"/>
      <x:c r="O2" s="2"/>
      <x:c r="P2" s="2"/>
      <x:c r="Q2" s="2"/>
      <x:c r="R2" s="2"/>
      <x:c r="S2" s="2"/>
    </x:row>
    <x:row r="3" ht="22" customHeight="1">
      <x:c r="A3" s="4" t="str">
        <x:v>Mass Effect: Incursion — Critères de test et contrôles de fidélité</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INC-SC-CHECK-QA</x:v>
      </x:c>
      <x:c r="B7" s="9" t="str">
        <x:v>Examiner la perturbation — contrôle du parcours</x:v>
      </x:c>
      <x:c r="C7" s="14" t="str">
        <x:v>Défini</x:v>
      </x:c>
      <x:c r="D7" s="15" t="str">
        <x:v>Extrapolation</x:v>
      </x:c>
      <x:c r="E7" s="15" t="str">
        <x:v>P0</x:v>
      </x:c>
      <x:c r="F7" s="9" t="str">
        <x:v>Rejouer « Examiner la perturbation » par les deux méthodes proposées, avec tâche facultative ignorée puis terminée, et en sautant le raccord.</x:v>
      </x:c>
      <x:c r="G7" s="9" t="str">
        <x:v>Arrivée → observation de rôles → choix d’approche → accès.</x:v>
      </x:c>
      <x:c r="H7" s="9" t="str">
        <x:v>Deux postes d’observation révèlent les lignes de vue; aucun dialogue n’explique déjà toute l’origine des Collectors.</x:v>
      </x:c>
      <x:c r="I7" s="9" t="str"/>
      <x:c r="J7" s="9" t="str"/>
      <x:c r="K7" s="9" t="str"/>
      <x:c r="L7" s="9" t="str">
        <x:v>Scénarios de recette à exécuter pour INC/CHECK; consigner résultat réel et preuve seulement lors d’une future réalisation.</x:v>
      </x:c>
      <x:c r="M7" s="9" t="str">
        <x:v>Fiche de recette définie; aucun test du jeu n’a été exécuté par ce catalogue.</x:v>
      </x:c>
      <x:c r="N7" s="9" t="str">
        <x:v>L'objectif « Examiner la perturbation » atteint son raccord annoncé après chaque méthode; sauvegarde, rechargement et saut de scène n'en changent ni le groupe ni les informations acquises.</x:v>
      </x:c>
      <x:c r="O7" s="9" t="str">
        <x:v>INC-SC-CHECK-MAIN, INC-SC-CHECK-CHOICE, INC-SC-CHECK-CINE, INC-SC-CHECK-PROP</x:v>
      </x:c>
      <x:c r="P7" s="9" t="str">
        <x:v>Critère de production original, pas une validation déjà obtenue.</x:v>
      </x:c>
      <x:c r="Q7" s="9" t="str"/>
      <x:c r="R7" s="17" t="str"/>
      <x:c r="S7" s="17" t="str"/>
    </x:row>
    <x:row r="8" ht="68" customHeight="1">
      <x:c r="A8" s="31" t="str">
        <x:v>INC-SC-RAID-QA</x:v>
      </x:c>
      <x:c r="B8" s="7" t="str">
        <x:v>Interrompre la transaction — contrôle du parcours</x:v>
      </x:c>
      <x:c r="C8" s="14" t="str">
        <x:v>Défini</x:v>
      </x:c>
      <x:c r="D8" s="30" t="str">
        <x:v>Extrapolation</x:v>
      </x:c>
      <x:c r="E8" s="30" t="str">
        <x:v>P0</x:v>
      </x:c>
      <x:c r="F8" s="7" t="str">
        <x:v>Rejouer « Interrompre la transaction » par les deux méthodes proposées, avec tâche facultative ignorée puis terminée, et en sautant le raccord.</x:v>
      </x:c>
      <x:c r="G8" s="7" t="str">
        <x:v>Révélation → engagement → déplacement de menace lourde → fin du raid.</x:v>
      </x:c>
      <x:c r="H8" s="7" t="str">
        <x:v>Le résultat source est fixé; les objectifs locaux portent sur la survie du groupe et le contrôle de position, pas sur un décompte de victimes canon.</x:v>
      </x:c>
      <x:c r="I8" s="7" t="str"/>
      <x:c r="J8" s="7" t="str"/>
      <x:c r="K8" s="7" t="str"/>
      <x:c r="L8" s="7" t="str">
        <x:v>Scénarios de recette à exécuter pour INC/RAID; consigner résultat réel et preuve seulement lors d’une future réalisation.</x:v>
      </x:c>
      <x:c r="M8" s="7" t="str">
        <x:v>Fiche de recette définie; aucun test du jeu n’a été exécuté par ce catalogue.</x:v>
      </x:c>
      <x:c r="N8" s="7" t="str">
        <x:v>L'objectif « Interrompre la transaction » atteint son raccord annoncé après chaque méthode; sauvegarde, rechargement et saut de scène n'en changent ni le groupe ni les informations acquises.</x:v>
      </x:c>
      <x:c r="O8" s="7" t="str">
        <x:v>INC-SC-RAID-MAIN, INC-SC-RAID-CHOICE, INC-SC-RAID-CINE, INC-SC-RAID-PROP</x:v>
      </x:c>
      <x:c r="P8" s="7" t="str">
        <x:v>Critère de production original, pas une validation déjà obtenue.</x:v>
      </x:c>
      <x:c r="Q8" s="7" t="str"/>
      <x:c r="R8" s="32" t="str"/>
      <x:c r="S8" s="32" t="str"/>
    </x:row>
    <x:row r="9" ht="68" customHeight="1">
      <x:c r="A9" s="16" t="str">
        <x:v>INC-SC-REPORT-QA</x:v>
      </x:c>
      <x:c r="B9" s="9" t="str">
        <x:v>Comprendre la cible humaine — contrôle du parcours</x:v>
      </x:c>
      <x:c r="C9" s="14" t="str">
        <x:v>Défini</x:v>
      </x:c>
      <x:c r="D9" s="15" t="str">
        <x:v>Extrapolation</x:v>
      </x:c>
      <x:c r="E9" s="15" t="str">
        <x:v>P0</x:v>
      </x:c>
      <x:c r="F9" s="9" t="str">
        <x:v>Rejouer « Comprendre la cible humaine » par les deux méthodes proposées, avec tâche facultative ignorée puis terminée, et en sautant le raccord.</x:v>
      </x:c>
      <x:c r="G9" s="9" t="str">
        <x:v>Retour → lecture → constat de portée → fin.</x:v>
      </x:c>
      <x:c r="H9" s="9" t="str">
        <x:v>Le document sert de renseignement; cliquer un nom n’ouvre aucune planète visitable.</x:v>
      </x:c>
      <x:c r="I9" s="9" t="str"/>
      <x:c r="J9" s="9" t="str"/>
      <x:c r="K9" s="9" t="str"/>
      <x:c r="L9" s="9" t="str">
        <x:v>Scénarios de recette à exécuter pour INC/REPORT; consigner résultat réel et preuve seulement lors d’une future réalisation.</x:v>
      </x:c>
      <x:c r="M9" s="9" t="str">
        <x:v>Fiche de recette définie; aucun test du jeu n’a été exécuté par ce catalogue.</x:v>
      </x:c>
      <x:c r="N9" s="9" t="str">
        <x:v>L'objectif « Comprendre la cible humaine » atteint son raccord annoncé après chaque méthode; sauvegarde, rechargement et saut de scène n'en changent ni le groupe ni les informations acquises.</x:v>
      </x:c>
      <x:c r="O9" s="9" t="str">
        <x:v>INC-SC-REPORT-MAIN, INC-SC-REPORT-CHOICE, INC-SC-REPORT-CINE, INC-SC-REPORT-PROP</x:v>
      </x:c>
      <x:c r="P9" s="9" t="str">
        <x:v>Critère de production original, pas une validation déjà obtenue.</x:v>
      </x:c>
      <x:c r="Q9" s="9" t="str"/>
      <x:c r="R9" s="17" t="str"/>
      <x:c r="S9" s="17" t="str"/>
    </x:row>
    <x:row r="10" ht="54" customHeight="1">
      <x:c r="A10" s="31" t="str">
        <x:v>INC-QA-SOURCE</x:v>
      </x:c>
      <x:c r="B10" s="7" t="str">
        <x:v>Vérification des références</x:v>
      </x:c>
      <x:c r="C10" s="14" t="str">
        <x:v>Défini</x:v>
      </x:c>
      <x:c r="D10" s="30" t="str">
        <x:v>Extrapolation</x:v>
      </x:c>
      <x:c r="E10" s="30" t="str">
        <x:v>P0</x:v>
      </x:c>
      <x:c r="F10" s="7" t="str">
        <x:v>Contrôler Incursion dans une édition autorisée avant de transformer les éléments À vérifier en faits établis.</x:v>
      </x:c>
      <x:c r="G10" s="7" t="str">
        <x:v>Contrôler le récit court dans son édition autorisée; ne pas inventer des numéros ou une pagination absents de la consultation.</x:v>
      </x:c>
      <x:c r="H10" s="7" t="str"/>
      <x:c r="I10" s="7" t="str"/>
      <x:c r="J10" s="7" t="str"/>
      <x:c r="K10" s="7" t="str"/>
      <x:c r="L10" s="7" t="str">
        <x:v>Contrat de production INC/QA-SOURCE; à appliquer au futur contenu de l'œuvre.</x:v>
      </x:c>
      <x:c r="M10" s="7" t="str">
        <x:v>Recette planifiée; aucune réalisation testée ici.</x:v>
      </x:c>
      <x:c r="N10" s="7" t="str">
        <x:v>Chaque ajout de nom, page, costume ou date est lié à la bonne édition; les descriptions restent brèves et paraphrasées.</x:v>
      </x:c>
      <x:c r="O10" s="7" t="str">
        <x:v>INC-REF-SCOPE</x:v>
      </x:c>
      <x:c r="P10" s="7" t="str">
        <x:v>Règle originale de production; les ancrages de continuité sont documentés dans les fiches REF.</x:v>
      </x:c>
      <x:c r="Q10" s="7" t="str"/>
      <x:c r="R10" s="32" t="str"/>
      <x:c r="S10" s="32" t="str"/>
    </x:row>
    <x:row r="11" ht="54" customHeight="1">
      <x:c r="A11" s="16" t="str">
        <x:v>INC-QA-VISIBILITY</x:v>
      </x:c>
      <x:c r="B11" s="9" t="str">
        <x:v>Lecture des sprites et du terrain</x:v>
      </x:c>
      <x:c r="C11" s="14" t="str">
        <x:v>Défini</x:v>
      </x:c>
      <x:c r="D11" s="15" t="str">
        <x:v>Extrapolation</x:v>
      </x:c>
      <x:c r="E11" s="15" t="str">
        <x:v>P0</x:v>
      </x:c>
      <x:c r="F11" s="9" t="str">
        <x:v>Contrôler la taille des sprites, la séparation des silhouettes et les sorties sous la caméra fixe de chaque scène.</x:v>
      </x:c>
      <x:c r="G11" s="9" t="str">
        <x:v>Faire parcourir les zones avec premier plan actif, sous-titres larges et mode de contraste renforcé.</x:v>
      </x:c>
      <x:c r="H11" s="9" t="str"/>
      <x:c r="I11" s="9" t="str"/>
      <x:c r="J11" s="9" t="str"/>
      <x:c r="K11" s="9" t="str"/>
      <x:c r="L11" s="9" t="str">
        <x:v>Contrat de production INC/QA-VISIBILITY; à appliquer au futur contenu de l'œuvre.</x:v>
      </x:c>
      <x:c r="M11" s="9" t="str">
        <x:v>Recette planifiée; aucune réalisation testée ici.</x:v>
      </x:c>
      <x:c r="N11" s="9" t="str">
        <x:v>Le personnage contrôlé, les sorties et le signal de danger restent localisables sans désactiver le décor.</x:v>
      </x:c>
      <x:c r="O11" s="9" t="str">
        <x:v>INC-REF-SCOPE</x:v>
      </x:c>
      <x:c r="P11" s="9" t="str">
        <x:v>Règle originale de production; les ancrages de continuité sont documentés dans les fiches REF.</x:v>
      </x:c>
      <x:c r="Q11" s="9" t="str"/>
      <x:c r="R11" s="17" t="str"/>
      <x:c r="S11" s="17" t="str"/>
    </x:row>
    <x:row r="12" ht="68" customHeight="1">
      <x:c r="A12" s="31" t="str">
        <x:v>INC-QA-NARRATIVE</x:v>
      </x:c>
      <x:c r="B12" s="7" t="str">
        <x:v>Convergence narrative</x:v>
      </x:c>
      <x:c r="C12" s="14" t="str">
        <x:v>Défini</x:v>
      </x:c>
      <x:c r="D12" s="30" t="str">
        <x:v>Extrapolation</x:v>
      </x:c>
      <x:c r="E12" s="30" t="str">
        <x:v>P0</x:v>
      </x:c>
      <x:c r="F12" s="7" t="str">
        <x:v>Le résultat narratif du raid reste fixé; une tâche de gameplay ne réécrit pas le sort des captifs ni ne fait d’Aria la libératrice de toutes les colonies.</x:v>
      </x:c>
      <x:c r="G12" s="7" t="str">
        <x:v>La continuité éditoriale est distincte des essais de gameplay; un choix stratégique ne réécrit pas la fin publiée.</x:v>
      </x:c>
      <x:c r="H12" s="7" t="str"/>
      <x:c r="I12" s="7" t="str"/>
      <x:c r="J12" s="7" t="str"/>
      <x:c r="K12" s="7" t="str"/>
      <x:c r="L12" s="7" t="str">
        <x:v>Contrat de production INC/QA-NARRATIVE; à appliquer au futur contenu de l'œuvre.</x:v>
      </x:c>
      <x:c r="M12" s="7" t="str">
        <x:v>Recette planifiée; aucune réalisation testée ici.</x:v>
      </x:c>
      <x:c r="N12" s="7" t="str">
        <x:v>Jouer chaque choix local et passer chaque cinématique produit les mêmes ancrages de conclusion; les divergences restent marquées adaptation.</x:v>
      </x:c>
      <x:c r="O12" s="7" t="str">
        <x:v>INC-REF-SCOPE</x:v>
      </x:c>
      <x:c r="P12" s="7" t="str">
        <x:v>Règle originale de production; les ancrages de continuité sont documentés dans les fiches REF.</x:v>
      </x:c>
      <x:c r="Q12" s="7" t="str"/>
      <x:c r="R12" s="32" t="str"/>
      <x:c r="S12" s="32" t="str"/>
    </x:row>
  </x:sheetData>
  <x:conditionalFormatting sqref="D7:D12">
    <x:cfRule type="cellIs" dxfId="96" priority="1" operator="equal">
      <x:formula>"À vérifier"</x:formula>
    </x:cfRule>
    <x:cfRule type="cellIs" dxfId="97" priority="2" operator="equal">
      <x:formula>"Extrapolation"</x:formula>
    </x:cfRule>
  </x:conditionalFormatting>
  <x:conditionalFormatting sqref="C7:C12">
    <x:cfRule type="cellIs" dxfId="98" priority="3" operator="equal">
      <x:formula>"Validé"</x:formula>
    </x:cfRule>
  </x:conditionalFormatting>
  <x:conditionalFormatting sqref="E7:E12">
    <x:cfRule type="cellIs" dxfId="99" priority="4" operator="equal">
      <x:formula>"P0"</x:formula>
    </x:cfRule>
  </x:conditionalFormatting>
  <x:dataValidations count="3">
    <x:dataValidation type="list" sqref="C7:C12">
      <x:formula1>"Défini,Prototype,Intégré,Validé"</x:formula1>
    </x:dataValidation>
    <x:dataValidation type="list" sqref="D7:D12">
      <x:formula1>"Établi,À vérifier,Extrapolation,Coupé attesté,Concept abandonné,Allégation écartée"</x:formula1>
    </x:dataValidation>
    <x:dataValidation type="list" sqref="E7:E12">
      <x:formula1>"P0,P1,P2"</x:formula1>
    </x:dataValidation>
  </x:dataValidations>
  <x:pageMargins left="0.7" right="0.7" top="0.75" bottom="0.75" header="0.3" footer="0.3"/>
  <x:tableParts count="1">
    <x:tablePart xmlns:r="http://schemas.openxmlformats.org/officeDocument/2006/relationships" r:id="R97b2f511ce614a44"/>
  </x:tableParts>
</x:worksheet>
</file>

<file path=xl/worksheets/sheet27.xml><?xml version="1.0" encoding="utf-8"?>
<x:worksheet xmlns:x="http://schemas.openxmlformats.org/spreadsheetml/2006/main">
  <x:sheetViews>
    <x:sheetView showGridLines="0" workbookViewId="0">
      <x:pane xSplit="2" ySplit="6" topLeftCell="C7" activePane="bottomRight" state="frozen"/>
    </x:sheetView>
  </x:sheetViews>
  <x:sheetFormatPr defaultRowHeight="15"/>
  <x:cols>
    <x:col min="1" max="1" width="31" hidden="0" customWidth="1"/>
    <x:col min="2" max="2" width="37" hidden="0" customWidth="1"/>
    <x:col min="3" max="3" width="14" hidden="0" customWidth="1"/>
    <x:col min="4" max="4" width="21" hidden="0" customWidth="1"/>
    <x:col min="5" max="5" width="10" hidden="0" customWidth="1"/>
    <x:col min="6" max="6" width="52" hidden="0" customWidth="1"/>
    <x:col min="7" max="7" width="57" hidden="0" customWidth="1"/>
    <x:col min="8" max="8" width="60" hidden="0" customWidth="1"/>
    <x:col min="9" max="9" width="56" hidden="0" customWidth="1"/>
    <x:col min="10" max="10" width="53" hidden="0" customWidth="1"/>
    <x:col min="11" max="11" width="51" hidden="0" customWidth="1"/>
    <x:col min="12" max="12" width="58" hidden="0" customWidth="1"/>
    <x:col min="13" max="13" width="57" hidden="0" customWidth="1"/>
    <x:col min="14" max="14" width="61" hidden="0" customWidth="1"/>
    <x:col min="15" max="15" width="44" hidden="0" customWidth="1"/>
    <x:col min="16" max="16" width="45" hidden="0" customWidth="1"/>
    <x:col min="17" max="17" width="24" hidden="0" customWidth="1"/>
    <x:col min="18" max="18" width="69" hidden="0" customWidth="1"/>
    <x:col min="19" max="19" width="73" hidden="0" customWidth="1"/>
  </x:cols>
  <x:sheetData>
    <x:row r="1" ht="22" customHeight="1">
      <x:c r="A1" s="2"/>
      <x:c r="B1" s="2"/>
      <x:c r="C1" s="2"/>
      <x:c r="D1" s="2"/>
      <x:c r="E1" s="2"/>
      <x:c r="F1" s="2"/>
      <x:c r="G1" s="2"/>
      <x:c r="H1" s="2"/>
      <x:c r="I1" s="2"/>
      <x:c r="J1" s="2"/>
      <x:c r="K1" s="2"/>
      <x:c r="L1" s="2"/>
      <x:c r="M1" s="2"/>
      <x:c r="N1" s="2"/>
      <x:c r="O1" s="2"/>
      <x:c r="P1" s="2"/>
      <x:c r="Q1" s="2"/>
      <x:c r="R1" s="2"/>
      <x:c r="S1" s="2"/>
    </x:row>
    <x:row r="2" ht="22" customHeight="1">
      <x:c r="A2" s="3" t="str">
        <x:v>Continuité</x:v>
      </x:c>
      <x:c r="B2" s="2"/>
      <x:c r="C2" s="2"/>
      <x:c r="D2" s="2"/>
      <x:c r="E2" s="2"/>
      <x:c r="F2" s="2"/>
      <x:c r="G2" s="2"/>
      <x:c r="H2" s="2"/>
      <x:c r="I2" s="2"/>
      <x:c r="J2" s="2"/>
      <x:c r="K2" s="2"/>
      <x:c r="L2" s="2"/>
      <x:c r="M2" s="2"/>
      <x:c r="N2" s="2"/>
      <x:c r="O2" s="2"/>
      <x:c r="P2" s="2"/>
      <x:c r="Q2" s="2"/>
      <x:c r="R2" s="2"/>
      <x:c r="S2" s="2"/>
    </x:row>
    <x:row r="3" ht="22" customHeight="1">
      <x:c r="A3" s="4" t="str">
        <x:v>Mass Effect: Incursion — États persistants, chronologie et limites de l’adaptation</x:v>
      </x:c>
      <x:c r="B3" s="2"/>
      <x:c r="C3" s="2"/>
      <x:c r="D3" s="2"/>
      <x:c r="E3" s="2"/>
      <x:c r="F3" s="2"/>
      <x:c r="G3" s="2"/>
      <x:c r="H3" s="2"/>
      <x:c r="I3" s="2"/>
      <x:c r="J3" s="2"/>
      <x:c r="K3" s="2"/>
      <x:c r="L3" s="2"/>
      <x:c r="M3" s="2"/>
      <x:c r="N3" s="2"/>
      <x:c r="O3" s="2"/>
      <x:c r="P3" s="2"/>
      <x:c r="Q3" s="2"/>
      <x:c r="R3" s="2"/>
      <x:c r="S3" s="2"/>
    </x:row>
    <x:row r="4" ht="22" customHeight="1">
      <x:c r="A4" s="5"/>
      <x:c r="B4" s="5"/>
      <x:c r="C4" s="5"/>
      <x:c r="D4" s="5"/>
      <x:c r="E4" s="5"/>
      <x:c r="F4" s="5"/>
      <x:c r="G4" s="5"/>
      <x:c r="H4" s="5"/>
      <x:c r="I4" s="5"/>
      <x:c r="J4" s="5"/>
      <x:c r="K4" s="5"/>
      <x:c r="L4" s="5"/>
      <x:c r="M4" s="5"/>
      <x:c r="N4" s="5"/>
      <x:c r="O4" s="5"/>
      <x:c r="P4" s="5"/>
      <x:c r="Q4" s="5"/>
      <x:c r="R4" s="5"/>
      <x:c r="S4" s="5"/>
    </x:row>
    <x:row r="5" ht="22" customHeight="1">
      <x:c r="A5" s="2"/>
      <x:c r="B5" s="2"/>
      <x:c r="C5" s="2"/>
      <x:c r="D5" s="2"/>
      <x:c r="E5" s="2"/>
      <x:c r="F5" s="2"/>
      <x:c r="G5" s="2"/>
      <x:c r="H5" s="2"/>
      <x:c r="I5" s="2"/>
      <x:c r="J5" s="2"/>
      <x:c r="K5" s="2"/>
      <x:c r="L5" s="2"/>
      <x:c r="M5" s="2"/>
      <x:c r="N5" s="2"/>
      <x:c r="O5" s="2"/>
      <x:c r="P5" s="2"/>
      <x:c r="Q5" s="2"/>
      <x:c r="R5" s="2"/>
      <x:c r="S5" s="2"/>
    </x:row>
    <x:row r="6" ht="34" customHeight="1">
      <x:c r="A6" s="26" t="str">
        <x:v>Identifiant</x:v>
      </x:c>
      <x:c r="B6" s="27" t="str">
        <x:v>Élément</x:v>
      </x:c>
      <x:c r="C6" s="27" t="str">
        <x:v>Contenu</x:v>
      </x:c>
      <x:c r="D6" s="27" t="str">
        <x:v>Nature de la référence</x:v>
      </x:c>
      <x:c r="E6" s="27" t="str">
        <x:v>Priorité</x:v>
      </x:c>
      <x:c r="F6" s="27" t="str">
        <x:v>Fait ou hypothèse</x:v>
      </x:c>
      <x:c r="G6" s="27" t="str">
        <x:v>Adaptation proposée</x:v>
      </x:c>
      <x:c r="H6" s="27" t="str">
        <x:v>Règles et moveset proposés</x:v>
      </x:c>
      <x:c r="I6" s="27" t="str">
        <x:v>Direction visuelle</x:v>
      </x:c>
      <x:c r="J6" s="27" t="str">
        <x:v>Animation</x:v>
      </x:c>
      <x:c r="K6" s="27" t="str">
        <x:v>Audio et accessibilité</x:v>
      </x:c>
      <x:c r="L6" s="27" t="str">
        <x:v>Mise en œuvre prévue</x:v>
      </x:c>
      <x:c r="M6" s="27" t="str">
        <x:v>Conditions et variantes</x:v>
      </x:c>
      <x:c r="N6" s="27" t="str">
        <x:v>Critère d’acceptation</x:v>
      </x:c>
      <x:c r="O6" s="27" t="str">
        <x:v>Dépendances</x:v>
      </x:c>
      <x:c r="P6" s="27" t="str">
        <x:v>Repère dans l’œuvre</x:v>
      </x:c>
      <x:c r="Q6" s="27" t="str">
        <x:v>Sources</x:v>
      </x:c>
      <x:c r="R6" s="27" t="str">
        <x:v>Sources URL</x:v>
      </x:c>
      <x:c r="S6" s="28" t="str">
        <x:v>Notes et limites</x:v>
      </x:c>
    </x:row>
    <x:row r="7" ht="68" customHeight="1">
      <x:c r="A7" s="16" t="str">
        <x:v>INC-CNT-PLACE</x:v>
      </x:c>
      <x:c r="B7" s="9" t="str">
        <x:v>Position dans l’univers</x:v>
      </x:c>
      <x:c r="C7" s="14" t="str">
        <x:v>Défini</x:v>
      </x:c>
      <x:c r="D7" s="15" t="str">
        <x:v>Extrapolation</x:v>
      </x:c>
      <x:c r="E7" s="15" t="str">
        <x:v>P1</x:v>
      </x:c>
      <x:c r="F7" s="9" t="str">
        <x:v>Complément de la relation entre Aria et les Collectors évoquée dans Redemption; le wiki le situe avant l’ouverture de ME2. Aucun voyage vers les colonies listées n’est ajouté.</x:v>
      </x:c>
      <x:c r="G7" s="9" t="str">
        <x:v>La continuité éditoriale est distincte des essais de gameplay; un choix stratégique ne réécrit pas la fin publiée.</x:v>
      </x:c>
      <x:c r="H7" s="9" t="str"/>
      <x:c r="I7" s="9" t="str"/>
      <x:c r="J7" s="9" t="str"/>
      <x:c r="K7" s="9" t="str"/>
      <x:c r="L7" s="9" t="str">
        <x:v>Contrat de production INC/CNT-PLACE; à appliquer au futur contenu de l'œuvre.</x:v>
      </x:c>
      <x:c r="M7" s="9" t="str">
        <x:v>Le résultat narratif du raid reste fixé; une tâche de gameplay ne réécrit pas le sort des captifs ni ne fait d’Aria la libératrice de toutes les colonies.</x:v>
      </x:c>
      <x:c r="N7" s="9" t="str">
        <x:v>La frise indique les incertitudes et les liens avec les autres œuvres sans attribuer une date non sourcée.</x:v>
      </x:c>
      <x:c r="O7" s="9" t="str">
        <x:v>INC-REF-SCOPE</x:v>
      </x:c>
      <x:c r="P7" s="9" t="str">
        <x:v>Règle originale de production; les ancrages de continuité sont documentés dans les fiches REF.</x:v>
      </x:c>
      <x:c r="Q7" s="9" t="str"/>
      <x:c r="R7" s="17" t="str"/>
      <x:c r="S7" s="17" t="str"/>
    </x:row>
    <x:row r="8" ht="54" customHeight="1">
      <x:c r="A8" s="31" t="str">
        <x:v>INC-CNT-NO-CUT</x:v>
      </x:c>
      <x:c r="B8" s="7" t="str">
        <x:v>Contenus non attestés</x:v>
      </x:c>
      <x:c r="C8" s="14" t="str">
        <x:v>Défini</x:v>
      </x:c>
      <x:c r="D8" s="30" t="str">
        <x:v>Extrapolation</x:v>
      </x:c>
      <x:c r="E8" s="30" t="str">
        <x:v>P1</x:v>
      </x:c>
      <x:c r="F8" s="7" t="str">
        <x:v>Aucune rumeur de scène coupée n’est intégrée à Incursion.</x:v>
      </x:c>
      <x:c r="G8" s="7" t="str">
        <x:v>Un contenu absent des notices consultées reste non documenté; une illustration préparatoire ne prouve pas une scène canon.</x:v>
      </x:c>
      <x:c r="H8" s="7" t="str"/>
      <x:c r="I8" s="7" t="str"/>
      <x:c r="J8" s="7" t="str"/>
      <x:c r="K8" s="7" t="str"/>
      <x:c r="L8" s="7" t="str">
        <x:v>Contrat de production INC/CNT-NO-CUT; à appliquer au futur contenu de l'œuvre.</x:v>
      </x:c>
      <x:c r="M8" s="7" t="str">
        <x:v>Le résultat narratif du raid reste fixé; une tâche de gameplay ne réécrit pas le sort des captifs ni ne fait d’Aria la libératrice de toutes les colonies.</x:v>
      </x:c>
      <x:c r="N8" s="7" t="str">
        <x:v>Une future fiche Coupé attesté ou Concept abandonné devra citer une preuve primaire spécifique.</x:v>
      </x:c>
      <x:c r="O8" s="7" t="str">
        <x:v>INC-REF-SCOPE</x:v>
      </x:c>
      <x:c r="P8" s="7" t="str">
        <x:v>Règle originale de production; les ancrages de continuité sont documentés dans les fiches REF.</x:v>
      </x:c>
      <x:c r="Q8" s="7" t="str"/>
      <x:c r="R8" s="32" t="str"/>
      <x:c r="S8" s="32" t="str"/>
    </x:row>
  </x:sheetData>
  <x:conditionalFormatting sqref="D7:D8">
    <x:cfRule type="cellIs" dxfId="100" priority="1" operator="equal">
      <x:formula>"À vérifier"</x:formula>
    </x:cfRule>
    <x:cfRule type="cellIs" dxfId="101" priority="2" operator="equal">
      <x:formula>"Extrapolation"</x:formula>
    </x:cfRule>
  </x:conditionalFormatting>
  <x:conditionalFormatting sqref="C7:C8">
    <x:cfRule type="cellIs" dxfId="102" priority="3" operator="equal">
      <x:formula>"Validé"</x:formula>
    </x:cfRule>
  </x:conditionalFormatting>
  <x:conditionalFormatting sqref="E7:E8">
    <x:cfRule type="cellIs" dxfId="103" priority="4" operator="equal">
      <x:formula>"P0"</x:formula>
    </x:cfRule>
  </x:conditionalFormatting>
  <x:dataValidations count="3">
    <x:dataValidation type="list" sqref="C7:C8">
      <x:formula1>"Défini,Prototype,Intégré,Validé"</x:formula1>
    </x:dataValidation>
    <x:dataValidation type="list" sqref="D7:D8">
      <x:formula1>"Établi,À vérifier,Extrapolation,Coupé attesté,Concept abandonné,Allégation écartée"</x:formula1>
    </x:dataValidation>
    <x:dataValidation type="list" sqref="E7:E8">
      <x:formula1>"P0,P1,P2"</x:formula1>
    </x:dataValidation>
  </x:dataValidations>
  <x:pageMargins left="0.7" right="0.7" top="0.75" bottom="0.75" header="0.3" footer="0.3"/>
  <x:tableParts count="1">
    <x:tablePart xmlns:r="http://schemas.openxmlformats.org/officeDocument/2006/relationships" r:id="R61fe610a141348c6"/>
  </x:tableParts>
</x:worksheet>
</file>

<file path=xl/worksheets/sheet28.xml><?xml version="1.0" encoding="utf-8"?>
<x:worksheet xmlns:x="http://schemas.openxmlformats.org/spreadsheetml/2006/main">
  <x:sheetPr>
    <x:tabColor rgb="FF78929B"/>
  </x:sheetPr>
  <x:sheetViews>
    <x:sheetView showGridLines="0" workbookViewId="0">
      <x:pane ySplit="6" topLeftCell="A7" activePane="bottomLeft" state="frozen"/>
    </x:sheetView>
  </x:sheetViews>
  <x:sheetFormatPr defaultRowHeight="15"/>
  <x:cols>
    <x:col min="1" max="1" width="27" hidden="0" customWidth="1"/>
    <x:col min="2" max="2" width="67" hidden="0" customWidth="1"/>
    <x:col min="3" max="3" width="47" hidden="0" customWidth="1"/>
    <x:col min="4" max="4" width="90" hidden="0" customWidth="1"/>
    <x:col min="5" max="5" width="48" hidden="0" customWidth="1"/>
    <x:col min="6" max="6" width="65" hidden="0" customWidth="1"/>
  </x:cols>
  <x:sheetData>
    <x:row r="1" ht="22" customHeight="1">
      <x:c r="A1" s="2"/>
      <x:c r="B1" s="2"/>
      <x:c r="C1" s="2"/>
      <x:c r="D1" s="2"/>
      <x:c r="E1" s="2"/>
      <x:c r="F1" s="2"/>
    </x:row>
    <x:row r="2" ht="22" customHeight="1">
      <x:c r="A2" s="3" t="str">
        <x:v>Guide du catalogue</x:v>
      </x:c>
      <x:c r="B2" s="2"/>
      <x:c r="C2" s="2"/>
      <x:c r="D2" s="2"/>
      <x:c r="E2" s="2"/>
      <x:c r="F2" s="2"/>
    </x:row>
    <x:row r="3" ht="22" customHeight="1">
      <x:c r="A3" s="4" t="str">
        <x:v>Mass Effect: Incursion</x:v>
      </x:c>
      <x:c r="B3" s="2"/>
      <x:c r="C3" s="2"/>
      <x:c r="D3" s="2"/>
      <x:c r="E3" s="2"/>
      <x:c r="F3" s="2"/>
    </x:row>
    <x:row r="4" ht="22" customHeight="1">
      <x:c r="A4" s="5"/>
      <x:c r="B4" s="5"/>
      <x:c r="C4" s="5"/>
      <x:c r="D4" s="5"/>
      <x:c r="E4" s="5"/>
      <x:c r="F4" s="5"/>
    </x:row>
    <x:row r="5" ht="22" customHeight="1">
      <x:c r="A5" s="2"/>
      <x:c r="B5" s="2"/>
      <x:c r="C5" s="2"/>
      <x:c r="D5" s="2"/>
      <x:c r="E5" s="2"/>
      <x:c r="F5" s="2"/>
    </x:row>
    <x:row r="6" ht="34" customHeight="1">
      <x:c r="A6" s="26" t="str">
        <x:v>Champ</x:v>
      </x:c>
      <x:c r="B6" s="28" t="str">
        <x:v>Définition</x:v>
      </x:c>
      <x:c r="C6" s="2"/>
      <x:c r="D6" s="2"/>
      <x:c r="E6" s="2"/>
      <x:c r="F6" s="2"/>
    </x:row>
    <x:row r="7" ht="30" customHeight="1">
      <x:c r="A7" s="7" t="str">
        <x:v>Œuvre</x:v>
      </x:c>
      <x:c r="B7" s="7" t="str">
        <x:v>Mass Effect: Incursion</x:v>
      </x:c>
      <x:c r="C7" s="2"/>
      <x:c r="D7" s="2"/>
      <x:c r="E7" s="2"/>
      <x:c r="F7" s="2"/>
    </x:row>
    <x:row r="8" ht="30" customHeight="1">
      <x:c r="A8" s="7" t="str">
        <x:v>Support</x:v>
      </x:c>
      <x:c r="B8" s="7" t="str">
        <x:v>Comic court / récit autonome</x:v>
      </x:c>
      <x:c r="C8" s="2"/>
      <x:c r="D8" s="2"/>
      <x:c r="E8" s="2"/>
      <x:c r="F8" s="2"/>
    </x:row>
    <x:row r="9" ht="40" customHeight="1">
      <x:c r="A9" s="7" t="str">
        <x:v>Périmètre</x:v>
      </x:c>
      <x:c r="B9" s="7" t="str">
        <x:v>Récit court centré sur Aria, les Collectors et un trafic sur Omega; trois modules de production proportionnés à l’œuvre.</x:v>
      </x:c>
      <x:c r="C9" s="2"/>
      <x:c r="D9" s="2"/>
      <x:c r="E9" s="2"/>
      <x:c r="F9" s="2"/>
    </x:row>
    <x:row r="10" ht="54" customHeight="1">
      <x:c r="A10" s="7" t="str">
        <x:v>Projet</x:v>
      </x:c>
      <x:c r="B10" s="7" t="str">
        <x:v>Enquête brève, confrontation concentrée et lecture d’un indice. Le système de jeu proposé ne transforme pas le récit en campagne de libération de colonies.</x:v>
      </x:c>
      <x:c r="C10" s="2"/>
      <x:c r="D10" s="2"/>
      <x:c r="E10" s="2"/>
      <x:c r="F10" s="2"/>
    </x:row>
    <x:row r="11" ht="166" customHeight="1">
      <x:c r="A11" s="7" t="str">
        <x:v>Références et limites</x:v>
      </x:c>
      <x:c r="B11" s="7" t="str">
        <x:v>La présence de lieux dans un relevé de population ne signifie pas qu’ils sont visités. Les groupes et leurs comportements précis doivent être comparés aux planches. Les missions, options, ATB, coûts, compositions 2D/3D, effets et fichiers proposés sont des extrapolations; aucun chiffre de réglage n’est présenté comme canon. « Établi » qualifie uniquement le fait bref de description, pas sa proposition d’adaptation. Les sources wiki consultées via l’index restent À vérifier. Les 12 pages Fandom fournies ont été tentées en accès direct et ont échoué; les notices officielles et notes d’auteur servent de remplacement lorsque disponibles.</x:v>
      </x:c>
      <x:c r="C11" s="2"/>
      <x:c r="D11" s="2"/>
      <x:c r="E11" s="2"/>
      <x:c r="F11" s="2"/>
    </x:row>
    <x:row r="12" ht="40" customHeight="1">
      <x:c r="A12" s="7" t="str">
        <x:v>Date de référence</x:v>
      </x:c>
      <x:c r="B12" s="44" t="d">
        <x:v>2026-10-22T12:00:00.000Z</x:v>
      </x:c>
      <x:c r="C12" s="2"/>
      <x:c r="D12" s="2"/>
      <x:c r="E12" s="2"/>
      <x:c r="F12" s="2"/>
    </x:row>
    <x:row r="13" ht="40" customHeight="1">
      <x:c r="A13" s="7" t="str">
        <x:v>Statut Défini</x:v>
      </x:c>
      <x:c r="B13" s="7" t="str">
        <x:v>Fiche de conception à réaliser. Aucun asset ou code supplémentaire n’est prouvé par cette valeur.</x:v>
      </x:c>
      <x:c r="C13" s="2"/>
      <x:c r="D13" s="2"/>
      <x:c r="E13" s="2"/>
      <x:c r="F13" s="2"/>
    </x:row>
    <x:row r="14" ht="40" customHeight="1">
      <x:c r="A14" s="7" t="str">
        <x:v>Établi</x:v>
      </x:c>
      <x:c r="B14" s="7" t="str">
        <x:v>Fait de référence documenté. Les colonnes adaptation, règles, visuel et animation décrivent la production envisagée.</x:v>
      </x:c>
      <x:c r="C14" s="2"/>
      <x:c r="D14" s="2"/>
      <x:c r="E14" s="2"/>
      <x:c r="F14" s="2"/>
    </x:row>
    <x:row r="15" ht="40" customHeight="1">
      <x:c r="A15" s="7" t="str">
        <x:v>À vérifier</x:v>
      </x:c>
      <x:c r="B15" s="7" t="str">
        <x:v>Information partielle, indexée ou nécessitant un contrôle dans l’œuvre originale.</x:v>
      </x:c>
      <x:c r="C15" s="2"/>
      <x:c r="D15" s="2"/>
      <x:c r="E15" s="2"/>
      <x:c r="F15" s="2"/>
    </x:row>
    <x:row r="16" ht="40" customHeight="1">
      <x:c r="A16" s="7" t="str">
        <x:v>Extrapolation</x:v>
      </x:c>
      <x:c r="B16" s="7" t="str">
        <x:v>Création ou interprétation pour le fan game. Ne décrit pas un contenu officiel.</x:v>
      </x:c>
      <x:c r="C16" s="2"/>
      <x:c r="D16" s="2"/>
      <x:c r="E16" s="2"/>
      <x:c r="F16" s="2"/>
    </x:row>
    <x:row r="17" ht="40" customHeight="1">
      <x:c r="A17" s="7" t="str">
        <x:v>Coupé attesté</x:v>
      </x:c>
      <x:c r="B17" s="7" t="str">
        <x:v>Contenu retiré appuyé par une source identifiée. Son état exact peut rester à relever.</x:v>
      </x:c>
      <x:c r="C17" s="2"/>
      <x:c r="D17" s="2"/>
      <x:c r="E17" s="2"/>
      <x:c r="F17" s="2"/>
    </x:row>
    <x:row r="18" ht="40" customHeight="1">
      <x:c r="A18" s="7" t="str">
        <x:v>Concept abandonné</x:v>
      </x:c>
      <x:c r="B18" s="7" t="str">
        <x:v>Piste ou prototype documenté, sans scénario final officiel présumé.</x:v>
      </x:c>
      <x:c r="C18" s="2"/>
      <x:c r="D18" s="2"/>
      <x:c r="E18" s="2"/>
      <x:c r="F18" s="2"/>
    </x:row>
    <x:row r="19" ht="40" customHeight="1">
      <x:c r="A19" s="7" t="str">
        <x:v>Allégation écartée</x:v>
      </x:c>
      <x:c r="B19" s="7" t="str">
        <x:v>Hypothèse exclue de la continuité de production. Motif donné dans la fiche.</x:v>
      </x:c>
      <x:c r="C19" s="2"/>
      <x:c r="D19" s="2"/>
      <x:c r="E19" s="2"/>
      <x:c r="F19" s="2"/>
    </x:row>
    <x:row r="20" ht="40" customHeight="1">
      <x:c r="A20" s="7" t="str">
        <x:v>Priorités</x:v>
      </x:c>
      <x:c r="B20" s="7" t="str">
        <x:v>P0 : dépendance structurante. P1 : production du module. P2 : enrichissement ultérieur.</x:v>
      </x:c>
      <x:c r="C20" s="2"/>
      <x:c r="D20" s="2"/>
      <x:c r="E20" s="2"/>
      <x:c r="F20" s="2"/>
    </x:row>
    <x:row r="21" ht="54" customHeight="1">
      <x:c r="A21" s="7" t="str">
        <x:v>Édition</x:v>
      </x:c>
      <x:c r="B21" s="7" t="str">
        <x:v>Les statuts se modifient dans les cellules ambre. Les compteurs se recalculent. Les modifications Excel ne sont pas réimportées automatiquement.</x:v>
      </x:c>
      <x:c r="C21" s="2"/>
      <x:c r="D21" s="2"/>
      <x:c r="E21" s="2"/>
      <x:c r="F21" s="2"/>
    </x:row>
    <x:row r="22" ht="40" customHeight="1">
      <x:c r="A22" s="7" t="str">
        <x:v>Régénération</x:v>
      </x:c>
      <x:c r="B22" s="7" t="str">
        <x:v>Conserver les décisions approuvées dans le catalogue JSON du dépôt avant de régénérer ce classeur.</x:v>
      </x:c>
      <x:c r="C22" s="2"/>
      <x:c r="D22" s="2"/>
      <x:c r="E22" s="2"/>
      <x:c r="F22" s="2"/>
    </x:row>
    <x:row r="23" ht="22" customHeight="1">
      <x:c r="A23" s="2"/>
      <x:c r="B23" s="2"/>
      <x:c r="C23" s="2"/>
      <x:c r="D23" s="2"/>
      <x:c r="E23" s="2"/>
      <x:c r="F23" s="2"/>
    </x:row>
    <x:row r="24" ht="22" customHeight="1">
      <x:c r="A24" s="2"/>
      <x:c r="B24" s="2"/>
      <x:c r="C24" s="2"/>
      <x:c r="D24" s="2"/>
      <x:c r="E24" s="2"/>
      <x:c r="F24" s="2"/>
    </x:row>
    <x:row r="25" ht="22" customHeight="1">
      <x:c r="A25" s="2"/>
      <x:c r="B25" s="2"/>
      <x:c r="C25" s="2"/>
      <x:c r="D25" s="2"/>
      <x:c r="E25" s="2"/>
      <x:c r="F25" s="2"/>
    </x:row>
    <x:row r="26" ht="34" customHeight="1">
      <x:c r="A26" s="26" t="str">
        <x:v>Source</x:v>
      </x:c>
      <x:c r="B26" s="27" t="str">
        <x:v>Titre</x:v>
      </x:c>
      <x:c r="C26" s="27" t="str">
        <x:v>Type</x:v>
      </x:c>
      <x:c r="D26" s="27" t="str">
        <x:v>URL</x:v>
      </x:c>
      <x:c r="E26" s="27" t="str">
        <x:v>Périmètre</x:v>
      </x:c>
      <x:c r="F26" s="28" t="str">
        <x:v>Accès et limites</x:v>
      </x:c>
    </x:row>
    <x:row r="27" ht="54" customHeight="1">
      <x:c r="A27" s="6" t="str">
        <x:v>INC-S-PAIR</x:v>
      </x:c>
      <x:c r="B27" s="6" t="str">
        <x:v>Dark Horse — Incursion / Inquisition, notice éditeur</x:v>
      </x:c>
      <x:c r="C27" s="6" t="str">
        <x:v>publication originale — notice éditeur distribuée</x:v>
      </x:c>
      <x:c r="D27" s="6" t="str">
        <x:v>https://books.apple.com/gr/book/mass-effect-incursion-inquisition/id1047054838</x:v>
      </x:c>
      <x:c r="E27" s="6" t="str">
        <x:v>Présentation des deux récits, Aria/Collectors/Omega et Bailey/Citadelle; fournisseur identifié Dark Horse Comics Inc.</x:v>
      </x:c>
      <x:c r="F27" s="6" t="str">
        <x:v>Consulté le 22 octobre 2026; les faits sont paraphrasés brièvement.</x:v>
      </x:c>
    </x:row>
    <x:row r="28" ht="54" customHeight="1">
      <x:c r="A28" s="6" t="str">
        <x:v>INC-S-WIKI</x:v>
      </x:c>
      <x:c r="B28" s="6" t="str">
        <x:v>Mass Effect: Incursion</x:v>
      </x:c>
      <x:c r="C28" s="6" t="str">
        <x:v>wiki — extrait indexé, à contrôler</x:v>
      </x:c>
      <x:c r="D28" s="6" t="str">
        <x:v>https://masseffect.fandom.com/wiki/Mass_Effect%3A_Incursion</x:v>
      </x:c>
      <x:c r="E28" s="6" t="str">
        <x:v>Récit court, Blue Suns, Collectors, Praetorian et datapad.</x:v>
      </x:c>
      <x:c r="F28" s="6" t="str">
        <x:v>Contenu lu dans le résultat de recherche indexé; ouverture directe Fandom restreinte ou en erreur. Comparaison avec le comic autorisé requise.</x:v>
      </x:c>
    </x:row>
    <x:row r="29" ht="54" customHeight="1">
      <x:c r="A29" s="6" t="str">
        <x:v>INC-S-EVOBOOK</x:v>
      </x:c>
      <x:c r="B29" s="6" t="str">
        <x:v>Dark Horse — Evolution</x:v>
      </x:c>
      <x:c r="C29" s="6" t="str">
        <x:v>source officielle — notice Dark Horse via Penguin Random House</x:v>
      </x:c>
      <x:c r="D29" s="6" t="str">
        <x:v>https://www.penguinrandomhouse.com/books/241664/mass-effect-volume-2-evolution-by-mac-walters-various-artists/</x:v>
      </x:c>
      <x:c r="E29" s="6" t="str">
        <x:v>Présence de récits courts issus de MySpace et USA Today; identification à vérifier sur sommaire.</x:v>
      </x:c>
      <x:c r="F29" s="6" t="str">
        <x:v>Consulté le 22 octobre 2026; les faits sont paraphrasés brièvement.</x:v>
      </x:c>
    </x:row>
    <x:row r="30" ht="22" customHeight="1">
      <x:c r="A30" s="2"/>
      <x:c r="B30" s="2"/>
      <x:c r="C30" s="2"/>
      <x:c r="D30" s="2"/>
      <x:c r="E30" s="2"/>
      <x:c r="F30" s="2"/>
    </x:row>
    <x:row r="31" ht="22" customHeight="1">
      <x:c r="A31" s="2"/>
      <x:c r="B31" s="2"/>
      <x:c r="C31" s="2"/>
      <x:c r="D31" s="2"/>
      <x:c r="E31" s="2"/>
      <x:c r="F31" s="2"/>
    </x:row>
    <x:row r="32" ht="22" customHeight="1">
      <x:c r="A32" s="2"/>
      <x:c r="B32" s="2"/>
      <x:c r="C32" s="2"/>
      <x:c r="D32" s="2"/>
      <x:c r="E32" s="2"/>
      <x:c r="F32" s="2"/>
    </x:row>
    <x:row r="33" ht="34" customHeight="1">
      <x:c r="A33" s="26" t="str">
        <x:v>Domaine</x:v>
      </x:c>
      <x:c r="B33" s="27" t="str">
        <x:v>Couverture actuelle</x:v>
      </x:c>
      <x:c r="C33" s="28" t="str">
        <x:v>Travail restant</x:v>
      </x:c>
      <x:c r="D33" s="2"/>
      <x:c r="E33" s="2"/>
      <x:c r="F33" s="2"/>
    </x:row>
    <x:row r="34" ht="68" customHeight="1">
      <x:c r="A34" s="6" t="str">
        <x:v>characters</x:v>
      </x:c>
      <x:c r="B34" s="6" t="str">
        <x:v>1 fiche(s) : Aria T’Loak</x:v>
      </x:c>
      <x:c r="C34" s="6" t="str">
        <x:v>Comparer les détails marqués À vérifier à une édition autorisée; les sources éditoriales n’attestent pas chaque détail graphique.</x:v>
      </x:c>
      <x:c r="D34" s="2"/>
      <x:c r="E34" s="2"/>
      <x:c r="F34" s="2"/>
    </x:row>
    <x:row r="35" ht="68" customHeight="1">
      <x:c r="A35" s="6" t="str">
        <x:v>npcs</x:v>
      </x:c>
      <x:c r="B35" s="6" t="str">
        <x:v>1 fiche(s) : Gardes batariens d’Aria</x:v>
      </x:c>
      <x:c r="C35" s="6" t="str">
        <x:v>Comparer les détails marqués À vérifier à une édition autorisée; les sources éditoriales n’attestent pas chaque détail graphique.</x:v>
      </x:c>
      <x:c r="D35" s="2"/>
      <x:c r="E35" s="2"/>
      <x:c r="F35" s="2"/>
    </x:row>
    <x:row r="36" ht="68" customHeight="1">
      <x:c r="A36" s="6" t="str">
        <x:v>lore</x:v>
      </x:c>
      <x:c r="B36" s="6" t="str">
        <x:v>6 fiche(s) : Aria et les Collectors; Position avant ME2; Portée du renseignement; Examiner la perturbation</x:v>
      </x:c>
      <x:c r="C36" s="6" t="str">
        <x:v>Comparer les détails marqués À vérifier à une édition autorisée; les sources éditoriales n’attestent pas chaque détail graphique.</x:v>
      </x:c>
      <x:c r="D36" s="2"/>
      <x:c r="E36" s="2"/>
      <x:c r="F36" s="2"/>
    </x:row>
    <x:row r="37" ht="68" customHeight="1">
      <x:c r="A37" s="6" t="str">
        <x:v>worlds</x:v>
      </x:c>
      <x:c r="B37" s="6" t="str">
        <x:v>1 fiche(s) : Omega — secteur du raid</x:v>
      </x:c>
      <x:c r="C37" s="6" t="str">
        <x:v>Comparer les détails marqués À vérifier à une édition autorisée; les sources éditoriales n’attestent pas chaque détail graphique.</x:v>
      </x:c>
      <x:c r="D37" s="2"/>
      <x:c r="E37" s="2"/>
      <x:c r="F37" s="2"/>
    </x:row>
    <x:row r="38" ht="54" customHeight="1">
      <x:c r="A38" s="6" t="str">
        <x:v>zones</x:v>
      </x:c>
      <x:c r="B38" s="6" t="str">
        <x:v>1 fiche(s) : Omega — secteur du raid — espace jouable proposé</x:v>
      </x:c>
      <x:c r="C38" s="6" t="str">
        <x:v>Prototyper les règles proposées et exécuter les critères de recette; aucune fiche n’est déclarée intégrée ou validée.</x:v>
      </x:c>
      <x:c r="D38" s="2"/>
      <x:c r="E38" s="2"/>
      <x:c r="F38" s="2"/>
    </x:row>
    <x:row r="39" ht="54" customHeight="1">
      <x:c r="A39" s="6" t="str">
        <x:v>links</x:v>
      </x:c>
      <x:c r="B39" s="6" t="str">
        <x:v>1 fiche(s) : Omega — secteur du raid — accès et sortie</x:v>
      </x:c>
      <x:c r="C39" s="6" t="str">
        <x:v>Prototyper les règles proposées et exécuter les critères de recette; aucune fiche n’est déclarée intégrée ou validée.</x:v>
      </x:c>
      <x:c r="D39" s="2"/>
      <x:c r="E39" s="2"/>
      <x:c r="F39" s="2"/>
    </x:row>
    <x:row r="40" ht="54" customHeight="1">
      <x:c r="A40" s="6" t="str">
        <x:v>scenery</x:v>
      </x:c>
      <x:c r="B40" s="6" t="str">
        <x:v>1 fiche(s) : Omega — secteur du raid — décor et repère</x:v>
      </x:c>
      <x:c r="C40" s="6" t="str">
        <x:v>Produire les assets originaux puis vérifier en situation; ce catalogue ne livre ni image, ni son, ni animation.</x:v>
      </x:c>
      <x:c r="D40" s="2"/>
      <x:c r="E40" s="2"/>
      <x:c r="F40" s="2"/>
    </x:row>
    <x:row r="41" ht="54" customHeight="1">
      <x:c r="A41" s="6" t="str">
        <x:v>props</x:v>
      </x:c>
      <x:c r="B41" s="6" t="str">
        <x:v>3 fiche(s) : Repère d’observation; Commande de grue — prototype; Datapad démographique — représentation proposée</x:v>
      </x:c>
      <x:c r="C41" s="6" t="str">
        <x:v>Prototyper les règles proposées et exécuter les critères de recette; aucune fiche n’est déclarée intégrée ou validée.</x:v>
      </x:c>
      <x:c r="D41" s="2"/>
      <x:c r="E41" s="2"/>
      <x:c r="F41" s="2"/>
    </x:row>
    <x:row r="42" ht="54" customHeight="1">
      <x:c r="A42" s="6" t="str">
        <x:v>enemies</x:v>
      </x:c>
      <x:c r="B42" s="6" t="str">
        <x:v>3 fiche(s) : Blue Suns; Unité Collector; Praetorian</x:v>
      </x:c>
      <x:c r="C42" s="6" t="str">
        <x:v>Prototyper les règles proposées et exécuter les critères de recette; aucune fiche n’est déclarée intégrée ou validée.</x:v>
      </x:c>
      <x:c r="D42" s="2"/>
      <x:c r="E42" s="2"/>
      <x:c r="F42" s="2"/>
    </x:row>
    <x:row r="43" ht="54" customHeight="1">
      <x:c r="A43" s="6" t="str">
        <x:v>main_quests</x:v>
      </x:c>
      <x:c r="B43" s="6" t="str">
        <x:v>3 fiche(s) : Examiner la perturbation — objectif jouable; Interrompre la transaction — objectif jouable; Comprendre la cible humaine — objectif jouable</x:v>
      </x:c>
      <x:c r="C43" s="6" t="str">
        <x:v>Prototyper les règles proposées et exécuter les critères de recette; aucune fiche n’est déclarée intégrée ou validée.</x:v>
      </x:c>
      <x:c r="D43" s="2"/>
      <x:c r="E43" s="2"/>
      <x:c r="F43" s="2"/>
    </x:row>
    <x:row r="44" ht="54" customHeight="1">
      <x:c r="A44" s="6" t="str">
        <x:v>side_quests</x:v>
      </x:c>
      <x:c r="B44" s="6" t="str">
        <x:v>3 fiche(s) : Vérifier le flanc de sortie; Isoler un accès technique; Relier le dossier à Redemption</x:v>
      </x:c>
      <x:c r="C44" s="6" t="str">
        <x:v>Prototyper les règles proposées et exécuter les critères de recette; aucune fiche n’est déclarée intégrée ou validée.</x:v>
      </x:c>
      <x:c r="D44" s="2"/>
      <x:c r="E44" s="2"/>
      <x:c r="F44" s="2"/>
    </x:row>
    <x:row r="45" ht="54" customHeight="1">
      <x:c r="A45" s="6" t="str">
        <x:v>choices</x:v>
      </x:c>
      <x:c r="B45" s="6" t="str">
        <x:v>3 fiche(s) : Examiner la perturbation — stratégie locale; Interrompre la transaction — stratégie locale; Comprendre la cible humaine — stratégie locale</x:v>
      </x:c>
      <x:c r="C45" s="6" t="str">
        <x:v>Prototyper les règles proposées et exécuter les critères de recette; aucune fiche n’est déclarée intégrée ou validée.</x:v>
      </x:c>
      <x:c r="D45" s="2"/>
      <x:c r="E45" s="2"/>
      <x:c r="F45" s="2"/>
    </x:row>
    <x:row r="46" ht="68" customHeight="1">
      <x:c r="A46" s="6" t="str">
        <x:v>dialogues</x:v>
      </x:c>
      <x:c r="B46" s="6" t="str">
        <x:v>3 fiche(s) : Examiner la perturbation — intentions de conversation; Interrompre la transaction — intentions de conversation; Comprendre la cible humaine — intentions de conversation</x:v>
      </x:c>
      <x:c r="C46" s="6" t="str">
        <x:v>Prototyper les règles proposées et exécuter les critères de recette; aucune fiche n’est déclarée intégrée ou validée.</x:v>
      </x:c>
      <x:c r="D46" s="2"/>
      <x:c r="E46" s="2"/>
      <x:c r="F46" s="2"/>
    </x:row>
    <x:row r="47" ht="54" customHeight="1">
      <x:c r="A47" s="6" t="str">
        <x:v>cinematics</x:v>
      </x:c>
      <x:c r="B47" s="6" t="str">
        <x:v>3 fiche(s) : Examiner la perturbation — raccord mis en scène; Interrompre la transaction — raccord mis en scène; Comprendre la cible humaine — raccord mis en scène</x:v>
      </x:c>
      <x:c r="C47" s="6" t="str">
        <x:v>Prototyper les règles proposées et exécuter les critères de recette; aucune fiche n’est déclarée intégrée ou validée.</x:v>
      </x:c>
      <x:c r="D47" s="2"/>
      <x:c r="E47" s="2"/>
      <x:c r="F47" s="2"/>
    </x:row>
    <x:row r="48" ht="54" customHeight="1">
      <x:c r="A48" s="6" t="str">
        <x:v>weapons</x:v>
      </x:c>
      <x:c r="B48" s="6" t="str">
        <x:v>1 fiche(s) : Arme de garde — profil proposé</x:v>
      </x:c>
      <x:c r="C48" s="6" t="str">
        <x:v>Prototyper les règles proposées et exécuter les critères de recette; aucune fiche n’est déclarée intégrée ou validée.</x:v>
      </x:c>
      <x:c r="D48" s="2"/>
      <x:c r="E48" s="2"/>
      <x:c r="F48" s="2"/>
    </x:row>
    <x:row r="49" ht="54" customHeight="1">
      <x:c r="A49" s="6" t="str">
        <x:v>equipment</x:v>
      </x:c>
      <x:c r="B49" s="6" t="str">
        <x:v>1 fiche(s) : Porte-document d’opération</x:v>
      </x:c>
      <x:c r="C49" s="6" t="str">
        <x:v>Prototyper les règles proposées et exécuter les critères de recette; aucune fiche n’est déclarée intégrée ou validée.</x:v>
      </x:c>
      <x:c r="D49" s="2"/>
      <x:c r="E49" s="2"/>
      <x:c r="F49" s="2"/>
    </x:row>
    <x:row r="50" ht="54" customHeight="1">
      <x:c r="A50" s="6" t="str">
        <x:v>powers</x:v>
      </x:c>
      <x:c r="B50" s="6" t="str">
        <x:v>1 fiche(s) : Projection d’Aria — proposition</x:v>
      </x:c>
      <x:c r="C50" s="6" t="str">
        <x:v>Prototyper les règles proposées et exécuter les critères de recette; aucune fiche n’est déclarée intégrée ou validée.</x:v>
      </x:c>
      <x:c r="D50" s="2"/>
      <x:c r="E50" s="2"/>
      <x:c r="F50" s="2"/>
    </x:row>
    <x:row r="51" ht="54" customHeight="1">
      <x:c r="A51" s="6" t="str">
        <x:v>ally_moves</x:v>
      </x:c>
      <x:c r="B51" s="6" t="str">
        <x:v>2 fiche(s) : Percée de terrain; Appui de garde</x:v>
      </x:c>
      <x:c r="C51" s="6" t="str">
        <x:v>Prototyper les règles proposées et exécuter les critères de recette; aucune fiche n’est déclarée intégrée ou validée.</x:v>
      </x:c>
      <x:c r="D51" s="2"/>
      <x:c r="E51" s="2"/>
      <x:c r="F51" s="2"/>
    </x:row>
    <x:row r="52" ht="54" customHeight="1">
      <x:c r="A52" s="6" t="str">
        <x:v>enemy_moves</x:v>
      </x:c>
      <x:c r="B52" s="6" t="str">
        <x:v>6 fiche(s) : Tir de quai; Repli vers sortie; Salve concentrée; Couverture croisée</x:v>
      </x:c>
      <x:c r="C52" s="6" t="str">
        <x:v>Prototyper les règles proposées et exécuter les critères de recette; aucune fiche n’est déclarée intégrée ou validée.</x:v>
      </x:c>
      <x:c r="D52" s="2"/>
      <x:c r="E52" s="2"/>
      <x:c r="F52" s="2"/>
    </x:row>
    <x:row r="53" ht="54" customHeight="1">
      <x:c r="A53" s="6" t="str">
        <x:v>animations</x:v>
      </x:c>
      <x:c r="B53" s="6" t="str">
        <x:v>2 fiche(s) : Aria T’Loak — jeu de poses; Gardes batariens d’Aria — jeu de poses</x:v>
      </x:c>
      <x:c r="C53" s="6" t="str">
        <x:v>Produire les assets originaux puis vérifier en situation; ce catalogue ne livre ni image, ni son, ni animation.</x:v>
      </x:c>
      <x:c r="D53" s="2"/>
      <x:c r="E53" s="2"/>
      <x:c r="F53" s="2"/>
    </x:row>
    <x:row r="54" ht="54" customHeight="1">
      <x:c r="A54" s="6" t="str">
        <x:v>sprites</x:v>
      </x:c>
      <x:c r="B54" s="6" t="str">
        <x:v>2 fiche(s) : Aria T’Loak — planche de sprites; Gardes batariens d’Aria — planche de sprites</x:v>
      </x:c>
      <x:c r="C54" s="6" t="str">
        <x:v>Produire les assets originaux puis vérifier en situation; ce catalogue ne livre ni image, ni son, ni animation.</x:v>
      </x:c>
      <x:c r="D54" s="2"/>
      <x:c r="E54" s="2"/>
      <x:c r="F54" s="2"/>
    </x:row>
    <x:row r="55" ht="54" customHeight="1">
      <x:c r="A55" s="6" t="str">
        <x:v>vfx</x:v>
      </x:c>
      <x:c r="B55" s="6" t="str">
        <x:v>3 fiche(s) : Examiner la perturbation — signal visuel; Interrompre la transaction — signal visuel; Comprendre la cible humaine — signal visuel</x:v>
      </x:c>
      <x:c r="C55" s="6" t="str">
        <x:v>Produire les assets originaux puis vérifier en situation; ce catalogue ne livre ni image, ni son, ni animation.</x:v>
      </x:c>
      <x:c r="D55" s="2"/>
      <x:c r="E55" s="2"/>
      <x:c r="F55" s="2"/>
    </x:row>
    <x:row r="56" ht="54" customHeight="1">
      <x:c r="A56" s="6" t="str">
        <x:v>audio</x:v>
      </x:c>
      <x:c r="B56" s="6" t="str">
        <x:v>1 fiche(s) : Omega — secteur du raid — paysage sonore</x:v>
      </x:c>
      <x:c r="C56" s="6" t="str">
        <x:v>Produire les assets originaux puis vérifier en situation; ce catalogue ne livre ni image, ni son, ni animation.</x:v>
      </x:c>
      <x:c r="D56" s="2"/>
      <x:c r="E56" s="2"/>
      <x:c r="F56" s="2"/>
    </x:row>
    <x:row r="57" ht="54" customHeight="1">
      <x:c r="A57" s="6" t="str">
        <x:v>systems</x:v>
      </x:c>
      <x:c r="B57" s="6" t="str">
        <x:v>4 fiche(s) : Journal à deux niveaux; Groupe propre au chapitre; Rythme ATB proposé; Sauvegarde des modules</x:v>
      </x:c>
      <x:c r="C57" s="6" t="str">
        <x:v>Prototyper les règles proposées et exécuter les critères de recette; aucune fiche n’est déclarée intégrée ou validée.</x:v>
      </x:c>
      <x:c r="D57" s="2"/>
      <x:c r="E57" s="2"/>
      <x:c r="F57" s="2"/>
    </x:row>
    <x:row r="58" ht="68" customHeight="1">
      <x:c r="A58" s="6" t="str">
        <x:v>qa</x:v>
      </x:c>
      <x:c r="B58" s="6" t="str">
        <x:v>6 fiche(s) : Examiner la perturbation — contrôle du parcours; Interrompre la transaction — contrôle du parcours; Comprendre la cible humaine — contrôle du parcours; Vérification des références</x:v>
      </x:c>
      <x:c r="C58" s="6" t="str">
        <x:v>Prototyper les règles proposées et exécuter les critères de recette; aucune fiche n’est déclarée intégrée ou validée.</x:v>
      </x:c>
      <x:c r="D58" s="2"/>
      <x:c r="E58" s="2"/>
      <x:c r="F58" s="2"/>
    </x:row>
    <x:row r="59" ht="68" customHeight="1">
      <x:c r="A59" s="6" t="str">
        <x:v>continuity</x:v>
      </x:c>
      <x:c r="B59" s="6" t="str">
        <x:v>2 fiche(s) : Position dans l’univers; Contenus non attestés</x:v>
      </x:c>
      <x:c r="C59" s="6" t="str">
        <x:v>Comparer les détails marqués À vérifier à une édition autorisée; les sources éditoriales n’attestent pas chaque détail graphique.</x:v>
      </x:c>
      <x:c r="D59" s="2"/>
      <x:c r="E59" s="2"/>
      <x:c r="F59" s="2"/>
    </x:row>
    <x:row r="60" ht="22" customHeight="1">
      <x:c r="A60" s="2"/>
      <x:c r="B60" s="2"/>
      <x:c r="C60" s="2"/>
      <x:c r="D60" s="2"/>
      <x:c r="E60" s="2"/>
      <x:c r="F60" s="2"/>
    </x:row>
    <x:row r="61" ht="22" customHeight="1">
      <x:c r="A61" s="2"/>
      <x:c r="B61" s="2"/>
      <x:c r="C61" s="2"/>
      <x:c r="D61" s="2"/>
      <x:c r="E61" s="2"/>
      <x:c r="F61" s="2"/>
    </x:row>
    <x:row r="62" ht="22" customHeight="1">
      <x:c r="A62" s="2"/>
      <x:c r="B62" s="2"/>
      <x:c r="C62" s="2"/>
      <x:c r="D62" s="2"/>
      <x:c r="E62" s="2"/>
      <x:c r="F62" s="2"/>
    </x:row>
    <x:row r="63" ht="22" customHeight="1">
      <x:c r="A63" s="2"/>
      <x:c r="B63" s="2"/>
      <x:c r="C63" s="2"/>
      <x:c r="D63" s="2"/>
      <x:c r="E63" s="2"/>
      <x:c r="F63" s="2"/>
    </x:row>
    <x:row r="64" ht="22" customHeight="1">
      <x:c r="A64" s="2"/>
      <x:c r="B64" s="2"/>
      <x:c r="C64" s="2"/>
      <x:c r="D64" s="2"/>
      <x:c r="E64" s="2"/>
      <x:c r="F64" s="2"/>
    </x:row>
    <x:row r="65" ht="22" customHeight="1">
      <x:c r="A65" s="2"/>
      <x:c r="B65" s="2"/>
      <x:c r="C65" s="2"/>
      <x:c r="D65" s="2"/>
      <x:c r="E65" s="2"/>
      <x:c r="F65" s="2"/>
    </x:row>
    <x:row r="66" ht="22" customHeight="1">
      <x:c r="A66" s="2"/>
      <x:c r="B66" s="2"/>
      <x:c r="C66" s="2"/>
      <x:c r="D66" s="2"/>
      <x:c r="E66" s="2"/>
      <x:c r="F66" s="2"/>
    </x:row>
    <x:row r="67" ht="22" customHeight="1">
      <x:c r="A67" s="2"/>
      <x:c r="B67" s="2"/>
      <x:c r="C67" s="2"/>
      <x:c r="D67" s="2"/>
      <x:c r="E67" s="2"/>
      <x:c r="F67" s="2"/>
    </x:row>
    <x:row r="68" ht="22" customHeight="1">
      <x:c r="A68" s="2"/>
      <x:c r="B68" s="2"/>
      <x:c r="C68" s="2"/>
      <x:c r="D68" s="2"/>
      <x:c r="E68" s="2"/>
      <x:c r="F68" s="2"/>
    </x:row>
    <x:row r="69" ht="22" customHeight="1">
      <x:c r="A69" s="2"/>
      <x:c r="B69" s="2"/>
      <x:c r="C69" s="2"/>
      <x:c r="D69" s="2"/>
      <x:c r="E69" s="2"/>
      <x:c r="F69" s="2"/>
    </x:row>
    <x:row r="70" ht="22" customHeight="1">
      <x:c r="A70" s="2"/>
      <x:c r="B70" s="2"/>
      <x:c r="C70" s="2"/>
      <x:c r="D70" s="2"/>
      <x:c r="E70" s="2"/>
      <x:c r="F70" s="2"/>
    </x:row>
    <x:row r="71" ht="22" customHeight="1">
      <x:c r="A71" s="2"/>
      <x:c r="B71" s="2"/>
      <x:c r="C71" s="2"/>
      <x:c r="D71" s="2"/>
      <x:c r="E71" s="2"/>
      <x:c r="F71" s="2"/>
    </x:row>
    <x:row r="72" ht="22" customHeight="1">
      <x:c r="A72" s="2"/>
      <x:c r="B72" s="2"/>
      <x:c r="C72" s="2"/>
      <x:c r="D72" s="2"/>
      <x:c r="E72" s="2"/>
      <x:c r="F72" s="2"/>
    </x:row>
    <x:row r="73" ht="22" customHeight="1">
      <x:c r="A73" s="2"/>
      <x:c r="B73" s="2"/>
      <x:c r="C73" s="2"/>
      <x:c r="D73" s="2"/>
      <x:c r="E73" s="2"/>
      <x:c r="F73" s="2"/>
    </x:row>
    <x:row r="74" ht="22" customHeight="1">
      <x:c r="A74" s="2"/>
      <x:c r="B74" s="2"/>
      <x:c r="C74" s="2"/>
      <x:c r="D74" s="2"/>
      <x:c r="E74" s="2"/>
      <x:c r="F74" s="2"/>
    </x:row>
    <x:row r="75" ht="22" customHeight="1">
      <x:c r="A75" s="2"/>
      <x:c r="B75" s="2"/>
      <x:c r="C75" s="2"/>
      <x:c r="D75" s="2"/>
      <x:c r="E75" s="2"/>
      <x:c r="F75" s="2"/>
    </x:row>
    <x:row r="76" ht="22" customHeight="1">
      <x:c r="A76" s="2"/>
      <x:c r="B76" s="2"/>
      <x:c r="C76" s="2"/>
      <x:c r="D76" s="2"/>
      <x:c r="E76" s="2"/>
      <x:c r="F76" s="2"/>
    </x:row>
    <x:row r="77" ht="22" customHeight="1">
      <x:c r="A77" s="2"/>
      <x:c r="B77" s="2"/>
      <x:c r="C77" s="2"/>
      <x:c r="D77" s="2"/>
      <x:c r="E77" s="2"/>
      <x:c r="F77" s="2"/>
    </x:row>
    <x:row r="78" ht="22" customHeight="1">
      <x:c r="A78" s="2"/>
      <x:c r="B78" s="2"/>
      <x:c r="C78" s="2"/>
      <x:c r="D78" s="2"/>
      <x:c r="E78" s="2"/>
      <x:c r="F78" s="2"/>
    </x:row>
    <x:row r="79" ht="22" customHeight="1">
      <x:c r="A79" s="2"/>
      <x:c r="B79" s="2"/>
      <x:c r="C79" s="2"/>
      <x:c r="D79" s="2"/>
      <x:c r="E79" s="2"/>
      <x:c r="F79" s="2"/>
    </x:row>
    <x:row r="80" ht="22" customHeight="1">
      <x:c r="A80" s="2"/>
      <x:c r="B80" s="2"/>
      <x:c r="C80" s="2"/>
      <x:c r="D80" s="2"/>
      <x:c r="E80" s="2"/>
      <x:c r="F80" s="2"/>
    </x:row>
    <x:row r="81" ht="22" customHeight="1">
      <x:c r="A81" s="2"/>
      <x:c r="B81" s="2"/>
      <x:c r="C81" s="2"/>
      <x:c r="D81" s="2"/>
      <x:c r="E81" s="2"/>
      <x:c r="F81" s="2"/>
    </x:row>
    <x:row r="82" ht="22" customHeight="1">
      <x:c r="A82" s="2"/>
      <x:c r="B82" s="2"/>
      <x:c r="C82" s="2"/>
      <x:c r="D82" s="2"/>
      <x:c r="E82" s="2"/>
      <x:c r="F82" s="2"/>
    </x:row>
    <x:row r="83" ht="22" customHeight="1">
      <x:c r="A83" s="2"/>
      <x:c r="B83" s="2"/>
      <x:c r="C83" s="2"/>
      <x:c r="D83" s="2"/>
      <x:c r="E83" s="2"/>
      <x:c r="F83" s="2"/>
    </x:row>
    <x:row r="84" ht="22" customHeight="1">
      <x:c r="A84" s="2"/>
      <x:c r="B84" s="2"/>
      <x:c r="C84" s="2"/>
      <x:c r="D84" s="2"/>
      <x:c r="E84" s="2"/>
      <x:c r="F84" s="2"/>
    </x:row>
    <x:row r="85" ht="22" customHeight="1">
      <x:c r="A85" s="2"/>
      <x:c r="B85" s="2"/>
      <x:c r="C85" s="2"/>
      <x:c r="D85" s="2"/>
      <x:c r="E85" s="2"/>
      <x:c r="F85" s="2"/>
    </x:row>
    <x:row r="86" ht="22" customHeight="1">
      <x:c r="A86" s="2"/>
      <x:c r="B86" s="2"/>
      <x:c r="C86" s="2"/>
      <x:c r="D86" s="2"/>
      <x:c r="E86" s="2"/>
      <x:c r="F86" s="2"/>
    </x:row>
    <x:row r="87" ht="22" customHeight="1">
      <x:c r="A87" s="2"/>
      <x:c r="B87" s="2"/>
      <x:c r="C87" s="2"/>
      <x:c r="D87" s="2"/>
      <x:c r="E87" s="2"/>
      <x:c r="F87" s="2"/>
    </x:row>
    <x:row r="88" ht="22" customHeight="1">
      <x:c r="A88" s="2"/>
      <x:c r="B88" s="2"/>
      <x:c r="C88" s="2"/>
      <x:c r="D88" s="2"/>
      <x:c r="E88" s="2"/>
      <x:c r="F88" s="2"/>
    </x:row>
    <x:row r="89" ht="22" customHeight="1">
      <x:c r="A89" s="2"/>
      <x:c r="B89" s="2"/>
      <x:c r="C89" s="2"/>
      <x:c r="D89" s="2"/>
      <x:c r="E89" s="2"/>
      <x:c r="F89" s="2"/>
    </x:row>
    <x:row r="90" ht="22" customHeight="1">
      <x:c r="A90" s="2"/>
      <x:c r="B90" s="2"/>
      <x:c r="C90" s="2"/>
      <x:c r="D90" s="2"/>
      <x:c r="E90" s="2"/>
      <x:c r="F90" s="2"/>
    </x:row>
    <x:row r="91" ht="22" customHeight="1">
      <x:c r="A91" s="2"/>
      <x:c r="B91" s="2"/>
      <x:c r="C91" s="2"/>
      <x:c r="D91" s="2"/>
      <x:c r="E91" s="2"/>
      <x:c r="F91" s="2"/>
    </x:row>
    <x:row r="92" ht="22" customHeight="1">
      <x:c r="A92" s="2"/>
      <x:c r="B92" s="2"/>
      <x:c r="C92" s="2"/>
      <x:c r="D92" s="2"/>
      <x:c r="E92" s="2"/>
      <x:c r="F92" s="2"/>
    </x:row>
    <x:row r="93" ht="22" customHeight="1">
      <x:c r="A93" s="2"/>
      <x:c r="B93" s="2"/>
      <x:c r="C93" s="2"/>
      <x:c r="D93" s="2"/>
      <x:c r="E93" s="2"/>
      <x:c r="F93" s="2"/>
    </x:row>
    <x:row r="94" ht="22" customHeight="1">
      <x:c r="A94" s="2"/>
      <x:c r="B94" s="2"/>
      <x:c r="C94" s="2"/>
      <x:c r="D94" s="2"/>
      <x:c r="E94" s="2"/>
      <x:c r="F94" s="2"/>
    </x:row>
    <x:row r="95" ht="22" customHeight="1">
      <x:c r="A95" s="2"/>
      <x:c r="B95" s="2"/>
      <x:c r="C95" s="2"/>
      <x:c r="D95" s="2"/>
      <x:c r="E95" s="2"/>
      <x:c r="F95" s="2"/>
    </x:row>
    <x:row r="96" ht="22" customHeight="1">
      <x:c r="A96" s="2"/>
      <x:c r="B96" s="2"/>
      <x:c r="C96" s="2"/>
      <x:c r="D96" s="2"/>
      <x:c r="E96" s="2"/>
      <x:c r="F96" s="2"/>
    </x:row>
    <x:row r="97" ht="22" customHeight="1">
      <x:c r="A97" s="2"/>
      <x:c r="B97" s="2"/>
      <x:c r="C97" s="2"/>
      <x:c r="D97" s="2"/>
      <x:c r="E97" s="2"/>
      <x:c r="F97" s="2"/>
    </x:row>
    <x:row r="98" ht="22" customHeight="1">
      <x:c r="A98" s="2"/>
      <x:c r="B98" s="2"/>
      <x:c r="C98" s="2"/>
      <x:c r="D98" s="2"/>
      <x:c r="E98" s="2"/>
      <x:c r="F98" s="2"/>
    </x:row>
    <x:row r="99" ht="22" customHeight="1">
      <x:c r="A99" s="2"/>
      <x:c r="B99" s="2"/>
      <x:c r="C99" s="2"/>
      <x:c r="D99" s="2"/>
      <x:c r="E99" s="2"/>
      <x:c r="F99" s="2"/>
    </x:row>
    <x:row r="100" ht="22" customHeight="1">
      <x:c r="A100" s="2"/>
      <x:c r="B100" s="2"/>
      <x:c r="C100" s="2"/>
      <x:c r="D100" s="2"/>
      <x:c r="E100" s="2"/>
      <x:c r="F100" s="2"/>
    </x:row>
    <x:row r="101" ht="22" customHeight="1">
      <x:c r="A101" s="2"/>
      <x:c r="B101" s="2"/>
      <x:c r="C101" s="2"/>
      <x:c r="D101" s="2"/>
      <x:c r="E101" s="2"/>
      <x:c r="F101" s="2"/>
    </x:row>
    <x:row r="102" ht="22" customHeight="1">
      <x:c r="A102" s="2"/>
      <x:c r="B102" s="2"/>
      <x:c r="C102" s="2"/>
      <x:c r="D102" s="2"/>
      <x:c r="E102" s="2"/>
      <x:c r="F102" s="2"/>
    </x:row>
    <x:row r="103" ht="22" customHeight="1">
      <x:c r="A103" s="2"/>
      <x:c r="B103" s="2"/>
      <x:c r="C103" s="2"/>
      <x:c r="D103" s="2"/>
      <x:c r="E103" s="2"/>
      <x:c r="F103" s="2"/>
    </x:row>
    <x:row r="104" ht="22" customHeight="1">
      <x:c r="A104" s="2"/>
      <x:c r="B104" s="2"/>
      <x:c r="C104" s="2"/>
      <x:c r="D104" s="2"/>
      <x:c r="E104" s="2"/>
      <x:c r="F104" s="2"/>
    </x:row>
    <x:row r="105" ht="22" customHeight="1">
      <x:c r="A105" s="2"/>
      <x:c r="B105" s="2"/>
      <x:c r="C105" s="2"/>
      <x:c r="D105" s="2"/>
      <x:c r="E105" s="2"/>
      <x:c r="F105" s="2"/>
    </x:row>
    <x:row r="106" ht="22" customHeight="1">
      <x:c r="A106" s="2"/>
      <x:c r="B106" s="2"/>
      <x:c r="C106" s="2"/>
      <x:c r="D106" s="2"/>
      <x:c r="E106" s="2"/>
      <x:c r="F106" s="2"/>
    </x:row>
    <x:row r="107" ht="22" customHeight="1">
      <x:c r="A107" s="2"/>
      <x:c r="B107" s="2"/>
      <x:c r="C107" s="2"/>
      <x:c r="D107" s="2"/>
      <x:c r="E107" s="2"/>
      <x:c r="F107" s="2"/>
    </x:row>
    <x:row r="108" ht="22" customHeight="1">
      <x:c r="A108" s="2"/>
      <x:c r="B108" s="2"/>
      <x:c r="C108" s="2"/>
      <x:c r="D108" s="2"/>
      <x:c r="E108" s="2"/>
      <x:c r="F108" s="2"/>
    </x:row>
    <x:row r="109" ht="22" customHeight="1">
      <x:c r="A109" s="2"/>
      <x:c r="B109" s="2"/>
      <x:c r="C109" s="2"/>
      <x:c r="D109" s="2"/>
      <x:c r="E109" s="2"/>
      <x:c r="F109" s="2"/>
    </x:row>
    <x:row r="110" ht="22" customHeight="1">
      <x:c r="A110" s="2"/>
      <x:c r="B110" s="2"/>
      <x:c r="C110" s="2"/>
      <x:c r="D110" s="2"/>
      <x:c r="E110" s="2"/>
      <x:c r="F110" s="2"/>
    </x:row>
    <x:row r="111" ht="22" customHeight="1">
      <x:c r="A111" s="2"/>
      <x:c r="B111" s="2"/>
      <x:c r="C111" s="2"/>
      <x:c r="D111" s="2"/>
      <x:c r="E111" s="2"/>
      <x:c r="F111" s="2"/>
    </x:row>
    <x:row r="112" ht="22" customHeight="1">
      <x:c r="A112" s="2"/>
      <x:c r="B112" s="2"/>
      <x:c r="C112" s="2"/>
      <x:c r="D112" s="2"/>
      <x:c r="E112" s="2"/>
      <x:c r="F112" s="2"/>
    </x:row>
    <x:row r="113" ht="22" customHeight="1">
      <x:c r="A113" s="2"/>
      <x:c r="B113" s="2"/>
      <x:c r="C113" s="2"/>
      <x:c r="D113" s="2"/>
      <x:c r="E113" s="2"/>
      <x:c r="F113" s="2"/>
    </x:row>
    <x:row r="114" ht="22" customHeight="1">
      <x:c r="A114" s="2"/>
      <x:c r="B114" s="2"/>
      <x:c r="C114" s="2"/>
      <x:c r="D114" s="2"/>
      <x:c r="E114" s="2"/>
      <x:c r="F114" s="2"/>
    </x:row>
    <x:row r="115" ht="22" customHeight="1">
      <x:c r="A115" s="2"/>
      <x:c r="B115" s="2"/>
      <x:c r="C115" s="2"/>
      <x:c r="D115" s="2"/>
      <x:c r="E115" s="2"/>
      <x:c r="F115" s="2"/>
    </x:row>
    <x:row r="116" ht="22" customHeight="1">
      <x:c r="A116" s="2"/>
      <x:c r="B116" s="2"/>
      <x:c r="C116" s="2"/>
      <x:c r="D116" s="2"/>
      <x:c r="E116" s="2"/>
      <x:c r="F116" s="2"/>
    </x:row>
    <x:row r="117" ht="22" customHeight="1">
      <x:c r="A117" s="2"/>
      <x:c r="B117" s="2"/>
      <x:c r="C117" s="2"/>
      <x:c r="D117" s="2"/>
      <x:c r="E117" s="2"/>
      <x:c r="F117" s="2"/>
    </x:row>
    <x:row r="118" ht="22" customHeight="1">
      <x:c r="A118" s="2"/>
      <x:c r="B118" s="2"/>
      <x:c r="C118" s="2"/>
      <x:c r="D118" s="2"/>
      <x:c r="E118" s="2"/>
      <x:c r="F118" s="2"/>
    </x:row>
    <x:row r="119" ht="22" customHeight="1">
      <x:c r="A119" s="2"/>
      <x:c r="B119" s="2"/>
      <x:c r="C119" s="2"/>
      <x:c r="D119" s="2"/>
      <x:c r="E119" s="2"/>
      <x:c r="F119" s="2"/>
    </x:row>
    <x:row r="120" ht="22" customHeight="1">
      <x:c r="A120" s="2"/>
      <x:c r="B120" s="2"/>
      <x:c r="C120" s="2"/>
      <x:c r="D120" s="2"/>
      <x:c r="E120" s="2"/>
      <x:c r="F120" s="2"/>
    </x:row>
    <x:row r="121" ht="22" customHeight="1">
      <x:c r="A121" s="2"/>
      <x:c r="B121" s="2"/>
      <x:c r="C121" s="2"/>
      <x:c r="D121" s="2"/>
      <x:c r="E121" s="2"/>
      <x:c r="F121" s="2"/>
    </x:row>
    <x:row r="122" ht="22" customHeight="1">
      <x:c r="A122" s="2"/>
      <x:c r="B122" s="2"/>
      <x:c r="C122" s="2"/>
      <x:c r="D122" s="2"/>
      <x:c r="E122" s="2"/>
      <x:c r="F122" s="2"/>
    </x:row>
    <x:row r="123" ht="22" customHeight="1">
      <x:c r="A123" s="2"/>
      <x:c r="B123" s="2"/>
      <x:c r="C123" s="2"/>
      <x:c r="D123" s="2"/>
      <x:c r="E123" s="2"/>
      <x:c r="F123" s="2"/>
    </x:row>
    <x:row r="124" ht="22" customHeight="1">
      <x:c r="A124" s="2"/>
      <x:c r="B124" s="2"/>
      <x:c r="C124" s="2"/>
      <x:c r="D124" s="2"/>
      <x:c r="E124" s="2"/>
      <x:c r="F124" s="2"/>
    </x:row>
    <x:row r="125" ht="22" customHeight="1">
      <x:c r="A125" s="2"/>
      <x:c r="B125" s="2"/>
      <x:c r="C125" s="2"/>
      <x:c r="D125" s="2"/>
      <x:c r="E125" s="2"/>
      <x:c r="F125" s="2"/>
    </x:row>
    <x:row r="126" ht="22" customHeight="1">
      <x:c r="A126" s="2"/>
      <x:c r="B126" s="2"/>
      <x:c r="C126" s="2"/>
      <x:c r="D126" s="2"/>
      <x:c r="E126" s="2"/>
      <x:c r="F126" s="2"/>
    </x:row>
    <x:row r="127" ht="22" customHeight="1">
      <x:c r="A127" s="2"/>
      <x:c r="B127" s="2"/>
      <x:c r="C127" s="2"/>
      <x:c r="D127" s="2"/>
      <x:c r="E127" s="2"/>
      <x:c r="F127" s="2"/>
    </x:row>
    <x:row r="128" ht="22" customHeight="1">
      <x:c r="A128" s="2"/>
      <x:c r="B128" s="2"/>
      <x:c r="C128" s="2"/>
      <x:c r="D128" s="2"/>
      <x:c r="E128" s="2"/>
      <x:c r="F128" s="2"/>
    </x:row>
    <x:row r="129" ht="22" customHeight="1">
      <x:c r="A129" s="2"/>
      <x:c r="B129" s="2"/>
      <x:c r="C129" s="2"/>
      <x:c r="D129" s="2"/>
      <x:c r="E129" s="2"/>
      <x:c r="F129" s="2"/>
    </x:row>
  </x:sheetData>
  <x:pageMargins left="0.7" right="0.7" top="0.75" bottom="0.75" header="0.3" footer="0.3"/>
</x:worksheet>
</file>