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bfd4aae2ca54abe" /></Relationships>
</file>

<file path=xl/workbook.xml><?xml version="1.0" encoding="utf-8"?>
<x:workbook xmlns:x="http://schemas.openxmlformats.org/spreadsheetml/2006/main">
  <x:sheets>
    <x:sheet xmlns:r="http://schemas.openxmlformats.org/officeDocument/2006/relationships" name="Dashboard" sheetId="1" r:id="R11cdad2292b64659"/>
    <x:sheet xmlns:r="http://schemas.openxmlformats.org/officeDocument/2006/relationships" name="Personnages" sheetId="2" r:id="R33a49bf9e2e74a60"/>
    <x:sheet xmlns:r="http://schemas.openxmlformats.org/officeDocument/2006/relationships" name="PNJ" sheetId="3" r:id="R03b83250203545ea"/>
    <x:sheet xmlns:r="http://schemas.openxmlformats.org/officeDocument/2006/relationships" name="Especes_factions" sheetId="4" r:id="R2eed80ba22454e10"/>
    <x:sheet xmlns:r="http://schemas.openxmlformats.org/officeDocument/2006/relationships" name="Mondes" sheetId="5" r:id="R81e6448c8ed04460"/>
    <x:sheet xmlns:r="http://schemas.openxmlformats.org/officeDocument/2006/relationships" name="Zones" sheetId="6" r:id="R4b4e5f23be1e4c60"/>
    <x:sheet xmlns:r="http://schemas.openxmlformats.org/officeDocument/2006/relationships" name="Liaisons" sheetId="7" r:id="R31b542ba076746ea"/>
    <x:sheet xmlns:r="http://schemas.openxmlformats.org/officeDocument/2006/relationships" name="Decors" sheetId="8" r:id="R1584b2b4c5f74115"/>
    <x:sheet xmlns:r="http://schemas.openxmlformats.org/officeDocument/2006/relationships" name="Props" sheetId="9" r:id="R487ed36fb6a44689"/>
    <x:sheet xmlns:r="http://schemas.openxmlformats.org/officeDocument/2006/relationships" name="Ennemis_boss" sheetId="10" r:id="Re3626502a5fc485c"/>
    <x:sheet xmlns:r="http://schemas.openxmlformats.org/officeDocument/2006/relationships" name="Missions" sheetId="11" r:id="R9ed229fb30854235"/>
    <x:sheet xmlns:r="http://schemas.openxmlformats.org/officeDocument/2006/relationships" name="Secondaires_DLC" sheetId="12" r:id="Rc647aba187ed490f"/>
    <x:sheet xmlns:r="http://schemas.openxmlformats.org/officeDocument/2006/relationships" name="Choix_relations" sheetId="13" r:id="R5c590cf5ab9442f9"/>
    <x:sheet xmlns:r="http://schemas.openxmlformats.org/officeDocument/2006/relationships" name="Dialogues" sheetId="14" r:id="R75fb34ea7a4b4902"/>
    <x:sheet xmlns:r="http://schemas.openxmlformats.org/officeDocument/2006/relationships" name="Cinematiques" sheetId="15" r:id="Rbb3f19d1efcc4ed2"/>
    <x:sheet xmlns:r="http://schemas.openxmlformats.org/officeDocument/2006/relationships" name="Armes" sheetId="16" r:id="Rf8f498fb8077424f"/>
    <x:sheet xmlns:r="http://schemas.openxmlformats.org/officeDocument/2006/relationships" name="Armures_equipement" sheetId="17" r:id="R2e768a6b7ade4cee"/>
    <x:sheet xmlns:r="http://schemas.openxmlformats.org/officeDocument/2006/relationships" name="Pouvoirs" sheetId="18" r:id="R29485e54ce444b50"/>
    <x:sheet xmlns:r="http://schemas.openxmlformats.org/officeDocument/2006/relationships" name="Movesets_allies" sheetId="19" r:id="R5d9d59684fcb4067"/>
    <x:sheet xmlns:r="http://schemas.openxmlformats.org/officeDocument/2006/relationships" name="Movesets_ennemis" sheetId="20" r:id="R794cee9cdccc4189"/>
    <x:sheet xmlns:r="http://schemas.openxmlformats.org/officeDocument/2006/relationships" name="Animations" sheetId="21" r:id="R3f4ce540f2a04895"/>
    <x:sheet xmlns:r="http://schemas.openxmlformats.org/officeDocument/2006/relationships" name="Sprites" sheetId="22" r:id="R52d815328c4b41ed"/>
    <x:sheet xmlns:r="http://schemas.openxmlformats.org/officeDocument/2006/relationships" name="VFX" sheetId="23" r:id="R74d8be56a4554317"/>
    <x:sheet xmlns:r="http://schemas.openxmlformats.org/officeDocument/2006/relationships" name="Audio" sheetId="24" r:id="R5b3f37e8c5a34566"/>
    <x:sheet xmlns:r="http://schemas.openxmlformats.org/officeDocument/2006/relationships" name="UI_systemes" sheetId="25" r:id="Ref7c370bb66e4bc4"/>
    <x:sheet xmlns:r="http://schemas.openxmlformats.org/officeDocument/2006/relationships" name="QA" sheetId="26" r:id="R6bd6e82756434d66"/>
    <x:sheet xmlns:r="http://schemas.openxmlformats.org/officeDocument/2006/relationships" name="Continuite" sheetId="27" r:id="Rc96ffc49468345e6"/>
    <x:sheet xmlns:r="http://schemas.openxmlformats.org/officeDocument/2006/relationships" name="Guide" sheetId="28" r:id="Rd2ee17b0bf404f8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6416736f79ba4590" /><Relationship Type="http://schemas.openxmlformats.org/officeDocument/2006/relationships/theme" Target="/xl/theme/theme1.xml" Id="R6bbbb709b2474c4f" /><Relationship Type="http://schemas.openxmlformats.org/officeDocument/2006/relationships/sharedStrings" Target="/xl/sharedStrings.xml" Id="R3e7c53536e0948b3" /><Relationship Type="http://schemas.openxmlformats.org/officeDocument/2006/relationships/worksheet" Target="/xl/worksheets/sheet1.xml" Id="R11cdad2292b64659" /><Relationship Type="http://schemas.openxmlformats.org/officeDocument/2006/relationships/worksheet" Target="/xl/worksheets/sheet2.xml" Id="R33a49bf9e2e74a60" /><Relationship Type="http://schemas.openxmlformats.org/officeDocument/2006/relationships/worksheet" Target="/xl/worksheets/sheet3.xml" Id="R03b83250203545ea" /><Relationship Type="http://schemas.openxmlformats.org/officeDocument/2006/relationships/worksheet" Target="/xl/worksheets/sheet4.xml" Id="R2eed80ba22454e10" /><Relationship Type="http://schemas.openxmlformats.org/officeDocument/2006/relationships/worksheet" Target="/xl/worksheets/sheet5.xml" Id="R81e6448c8ed04460" /><Relationship Type="http://schemas.openxmlformats.org/officeDocument/2006/relationships/worksheet" Target="/xl/worksheets/sheet6.xml" Id="R4b4e5f23be1e4c60" /><Relationship Type="http://schemas.openxmlformats.org/officeDocument/2006/relationships/worksheet" Target="/xl/worksheets/sheet7.xml" Id="R31b542ba076746ea" /><Relationship Type="http://schemas.openxmlformats.org/officeDocument/2006/relationships/worksheet" Target="/xl/worksheets/sheet8.xml" Id="R1584b2b4c5f74115" /><Relationship Type="http://schemas.openxmlformats.org/officeDocument/2006/relationships/worksheet" Target="/xl/worksheets/sheet9.xml" Id="R487ed36fb6a44689" /><Relationship Type="http://schemas.openxmlformats.org/officeDocument/2006/relationships/worksheet" Target="/xl/worksheets/sheet10.xml" Id="Re3626502a5fc485c" /><Relationship Type="http://schemas.openxmlformats.org/officeDocument/2006/relationships/worksheet" Target="/xl/worksheets/sheet11.xml" Id="R9ed229fb30854235" /><Relationship Type="http://schemas.openxmlformats.org/officeDocument/2006/relationships/worksheet" Target="/xl/worksheets/sheet12.xml" Id="Rc647aba187ed490f" /><Relationship Type="http://schemas.openxmlformats.org/officeDocument/2006/relationships/worksheet" Target="/xl/worksheets/sheet13.xml" Id="R5c590cf5ab9442f9" /><Relationship Type="http://schemas.openxmlformats.org/officeDocument/2006/relationships/worksheet" Target="/xl/worksheets/sheet14.xml" Id="R75fb34ea7a4b4902" /><Relationship Type="http://schemas.openxmlformats.org/officeDocument/2006/relationships/worksheet" Target="/xl/worksheets/sheet15.xml" Id="Rbb3f19d1efcc4ed2" /><Relationship Type="http://schemas.openxmlformats.org/officeDocument/2006/relationships/worksheet" Target="/xl/worksheets/sheet16.xml" Id="Rf8f498fb8077424f" /><Relationship Type="http://schemas.openxmlformats.org/officeDocument/2006/relationships/worksheet" Target="/xl/worksheets/sheet17.xml" Id="R2e768a6b7ade4cee" /><Relationship Type="http://schemas.openxmlformats.org/officeDocument/2006/relationships/worksheet" Target="/xl/worksheets/sheet18.xml" Id="R29485e54ce444b50" /><Relationship Type="http://schemas.openxmlformats.org/officeDocument/2006/relationships/worksheet" Target="/xl/worksheets/sheet19.xml" Id="R5d9d59684fcb4067" /><Relationship Type="http://schemas.openxmlformats.org/officeDocument/2006/relationships/worksheet" Target="/xl/worksheets/sheet20.xml" Id="R794cee9cdccc4189" /><Relationship Type="http://schemas.openxmlformats.org/officeDocument/2006/relationships/worksheet" Target="/xl/worksheets/sheet21.xml" Id="R3f4ce540f2a04895" /><Relationship Type="http://schemas.openxmlformats.org/officeDocument/2006/relationships/worksheet" Target="/xl/worksheets/sheet22.xml" Id="R52d815328c4b41ed" /><Relationship Type="http://schemas.openxmlformats.org/officeDocument/2006/relationships/worksheet" Target="/xl/worksheets/sheet23.xml" Id="R74d8be56a4554317" /><Relationship Type="http://schemas.openxmlformats.org/officeDocument/2006/relationships/worksheet" Target="/xl/worksheets/sheet24.xml" Id="R5b3f37e8c5a34566" /><Relationship Type="http://schemas.openxmlformats.org/officeDocument/2006/relationships/worksheet" Target="/xl/worksheets/sheet25.xml" Id="Ref7c370bb66e4bc4" /><Relationship Type="http://schemas.openxmlformats.org/officeDocument/2006/relationships/worksheet" Target="/xl/worksheets/sheet26.xml" Id="R6bd6e82756434d66" /><Relationship Type="http://schemas.openxmlformats.org/officeDocument/2006/relationships/worksheet" Target="/xl/worksheets/sheet27.xml" Id="Rc96ffc49468345e6" /><Relationship Type="http://schemas.openxmlformats.org/officeDocument/2006/relationships/worksheet" Target="/xl/worksheets/sheet28.xml" Id="Rd2ee17b0bf404f82" /></Relationships>
</file>

<file path=xl/tables/table1.xml><?xml version="1.0" encoding="utf-8"?>
<x:table xmlns:x="http://schemas.openxmlformats.org/spreadsheetml/2006/main" id="1" name="INC_characters" displayName="INC_charact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INC_npcs" displayName="INC_npc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INC_lore" displayName="INC_lore"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INC_worlds" displayName="INC_world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INC_zones" displayName="INC_zone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INC_links" displayName="INC_link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INC_scenery" displayName="INC_scenery"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INC_props" displayName="INC_prop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INC_enemies" displayName="INC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INC_main_quests" displayName="INC_main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INC_side_quests" displayName="INC_side_quest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INC_choices" displayName="INC_choic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INC_dialogues" displayName="INC_dialogu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INC_cinematics" displayName="INC_cinemati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INC_weapons" displayName="INC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INC_equipment" displayName="INC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INC_powers" displayName="INC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INC_ally_moves" displayName="INC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INC_enemy_moves" displayName="INC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INC_animations" displayName="INC_animati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INC_sprites" displayName="INC_sprit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INC_vfx" displayName="INC_vfx"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INC_audio" displayName="INC_audio"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INC_systems" displayName="INC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INC_qa" displayName="INC_qa"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INC_continuity" displayName="INC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ada65a86a714b65" /></Relationships>
</file>

<file path=xl/worksheets/_rels/sheet3.xml.rels>&#65279;<?xml version="1.0" encoding="utf-8"?><Relationships xmlns="http://schemas.openxmlformats.org/package/2006/relationships"><Relationship Type="http://schemas.openxmlformats.org/officeDocument/2006/relationships/table" Target="/xl/tables/table2.xml" Id="R7418ba34aef64aa7" /></Relationships>
</file>

<file path=xl/worksheets/_rels/sheet4.xml.rels>&#65279;<?xml version="1.0" encoding="utf-8"?><Relationships xmlns="http://schemas.openxmlformats.org/package/2006/relationships"><Relationship Type="http://schemas.openxmlformats.org/officeDocument/2006/relationships/table" Target="/xl/tables/table3.xml" Id="R7d82076f030f426e" /></Relationships>
</file>

<file path=xl/worksheets/_rels/sheet5.xml.rels>&#65279;<?xml version="1.0" encoding="utf-8"?><Relationships xmlns="http://schemas.openxmlformats.org/package/2006/relationships"><Relationship Type="http://schemas.openxmlformats.org/officeDocument/2006/relationships/table" Target="/xl/tables/table4.xml" Id="R707387b45115497d" /></Relationships>
</file>

<file path=xl/worksheets/_rels/sheet6.xml.rels>&#65279;<?xml version="1.0" encoding="utf-8"?><Relationships xmlns="http://schemas.openxmlformats.org/package/2006/relationships"><Relationship Type="http://schemas.openxmlformats.org/officeDocument/2006/relationships/table" Target="/xl/tables/table5.xml" Id="Rb03e0cd3e01d4409" /></Relationships>
</file>

<file path=xl/worksheets/_rels/sheet7.xml.rels>&#65279;<?xml version="1.0" encoding="utf-8"?><Relationships xmlns="http://schemas.openxmlformats.org/package/2006/relationships"><Relationship Type="http://schemas.openxmlformats.org/officeDocument/2006/relationships/table" Target="/xl/tables/table6.xml" Id="Rbfe81f5413ae4cfd" /></Relationships>
</file>

<file path=xl/worksheets/_rels/sheet8.xml.rels>&#65279;<?xml version="1.0" encoding="utf-8"?><Relationships xmlns="http://schemas.openxmlformats.org/package/2006/relationships"><Relationship Type="http://schemas.openxmlformats.org/officeDocument/2006/relationships/table" Target="/xl/tables/table7.xml" Id="R0b0740b71aa04368" /></Relationships>
</file>

<file path=xl/worksheets/_rels/sheet9.xml.rels>&#65279;<?xml version="1.0" encoding="utf-8"?><Relationships xmlns="http://schemas.openxmlformats.org/package/2006/relationships"><Relationship Type="http://schemas.openxmlformats.org/officeDocument/2006/relationships/table" Target="/xl/tables/table8.xml" Id="R331055f4b8a7477f" /></Relationships>
</file>

<file path=xl/worksheets/_rels/sheet10.xml.rels>&#65279;<?xml version="1.0" encoding="utf-8"?><Relationships xmlns="http://schemas.openxmlformats.org/package/2006/relationships"><Relationship Type="http://schemas.openxmlformats.org/officeDocument/2006/relationships/table" Target="/xl/tables/table9.xml" Id="Rf9cc5f7bcf5a4447" /></Relationships>
</file>

<file path=xl/worksheets/_rels/sheet11.xml.rels>&#65279;<?xml version="1.0" encoding="utf-8"?><Relationships xmlns="http://schemas.openxmlformats.org/package/2006/relationships"><Relationship Type="http://schemas.openxmlformats.org/officeDocument/2006/relationships/table" Target="/xl/tables/table10.xml" Id="R5eedd667b6da4094" /></Relationships>
</file>

<file path=xl/worksheets/_rels/sheet12.xml.rels>&#65279;<?xml version="1.0" encoding="utf-8"?><Relationships xmlns="http://schemas.openxmlformats.org/package/2006/relationships"><Relationship Type="http://schemas.openxmlformats.org/officeDocument/2006/relationships/table" Target="/xl/tables/table11.xml" Id="R79b51c409c874dc0" /></Relationships>
</file>

<file path=xl/worksheets/_rels/sheet13.xml.rels>&#65279;<?xml version="1.0" encoding="utf-8"?><Relationships xmlns="http://schemas.openxmlformats.org/package/2006/relationships"><Relationship Type="http://schemas.openxmlformats.org/officeDocument/2006/relationships/table" Target="/xl/tables/table12.xml" Id="R9663c8cd5e7f4ba7" /></Relationships>
</file>

<file path=xl/worksheets/_rels/sheet14.xml.rels>&#65279;<?xml version="1.0" encoding="utf-8"?><Relationships xmlns="http://schemas.openxmlformats.org/package/2006/relationships"><Relationship Type="http://schemas.openxmlformats.org/officeDocument/2006/relationships/table" Target="/xl/tables/table13.xml" Id="R17c795e279cc4050" /></Relationships>
</file>

<file path=xl/worksheets/_rels/sheet15.xml.rels>&#65279;<?xml version="1.0" encoding="utf-8"?><Relationships xmlns="http://schemas.openxmlformats.org/package/2006/relationships"><Relationship Type="http://schemas.openxmlformats.org/officeDocument/2006/relationships/table" Target="/xl/tables/table14.xml" Id="R01d9e5ffd32b456e" /></Relationships>
</file>

<file path=xl/worksheets/_rels/sheet16.xml.rels>&#65279;<?xml version="1.0" encoding="utf-8"?><Relationships xmlns="http://schemas.openxmlformats.org/package/2006/relationships"><Relationship Type="http://schemas.openxmlformats.org/officeDocument/2006/relationships/table" Target="/xl/tables/table15.xml" Id="Rcb9fb130934f4592" /></Relationships>
</file>

<file path=xl/worksheets/_rels/sheet17.xml.rels>&#65279;<?xml version="1.0" encoding="utf-8"?><Relationships xmlns="http://schemas.openxmlformats.org/package/2006/relationships"><Relationship Type="http://schemas.openxmlformats.org/officeDocument/2006/relationships/table" Target="/xl/tables/table16.xml" Id="R9863b1c58f3a4dcd" /></Relationships>
</file>

<file path=xl/worksheets/_rels/sheet18.xml.rels>&#65279;<?xml version="1.0" encoding="utf-8"?><Relationships xmlns="http://schemas.openxmlformats.org/package/2006/relationships"><Relationship Type="http://schemas.openxmlformats.org/officeDocument/2006/relationships/table" Target="/xl/tables/table17.xml" Id="R0893db1b4b2a4523" /></Relationships>
</file>

<file path=xl/worksheets/_rels/sheet19.xml.rels>&#65279;<?xml version="1.0" encoding="utf-8"?><Relationships xmlns="http://schemas.openxmlformats.org/package/2006/relationships"><Relationship Type="http://schemas.openxmlformats.org/officeDocument/2006/relationships/table" Target="/xl/tables/table18.xml" Id="R7a6f9b13b3f745bf" /></Relationships>
</file>

<file path=xl/worksheets/_rels/sheet20.xml.rels>&#65279;<?xml version="1.0" encoding="utf-8"?><Relationships xmlns="http://schemas.openxmlformats.org/package/2006/relationships"><Relationship Type="http://schemas.openxmlformats.org/officeDocument/2006/relationships/table" Target="/xl/tables/table19.xml" Id="Rad1feb48d5e04831" /></Relationships>
</file>

<file path=xl/worksheets/_rels/sheet21.xml.rels>&#65279;<?xml version="1.0" encoding="utf-8"?><Relationships xmlns="http://schemas.openxmlformats.org/package/2006/relationships"><Relationship Type="http://schemas.openxmlformats.org/officeDocument/2006/relationships/table" Target="/xl/tables/table20.xml" Id="Rce626a5b45a14983" /></Relationships>
</file>

<file path=xl/worksheets/_rels/sheet22.xml.rels>&#65279;<?xml version="1.0" encoding="utf-8"?><Relationships xmlns="http://schemas.openxmlformats.org/package/2006/relationships"><Relationship Type="http://schemas.openxmlformats.org/officeDocument/2006/relationships/table" Target="/xl/tables/table21.xml" Id="R0a4be9b538104213" /></Relationships>
</file>

<file path=xl/worksheets/_rels/sheet23.xml.rels>&#65279;<?xml version="1.0" encoding="utf-8"?><Relationships xmlns="http://schemas.openxmlformats.org/package/2006/relationships"><Relationship Type="http://schemas.openxmlformats.org/officeDocument/2006/relationships/table" Target="/xl/tables/table22.xml" Id="R4d57963f31fb4c57" /></Relationships>
</file>

<file path=xl/worksheets/_rels/sheet24.xml.rels>&#65279;<?xml version="1.0" encoding="utf-8"?><Relationships xmlns="http://schemas.openxmlformats.org/package/2006/relationships"><Relationship Type="http://schemas.openxmlformats.org/officeDocument/2006/relationships/table" Target="/xl/tables/table23.xml" Id="R1604635d0118442a" /></Relationships>
</file>

<file path=xl/worksheets/_rels/sheet25.xml.rels>&#65279;<?xml version="1.0" encoding="utf-8"?><Relationships xmlns="http://schemas.openxmlformats.org/package/2006/relationships"><Relationship Type="http://schemas.openxmlformats.org/officeDocument/2006/relationships/table" Target="/xl/tables/table24.xml" Id="R41653a2e1b21475e" /></Relationships>
</file>

<file path=xl/worksheets/_rels/sheet26.xml.rels>&#65279;<?xml version="1.0" encoding="utf-8"?><Relationships xmlns="http://schemas.openxmlformats.org/package/2006/relationships"><Relationship Type="http://schemas.openxmlformats.org/officeDocument/2006/relationships/table" Target="/xl/tables/table25.xml" Id="R77cb9b7466f64c51" /></Relationships>
</file>

<file path=xl/worksheets/_rels/sheet27.xml.rels>&#65279;<?xml version="1.0" encoding="utf-8"?><Relationships xmlns="http://schemas.openxmlformats.org/package/2006/relationships"><Relationship Type="http://schemas.openxmlformats.org/officeDocument/2006/relationships/table" Target="/xl/tables/table26.xml" Id="R41bcd67d45d64e34"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Incursion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64</x:v>
      </x:c>
      <x:c r="C5" s="2"/>
      <x:c r="D5" s="2" t="str">
        <x:v>Intégrés</x:v>
      </x:c>
      <x:c r="E5" s="31" t="n">
        <x:f>SUM(E10:F35)</x:f>
        <x:v>0</x:v>
      </x:c>
      <x:c r="F5" s="2"/>
      <x:c r="G5" s="2" t="str">
        <x:v>À vérifier</x:v>
      </x:c>
      <x:c r="H5" s="31" t="n">
        <x:f>SUM(H10:H35)</x:f>
        <x:v>8</x:v>
      </x:c>
      <x:c r="I5" s="2"/>
      <x:c r="J5" s="2" t="str">
        <x:v>Extrapolations</x:v>
      </x:c>
      <x:c r="K5" s="31" t="n">
        <x:f>SUM(I10:I35)</x:f>
        <x:v>52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5" t="str">
        <x:v>Domaine</x:v>
      </x:c>
      <x:c r="B9" s="26" t="str">
        <x:v>Total</x:v>
      </x:c>
      <x:c r="C9" s="26" t="str">
        <x:v>Défini</x:v>
      </x:c>
      <x:c r="D9" s="26" t="str">
        <x:v>Prototype</x:v>
      </x:c>
      <x:c r="E9" s="26" t="str">
        <x:v>Intégré</x:v>
      </x:c>
      <x:c r="F9" s="26" t="str">
        <x:v>Validé</x:v>
      </x:c>
      <x:c r="G9" s="26" t="str">
        <x:v>Établi</x:v>
      </x:c>
      <x:c r="H9" s="26" t="str">
        <x:v>À vérifier</x:v>
      </x:c>
      <x:c r="I9" s="26" t="str">
        <x:v>Extrapolation</x:v>
      </x:c>
      <x:c r="J9" s="26" t="str">
        <x:v>Coupé attesté</x:v>
      </x:c>
      <x:c r="K9" s="26" t="str">
        <x:v>Concept abandonné</x:v>
      </x:c>
      <x:c r="L9" s="26" t="str">
        <x:v>Allégation écartée</x:v>
      </x:c>
      <x:c r="M9" s="27" t="str">
        <x:v>Priorité P0</x:v>
      </x:c>
    </x:row>
    <x:row r="10" ht="22" customHeight="1">
      <x:c r="A10" s="33" t="str">
        <x:v>Personnages</x:v>
      </x:c>
      <x:c r="B10" s="37" t="n">
        <x:f>COUNTA('Personnages'!$A$7:$A$7)</x:f>
        <x:v>1</x:v>
      </x:c>
      <x:c r="C10" s="37" t="n">
        <x:f>COUNTIFS('Personnages'!$C$7:$C$7,"Défini")</x:f>
        <x:v>1</x:v>
      </x:c>
      <x:c r="D10" s="37" t="n">
        <x:f>COUNTIFS('Personnages'!$C$7:$C$7,"Prototype")</x:f>
        <x:v>0</x:v>
      </x:c>
      <x:c r="E10" s="37" t="n">
        <x:f>COUNTIFS('Personnages'!$C$7:$C$7,"Intégré")</x:f>
        <x:v>0</x:v>
      </x:c>
      <x:c r="F10" s="37" t="n">
        <x:f>COUNTIFS('Personnages'!$C$7:$C$7,"Validé")</x:f>
        <x:v>0</x:v>
      </x:c>
      <x:c r="G10" s="37" t="n">
        <x:f>COUNTIFS('Personnages'!$D$7:$D$7,"Établi")</x:f>
        <x:v>1</x:v>
      </x:c>
      <x:c r="H10" s="37" t="n">
        <x:f>COUNTIFS('Personnages'!$D$7:$D$7,"À vérifier")</x:f>
        <x:v>0</x:v>
      </x:c>
      <x:c r="I10" s="37" t="n">
        <x:f>COUNTIFS('Personnages'!$D$7:$D$7,"Extrapolation")</x:f>
        <x:v>0</x:v>
      </x:c>
      <x:c r="J10" s="37" t="n">
        <x:f>COUNTIFS('Personnages'!$D$7:$D$7,"Coupé attesté")</x:f>
        <x:v>0</x:v>
      </x:c>
      <x:c r="K10" s="37" t="n">
        <x:f>COUNTIFS('Personnages'!$D$7:$D$7,"Concept abandonné")</x:f>
        <x:v>0</x:v>
      </x:c>
      <x:c r="L10" s="37" t="n">
        <x:f>COUNTIFS('Personnages'!$D$7:$D$7,"Allégation écartée")</x:f>
        <x:v>0</x:v>
      </x:c>
      <x:c r="M10" s="37" t="n">
        <x:f>COUNTIFS('Personnages'!$E$7:$E$7,"P0")</x:f>
        <x:v>0</x:v>
      </x:c>
    </x:row>
    <x:row r="11" ht="22" customHeight="1">
      <x:c r="A11" s="2" t="str">
        <x:v>PNJ</x:v>
      </x:c>
      <x:c r="B11" s="38" t="n">
        <x:f>COUNTA('PNJ'!$A$7:$A$7)</x:f>
        <x:v>1</x:v>
      </x:c>
      <x:c r="C11" s="38" t="n">
        <x:f>COUNTIFS('PNJ'!$C$7:$C$7,"Défini")</x:f>
        <x:v>1</x:v>
      </x:c>
      <x:c r="D11" s="38" t="n">
        <x:f>COUNTIFS('PNJ'!$C$7:$C$7,"Prototype")</x:f>
        <x:v>0</x:v>
      </x:c>
      <x:c r="E11" s="38" t="n">
        <x:f>COUNTIFS('PNJ'!$C$7:$C$7,"Intégré")</x:f>
        <x:v>0</x:v>
      </x:c>
      <x:c r="F11" s="38" t="n">
        <x:f>COUNTIFS('PNJ'!$C$7:$C$7,"Validé")</x:f>
        <x:v>0</x:v>
      </x:c>
      <x:c r="G11" s="38" t="n">
        <x:f>COUNTIFS('PNJ'!$D$7:$D$7,"Établi")</x:f>
        <x:v>0</x:v>
      </x:c>
      <x:c r="H11" s="38" t="n">
        <x:f>COUNTIFS('PNJ'!$D$7:$D$7,"À vérifier")</x:f>
        <x:v>1</x:v>
      </x:c>
      <x:c r="I11" s="38" t="n">
        <x:f>COUNTIFS('PNJ'!$D$7:$D$7,"Extrapolation")</x:f>
        <x:v>0</x:v>
      </x:c>
      <x:c r="J11" s="38" t="n">
        <x:f>COUNTIFS('PNJ'!$D$7:$D$7,"Coupé attesté")</x:f>
        <x:v>0</x:v>
      </x:c>
      <x:c r="K11" s="38" t="n">
        <x:f>COUNTIFS('PNJ'!$D$7:$D$7,"Concept abandonné")</x:f>
        <x:v>0</x:v>
      </x:c>
      <x:c r="L11" s="38" t="n">
        <x:f>COUNTIFS('PNJ'!$D$7:$D$7,"Allégation écartée")</x:f>
        <x:v>0</x:v>
      </x:c>
      <x:c r="M11" s="38" t="n">
        <x:f>COUNTIFS('PNJ'!$E$7:$E$7,"P0")</x:f>
        <x:v>0</x:v>
      </x:c>
    </x:row>
    <x:row r="12" ht="22" customHeight="1">
      <x:c r="A12" s="33" t="str">
        <x:v>Espèces et factions</x:v>
      </x:c>
      <x:c r="B12" s="37" t="n">
        <x:f>COUNTA('Especes_factions'!$A$7:$A$12)</x:f>
        <x:v>6</x:v>
      </x:c>
      <x:c r="C12" s="37" t="n">
        <x:f>COUNTIFS('Especes_factions'!$C$7:$C$12,"Défini")</x:f>
        <x:v>5</x:v>
      </x:c>
      <x:c r="D12" s="37" t="n">
        <x:f>COUNTIFS('Especes_factions'!$C$7:$C$12,"Prototype")</x:f>
        <x:v>1</x:v>
      </x:c>
      <x:c r="E12" s="37" t="n">
        <x:f>COUNTIFS('Especes_factions'!$C$7:$C$12,"Intégré")</x:f>
        <x:v>0</x:v>
      </x:c>
      <x:c r="F12" s="37" t="n">
        <x:f>COUNTIFS('Especes_factions'!$C$7:$C$12,"Validé")</x:f>
        <x:v>0</x:v>
      </x:c>
      <x:c r="G12" s="37" t="n">
        <x:f>COUNTIFS('Especes_factions'!$D$7:$D$12,"Établi")</x:f>
        <x:v>1</x:v>
      </x:c>
      <x:c r="H12" s="37" t="n">
        <x:f>COUNTIFS('Especes_factions'!$D$7:$D$12,"À vérifier")</x:f>
        <x:v>5</x:v>
      </x:c>
      <x:c r="I12" s="37" t="n">
        <x:f>COUNTIFS('Especes_factions'!$D$7:$D$12,"Extrapolation")</x:f>
        <x:v>0</x:v>
      </x:c>
      <x:c r="J12" s="37" t="n">
        <x:f>COUNTIFS('Especes_factions'!$D$7:$D$12,"Coupé attesté")</x:f>
        <x:v>0</x:v>
      </x:c>
      <x:c r="K12" s="37" t="n">
        <x:f>COUNTIFS('Especes_factions'!$D$7:$D$12,"Concept abandonné")</x:f>
        <x:v>0</x:v>
      </x:c>
      <x:c r="L12" s="37" t="n">
        <x:f>COUNTIFS('Especes_factions'!$D$7:$D$12,"Allégation écartée")</x:f>
        <x:v>0</x:v>
      </x:c>
      <x:c r="M12" s="37" t="n">
        <x:f>COUNTIFS('Especes_factions'!$E$7:$E$12,"P0")</x:f>
        <x:v>3</x:v>
      </x:c>
    </x:row>
    <x:row r="13" ht="22" customHeight="1">
      <x:c r="A13" s="2" t="str">
        <x:v>Mondes</x:v>
      </x:c>
      <x:c r="B13" s="38" t="n">
        <x:f>COUNTA('Mondes'!$A$7:$A$7)</x:f>
        <x:v>1</x:v>
      </x:c>
      <x:c r="C13" s="38" t="n">
        <x:f>COUNTIFS('Mondes'!$C$7:$C$7,"Défini")</x:f>
        <x:v>0</x:v>
      </x:c>
      <x:c r="D13" s="38" t="n">
        <x:f>COUNTIFS('Mondes'!$C$7:$C$7,"Prototype")</x:f>
        <x:v>1</x:v>
      </x:c>
      <x:c r="E13" s="38" t="n">
        <x:f>COUNTIFS('Mondes'!$C$7:$C$7,"Intégré")</x:f>
        <x:v>0</x:v>
      </x:c>
      <x:c r="F13" s="38" t="n">
        <x:f>COUNTIFS('Mondes'!$C$7:$C$7,"Validé")</x:f>
        <x:v>0</x:v>
      </x:c>
      <x:c r="G13" s="38" t="n">
        <x:f>COUNTIFS('Mondes'!$D$7:$D$7,"Établi")</x:f>
        <x:v>1</x:v>
      </x:c>
      <x:c r="H13" s="38" t="n">
        <x:f>COUNTIFS('Mondes'!$D$7:$D$7,"À vérifier")</x:f>
        <x:v>0</x:v>
      </x:c>
      <x:c r="I13" s="38" t="n">
        <x:f>COUNTIFS('Mondes'!$D$7:$D$7,"Extrapolation")</x:f>
        <x:v>0</x:v>
      </x:c>
      <x:c r="J13" s="38" t="n">
        <x:f>COUNTIFS('Mondes'!$D$7:$D$7,"Coupé attesté")</x:f>
        <x:v>0</x:v>
      </x:c>
      <x:c r="K13" s="38" t="n">
        <x:f>COUNTIFS('Mondes'!$D$7:$D$7,"Concept abandonné")</x:f>
        <x:v>0</x:v>
      </x:c>
      <x:c r="L13" s="38" t="n">
        <x:f>COUNTIFS('Mondes'!$D$7:$D$7,"Allégation écartée")</x:f>
        <x:v>0</x:v>
      </x:c>
      <x:c r="M13" s="38" t="n">
        <x:f>COUNTIFS('Mondes'!$E$7:$E$7,"P0")</x:f>
        <x:v>0</x:v>
      </x:c>
    </x:row>
    <x:row r="14" ht="22" customHeight="1">
      <x:c r="A14" s="33" t="str">
        <x:v>Zones</x:v>
      </x:c>
      <x:c r="B14" s="37" t="n">
        <x:f>COUNTA('Zones'!$A$7:$A$7)</x:f>
        <x:v>1</x:v>
      </x:c>
      <x:c r="C14" s="37" t="n">
        <x:f>COUNTIFS('Zones'!$C$7:$C$7,"Défini")</x:f>
        <x:v>1</x:v>
      </x:c>
      <x:c r="D14" s="37" t="n">
        <x:f>COUNTIFS('Zones'!$C$7:$C$7,"Prototype")</x:f>
        <x:v>0</x:v>
      </x:c>
      <x:c r="E14" s="37" t="n">
        <x:f>COUNTIFS('Zones'!$C$7:$C$7,"Intégré")</x:f>
        <x:v>0</x:v>
      </x:c>
      <x:c r="F14" s="37" t="n">
        <x:f>COUNTIFS('Zones'!$C$7:$C$7,"Validé")</x:f>
        <x:v>0</x:v>
      </x:c>
      <x:c r="G14" s="37" t="n">
        <x:f>COUNTIFS('Zones'!$D$7:$D$7,"Établi")</x:f>
        <x:v>0</x:v>
      </x:c>
      <x:c r="H14" s="37" t="n">
        <x:f>COUNTIFS('Zones'!$D$7:$D$7,"À vérifier")</x:f>
        <x:v>0</x:v>
      </x:c>
      <x:c r="I14" s="37" t="n">
        <x:f>COUNTIFS('Zones'!$D$7:$D$7,"Extrapolation")</x:f>
        <x:v>1</x:v>
      </x:c>
      <x:c r="J14" s="37" t="n">
        <x:f>COUNTIFS('Zones'!$D$7:$D$7,"Coupé attesté")</x:f>
        <x:v>0</x:v>
      </x:c>
      <x:c r="K14" s="37" t="n">
        <x:f>COUNTIFS('Zones'!$D$7:$D$7,"Concept abandonné")</x:f>
        <x:v>0</x:v>
      </x:c>
      <x:c r="L14" s="37" t="n">
        <x:f>COUNTIFS('Zones'!$D$7:$D$7,"Allégation écartée")</x:f>
        <x:v>0</x:v>
      </x:c>
      <x:c r="M14" s="37" t="n">
        <x:f>COUNTIFS('Zones'!$E$7:$E$7,"P0")</x:f>
        <x:v>0</x:v>
      </x:c>
    </x:row>
    <x:row r="15" ht="22" customHeight="1">
      <x:c r="A15" s="2" t="str">
        <x:v>Liaisons</x:v>
      </x:c>
      <x:c r="B15" s="38" t="n">
        <x:f>COUNTA('Liaisons'!$A$7:$A$7)</x:f>
        <x:v>1</x:v>
      </x:c>
      <x:c r="C15" s="38" t="n">
        <x:f>COUNTIFS('Liaisons'!$C$7:$C$7,"Défini")</x:f>
        <x:v>1</x:v>
      </x:c>
      <x:c r="D15" s="38" t="n">
        <x:f>COUNTIFS('Liaisons'!$C$7:$C$7,"Prototype")</x:f>
        <x:v>0</x:v>
      </x:c>
      <x:c r="E15" s="38" t="n">
        <x:f>COUNTIFS('Liaisons'!$C$7:$C$7,"Intégré")</x:f>
        <x:v>0</x:v>
      </x:c>
      <x:c r="F15" s="38" t="n">
        <x:f>COUNTIFS('Liaisons'!$C$7:$C$7,"Validé")</x:f>
        <x:v>0</x:v>
      </x:c>
      <x:c r="G15" s="38" t="n">
        <x:f>COUNTIFS('Liaisons'!$D$7:$D$7,"Établi")</x:f>
        <x:v>0</x:v>
      </x:c>
      <x:c r="H15" s="38" t="n">
        <x:f>COUNTIFS('Liaisons'!$D$7:$D$7,"À vérifier")</x:f>
        <x:v>0</x:v>
      </x:c>
      <x:c r="I15" s="38" t="n">
        <x:f>COUNTIFS('Liaisons'!$D$7:$D$7,"Extrapolation")</x:f>
        <x:v>1</x:v>
      </x:c>
      <x:c r="J15" s="38" t="n">
        <x:f>COUNTIFS('Liaisons'!$D$7:$D$7,"Coupé attesté")</x:f>
        <x:v>0</x:v>
      </x:c>
      <x:c r="K15" s="38" t="n">
        <x:f>COUNTIFS('Liaisons'!$D$7:$D$7,"Concept abandonné")</x:f>
        <x:v>0</x:v>
      </x:c>
      <x:c r="L15" s="38" t="n">
        <x:f>COUNTIFS('Liaisons'!$D$7:$D$7,"Allégation écartée")</x:f>
        <x:v>0</x:v>
      </x:c>
      <x:c r="M15" s="38" t="n">
        <x:f>COUNTIFS('Liaisons'!$E$7:$E$7,"P0")</x:f>
        <x:v>0</x:v>
      </x:c>
    </x:row>
    <x:row r="16" ht="22" customHeight="1">
      <x:c r="A16" s="33" t="str">
        <x:v>Décors</x:v>
      </x:c>
      <x:c r="B16" s="37" t="n">
        <x:f>COUNTA('Decors'!$A$7:$A$7)</x:f>
        <x:v>1</x:v>
      </x:c>
      <x:c r="C16" s="37" t="n">
        <x:f>COUNTIFS('Decors'!$C$7:$C$7,"Défini")</x:f>
        <x:v>1</x:v>
      </x:c>
      <x:c r="D16" s="37" t="n">
        <x:f>COUNTIFS('Decors'!$C$7:$C$7,"Prototype")</x:f>
        <x:v>0</x:v>
      </x:c>
      <x:c r="E16" s="37" t="n">
        <x:f>COUNTIFS('Decors'!$C$7:$C$7,"Intégré")</x:f>
        <x:v>0</x:v>
      </x:c>
      <x:c r="F16" s="37" t="n">
        <x:f>COUNTIFS('Decors'!$C$7:$C$7,"Validé")</x:f>
        <x:v>0</x:v>
      </x:c>
      <x:c r="G16" s="37" t="n">
        <x:f>COUNTIFS('Decors'!$D$7:$D$7,"Établi")</x:f>
        <x:v>0</x:v>
      </x:c>
      <x:c r="H16" s="37" t="n">
        <x:f>COUNTIFS('Decors'!$D$7:$D$7,"À vérifier")</x:f>
        <x:v>0</x:v>
      </x:c>
      <x:c r="I16" s="37" t="n">
        <x:f>COUNTIFS('Decors'!$D$7:$D$7,"Extrapolation")</x:f>
        <x:v>1</x:v>
      </x:c>
      <x:c r="J16" s="37" t="n">
        <x:f>COUNTIFS('Decors'!$D$7:$D$7,"Coupé attesté")</x:f>
        <x:v>0</x:v>
      </x:c>
      <x:c r="K16" s="37" t="n">
        <x:f>COUNTIFS('Decors'!$D$7:$D$7,"Concept abandonné")</x:f>
        <x:v>0</x:v>
      </x:c>
      <x:c r="L16" s="37" t="n">
        <x:f>COUNTIFS('Decors'!$D$7:$D$7,"Allégation écartée")</x:f>
        <x:v>0</x:v>
      </x:c>
      <x:c r="M16" s="37" t="n">
        <x:f>COUNTIFS('Decors'!$E$7:$E$7,"P0")</x:f>
        <x:v>0</x:v>
      </x:c>
    </x:row>
    <x:row r="17" ht="22" customHeight="1">
      <x:c r="A17" s="2" t="str">
        <x:v>Props</x:v>
      </x:c>
      <x:c r="B17" s="38" t="n">
        <x:f>COUNTA('Props'!$A$7:$A$9)</x:f>
        <x:v>3</x:v>
      </x:c>
      <x:c r="C17" s="38" t="n">
        <x:f>COUNTIFS('Props'!$C$7:$C$9,"Défini")</x:f>
        <x:v>3</x:v>
      </x:c>
      <x:c r="D17" s="38" t="n">
        <x:f>COUNTIFS('Props'!$C$7:$C$9,"Prototype")</x:f>
        <x:v>0</x:v>
      </x:c>
      <x:c r="E17" s="38" t="n">
        <x:f>COUNTIFS('Props'!$C$7:$C$9,"Intégré")</x:f>
        <x:v>0</x:v>
      </x:c>
      <x:c r="F17" s="38" t="n">
        <x:f>COUNTIFS('Props'!$C$7:$C$9,"Validé")</x:f>
        <x:v>0</x:v>
      </x:c>
      <x:c r="G17" s="38" t="n">
        <x:f>COUNTIFS('Props'!$D$7:$D$9,"Établi")</x:f>
        <x:v>0</x:v>
      </x:c>
      <x:c r="H17" s="38" t="n">
        <x:f>COUNTIFS('Props'!$D$7:$D$9,"À vérifier")</x:f>
        <x:v>0</x:v>
      </x:c>
      <x:c r="I17" s="38" t="n">
        <x:f>COUNTIFS('Props'!$D$7:$D$9,"Extrapolation")</x:f>
        <x:v>3</x:v>
      </x:c>
      <x:c r="J17" s="38" t="n">
        <x:f>COUNTIFS('Props'!$D$7:$D$9,"Coupé attesté")</x:f>
        <x:v>0</x:v>
      </x:c>
      <x:c r="K17" s="38" t="n">
        <x:f>COUNTIFS('Props'!$D$7:$D$9,"Concept abandonné")</x:f>
        <x:v>0</x:v>
      </x:c>
      <x:c r="L17" s="38" t="n">
        <x:f>COUNTIFS('Props'!$D$7:$D$9,"Allégation écartée")</x:f>
        <x:v>0</x:v>
      </x:c>
      <x:c r="M17" s="38" t="n">
        <x:f>COUNTIFS('Props'!$E$7:$E$9,"P0")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1</x:v>
      </x:c>
      <x:c r="H18" s="37" t="n">
        <x:f>COUNTIFS('Ennemis_boss'!$D$7:$D$9,"À vérifier")</x:f>
        <x:v>2</x:v>
      </x:c>
      <x:c r="I18" s="37" t="n">
        <x:f>COUNTIFS('Ennemis_boss'!$D$7:$D$9,"Extrapolation")</x:f>
        <x:v>0</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COUNTA('Missions'!$A$7:$A$9)</x:f>
        <x:v>3</x:v>
      </x:c>
      <x:c r="C19" s="38" t="n">
        <x:f>COUNTIFS('Missions'!$C$7:$C$9,"Défini")</x:f>
        <x:v>3</x:v>
      </x:c>
      <x:c r="D19" s="38" t="n">
        <x:f>COUNTIFS('Missions'!$C$7:$C$9,"Prototype")</x:f>
        <x:v>0</x:v>
      </x:c>
      <x:c r="E19" s="38" t="n">
        <x:f>COUNTIFS('Missions'!$C$7:$C$9,"Intégré")</x:f>
        <x:v>0</x:v>
      </x:c>
      <x:c r="F19" s="38" t="n">
        <x:f>COUNTIFS('Missions'!$C$7:$C$9,"Validé")</x:f>
        <x:v>0</x:v>
      </x:c>
      <x:c r="G19" s="38" t="n">
        <x:f>COUNTIFS('Missions'!$D$7:$D$9,"Établi")</x:f>
        <x:v>0</x:v>
      </x:c>
      <x:c r="H19" s="38" t="n">
        <x:f>COUNTIFS('Missions'!$D$7:$D$9,"À vérifier")</x:f>
        <x:v>0</x:v>
      </x:c>
      <x:c r="I19" s="38" t="n">
        <x:f>COUNTIFS('Missions'!$D$7:$D$9,"Extrapolation")</x:f>
        <x:v>3</x:v>
      </x:c>
      <x:c r="J19" s="38" t="n">
        <x:f>COUNTIFS('Missions'!$D$7:$D$9,"Coupé attesté")</x:f>
        <x:v>0</x:v>
      </x:c>
      <x:c r="K19" s="38" t="n">
        <x:f>COUNTIFS('Missions'!$D$7:$D$9,"Concept abandonné")</x:f>
        <x:v>0</x:v>
      </x:c>
      <x:c r="L19" s="38" t="n">
        <x:f>COUNTIFS('Missions'!$D$7:$D$9,"Allégation écartée")</x:f>
        <x:v>0</x:v>
      </x:c>
      <x:c r="M19" s="38" t="n">
        <x:f>COUNTIFS('Missions'!$E$7:$E$9,"P0")</x:f>
        <x:v>3</x:v>
      </x:c>
    </x:row>
    <x:row r="20" ht="22" customHeight="1">
      <x:c r="A20" s="33" t="str">
        <x:v>Secondaires et DLC</x:v>
      </x:c>
      <x:c r="B20" s="37" t="n">
        <x:f>COUNTA('Secondaires_DLC'!$A$7:$A$9)</x:f>
        <x:v>3</x:v>
      </x:c>
      <x:c r="C20" s="37" t="n">
        <x:f>COUNTIFS('Secondaires_DLC'!$C$7:$C$9,"Défini")</x:f>
        <x:v>3</x:v>
      </x:c>
      <x:c r="D20" s="37" t="n">
        <x:f>COUNTIFS('Secondaires_DLC'!$C$7:$C$9,"Prototype")</x:f>
        <x:v>0</x:v>
      </x:c>
      <x:c r="E20" s="37" t="n">
        <x:f>COUNTIFS('Secondaires_DLC'!$C$7:$C$9,"Intégré")</x:f>
        <x:v>0</x:v>
      </x:c>
      <x:c r="F20" s="37" t="n">
        <x:f>COUNTIFS('Secondaires_DLC'!$C$7:$C$9,"Validé")</x:f>
        <x:v>0</x:v>
      </x:c>
      <x:c r="G20" s="37" t="n">
        <x:f>COUNTIFS('Secondaires_DLC'!$D$7:$D$9,"Établi")</x:f>
        <x:v>0</x:v>
      </x:c>
      <x:c r="H20" s="37" t="n">
        <x:f>COUNTIFS('Secondaires_DLC'!$D$7:$D$9,"À vérifier")</x:f>
        <x:v>0</x:v>
      </x:c>
      <x:c r="I20" s="37" t="n">
        <x:f>COUNTIFS('Secondaires_DLC'!$D$7:$D$9,"Extrapolation")</x:f>
        <x:v>3</x:v>
      </x:c>
      <x:c r="J20" s="37" t="n">
        <x:f>COUNTIFS('Secondaires_DLC'!$D$7:$D$9,"Coupé attesté")</x:f>
        <x:v>0</x:v>
      </x:c>
      <x:c r="K20" s="37" t="n">
        <x:f>COUNTIFS('Secondaires_DLC'!$D$7:$D$9,"Concept abandonné")</x:f>
        <x:v>0</x:v>
      </x:c>
      <x:c r="L20" s="37" t="n">
        <x:f>COUNTIFS('Secondaires_DLC'!$D$7:$D$9,"Allégation écartée")</x:f>
        <x:v>0</x:v>
      </x:c>
      <x:c r="M20" s="37" t="n">
        <x:f>COUNTIFS('Secondaires_DLC'!$E$7:$E$9,"P0")</x:f>
        <x:v>0</x:v>
      </x:c>
    </x:row>
    <x:row r="21" ht="22" customHeight="1">
      <x:c r="A21" s="2" t="str">
        <x:v>Choix et relations</x:v>
      </x:c>
      <x:c r="B21" s="38" t="n">
        <x:f>COUNTA('Choix_relations'!$A$7:$A$9)</x:f>
        <x:v>3</x:v>
      </x:c>
      <x:c r="C21" s="38" t="n">
        <x:f>COUNTIFS('Choix_relations'!$C$7:$C$9,"Défini")</x:f>
        <x:v>3</x:v>
      </x:c>
      <x:c r="D21" s="38" t="n">
        <x:f>COUNTIFS('Choix_relations'!$C$7:$C$9,"Prototype")</x:f>
        <x:v>0</x:v>
      </x:c>
      <x:c r="E21" s="38" t="n">
        <x:f>COUNTIFS('Choix_relations'!$C$7:$C$9,"Intégré")</x:f>
        <x:v>0</x:v>
      </x:c>
      <x:c r="F21" s="38" t="n">
        <x:f>COUNTIFS('Choix_relations'!$C$7:$C$9,"Validé")</x:f>
        <x:v>0</x:v>
      </x:c>
      <x:c r="G21" s="38" t="n">
        <x:f>COUNTIFS('Choix_relations'!$D$7:$D$9,"Établi")</x:f>
        <x:v>0</x:v>
      </x:c>
      <x:c r="H21" s="38" t="n">
        <x:f>COUNTIFS('Choix_relations'!$D$7:$D$9,"À vérifier")</x:f>
        <x:v>0</x:v>
      </x:c>
      <x:c r="I21" s="38" t="n">
        <x:f>COUNTIFS('Choix_relations'!$D$7:$D$9,"Extrapolation")</x:f>
        <x:v>3</x:v>
      </x:c>
      <x:c r="J21" s="38" t="n">
        <x:f>COUNTIFS('Choix_relations'!$D$7:$D$9,"Coupé attesté")</x:f>
        <x:v>0</x:v>
      </x:c>
      <x:c r="K21" s="38" t="n">
        <x:f>COUNTIFS('Choix_relations'!$D$7:$D$9,"Concept abandonné")</x:f>
        <x:v>0</x:v>
      </x:c>
      <x:c r="L21" s="38" t="n">
        <x:f>COUNTIFS('Choix_relations'!$D$7:$D$9,"Allégation écartée")</x:f>
        <x:v>0</x:v>
      </x:c>
      <x:c r="M21" s="38" t="n">
        <x:f>COUNTIFS('Choix_relations'!$E$7:$E$9,"P0")</x:f>
        <x:v>0</x:v>
      </x:c>
    </x:row>
    <x:row r="22" ht="22" customHeight="1">
      <x:c r="A22" s="33" t="str">
        <x:v>Dialogues</x:v>
      </x:c>
      <x:c r="B22" s="37" t="n">
        <x:f>COUNTA('Dialogues'!$A$7:$A$9)</x:f>
        <x:v>3</x:v>
      </x:c>
      <x:c r="C22" s="37" t="n">
        <x:f>COUNTIFS('Dialogues'!$C$7:$C$9,"Défini")</x:f>
        <x:v>3</x:v>
      </x:c>
      <x:c r="D22" s="37" t="n">
        <x:f>COUNTIFS('Dialogues'!$C$7:$C$9,"Prototype")</x:f>
        <x:v>0</x:v>
      </x:c>
      <x:c r="E22" s="37" t="n">
        <x:f>COUNTIFS('Dialogues'!$C$7:$C$9,"Intégré")</x:f>
        <x:v>0</x:v>
      </x:c>
      <x:c r="F22" s="37" t="n">
        <x:f>COUNTIFS('Dialogues'!$C$7:$C$9,"Validé")</x:f>
        <x:v>0</x:v>
      </x:c>
      <x:c r="G22" s="37" t="n">
        <x:f>COUNTIFS('Dialogues'!$D$7:$D$9,"Établi")</x:f>
        <x:v>0</x:v>
      </x:c>
      <x:c r="H22" s="37" t="n">
        <x:f>COUNTIFS('Dialogues'!$D$7:$D$9,"À vérifier")</x:f>
        <x:v>0</x:v>
      </x:c>
      <x:c r="I22" s="37" t="n">
        <x:f>COUNTIFS('Dialogues'!$D$7:$D$9,"Extrapolation")</x:f>
        <x:v>3</x:v>
      </x:c>
      <x:c r="J22" s="37" t="n">
        <x:f>COUNTIFS('Dialogues'!$D$7:$D$9,"Coupé attesté")</x:f>
        <x:v>0</x:v>
      </x:c>
      <x:c r="K22" s="37" t="n">
        <x:f>COUNTIFS('Dialogues'!$D$7:$D$9,"Concept abandonné")</x:f>
        <x:v>0</x:v>
      </x:c>
      <x:c r="L22" s="37" t="n">
        <x:f>COUNTIFS('Dialogues'!$D$7:$D$9,"Allégation écartée")</x:f>
        <x:v>0</x:v>
      </x:c>
      <x:c r="M22" s="37" t="n">
        <x:f>COUNTIFS('Dialogues'!$E$7:$E$9,"P0")</x:f>
        <x:v>0</x:v>
      </x:c>
    </x:row>
    <x:row r="23" ht="22" customHeight="1">
      <x:c r="A23" s="2" t="str">
        <x:v>Cinématiques</x:v>
      </x:c>
      <x:c r="B23" s="38" t="n">
        <x:f>COUNTA('Cinematiques'!$A$7:$A$9)</x:f>
        <x:v>3</x:v>
      </x:c>
      <x:c r="C23" s="38" t="n">
        <x:f>COUNTIFS('Cinematiques'!$C$7:$C$9,"Défini")</x:f>
        <x:v>3</x:v>
      </x:c>
      <x:c r="D23" s="38" t="n">
        <x:f>COUNTIFS('Cinematiques'!$C$7:$C$9,"Prototype")</x:f>
        <x:v>0</x:v>
      </x:c>
      <x:c r="E23" s="38" t="n">
        <x:f>COUNTIFS('Cinematiques'!$C$7:$C$9,"Intégré")</x:f>
        <x:v>0</x:v>
      </x:c>
      <x:c r="F23" s="38" t="n">
        <x:f>COUNTIFS('Cinematiques'!$C$7:$C$9,"Validé")</x:f>
        <x:v>0</x:v>
      </x:c>
      <x:c r="G23" s="38" t="n">
        <x:f>COUNTIFS('Cinematiques'!$D$7:$D$9,"Établi")</x:f>
        <x:v>0</x:v>
      </x:c>
      <x:c r="H23" s="38" t="n">
        <x:f>COUNTIFS('Cinematiques'!$D$7:$D$9,"À vérifier")</x:f>
        <x:v>0</x:v>
      </x:c>
      <x:c r="I23" s="38" t="n">
        <x:f>COUNTIFS('Cinematiques'!$D$7:$D$9,"Extrapolation")</x:f>
        <x:v>3</x:v>
      </x:c>
      <x:c r="J23" s="38" t="n">
        <x:f>COUNTIFS('Cinematiques'!$D$7:$D$9,"Coupé attesté")</x:f>
        <x:v>0</x:v>
      </x:c>
      <x:c r="K23" s="38" t="n">
        <x:f>COUNTIFS('Cinematiques'!$D$7:$D$9,"Concept abandonné")</x:f>
        <x:v>0</x:v>
      </x:c>
      <x:c r="L23" s="38" t="n">
        <x:f>COUNTIFS('Cinematiques'!$D$7:$D$9,"Allégation écartée")</x:f>
        <x:v>0</x:v>
      </x:c>
      <x:c r="M23" s="38" t="n">
        <x:f>COUNTIFS('Cinematiques'!$E$7:$E$9,"P0")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COUNTA('Animations'!$A$7:$A$8)</x:f>
        <x:v>2</x:v>
      </x:c>
      <x:c r="C29" s="38" t="n">
        <x:f>COUNTIFS('Animations'!$C$7:$C$8,"Défini")</x:f>
        <x:v>2</x:v>
      </x:c>
      <x:c r="D29" s="38" t="n">
        <x:f>COUNTIFS('Animations'!$C$7:$C$8,"Prototype")</x:f>
        <x:v>0</x:v>
      </x:c>
      <x:c r="E29" s="38" t="n">
        <x:f>COUNTIFS('Animations'!$C$7:$C$8,"Intégré")</x:f>
        <x:v>0</x:v>
      </x:c>
      <x:c r="F29" s="38" t="n">
        <x:f>COUNTIFS('Animations'!$C$7:$C$8,"Validé")</x:f>
        <x:v>0</x:v>
      </x:c>
      <x:c r="G29" s="38" t="n">
        <x:f>COUNTIFS('Animations'!$D$7:$D$8,"Établi")</x:f>
        <x:v>0</x:v>
      </x:c>
      <x:c r="H29" s="38" t="n">
        <x:f>COUNTIFS('Animations'!$D$7:$D$8,"À vérifier")</x:f>
        <x:v>0</x:v>
      </x:c>
      <x:c r="I29" s="38" t="n">
        <x:f>COUNTIFS('Animations'!$D$7:$D$8,"Extrapolation")</x:f>
        <x:v>2</x:v>
      </x:c>
      <x:c r="J29" s="38" t="n">
        <x:f>COUNTIFS('Animations'!$D$7:$D$8,"Coupé attesté")</x:f>
        <x:v>0</x:v>
      </x:c>
      <x:c r="K29" s="38" t="n">
        <x:f>COUNTIFS('Animations'!$D$7:$D$8,"Concept abandonné")</x:f>
        <x:v>0</x:v>
      </x:c>
      <x:c r="L29" s="38" t="n">
        <x:f>COUNTIFS('Animations'!$D$7:$D$8,"Allégation écartée")</x:f>
        <x:v>0</x:v>
      </x:c>
      <x:c r="M29" s="38" t="n">
        <x:f>COUNTIFS('Animations'!$E$7:$E$8,"P0")</x:f>
        <x:v>0</x:v>
      </x:c>
    </x:row>
    <x:row r="30" ht="22" customHeight="1">
      <x:c r="A30" s="33" t="str">
        <x:v>Sprites</x:v>
      </x:c>
      <x:c r="B30" s="37" t="n">
        <x:f>COUNTA('Sprites'!$A$7:$A$8)</x:f>
        <x:v>2</x:v>
      </x:c>
      <x:c r="C30" s="37" t="n">
        <x:f>COUNTIFS('Sprites'!$C$7:$C$8,"Défini")</x:f>
        <x:v>2</x:v>
      </x:c>
      <x:c r="D30" s="37" t="n">
        <x:f>COUNTIFS('Sprites'!$C$7:$C$8,"Prototype")</x:f>
        <x:v>0</x:v>
      </x:c>
      <x:c r="E30" s="37" t="n">
        <x:f>COUNTIFS('Sprites'!$C$7:$C$8,"Intégré")</x:f>
        <x:v>0</x:v>
      </x:c>
      <x:c r="F30" s="37" t="n">
        <x:f>COUNTIFS('Sprites'!$C$7:$C$8,"Validé")</x:f>
        <x:v>0</x:v>
      </x:c>
      <x:c r="G30" s="37" t="n">
        <x:f>COUNTIFS('Sprites'!$D$7:$D$8,"Établi")</x:f>
        <x:v>0</x:v>
      </x:c>
      <x:c r="H30" s="37" t="n">
        <x:f>COUNTIFS('Sprites'!$D$7:$D$8,"À vérifier")</x:f>
        <x:v>0</x:v>
      </x:c>
      <x:c r="I30" s="37" t="n">
        <x:f>COUNTIFS('Sprites'!$D$7:$D$8,"Extrapolation")</x:f>
        <x:v>2</x:v>
      </x:c>
      <x:c r="J30" s="37" t="n">
        <x:f>COUNTIFS('Sprites'!$D$7:$D$8,"Coupé attesté")</x:f>
        <x:v>0</x:v>
      </x:c>
      <x:c r="K30" s="37" t="n">
        <x:f>COUNTIFS('Sprites'!$D$7:$D$8,"Concept abandonné")</x:f>
        <x:v>0</x:v>
      </x:c>
      <x:c r="L30" s="37" t="n">
        <x:f>COUNTIFS('Sprites'!$D$7:$D$8,"Allégation écartée")</x:f>
        <x:v>0</x:v>
      </x:c>
      <x:c r="M30" s="37" t="n">
        <x:f>COUNTIFS('Sprites'!$E$7:$E$8,"P0")</x:f>
        <x:v>0</x:v>
      </x:c>
    </x:row>
    <x:row r="31" ht="22" customHeight="1">
      <x:c r="A31" s="2" t="str">
        <x:v>VFX</x:v>
      </x:c>
      <x:c r="B31" s="38" t="n">
        <x:f>COUNTA('VFX'!$A$7:$A$9)</x:f>
        <x:v>3</x:v>
      </x:c>
      <x:c r="C31" s="38" t="n">
        <x:f>COUNTIFS('VFX'!$C$7:$C$9,"Défini")</x:f>
        <x:v>3</x:v>
      </x:c>
      <x:c r="D31" s="38" t="n">
        <x:f>COUNTIFS('VFX'!$C$7:$C$9,"Prototype")</x:f>
        <x:v>0</x:v>
      </x:c>
      <x:c r="E31" s="38" t="n">
        <x:f>COUNTIFS('VFX'!$C$7:$C$9,"Intégré")</x:f>
        <x:v>0</x:v>
      </x:c>
      <x:c r="F31" s="38" t="n">
        <x:f>COUNTIFS('VFX'!$C$7:$C$9,"Validé")</x:f>
        <x:v>0</x:v>
      </x:c>
      <x:c r="G31" s="38" t="n">
        <x:f>COUNTIFS('VFX'!$D$7:$D$9,"Établi")</x:f>
        <x:v>0</x:v>
      </x:c>
      <x:c r="H31" s="38" t="n">
        <x:f>COUNTIFS('VFX'!$D$7:$D$9,"À vérifier")</x:f>
        <x:v>0</x:v>
      </x:c>
      <x:c r="I31" s="38" t="n">
        <x:f>COUNTIFS('VFX'!$D$7:$D$9,"Extrapolation")</x:f>
        <x:v>3</x:v>
      </x:c>
      <x:c r="J31" s="38" t="n">
        <x:f>COUNTIFS('VFX'!$D$7:$D$9,"Coupé attesté")</x:f>
        <x:v>0</x:v>
      </x:c>
      <x:c r="K31" s="38" t="n">
        <x:f>COUNTIFS('VFX'!$D$7:$D$9,"Concept abandonné")</x:f>
        <x:v>0</x:v>
      </x:c>
      <x:c r="L31" s="38" t="n">
        <x:f>COUNTIFS('VFX'!$D$7:$D$9,"Allégation écartée")</x:f>
        <x:v>0</x:v>
      </x:c>
      <x:c r="M31" s="38" t="n">
        <x:f>COUNTIFS('VFX'!$E$7:$E$9,"P0")</x:f>
        <x:v>0</x:v>
      </x:c>
    </x:row>
    <x:row r="32" ht="22" customHeight="1">
      <x:c r="A32" s="33" t="str">
        <x:v>Audio</x:v>
      </x:c>
      <x:c r="B32" s="37" t="n">
        <x:f>COUNTA('Audio'!$A$7:$A$7)</x:f>
        <x:v>1</x:v>
      </x:c>
      <x:c r="C32" s="37" t="n">
        <x:f>COUNTIFS('Audio'!$C$7:$C$7,"Défini")</x:f>
        <x:v>1</x:v>
      </x:c>
      <x:c r="D32" s="37" t="n">
        <x:f>COUNTIFS('Audio'!$C$7:$C$7,"Prototype")</x:f>
        <x:v>0</x:v>
      </x:c>
      <x:c r="E32" s="37" t="n">
        <x:f>COUNTIFS('Audio'!$C$7:$C$7,"Intégré")</x:f>
        <x:v>0</x:v>
      </x:c>
      <x:c r="F32" s="37" t="n">
        <x:f>COUNTIFS('Audio'!$C$7:$C$7,"Validé")</x:f>
        <x:v>0</x:v>
      </x:c>
      <x:c r="G32" s="37" t="n">
        <x:f>COUNTIFS('Audio'!$D$7:$D$7,"Établi")</x:f>
        <x:v>0</x:v>
      </x:c>
      <x:c r="H32" s="37" t="n">
        <x:f>COUNTIFS('Audio'!$D$7:$D$7,"À vérifier")</x:f>
        <x:v>0</x:v>
      </x:c>
      <x:c r="I32" s="37" t="n">
        <x:f>COUNTIFS('Audio'!$D$7:$D$7,"Extrapolation")</x:f>
        <x:v>1</x:v>
      </x:c>
      <x:c r="J32" s="37" t="n">
        <x:f>COUNTIFS('Audio'!$D$7:$D$7,"Coupé attesté")</x:f>
        <x:v>0</x:v>
      </x:c>
      <x:c r="K32" s="37" t="n">
        <x:f>COUNTIFS('Audio'!$D$7:$D$7,"Concept abandonné")</x:f>
        <x:v>0</x:v>
      </x:c>
      <x:c r="L32" s="37" t="n">
        <x:f>COUNTIFS('Audio'!$D$7:$D$7,"Allégation écartée")</x:f>
        <x:v>0</x:v>
      </x:c>
      <x:c r="M32" s="37" t="n">
        <x:f>COUNTIFS('Audio'!$E$7:$E$7,"P0")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COUNTA('QA'!$A$7:$A$12)</x:f>
        <x:v>6</x:v>
      </x:c>
      <x:c r="C34" s="37" t="n">
        <x:f>COUNTIFS('QA'!$C$7:$C$12,"Défini")</x:f>
        <x:v>6</x:v>
      </x:c>
      <x:c r="D34" s="37" t="n">
        <x:f>COUNTIFS('QA'!$C$7:$C$12,"Prototype")</x:f>
        <x:v>0</x:v>
      </x:c>
      <x:c r="E34" s="37" t="n">
        <x:f>COUNTIFS('QA'!$C$7:$C$12,"Intégré")</x:f>
        <x:v>0</x:v>
      </x:c>
      <x:c r="F34" s="37" t="n">
        <x:f>COUNTIFS('QA'!$C$7:$C$12,"Validé")</x:f>
        <x:v>0</x:v>
      </x:c>
      <x:c r="G34" s="37" t="n">
        <x:f>COUNTIFS('QA'!$D$7:$D$12,"Établi")</x:f>
        <x:v>0</x:v>
      </x:c>
      <x:c r="H34" s="37" t="n">
        <x:f>COUNTIFS('QA'!$D$7:$D$12,"À vérifier")</x:f>
        <x:v>0</x:v>
      </x:c>
      <x:c r="I34" s="37" t="n">
        <x:f>COUNTIFS('QA'!$D$7:$D$12,"Extrapolation")</x:f>
        <x:v>6</x:v>
      </x:c>
      <x:c r="J34" s="37" t="n">
        <x:f>COUNTIFS('QA'!$D$7:$D$12,"Coupé attesté")</x:f>
        <x:v>0</x:v>
      </x:c>
      <x:c r="K34" s="37" t="n">
        <x:f>COUNTIFS('QA'!$D$7:$D$12,"Concept abandonné")</x:f>
        <x:v>0</x:v>
      </x:c>
      <x:c r="L34" s="37" t="n">
        <x:f>COUNTIFS('QA'!$D$7:$D$12,"Allégation écartée")</x:f>
        <x:v>0</x:v>
      </x:c>
      <x:c r="M34" s="37" t="n">
        <x:f>COUNTIFS('QA'!$E$7:$E$12,"P0")</x:f>
        <x:v>6</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18" t="str">
        <x:v>TOTAL</x:v>
      </x:c>
      <x:c r="B37" s="39" t="n">
        <x:f>SUM(B10:B35)</x:f>
        <x:v>64</x:v>
      </x:c>
      <x:c r="C37" s="39" t="n">
        <x:f>SUM(C10:C35)</x:f>
        <x:v>62</x:v>
      </x:c>
      <x:c r="D37" s="39" t="n">
        <x:f>SUM(D10:D35)</x:f>
        <x:v>2</x:v>
      </x:c>
      <x:c r="E37" s="39" t="n">
        <x:f>SUM(E10:E35)</x:f>
        <x:v>0</x:v>
      </x:c>
      <x:c r="F37" s="39" t="n">
        <x:f>SUM(F10:F35)</x:f>
        <x:v>0</x:v>
      </x:c>
      <x:c r="G37" s="39" t="n">
        <x:f>SUM(G10:G35)</x:f>
        <x:v>4</x:v>
      </x:c>
      <x:c r="H37" s="39" t="n">
        <x:f>SUM(H10:H35)</x:f>
        <x:v>8</x:v>
      </x:c>
      <x:c r="I37" s="39" t="n">
        <x:f>SUM(I10:I35)</x:f>
        <x:v>52</x:v>
      </x:c>
      <x:c r="J37" s="39" t="n">
        <x:f>SUM(J10:J35)</x:f>
        <x:v>0</x:v>
      </x:c>
      <x:c r="K37" s="39" t="n">
        <x:f>SUM(K10:K35)</x:f>
        <x:v>0</x:v>
      </x:c>
      <x:c r="L37" s="39" t="n">
        <x:f>SUM(L10:L35)</x:f>
        <x:v>0</x:v>
      </x:c>
      <x:c r="M37" s="39" t="n">
        <x:f>SUM(M10:M35)</x:f>
        <x:v>12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Incursion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INC-ACT-ARIA</x:v>
      </x:c>
      <x:c r="B7" s="9" t="str">
        <x:v>Aria T’Loak</x:v>
      </x:c>
      <x:c r="C7" s="14" t="str">
        <x:v>Défini</x:v>
      </x:c>
      <x:c r="D7" s="15" t="str">
        <x:v>Établi</x:v>
      </x:c>
      <x:c r="E7" s="15" t="str">
        <x:v>P1</x:v>
      </x:c>
      <x:c r="F7" s="9" t="str">
        <x:v>Aria affronte les Collectors dans ce récit.</x:v>
      </x:c>
      <x:c r="G7" s="9" t="str">
        <x:v>Point de vue principal; reconnaissance et contrôle d’un engagement bref.</x:v>
      </x:c>
      <x:c r="H7" s="9" t="str">
        <x:v>Rôle narratif; aucune statistique officielle déduite.</x:v>
      </x:c>
      <x:c r="I7" s="9" t="str">
        <x:v>Direction proposée : Silhouette asari angulaire, veste sombre et accents violets proposés. Vérifier le costume sur l'édition autorisée avant peinture finale.</x:v>
      </x:c>
      <x:c r="J7" s="9" t="str">
        <x:v>Marche décidée, inspection, ordre bref et poussée biotique.</x:v>
      </x:c>
      <x:c r="K7" s="9" t="str">
        <x:v>Interprétation originale; sous-titres attribués au locuteur et aucune reprise des voix du jeu.</x:v>
      </x:c>
      <x:c r="L7" s="9" t="str">
        <x:v>Livrable proposé : spécification INC/characters/act-aria; brancher au registre de contenu de l'œuvre seulement après production.</x:v>
      </x:c>
      <x:c r="M7" s="9" t="str">
        <x:v>Le résultat narratif du raid reste fixé; une tâche de gameplay ne réécrit pas le sort des captifs ni ne fait d’Aria la libératrice de toutes les colonies.</x:v>
      </x:c>
      <x:c r="N7" s="9" t="str">
        <x:v>Aria T’Loak possède une fiche de référence séparant rôle attesté, silhouette à contrôler et commandes proposées.</x:v>
      </x:c>
      <x:c r="O7" s="9" t="str"/>
      <x:c r="P7" s="9" t="str">
        <x:v>Mass Effect: Incursion, récit court</x:v>
      </x:c>
      <x:c r="Q7" s="9" t="str">
        <x:v>INC-S-PAIR</x:v>
      </x:c>
      <x:c r="R7" s="9" t="str">
        <x:v>https://books.apple.com/gr/book/mass-effect-incursion-inquisition/id1047054838</x:v>
      </x:c>
      <x:c r="S7" s="9" t="str">
        <x:v>Le rôle dans la source ne prouve ni recrutement jouable ni disponibilité permanente.</x:v>
      </x:c>
    </x:row>
  </x:sheetData>
  <x:conditionalFormatting sqref="D7:D7">
    <x:cfRule type="cellIs" dxfId="0" priority="1" operator="equal">
      <x:formula>"À vérifier"</x:formula>
    </x:cfRule>
    <x:cfRule type="cellIs" dxfId="1" priority="2" operator="equal">
      <x:formula>"Extrapolation"</x:formula>
    </x:cfRule>
  </x:conditionalFormatting>
  <x:conditionalFormatting sqref="C7:C7">
    <x:cfRule type="cellIs" dxfId="2" priority="3" operator="equal">
      <x:formula>"Validé"</x:formula>
    </x:cfRule>
  </x:conditionalFormatting>
  <x:conditionalFormatting sqref="E7:E7">
    <x:cfRule type="cellIs" dxfId="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ada65a86a714b65"/>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Incursion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INC-ACT-GUARDS</x:v>
      </x:c>
      <x:c r="B7" s="9" t="str">
        <x:v>Gardes batariens d’Aria</x:v>
      </x:c>
      <x:c r="C7" s="14" t="str">
        <x:v>Défini</x:v>
      </x:c>
      <x:c r="D7" s="15" t="str">
        <x:v>À vérifier</x:v>
      </x:c>
      <x:c r="E7" s="15" t="str">
        <x:v>P1</x:v>
      </x:c>
      <x:c r="F7" s="9" t="str">
        <x:v>Le wiki décrit deux gardes accompagnant Aria.</x:v>
      </x:c>
      <x:c r="G7" s="9" t="str">
        <x:v>Soutien collectif limité au raid; aucun nom propre inventé.</x:v>
      </x:c>
      <x:c r="H7" s="9" t="str">
        <x:v>Rôle narratif; aucune statistique officielle déduite.</x:v>
      </x:c>
      <x:c r="I7" s="9" t="str">
        <x:v>Direction proposée : Deux silhouettes distinctes par équipement et gabarit, costumes à contrôler. Vérifier le costume sur l'édition autorisée avant peinture finale.</x:v>
      </x:c>
      <x:c r="J7" s="9" t="str">
        <x:v>Couverture, signal d’alerte et déplacement de flanc.</x:v>
      </x:c>
      <x:c r="K7" s="9" t="str">
        <x:v>Interprétation originale; sous-titres attribués au locuteur et aucune reprise des voix du jeu.</x:v>
      </x:c>
      <x:c r="L7" s="9" t="str">
        <x:v>Livrable proposé : spécification INC/npcs/act-guards; brancher au registre de contenu de l'œuvre seulement après production.</x:v>
      </x:c>
      <x:c r="M7" s="9" t="str">
        <x:v>Le résultat narratif du raid reste fixé; une tâche de gameplay ne réécrit pas le sort des captifs ni ne fait d’Aria la libératrice de toutes les colonies.</x:v>
      </x:c>
      <x:c r="N7" s="9" t="str">
        <x:v>Gardes batariens d’Aria possède une fiche de référence séparant rôle attesté, silhouette à contrôler et commandes proposées.</x:v>
      </x:c>
      <x:c r="O7" s="9" t="str"/>
      <x:c r="P7" s="9" t="str">
        <x:v>Mass Effect: Incursion, récit court</x:v>
      </x:c>
      <x:c r="Q7" s="9" t="str">
        <x:v>INC-S-WIKI</x:v>
      </x:c>
      <x:c r="R7" s="9" t="str">
        <x:v>https://masseffect.fandom.com/wiki/Mass_Effect%3A_Incursion</x:v>
      </x:c>
      <x:c r="S7" s="9" t="str">
        <x:v>Le rôle dans la source ne prouve ni recrutement jouable ni disponibilité permanente.</x:v>
      </x:c>
    </x:row>
  </x:sheetData>
  <x:conditionalFormatting sqref="D7:D7">
    <x:cfRule type="cellIs" dxfId="4" priority="1" operator="equal">
      <x:formula>"À vérifier"</x:formula>
    </x:cfRule>
    <x:cfRule type="cellIs" dxfId="5" priority="2" operator="equal">
      <x:formula>"Extrapolation"</x:formula>
    </x:cfRule>
  </x:conditionalFormatting>
  <x:conditionalFormatting sqref="C7:C7">
    <x:cfRule type="cellIs" dxfId="6" priority="3" operator="equal">
      <x:formula>"Validé"</x:formula>
    </x:cfRule>
  </x:conditionalFormatting>
  <x:conditionalFormatting sqref="E7:E7">
    <x:cfRule type="cellIs" dxfId="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7418ba34aef64aa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Incursion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82" customHeight="1">
      <x:c r="A7" s="16" t="str">
        <x:v>INC-REF-SCOPE</x:v>
      </x:c>
      <x:c r="B7" s="9" t="str">
        <x:v>Aria et les Collectors</x:v>
      </x:c>
      <x:c r="C7" s="14" t="str">
        <x:v>Prototype</x:v>
      </x:c>
      <x:c r="D7" s="15" t="str">
        <x:v>Établi</x:v>
      </x:c>
      <x:c r="E7" s="15" t="str">
        <x:v>P0</x:v>
      </x:c>
      <x:c r="F7" s="9" t="str">
        <x:v>La notice éditeur décrit une attaque des Collectors sur Omega affrontée par Aria.</x:v>
      </x:c>
      <x:c r="G7" s="9" t="str">
        <x:v>Conserver cet ancrage dans les données éditoriales; les variantes de jeu restent dans un espace séparé.</x:v>
      </x:c>
      <x:c r="H7" s="9" t="str"/>
      <x:c r="I7" s="9" t="str"/>
      <x:c r="J7" s="9" t="str"/>
      <x:c r="K7" s="9" t="str"/>
      <x:c r="L7" s="9" t="str">
        <x:v>Référence documentaire INC-REF-SCOPE consultable dans les lectures inc-omega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PAIR et distingue cette information de toute règle de gameplay.</x:v>
      </x:c>
      <x:c r="O7" s="9" t="str"/>
      <x:c r="P7" s="9" t="str">
        <x:v>Mass Effect: Incursion, récit court</x:v>
      </x:c>
      <x:c r="Q7" s="9" t="str">
        <x:v>INC-S-PAIR</x:v>
      </x:c>
      <x:c r="R7" s="9" t="str">
        <x:v>https://books.apple.com/gr/book/mass-effect-incursion-inquisition/id1047054838</x:v>
      </x:c>
      <x:c r="S7" s="9"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8" ht="54" customHeight="1">
      <x:c r="A8" s="30" t="str">
        <x:v>INC-REF-TIMING</x:v>
      </x:c>
      <x:c r="B8" s="7" t="str">
        <x:v>Position avant ME2</x:v>
      </x:c>
      <x:c r="C8" s="14" t="str">
        <x:v>Défini</x:v>
      </x:c>
      <x:c r="D8" s="29" t="str">
        <x:v>À vérifier</x:v>
      </x:c>
      <x:c r="E8" s="29" t="str">
        <x:v>P0</x:v>
      </x:c>
      <x:c r="F8" s="7" t="str">
        <x:v>Le wiki situe Incursion une semaine avant la destruction du Normandy.</x:v>
      </x:c>
      <x:c r="G8" s="7" t="str">
        <x:v>Étiquette chronologique à contrôler; ne pas calculer une date de calendrier inventée.</x:v>
      </x:c>
      <x:c r="H8" s="7" t="str"/>
      <x:c r="I8" s="7" t="str"/>
      <x:c r="J8" s="7" t="str"/>
      <x:c r="K8" s="7" t="str"/>
      <x:c r="L8" s="7" t="str">
        <x:v>Livrable proposé : spécification INC/lore/ref-timing; brancher au registre de contenu de l'œuvre seulement après production.</x:v>
      </x:c>
      <x:c r="M8" s="7" t="str">
        <x:v>Vérifier toute précision non contenue dans cette notice avant de la déclarer canon.</x:v>
      </x:c>
      <x:c r="N8" s="7" t="str">
        <x:v>Le dossier cite la source WIKI et distingue cette information de toute règle de gameplay.</x:v>
      </x:c>
      <x:c r="O8" s="7" t="str"/>
      <x:c r="P8" s="7" t="str">
        <x:v>Mass Effect: Incursion, récit court</x:v>
      </x:c>
      <x:c r="Q8" s="7" t="str">
        <x:v>INC-S-WIKI</x:v>
      </x:c>
      <x:c r="R8" s="7" t="str">
        <x:v>https://masseffect.fandom.com/wiki/Mass_Effect%3A_Incursion</x:v>
      </x:c>
      <x:c r="S8" s="7" t="str">
        <x:v>Fait résumé brièvement; aucun dialogue ni découpage intégral du comic reproduit.</x:v>
      </x:c>
    </x:row>
    <x:row r="9" ht="54" customHeight="1">
      <x:c r="A9" s="16" t="str">
        <x:v>INC-REF-INTEL</x:v>
      </x:c>
      <x:c r="B9" s="9" t="str">
        <x:v>Portée du renseignement</x:v>
      </x:c>
      <x:c r="C9" s="14" t="str">
        <x:v>Défini</x:v>
      </x:c>
      <x:c r="D9" s="15" t="str">
        <x:v>À vérifier</x:v>
      </x:c>
      <x:c r="E9" s="15" t="str">
        <x:v>P0</x:v>
      </x:c>
      <x:c r="F9" s="9" t="str">
        <x:v>Le récit rapporte un document de populations humaines, dont Horizon, Freedom’s Progress et la Terre.</x:v>
      </x:c>
      <x:c r="G9" s="9" t="str">
        <x:v>Traiter ces noms comme éléments de dossier et non comme destinations jouables.</x:v>
      </x:c>
      <x:c r="H9" s="9" t="str"/>
      <x:c r="I9" s="9" t="str"/>
      <x:c r="J9" s="9" t="str"/>
      <x:c r="K9" s="9" t="str"/>
      <x:c r="L9" s="9" t="str">
        <x:v>Livrable proposé : spécification INC/lore/ref-intel; brancher au registre de contenu de l'œuvre seulement après production.</x:v>
      </x:c>
      <x:c r="M9" s="9" t="str">
        <x:v>Vérifier toute précision non contenue dans cette notice avant de la déclarer canon.</x:v>
      </x:c>
      <x:c r="N9" s="9" t="str">
        <x:v>Le dossier cite la source WIKI et distingue cette information de toute règle de gameplay.</x:v>
      </x:c>
      <x:c r="O9" s="9" t="str"/>
      <x:c r="P9" s="9" t="str">
        <x:v>Mass Effect: Incursion, récit court</x:v>
      </x:c>
      <x:c r="Q9" s="9" t="str">
        <x:v>INC-S-WIKI</x:v>
      </x:c>
      <x:c r="R9" s="9" t="str">
        <x:v>https://masseffect.fandom.com/wiki/Mass_Effect%3A_Incursion</x:v>
      </x:c>
      <x:c r="S9" s="9" t="str">
        <x:v>Fait résumé brièvement; aucun dialogue ni découpage intégral du comic reproduit.</x:v>
      </x:c>
    </x:row>
    <x:row r="10" ht="54" customHeight="1">
      <x:c r="A10" s="30" t="str">
        <x:v>INC-SC-CHECK-REF</x:v>
      </x:c>
      <x:c r="B10" s="7" t="str">
        <x:v>Examiner la perturbation</x:v>
      </x:c>
      <x:c r="C10" s="14" t="str">
        <x:v>Défini</x:v>
      </x:c>
      <x:c r="D10" s="29" t="str">
        <x:v>À vérifier</x:v>
      </x:c>
      <x:c r="E10" s="29" t="str">
        <x:v>P1</x:v>
      </x:c>
      <x:c r="F10" s="7" t="str">
        <x:v>Aria enquête personnellement sur une perturbation avec ses gardes. </x:v>
      </x:c>
      <x:c r="G10" s="7" t="str">
        <x:v>Ancrage du module; les intitulés de quêtes et options ci-dessous sont des créations de production.</x:v>
      </x:c>
      <x:c r="H10" s="7" t="str"/>
      <x:c r="I10" s="7" t="str"/>
      <x:c r="J10" s="7" t="str"/>
      <x:c r="K10" s="7" t="str"/>
      <x:c r="L10" s="7" t="str">
        <x:v>Livrable proposé : spécification INC/lore/sc-check-ref; brancher au registre de contenu de l'œuvre seulement après production.</x:v>
      </x:c>
      <x:c r="M10" s="7" t="str">
        <x:v>Le résultat narratif du raid reste fixé; une tâche de gameplay ne réécrit pas le sort des captifs ni ne fait d’Aria la libératrice de toutes les colonies.</x:v>
      </x:c>
      <x:c r="N10" s="7" t="str">
        <x:v>L’ancrage reste bref et son numéro/segment est identifiable dans les sources; les détails non confirmés portent À vérifier.</x:v>
      </x:c>
      <x:c r="O10" s="7" t="str"/>
      <x:c r="P10" s="7" t="str">
        <x:v>Mass Effect: Incursion, récit court</x:v>
      </x:c>
      <x:c r="Q10" s="7" t="str">
        <x:v>INC-S-WIKI</x:v>
      </x:c>
      <x:c r="R10" s="7" t="str">
        <x:v>https://masseffect.fandom.com/wiki/Mass_Effect%3A_Incursion</x:v>
      </x:c>
      <x:c r="S10" s="7" t="str">
        <x:v>Ne remplace pas la lecture du numéro.</x:v>
      </x:c>
    </x:row>
    <x:row r="11" ht="54" customHeight="1">
      <x:c r="A11" s="16" t="str">
        <x:v>INC-SC-RAID-REF</x:v>
      </x:c>
      <x:c r="B11" s="9" t="str">
        <x:v>Interrompre la transaction</x:v>
      </x:c>
      <x:c r="C11" s="14" t="str">
        <x:v>Défini</x:v>
      </x:c>
      <x:c r="D11" s="15" t="str">
        <x:v>À vérifier</x:v>
      </x:c>
      <x:c r="E11" s="15" t="str">
        <x:v>P1</x:v>
      </x:c>
      <x:c r="F11" s="9" t="str">
        <x:v>Le wiki décrit une transaction entre Blue Suns et Collectors impliquant des humains. </x:v>
      </x:c>
      <x:c r="G11" s="9" t="str">
        <x:v>Ancrage du module; les intitulés de quêtes et options ci-dessous sont des créations de production.</x:v>
      </x:c>
      <x:c r="H11" s="9" t="str"/>
      <x:c r="I11" s="9" t="str"/>
      <x:c r="J11" s="9" t="str"/>
      <x:c r="K11" s="9" t="str"/>
      <x:c r="L11" s="9" t="str">
        <x:v>Livrable proposé : spécification INC/lore/sc-raid-ref; brancher au registre de contenu de l'œuvre seulement après production.</x:v>
      </x:c>
      <x:c r="M11" s="9" t="str">
        <x:v>Le résultat narratif du raid reste fixé; une tâche de gameplay ne réécrit pas le sort des captifs ni ne fait d’Aria la libératrice de toutes les colonies.</x:v>
      </x:c>
      <x:c r="N11" s="9" t="str">
        <x:v>L’ancrage reste bref et son numéro/segment est identifiable dans les sources; les détails non confirmés portent À vérifier.</x:v>
      </x:c>
      <x:c r="O11" s="9" t="str"/>
      <x:c r="P11" s="9" t="str">
        <x:v>Mass Effect: Incursion, récit court</x:v>
      </x:c>
      <x:c r="Q11" s="9" t="str">
        <x:v>INC-S-WIKI</x:v>
      </x:c>
      <x:c r="R11" s="9" t="str">
        <x:v>https://masseffect.fandom.com/wiki/Mass_Effect%3A_Incursion</x:v>
      </x:c>
      <x:c r="S11" s="9" t="str">
        <x:v>Ne remplace pas la lecture du numéro.</x:v>
      </x:c>
    </x:row>
    <x:row r="12" ht="54" customHeight="1">
      <x:c r="A12" s="30" t="str">
        <x:v>INC-SC-REPORT-REF</x:v>
      </x:c>
      <x:c r="B12" s="7" t="str">
        <x:v>Comprendre la cible humaine</x:v>
      </x:c>
      <x:c r="C12" s="14" t="str">
        <x:v>Défini</x:v>
      </x:c>
      <x:c r="D12" s="29" t="str">
        <x:v>À vérifier</x:v>
      </x:c>
      <x:c r="E12" s="29" t="str">
        <x:v>P1</x:v>
      </x:c>
      <x:c r="F12" s="7" t="str">
        <x:v>Aria reçoit après le raid des données de population humaine. </x:v>
      </x:c>
      <x:c r="G12" s="7" t="str">
        <x:v>Ancrage du module; les intitulés de quêtes et options ci-dessous sont des créations de production.</x:v>
      </x:c>
      <x:c r="H12" s="7" t="str"/>
      <x:c r="I12" s="7" t="str"/>
      <x:c r="J12" s="7" t="str"/>
      <x:c r="K12" s="7" t="str"/>
      <x:c r="L12" s="7" t="str">
        <x:v>Livrable proposé : spécification INC/lore/sc-report-ref; brancher au registre de contenu de l'œuvre seulement après production.</x:v>
      </x:c>
      <x:c r="M12" s="7" t="str">
        <x:v>Le résultat narratif du raid reste fixé; une tâche de gameplay ne réécrit pas le sort des captifs ni ne fait d’Aria la libératrice de toutes les colonies.</x:v>
      </x:c>
      <x:c r="N12" s="7" t="str">
        <x:v>L’ancrage reste bref et son numéro/segment est identifiable dans les sources; les détails non confirmés portent À vérifier.</x:v>
      </x:c>
      <x:c r="O12" s="7" t="str"/>
      <x:c r="P12" s="7" t="str">
        <x:v>Mass Effect: Incursion, récit court</x:v>
      </x:c>
      <x:c r="Q12" s="7" t="str">
        <x:v>INC-S-WIKI</x:v>
      </x:c>
      <x:c r="R12" s="7" t="str">
        <x:v>https://masseffect.fandom.com/wiki/Mass_Effect%3A_Incursion</x:v>
      </x:c>
      <x:c r="S12" s="7" t="str">
        <x:v>Ne remplace pas la lecture du numéro.</x:v>
      </x:c>
    </x:row>
  </x:sheetData>
  <x:conditionalFormatting sqref="D7:D12">
    <x:cfRule type="cellIs" dxfId="8" priority="1" operator="equal">
      <x:formula>"À vérifier"</x:formula>
    </x:cfRule>
    <x:cfRule type="cellIs" dxfId="9" priority="2" operator="equal">
      <x:formula>"Extrapolation"</x:formula>
    </x:cfRule>
  </x:conditionalFormatting>
  <x:conditionalFormatting sqref="C7:C12">
    <x:cfRule type="cellIs" dxfId="10" priority="3" operator="equal">
      <x:formula>"Validé"</x:formula>
    </x:cfRule>
  </x:conditionalFormatting>
  <x:conditionalFormatting sqref="E7:E12">
    <x:cfRule type="cellIs" dxfId="1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d82076f030f426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Incursion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82" customHeight="1">
      <x:c r="A7" s="16" t="str">
        <x:v>INC-WRL-OMEGA</x:v>
      </x:c>
      <x:c r="B7" s="9" t="str">
        <x:v>Omega — secteur du raid</x:v>
      </x:c>
      <x:c r="C7" s="14" t="str">
        <x:v>Prototype</x:v>
      </x:c>
      <x:c r="D7" s="15" t="str">
        <x:v>Établi</x:v>
      </x:c>
      <x:c r="E7" s="15" t="str">
        <x:v>P1</x:v>
      </x:c>
      <x:c r="F7" s="9" t="str">
        <x:v>Omega est le lieu de l’affrontement présenté par l’éditeur.</x:v>
      </x:c>
      <x:c r="G7" s="9" t="str">
        <x:v>Construire un espace compact d’observation et d’engagement.</x:v>
      </x:c>
      <x:c r="H7" s="9" t="str"/>
      <x:c r="I7" s="9" t="str">
        <x:v>Métal usé, orange de service et zones d’ombre qui ne masquent pas les cibles.</x:v>
      </x:c>
      <x:c r="J7" s="9" t="str"/>
      <x:c r="K7" s="9" t="str"/>
      <x:c r="L7" s="9" t="str">
        <x:v>Référence documentaire INC-WRL-OMEGA consultable dans les lectures inc-omega de src/chronicle-story.js, avec sources et progression séparée. Aucune scène, carte, animation ni incarnation de personnage produite par cette fiche.</x:v>
      </x:c>
      <x:c r="M7" s="9" t="str">
        <x:v>Le résultat narratif du raid reste fixé; une tâche de gameplay ne réécrit pas le sort des captifs ni ne fait d’Aria la libératrice de toutes les colonies.</x:v>
      </x:c>
      <x:c r="N7" s="9" t="str">
        <x:v>Le nom Omega — secteur du raid et sa fonction sont sourcés; les dimensions, chemins et interactions restent explicitement proposés.</x:v>
      </x:c>
      <x:c r="O7" s="9" t="str"/>
      <x:c r="P7" s="9" t="str">
        <x:v>Mass Effect: Incursion, récit court</x:v>
      </x:c>
      <x:c r="Q7" s="9" t="str">
        <x:v>INC-S-PAIR</x:v>
      </x:c>
      <x:c r="R7" s="9" t="str">
        <x:v>https://books.apple.com/gr/book/mass-effect-incursion-inquisition/id1047054838</x:v>
      </x:c>
      <x:c r="S7" s="9" t="str">
        <x:v>La géométrie jouable ci-dessous est originale et ne prétend pas reconstituer une carte officielle. Prototype limité à une paraphrase documentaire sourcée et aux références visitées ; pas de reproduction intégrale du récit. Une lecture n’accorde ni recrutement, équipement, victoire ni récompense de campagne.</x:v>
      </x:c>
    </x:row>
  </x:sheetData>
  <x:conditionalFormatting sqref="D7:D7">
    <x:cfRule type="cellIs" dxfId="12" priority="1" operator="equal">
      <x:formula>"À vérifier"</x:formula>
    </x:cfRule>
    <x:cfRule type="cellIs" dxfId="13" priority="2" operator="equal">
      <x:formula>"Extrapolation"</x:formula>
    </x:cfRule>
  </x:conditionalFormatting>
  <x:conditionalFormatting sqref="C7:C7">
    <x:cfRule type="cellIs" dxfId="14" priority="3" operator="equal">
      <x:formula>"Validé"</x:formula>
    </x:cfRule>
  </x:conditionalFormatting>
  <x:conditionalFormatting sqref="E7:E7">
    <x:cfRule type="cellIs" dxfId="15"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707387b45115497d"/>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Incursion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INC-ZONE-OMEGA</x:v>
      </x:c>
      <x:c r="B7" s="9" t="str">
        <x:v>Omega — secteur du raid — espace jouable proposé</x:v>
      </x:c>
      <x:c r="C7" s="14" t="str">
        <x:v>Défini</x:v>
      </x:c>
      <x:c r="D7" s="15" t="str">
        <x:v>Extrapolation</x:v>
      </x:c>
      <x:c r="E7" s="15" t="str">
        <x:v>P1</x:v>
      </x:c>
      <x:c r="F7" s="9" t="str">
        <x:v>Entrée haute, aire de transaction et sortie technique; géométrie originale.</x:v>
      </x:c>
      <x:c r="G7" s="9" t="str">
        <x:v>Construire un espace compact d’observation et d’engagement.</x:v>
      </x:c>
      <x:c r="H7" s="9" t="str">
        <x:v>L’évacuation des protagonistes reste lisible; les figurants ne servent pas de munitions ou de score.</x:v>
      </x:c>
      <x:c r="I7" s="9" t="str">
        <x:v>Métal usé, orange de service et zones d’ombre qui ne masquent pas les cibles.</x:v>
      </x:c>
      <x:c r="J7" s="9" t="str">
        <x:v>Garder les trajectoires de sprites sur le sol navigable; traversées de premier plan traitées par masques.</x:v>
      </x:c>
      <x:c r="K7" s="9" t="str"/>
      <x:c r="L7" s="9" t="str">
        <x:v>Scène 3D prévue inc/zones/omega; volumes de navigation, ancrages d'actions et caméras fixes séparés.</x:v>
      </x:c>
      <x:c r="M7" s="9" t="str">
        <x:v>Le résultat narratif du raid reste fixé; une tâche de gameplay ne réécrit pas le sort des captifs ni ne fait d’Aria la libératrice de toutes les colonies.</x:v>
      </x:c>
      <x:c r="N7" s="9" t="str">
        <x:v>Le blocage de Omega — secteur du raid permet un parcours aller-retour sans caméra aveugle; chaque danger annoncé possède une sortie lisible.</x:v>
      </x:c>
      <x:c r="O7" s="9" t="str">
        <x:v>INC-WRL-OMEGA</x:v>
      </x:c>
      <x:c r="P7" s="9" t="str">
        <x:v>Plan original, dimensions à prototyper.</x:v>
      </x:c>
      <x:c r="Q7" s="9" t="str"/>
      <x:c r="R7" s="9" t="str"/>
      <x:c r="S7" s="9" t="str"/>
    </x:row>
  </x:sheetData>
  <x:conditionalFormatting sqref="D7:D7">
    <x:cfRule type="cellIs" dxfId="16" priority="1" operator="equal">
      <x:formula>"À vérifier"</x:formula>
    </x:cfRule>
    <x:cfRule type="cellIs" dxfId="17" priority="2" operator="equal">
      <x:formula>"Extrapolation"</x:formula>
    </x:cfRule>
  </x:conditionalFormatting>
  <x:conditionalFormatting sqref="C7:C7">
    <x:cfRule type="cellIs" dxfId="18" priority="3" operator="equal">
      <x:formula>"Validé"</x:formula>
    </x:cfRule>
  </x:conditionalFormatting>
  <x:conditionalFormatting sqref="E7:E7">
    <x:cfRule type="cellIs" dxfId="1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03e0cd3e01d440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Incursion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INC-LINK-OMEGA</x:v>
      </x:c>
      <x:c r="B7" s="9" t="str">
        <x:v>Omega — secteur du raid — accès et sortie</x:v>
      </x:c>
      <x:c r="C7" s="14" t="str">
        <x:v>Défini</x:v>
      </x:c>
      <x:c r="D7" s="15" t="str">
        <x:v>Extrapolation</x:v>
      </x:c>
      <x:c r="E7" s="15" t="str">
        <x:v>P1</x:v>
      </x:c>
      <x:c r="F7" s="9" t="str">
        <x:v>Approche du secteur → aire centrale → retour d’information à Afterlife par ellipse.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INC/OMEGA; sauvegarder zone, point d'entrée et version de chapitre.</x:v>
      </x:c>
      <x:c r="M7" s="9" t="str">
        <x:v>Le résultat narratif du raid reste fixé; une tâche de gameplay ne réécrit pas le sort des captifs ni ne fait d’Aria la libératrice de toutes les colonies.</x:v>
      </x:c>
      <x:c r="N7" s="9" t="str">
        <x:v>Entrer, ressortir et recharger au seuil restitue le même état du chapitre; aucun accès ne court-circuite sa conclusion fixée.</x:v>
      </x:c>
      <x:c r="O7" s="9" t="str">
        <x:v>INC-ZONE-OMEGA</x:v>
      </x:c>
      <x:c r="P7" s="9" t="str">
        <x:v>Raccord de gameplay original; ordre narratif selon les ancrages sourcés.</x:v>
      </x:c>
      <x:c r="Q7" s="9" t="str"/>
      <x:c r="R7" s="9" t="str"/>
      <x:c r="S7" s="9" t="str"/>
    </x:row>
  </x:sheetData>
  <x:conditionalFormatting sqref="D7:D7">
    <x:cfRule type="cellIs" dxfId="20" priority="1" operator="equal">
      <x:formula>"À vérifier"</x:formula>
    </x:cfRule>
    <x:cfRule type="cellIs" dxfId="21" priority="2" operator="equal">
      <x:formula>"Extrapolation"</x:formula>
    </x:cfRule>
  </x:conditionalFormatting>
  <x:conditionalFormatting sqref="C7:C7">
    <x:cfRule type="cellIs" dxfId="22" priority="3" operator="equal">
      <x:formula>"Validé"</x:formula>
    </x:cfRule>
  </x:conditionalFormatting>
  <x:conditionalFormatting sqref="E7:E7">
    <x:cfRule type="cellIs" dxfId="2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fe81f5413ae4cfd"/>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Incursion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INC-SET-OMEGA</x:v>
      </x:c>
      <x:c r="B7" s="9" t="str">
        <x:v>Omega — secteur du raid — décor et repère</x:v>
      </x:c>
      <x:c r="C7" s="14" t="str">
        <x:v>Défini</x:v>
      </x:c>
      <x:c r="D7" s="15" t="str">
        <x:v>Extrapolation</x:v>
      </x:c>
      <x:c r="E7" s="15" t="str">
        <x:v>P1</x:v>
      </x:c>
      <x:c r="F7" s="9" t="str">
        <x:v>Grue industrielle au-dessus de l’espace central.</x:v>
      </x:c>
      <x:c r="G7" s="9" t="str">
        <x:v>Construire un espace compact d’observation et d’engagement.</x:v>
      </x:c>
      <x:c r="H7" s="9" t="str"/>
      <x:c r="I7" s="9" t="str">
        <x:v>Métal usé, orange de service et zones d’ombre qui ne masquent pas les cibles.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inc/sets/omega; collisions simples et matériau de repère distinct.</x:v>
      </x:c>
      <x:c r="M7" s="9" t="str">
        <x:v>Le résultat narratif du raid reste fixé; une tâche de gameplay ne réécrit pas le sort des captifs ni ne fait d’Aria la libératrice de toutes les colonies.</x:v>
      </x:c>
      <x:c r="N7" s="9" t="str">
        <x:v>Le repère décrit reste visible depuis l'entrée et depuis le retour; aucune décoration ne masque un signal d'interaction.</x:v>
      </x:c>
      <x:c r="O7" s="9" t="str">
        <x:v>INC-ZONE-OMEGA</x:v>
      </x:c>
      <x:c r="P7" s="9" t="str">
        <x:v>Direction artistique originale, matériaux à confronter aux planches.</x:v>
      </x:c>
      <x:c r="Q7" s="9" t="str"/>
      <x:c r="R7" s="9" t="str"/>
      <x:c r="S7" s="9" t="str"/>
    </x:row>
  </x:sheetData>
  <x:conditionalFormatting sqref="D7:D7">
    <x:cfRule type="cellIs" dxfId="24" priority="1" operator="equal">
      <x:formula>"À vérifier"</x:formula>
    </x:cfRule>
    <x:cfRule type="cellIs" dxfId="25" priority="2" operator="equal">
      <x:formula>"Extrapolation"</x:formula>
    </x:cfRule>
  </x:conditionalFormatting>
  <x:conditionalFormatting sqref="C7:C7">
    <x:cfRule type="cellIs" dxfId="26" priority="3" operator="equal">
      <x:formula>"Validé"</x:formula>
    </x:cfRule>
  </x:conditionalFormatting>
  <x:conditionalFormatting sqref="E7:E7">
    <x:cfRule type="cellIs" dxfId="2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b0740b71aa04368"/>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Incursion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INC-SC-CHECK-PROP</x:v>
      </x:c>
      <x:c r="B7" s="9" t="str">
        <x:v>Repère d’observation</x:v>
      </x:c>
      <x:c r="C7" s="14" t="str">
        <x:v>Défini</x:v>
      </x:c>
      <x:c r="D7" s="15" t="str">
        <x:v>Extrapolation</x:v>
      </x:c>
      <x:c r="E7" s="15" t="str">
        <x:v>P1</x:v>
      </x:c>
      <x:c r="F7" s="9" t="str">
        <x:v>Accessoire de prototype.</x:v>
      </x:c>
      <x:c r="G7" s="9" t="str">
        <x:v>Présenter une information de terrain sans scanner omniscient.</x:v>
      </x:c>
      <x:c r="H7" s="9" t="str">
        <x:v>Observer révèle seulement les unités visibles depuis le poste.</x:v>
      </x:c>
      <x:c r="I7" s="9" t="str">
        <x:v>Marquage au sol et petit viseur d’interface.</x:v>
      </x:c>
      <x:c r="J7" s="9" t="str">
        <x:v>État repos, sélection, utilisation et remise en place; l’objet conserve son pivot entre ces états.</x:v>
      </x:c>
      <x:c r="K7" s="9" t="str">
        <x:v>Bruit de manipulation original et confirmation visible.</x:v>
      </x:c>
      <x:c r="L7" s="9" t="str">
        <x:v>Objet proposé INC/CHECK/prop; composant inspectable distinct du déclencheur narratif.</x:v>
      </x:c>
      <x:c r="M7" s="9" t="str">
        <x:v>Le résultat narratif du raid reste fixé; une tâche de gameplay ne réécrit pas le sort des captifs ni ne fait d’Aria la libératrice de toutes les colonies.</x:v>
      </x:c>
      <x:c r="N7" s="9" t="str">
        <x:v>L’objet possède un état visible avant et après interaction; il ne peut pas être perdu ni dupliqué par rechargement.</x:v>
      </x:c>
      <x:c r="O7" s="9" t="str">
        <x:v>INC-SC-CHECK-MAIN</x:v>
      </x:c>
      <x:c r="P7" s="9" t="str">
        <x:v>Accessoire ou interaction de production proposé; ne vaut pas relevé exhaustif de la planche.</x:v>
      </x:c>
      <x:c r="Q7" s="9" t="str"/>
      <x:c r="R7" s="9" t="str"/>
      <x:c r="S7" s="9" t="str"/>
    </x:row>
    <x:row r="8" ht="54" customHeight="1">
      <x:c r="A8" s="30" t="str">
        <x:v>INC-SC-RAID-PROP</x:v>
      </x:c>
      <x:c r="B8" s="7" t="str">
        <x:v>Commande de grue — prototype</x:v>
      </x:c>
      <x:c r="C8" s="14" t="str">
        <x:v>Défini</x:v>
      </x:c>
      <x:c r="D8" s="29" t="str">
        <x:v>Extrapolation</x:v>
      </x:c>
      <x:c r="E8" s="29" t="str">
        <x:v>P1</x:v>
      </x:c>
      <x:c r="F8" s="7" t="str">
        <x:v>Interaction de terrain ajoutée pour le prototype.</x:v>
      </x:c>
      <x:c r="G8" s="7" t="str">
        <x:v>Créer un déplacement de couvert sans attribuer une scène au comic.</x:v>
      </x:c>
      <x:c r="H8" s="7" t="str">
        <x:v>Une seule utilisation; prévisualiser la zone de passage conservée.</x:v>
      </x:c>
      <x:c r="I8" s="7" t="str">
        <x:v>Levier de service et câble mobile.</x:v>
      </x:c>
      <x:c r="J8" s="7" t="str">
        <x:v>État repos, sélection, utilisation et remise en place; l’objet conserve son pivot entre ces états.</x:v>
      </x:c>
      <x:c r="K8" s="7" t="str">
        <x:v>Bruit de manipulation original et confirmation visible.</x:v>
      </x:c>
      <x:c r="L8" s="7" t="str">
        <x:v>Objet proposé INC/RAID/prop; composant inspectable distinct du déclencheur narratif.</x:v>
      </x:c>
      <x:c r="M8" s="7" t="str">
        <x:v>Le résultat narratif du raid reste fixé; une tâche de gameplay ne réécrit pas le sort des captifs ni ne fait d’Aria la libératrice de toutes les colonies.</x:v>
      </x:c>
      <x:c r="N8" s="7" t="str">
        <x:v>L’objet possède un état visible avant et après interaction; il ne peut pas être perdu ni dupliqué par rechargement.</x:v>
      </x:c>
      <x:c r="O8" s="7" t="str">
        <x:v>INC-SC-RAID-MAIN</x:v>
      </x:c>
      <x:c r="P8" s="7" t="str">
        <x:v>Accessoire ou interaction de production proposé; ne vaut pas relevé exhaustif de la planche.</x:v>
      </x:c>
      <x:c r="Q8" s="7" t="str"/>
      <x:c r="R8" s="7" t="str"/>
      <x:c r="S8" s="7" t="str"/>
    </x:row>
    <x:row r="9" ht="54" customHeight="1">
      <x:c r="A9" s="16" t="str">
        <x:v>INC-SC-REPORT-PROP</x:v>
      </x:c>
      <x:c r="B9" s="9" t="str">
        <x:v>Datapad démographique — représentation proposée</x:v>
      </x:c>
      <x:c r="C9" s="14" t="str">
        <x:v>Défini</x:v>
      </x:c>
      <x:c r="D9" s="15" t="str">
        <x:v>Extrapolation</x:v>
      </x:c>
      <x:c r="E9" s="15" t="str">
        <x:v>P1</x:v>
      </x:c>
      <x:c r="F9" s="9" t="str">
        <x:v>Objet de renseignement; nombres exacts non transcrits.</x:v>
      </x:c>
      <x:c r="G9" s="9" t="str">
        <x:v>Faire comprendre la nature des cibles.</x:v>
      </x:c>
      <x:c r="H9" s="9" t="str">
        <x:v>Affiche les noms confirmés et une échelle qualitative, pas de valeurs fabriquées.</x:v>
      </x:c>
      <x:c r="I9" s="9" t="str">
        <x:v>Tableau court et en-tête provenance à vérifier.</x:v>
      </x:c>
      <x:c r="J9" s="9" t="str">
        <x:v>État repos, sélection, utilisation et remise en place; l’objet conserve son pivot entre ces états.</x:v>
      </x:c>
      <x:c r="K9" s="9" t="str">
        <x:v>Bruit de manipulation original et confirmation visible.</x:v>
      </x:c>
      <x:c r="L9" s="9" t="str">
        <x:v>Objet proposé INC/REPORT/prop; composant inspectable distinct du déclencheur narratif.</x:v>
      </x:c>
      <x:c r="M9" s="9" t="str">
        <x:v>Le résultat narratif du raid reste fixé; une tâche de gameplay ne réécrit pas le sort des captifs ni ne fait d’Aria la libératrice de toutes les colonies.</x:v>
      </x:c>
      <x:c r="N9" s="9" t="str">
        <x:v>L’objet possède un état visible avant et après interaction; il ne peut pas être perdu ni dupliqué par rechargement.</x:v>
      </x:c>
      <x:c r="O9" s="9" t="str">
        <x:v>INC-SC-REPORT-MAIN</x:v>
      </x:c>
      <x:c r="P9" s="9" t="str">
        <x:v>Accessoire ou interaction de production proposé; ne vaut pas relevé exhaustif de la planche.</x:v>
      </x:c>
      <x:c r="Q9" s="9" t="str"/>
      <x:c r="R9" s="9" t="str"/>
      <x:c r="S9" s="9" t="str"/>
    </x:row>
  </x:sheetData>
  <x:conditionalFormatting sqref="D7:D9">
    <x:cfRule type="cellIs" dxfId="28" priority="1" operator="equal">
      <x:formula>"À vérifier"</x:formula>
    </x:cfRule>
    <x:cfRule type="cellIs" dxfId="29" priority="2" operator="equal">
      <x:formula>"Extrapolation"</x:formula>
    </x:cfRule>
  </x:conditionalFormatting>
  <x:conditionalFormatting sqref="C7:C9">
    <x:cfRule type="cellIs" dxfId="30" priority="3" operator="equal">
      <x:formula>"Validé"</x:formula>
    </x:cfRule>
  </x:conditionalFormatting>
  <x:conditionalFormatting sqref="E7:E9">
    <x:cfRule type="cellIs" dxfId="3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331055f4b8a7477f"/>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Incursion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INC-EN-SUNS</x:v>
      </x:c>
      <x:c r="B7" s="9" t="str">
        <x:v>Blue Suns</x:v>
      </x:c>
      <x:c r="C7" s="14" t="str">
        <x:v>Défini</x:v>
      </x:c>
      <x:c r="D7" s="15" t="str">
        <x:v>À vérifier</x:v>
      </x:c>
      <x:c r="E7" s="15" t="str">
        <x:v>P1</x:v>
      </x:c>
      <x:c r="F7" s="9" t="str">
        <x:v>Le wiki associe les Blue Suns à la transaction.</x:v>
      </x:c>
      <x:c r="G7" s="9" t="str">
        <x:v>Tireurs de couvert de la rencontre.</x:v>
      </x:c>
      <x:c r="H7" s="9" t="str">
        <x:v>Profil proposé : Appui de tir; ne pas faire apparaître des renforts infinis.</x:v>
      </x:c>
      <x:c r="I7" s="9" t="str">
        <x:v>Silhouette proposée : Armures bleues à vérifier, silhouettes humaines ou autres selon les planches.</x:v>
      </x:c>
      <x:c r="J7" s="9" t="str">
        <x:v>Visée, recul et sortie de couvert.</x:v>
      </x:c>
      <x:c r="K7" s="9" t="str">
        <x:v>Tirs secs.</x:v>
      </x:c>
      <x:c r="L7" s="9" t="str">
        <x:v>Livrable proposé : spécification INC/enemies/en-suns; brancher au registre de contenu de l'œuvre seulement après production.</x:v>
      </x:c>
      <x:c r="M7" s="9" t="str">
        <x:v>Le résultat narratif du raid reste fixé; une tâche de gameplay ne réécrit pas le sort des captifs ni ne fait d’Aria la libératrice de toutes les colonies.</x:v>
      </x:c>
      <x:c r="N7" s="9" t="str">
        <x:v>Blue Suns a une silhouette distincte, un comportement télégraphié et une contre-mesure documentée; aucune valeur n'est annoncée comme statistique officielle.</x:v>
      </x:c>
      <x:c r="O7" s="9" t="str"/>
      <x:c r="P7" s="9" t="str">
        <x:v>Mass Effect: Incursion, récit court</x:v>
      </x:c>
      <x:c r="Q7" s="9" t="str">
        <x:v>INC-S-WIKI</x:v>
      </x:c>
      <x:c r="R7" s="9" t="str">
        <x:v>https://masseffect.fandom.com/wiki/Mass_Effect%3A_Incursion</x:v>
      </x:c>
      <x:c r="S7" s="9" t="str">
        <x:v>L’adversaire ou groupe est attesté selon la source; le combat ATB et ses réglages sont entièrement proposés.</x:v>
      </x:c>
    </x:row>
    <x:row r="8" ht="68" customHeight="1">
      <x:c r="A8" s="30" t="str">
        <x:v>INC-EN-COLLECTOR</x:v>
      </x:c>
      <x:c r="B8" s="7" t="str">
        <x:v>Unité Collector</x:v>
      </x:c>
      <x:c r="C8" s="14" t="str">
        <x:v>Défini</x:v>
      </x:c>
      <x:c r="D8" s="29" t="str">
        <x:v>Établi</x:v>
      </x:c>
      <x:c r="E8" s="29" t="str">
        <x:v>P1</x:v>
      </x:c>
      <x:c r="F8" s="7" t="str">
        <x:v>Les Collectors sont la menace décrite par l’éditeur.</x:v>
      </x:c>
      <x:c r="G8" s="7" t="str">
        <x:v>Adversaire distinct des trafiquants.</x:v>
      </x:c>
      <x:c r="H8" s="7" t="str">
        <x:v>Profil proposé : Pression à distance puis récupération visible; pas d’aptitude de Harbinger ajoutée par défaut.</x:v>
      </x:c>
      <x:c r="I8" s="7" t="str">
        <x:v>Silhouette proposée : Silhouette insectoïde et arme organique à contrôler; animation d’antenne discrète.</x:v>
      </x:c>
      <x:c r="J8" s="7" t="str">
        <x:v>Préparation de tir et réorientation complète.</x:v>
      </x:c>
      <x:c r="K8" s="7" t="str">
        <x:v>Timbre organique original.</x:v>
      </x:c>
      <x:c r="L8" s="7" t="str">
        <x:v>Livrable proposé : spécification INC/enemies/en-collector; brancher au registre de contenu de l'œuvre seulement après production.</x:v>
      </x:c>
      <x:c r="M8" s="7" t="str">
        <x:v>Le résultat narratif du raid reste fixé; une tâche de gameplay ne réécrit pas le sort des captifs ni ne fait d’Aria la libératrice de toutes les colonies.</x:v>
      </x:c>
      <x:c r="N8" s="7" t="str">
        <x:v>Unité Collector a une silhouette distincte, un comportement télégraphié et une contre-mesure documentée; aucune valeur n'est annoncée comme statistique officielle.</x:v>
      </x:c>
      <x:c r="O8" s="7" t="str"/>
      <x:c r="P8" s="7" t="str">
        <x:v>Mass Effect: Incursion, récit court</x:v>
      </x:c>
      <x:c r="Q8" s="7" t="str">
        <x:v>INC-S-PAIR</x:v>
      </x:c>
      <x:c r="R8" s="7" t="str">
        <x:v>https://books.apple.com/gr/book/mass-effect-incursion-inquisition/id1047054838</x:v>
      </x:c>
      <x:c r="S8" s="7" t="str">
        <x:v>L’adversaire ou groupe est attesté selon la source; le combat ATB et ses réglages sont entièrement proposés.</x:v>
      </x:c>
    </x:row>
    <x:row r="9" ht="54" customHeight="1">
      <x:c r="A9" s="16" t="str">
        <x:v>INC-EN-PRAETORIAN</x:v>
      </x:c>
      <x:c r="B9" s="9" t="str">
        <x:v>Praetorian</x:v>
      </x:c>
      <x:c r="C9" s="14" t="str">
        <x:v>Défini</x:v>
      </x:c>
      <x:c r="D9" s="15" t="str">
        <x:v>À vérifier</x:v>
      </x:c>
      <x:c r="E9" s="15" t="str">
        <x:v>P1</x:v>
      </x:c>
      <x:c r="F9" s="9" t="str">
        <x:v>Le wiki mentionne un Praetorian dans le raid.</x:v>
      </x:c>
      <x:c r="G9" s="9" t="str">
        <x:v>Menace lourde ponctuelle, pas boss doté de statistiques officielles.</x:v>
      </x:c>
      <x:c r="H9" s="9" t="str">
        <x:v>Profil proposé : Alternance pression de zone et fenêtre de récupération proposée.</x:v>
      </x:c>
      <x:c r="I9" s="9" t="str">
        <x:v>Silhouette proposée : Grand volume flottant à comparer; ombre au sol distincte des sprites.</x:v>
      </x:c>
      <x:c r="J9" s="9" t="str">
        <x:v>Charge lumineuse lente et déplacement lourd.</x:v>
      </x:c>
      <x:c r="K9" s="9" t="str">
        <x:v>Grave de charge doublé d’un symbole.</x:v>
      </x:c>
      <x:c r="L9" s="9" t="str">
        <x:v>Livrable proposé : spécification INC/enemies/en-praetorian; brancher au registre de contenu de l'œuvre seulement après production.</x:v>
      </x:c>
      <x:c r="M9" s="9" t="str">
        <x:v>Le résultat narratif du raid reste fixé; une tâche de gameplay ne réécrit pas le sort des captifs ni ne fait d’Aria la libératrice de toutes les colonies.</x:v>
      </x:c>
      <x:c r="N9" s="9" t="str">
        <x:v>Praetorian a une silhouette distincte, un comportement télégraphié et une contre-mesure documentée; aucune valeur n'est annoncée comme statistique officielle.</x:v>
      </x:c>
      <x:c r="O9" s="9" t="str"/>
      <x:c r="P9" s="9" t="str">
        <x:v>Mass Effect: Incursion, récit court</x:v>
      </x:c>
      <x:c r="Q9" s="9" t="str">
        <x:v>INC-S-WIKI</x:v>
      </x:c>
      <x:c r="R9" s="9" t="str">
        <x:v>https://masseffect.fandom.com/wiki/Mass_Effect%3A_Incursion</x:v>
      </x:c>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f9cc5f7bcf5a444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Incursion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INC-SC-CHECK-MAIN</x:v>
      </x:c>
      <x:c r="B7" s="9" t="str">
        <x:v>Examiner la perturbation — objectif jouable</x:v>
      </x:c>
      <x:c r="C7" s="14" t="str">
        <x:v>Défini</x:v>
      </x:c>
      <x:c r="D7" s="15" t="str">
        <x:v>Extrapolation</x:v>
      </x:c>
      <x:c r="E7" s="15" t="str">
        <x:v>P0</x:v>
      </x:c>
      <x:c r="F7" s="9" t="str">
        <x:v>Observer le secteur avant de franchir le seuil.</x:v>
      </x:c>
      <x:c r="G7" s="9" t="str">
        <x:v>Arrivée → observation de rôles → choix d’approche → accès.</x:v>
      </x:c>
      <x:c r="H7" s="9" t="str">
        <x:v>Deux postes d’observation révèlent les lignes de vue; aucun dialogue n’explique déjà toute l’origine des Collectors.</x:v>
      </x:c>
      <x:c r="I7" s="9" t="str">
        <x:v>Poutre de premier plan et aire de transaction dégagée.</x:v>
      </x:c>
      <x:c r="J7" s="9" t="str">
        <x:v>Entrée prudente, geste d'inspection et retour au contrôle pour « Examiner la perturbation »; poser les sprites avant tout changement de caméra.</x:v>
      </x:c>
      <x:c r="K7" s="9" t="str">
        <x:v>Activité industrielle interrompue par bruits inhabituels.</x:v>
      </x:c>
      <x:c r="L7" s="9" t="str">
        <x:v>Graphe proposé INC/quests/CHECK: entrée → objectif actif → résolution → raccord; conditions terminales séparées des points facultatifs.</x:v>
      </x:c>
      <x:c r="M7" s="9" t="str">
        <x:v>Le résultat narratif du raid reste fixé; une tâche de gameplay ne réécrit pas le sort des captifs ni ne fait d’Aria la libératrice de toutes les colonies.</x:v>
      </x:c>
      <x:c r="N7" s="9" t="str">
        <x:v>L'objectif « Examiner la perturbation » atteint son raccord annoncé après chaque méthode; sauvegarde, rechargement et saut de scène n'en changent ni le groupe ni les informations acquises.</x:v>
      </x:c>
      <x:c r="O7" s="9" t="str">
        <x:v>INC-SC-CHECK-REF</x:v>
      </x:c>
      <x:c r="P7" s="9" t="str">
        <x:v>Conception originale rattachée à Mass Effect: Incursion, récit court</x:v>
      </x:c>
      <x:c r="Q7" s="9" t="str"/>
      <x:c r="R7" s="9" t="str"/>
      <x:c r="S7" s="9" t="str"/>
    </x:row>
    <x:row r="8" ht="68" customHeight="1">
      <x:c r="A8" s="30" t="str">
        <x:v>INC-SC-RAID-MAIN</x:v>
      </x:c>
      <x:c r="B8" s="7" t="str">
        <x:v>Interrompre la transaction — objectif jouable</x:v>
      </x:c>
      <x:c r="C8" s="14" t="str">
        <x:v>Défini</x:v>
      </x:c>
      <x:c r="D8" s="29" t="str">
        <x:v>Extrapolation</x:v>
      </x:c>
      <x:c r="E8" s="29" t="str">
        <x:v>P0</x:v>
      </x:c>
      <x:c r="F8" s="7" t="str">
        <x:v>Contenir une rencontre concentrée dans l’aire industrielle.</x:v>
      </x:c>
      <x:c r="G8" s="7" t="str">
        <x:v>Révélation → engagement → déplacement de menace lourde → fin du raid.</x:v>
      </x:c>
      <x:c r="H8" s="7" t="str">
        <x:v>Le résultat source est fixé; les objectifs locaux portent sur la survie du groupe et le contrôle de position, pas sur un décompte de victimes canon.</x:v>
      </x:c>
      <x:c r="I8" s="7" t="str">
        <x:v>Caisses basses, grand volume central et contrastes d’espèces.</x:v>
      </x:c>
      <x:c r="J8" s="7" t="str">
        <x:v>Entrée prudente, geste d'inspection et retour au contrôle pour « Interrompre la transaction »; poser les sprites avant tout changement de caméra.</x:v>
      </x:c>
      <x:c r="K8" s="7" t="str">
        <x:v>Armes distinctes par timbre, sans reproduction des sons commerciaux.</x:v>
      </x:c>
      <x:c r="L8" s="7" t="str">
        <x:v>Graphe proposé INC/quests/RAID: entrée → objectif actif → résolution → raccord; conditions terminales séparées des points facultatifs.</x:v>
      </x:c>
      <x:c r="M8" s="7" t="str">
        <x:v>Le résultat narratif du raid reste fixé; une tâche de gameplay ne réécrit pas le sort des captifs ni ne fait d’Aria la libératrice de toutes les colonies.</x:v>
      </x:c>
      <x:c r="N8" s="7" t="str">
        <x:v>L'objectif « Interrompre la transaction » atteint son raccord annoncé après chaque méthode; sauvegarde, rechargement et saut de scène n'en changent ni le groupe ni les informations acquises.</x:v>
      </x:c>
      <x:c r="O8" s="7" t="str">
        <x:v>INC-SC-RAID-REF</x:v>
      </x:c>
      <x:c r="P8" s="7" t="str">
        <x:v>Conception originale rattachée à Mass Effect: Incursion, récit court</x:v>
      </x:c>
      <x:c r="Q8" s="7" t="str"/>
      <x:c r="R8" s="7" t="str"/>
      <x:c r="S8" s="7" t="str"/>
    </x:row>
    <x:row r="9" ht="68" customHeight="1">
      <x:c r="A9" s="16" t="str">
        <x:v>INC-SC-REPORT-MAIN</x:v>
      </x:c>
      <x:c r="B9" s="9" t="str">
        <x:v>Comprendre la cible humaine — objectif jouable</x:v>
      </x:c>
      <x:c r="C9" s="14" t="str">
        <x:v>Défini</x:v>
      </x:c>
      <x:c r="D9" s="15" t="str">
        <x:v>Extrapolation</x:v>
      </x:c>
      <x:c r="E9" s="15" t="str">
        <x:v>P0</x:v>
      </x:c>
      <x:c r="F9" s="9" t="str">
        <x:v>Lire un document bref et clore le module sur son implication.</x:v>
      </x:c>
      <x:c r="G9" s="9" t="str">
        <x:v>Retour → lecture → constat de portée → fin.</x:v>
      </x:c>
      <x:c r="H9" s="9" t="str">
        <x:v>Le document sert de renseignement; cliquer un nom n’ouvre aucune planète visitable.</x:v>
      </x:c>
      <x:c r="I9" s="9" t="str">
        <x:v>Espace d’Afterlife réduit à un décor de conclusion original.</x:v>
      </x:c>
      <x:c r="J9" s="9" t="str">
        <x:v>Entrée prudente, geste d'inspection et retour au contrôle pour « Comprendre la cible humaine »; poser les sprites avant tout changement de caméra.</x:v>
      </x:c>
      <x:c r="K9" s="9" t="str">
        <x:v>Fond de club très filtré et note grave ouverte.</x:v>
      </x:c>
      <x:c r="L9" s="9" t="str">
        <x:v>Graphe proposé INC/quests/REPORT: entrée → objectif actif → résolution → raccord; conditions terminales séparées des points facultatifs.</x:v>
      </x:c>
      <x:c r="M9" s="9" t="str">
        <x:v>Le résultat narratif du raid reste fixé; une tâche de gameplay ne réécrit pas le sort des captifs ni ne fait d’Aria la libératrice de toutes les colonies.</x:v>
      </x:c>
      <x:c r="N9" s="9" t="str">
        <x:v>L'objectif « Comprendre la cible humaine » atteint son raccord annoncé après chaque méthode; sauvegarde, rechargement et saut de scène n'en changent ni le groupe ni les informations acquises.</x:v>
      </x:c>
      <x:c r="O9" s="9" t="str">
        <x:v>INC-SC-REPORT-REF</x:v>
      </x:c>
      <x:c r="P9" s="9" t="str">
        <x:v>Conception originale rattachée à Mass Effect: Incursion, récit court</x:v>
      </x:c>
      <x:c r="Q9" s="9" t="str"/>
      <x:c r="R9" s="9" t="str"/>
      <x:c r="S9" s="9" t="str"/>
    </x:row>
  </x:sheetData>
  <x:conditionalFormatting sqref="D7:D9">
    <x:cfRule type="cellIs" dxfId="36" priority="1" operator="equal">
      <x:formula>"À vérifier"</x:formula>
    </x:cfRule>
    <x:cfRule type="cellIs" dxfId="37" priority="2" operator="equal">
      <x:formula>"Extrapolation"</x:formula>
    </x:cfRule>
  </x:conditionalFormatting>
  <x:conditionalFormatting sqref="C7:C9">
    <x:cfRule type="cellIs" dxfId="38" priority="3" operator="equal">
      <x:formula>"Validé"</x:formula>
    </x:cfRule>
  </x:conditionalFormatting>
  <x:conditionalFormatting sqref="E7:E9">
    <x:cfRule type="cellIs" dxfId="39"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eedd667b6da4094"/>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Incursion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INC-SC-CHECK-SIDE</x:v>
      </x:c>
      <x:c r="B7" s="9" t="str">
        <x:v>Vérifier le flanc de sortie</x:v>
      </x:c>
      <x:c r="C7" s="14" t="str">
        <x:v>Défini</x:v>
      </x:c>
      <x:c r="D7" s="15" t="str">
        <x:v>Extrapolation</x:v>
      </x:c>
      <x:c r="E7" s="15" t="str">
        <x:v>P2</x:v>
      </x:c>
      <x:c r="F7" s="9" t="str">
        <x:v>Tâche facultative originale.</x:v>
      </x:c>
      <x:c r="G7" s="9" t="str">
        <x:v>Préparer le retour.</x:v>
      </x:c>
      <x:c r="H7" s="9" t="str">
        <x:v>Révèle un accès; ne sauve pas automatiquement les captifs du récit.</x:v>
      </x:c>
      <x:c r="I7" s="9" t="str">
        <x:v>Poutre de premier plan et aire de transaction dégagée.</x:v>
      </x:c>
      <x:c r="J7" s="9" t="str">
        <x:v>Inspection, interaction courte, confirmation; permettre de renoncer sans bloquer le chemin principal.</x:v>
      </x:c>
      <x:c r="K7" s="9" t="str">
        <x:v>Confirmation discrète; aucune réplique source réemployée.</x:v>
      </x:c>
      <x:c r="L7" s="9" t="str">
        <x:v>Objectif facultatif INC/CHECK/optional; récompense locale de contexte, pas de modification de la fin.</x:v>
      </x:c>
      <x:c r="M7" s="9" t="str">
        <x:v>Le résultat narratif du raid reste fixé; une tâche de gameplay ne réécrit pas le sort des captifs ni ne fait d’Aria la libératrice de toutes les colonies.</x:v>
      </x:c>
      <x:c r="N7" s="9" t="str">
        <x:v>Terminer, ignorer ou abandonner cette tâche laisse le récit principal accessible et conserve correctement l’état en sauvegarde.</x:v>
      </x:c>
      <x:c r="O7" s="9" t="str">
        <x:v>INC-SC-CHECK-MAIN</x:v>
      </x:c>
      <x:c r="P7" s="9" t="str">
        <x:v>Ajout original; cette tâche n’est pas attestée dans le comic.</x:v>
      </x:c>
      <x:c r="Q7" s="9" t="str"/>
      <x:c r="R7" s="9" t="str"/>
      <x:c r="S7" s="9" t="str"/>
    </x:row>
    <x:row r="8" ht="54" customHeight="1">
      <x:c r="A8" s="30" t="str">
        <x:v>INC-SC-RAID-SIDE</x:v>
      </x:c>
      <x:c r="B8" s="7" t="str">
        <x:v>Isoler un accès technique</x:v>
      </x:c>
      <x:c r="C8" s="14" t="str">
        <x:v>Défini</x:v>
      </x:c>
      <x:c r="D8" s="29" t="str">
        <x:v>Extrapolation</x:v>
      </x:c>
      <x:c r="E8" s="29" t="str">
        <x:v>P2</x:v>
      </x:c>
      <x:c r="F8" s="7" t="str">
        <x:v>Objectif facultatif original de confinement.</x:v>
      </x:c>
      <x:c r="G8" s="7" t="str">
        <x:v>Réduire un risque local de débordement.</x:v>
      </x:c>
      <x:c r="H8" s="7" t="str">
        <x:v>Ne change pas la liste des survivants publiée.</x:v>
      </x:c>
      <x:c r="I8" s="7" t="str">
        <x:v>Caisses basses, grand volume central et contrastes d’espèces.</x:v>
      </x:c>
      <x:c r="J8" s="7" t="str">
        <x:v>Inspection, interaction courte, confirmation; permettre de renoncer sans bloquer le chemin principal.</x:v>
      </x:c>
      <x:c r="K8" s="7" t="str">
        <x:v>Confirmation discrète; aucune réplique source réemployée.</x:v>
      </x:c>
      <x:c r="L8" s="7" t="str">
        <x:v>Objectif facultatif INC/RAID/optional; récompense locale de contexte, pas de modification de la fin.</x:v>
      </x:c>
      <x:c r="M8" s="7" t="str">
        <x:v>Le résultat narratif du raid reste fixé; une tâche de gameplay ne réécrit pas le sort des captifs ni ne fait d’Aria la libératrice de toutes les colonies.</x:v>
      </x:c>
      <x:c r="N8" s="7" t="str">
        <x:v>Terminer, ignorer ou abandonner cette tâche laisse le récit principal accessible et conserve correctement l’état en sauvegarde.</x:v>
      </x:c>
      <x:c r="O8" s="7" t="str">
        <x:v>INC-SC-RAID-MAIN</x:v>
      </x:c>
      <x:c r="P8" s="7" t="str">
        <x:v>Ajout original; cette tâche n’est pas attestée dans le comic.</x:v>
      </x:c>
      <x:c r="Q8" s="7" t="str"/>
      <x:c r="R8" s="7" t="str"/>
      <x:c r="S8" s="7" t="str"/>
    </x:row>
    <x:row r="9" ht="54" customHeight="1">
      <x:c r="A9" s="16" t="str">
        <x:v>INC-SC-REPORT-SIDE</x:v>
      </x:c>
      <x:c r="B9" s="9" t="str">
        <x:v>Relier le dossier à Redemption</x:v>
      </x:c>
      <x:c r="C9" s="14" t="str">
        <x:v>Défini</x:v>
      </x:c>
      <x:c r="D9" s="15" t="str">
        <x:v>Extrapolation</x:v>
      </x:c>
      <x:c r="E9" s="15" t="str">
        <x:v>P2</x:v>
      </x:c>
      <x:c r="F9" s="9" t="str">
        <x:v>Renvoi documentaire facultatif.</x:v>
      </x:c>
      <x:c r="G9" s="9" t="str">
        <x:v>Éviter de rejouer l’explication dans deux modules.</x:v>
      </x:c>
      <x:c r="H9" s="9" t="str">
        <x:v>Un lien de lecture rappelle seulement le contexte déjà établi.</x:v>
      </x:c>
      <x:c r="I9" s="9" t="str">
        <x:v>Espace d’Afterlife réduit à un décor de conclusion original.</x:v>
      </x:c>
      <x:c r="J9" s="9" t="str">
        <x:v>Inspection, interaction courte, confirmation; permettre de renoncer sans bloquer le chemin principal.</x:v>
      </x:c>
      <x:c r="K9" s="9" t="str">
        <x:v>Confirmation discrète; aucune réplique source réemployée.</x:v>
      </x:c>
      <x:c r="L9" s="9" t="str">
        <x:v>Objectif facultatif INC/REPORT/optional; récompense locale de contexte, pas de modification de la fin.</x:v>
      </x:c>
      <x:c r="M9" s="9" t="str">
        <x:v>Le résultat narratif du raid reste fixé; une tâche de gameplay ne réécrit pas le sort des captifs ni ne fait d’Aria la libératrice de toutes les colonies.</x:v>
      </x:c>
      <x:c r="N9" s="9" t="str">
        <x:v>Terminer, ignorer ou abandonner cette tâche laisse le récit principal accessible et conserve correctement l’état en sauvegarde.</x:v>
      </x:c>
      <x:c r="O9" s="9" t="str">
        <x:v>INC-SC-REPORT-MAIN</x:v>
      </x:c>
      <x:c r="P9" s="9" t="str">
        <x:v>Ajout original; cette tâche n’est pas attestée dans le comic.</x:v>
      </x:c>
      <x:c r="Q9" s="9" t="str"/>
      <x:c r="R9" s="9" t="str"/>
      <x:c r="S9" s="9" t="str"/>
    </x:row>
  </x:sheetData>
  <x:conditionalFormatting sqref="D7:D9">
    <x:cfRule type="cellIs" dxfId="40" priority="1" operator="equal">
      <x:formula>"À vérifier"</x:formula>
    </x:cfRule>
    <x:cfRule type="cellIs" dxfId="41" priority="2" operator="equal">
      <x:formula>"Extrapolation"</x:formula>
    </x:cfRule>
  </x:conditionalFormatting>
  <x:conditionalFormatting sqref="C7:C9">
    <x:cfRule type="cellIs" dxfId="42" priority="3" operator="equal">
      <x:formula>"Validé"</x:formula>
    </x:cfRule>
  </x:conditionalFormatting>
  <x:conditionalFormatting sqref="E7:E9">
    <x:cfRule type="cellIs" dxfId="4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79b51c409c874dc0"/>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Incursion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INC-SC-CHECK-CHOICE</x:v>
      </x:c>
      <x:c r="B7" s="9" t="str">
        <x:v>Examiner la perturbation — stratégie locale</x:v>
      </x:c>
      <x:c r="C7" s="14" t="str">
        <x:v>Défini</x:v>
      </x:c>
      <x:c r="D7" s="15" t="str">
        <x:v>Extrapolation</x:v>
      </x:c>
      <x:c r="E7" s="15" t="str">
        <x:v>P1</x:v>
      </x:c>
      <x:c r="F7" s="9" t="str">
        <x:v>Entrer par l’axe direct ou préparer un flanc.</x:v>
      </x:c>
      <x:c r="G7" s="9" t="str">
        <x:v>Choix de méthode dans une adaptation; aucun embranchement alternatif n’est déclaré officiel.</x:v>
      </x:c>
      <x:c r="H7" s="9" t="str">
        <x:v>L’axe direct conserve un soutien près d’Aria; le flanc ouvre une route latérale plus courte.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INC/CHECK; stocker la méthode choisie et les conséquences temporaires, puis rejoindre le point de raccord.</x:v>
      </x:c>
      <x:c r="M7" s="9" t="str">
        <x:v>Le résultat narratif du raid reste fixé; une tâche de gameplay ne réécrit pas le sort des captifs ni ne fait d’Aria la libératrice de toutes les colonies.</x:v>
      </x:c>
      <x:c r="N7" s="9" t="str">
        <x:v>Les deux méthodes peuvent être comprises avant sélection; chacune rejoint le même ancrage canon sans supprimer un personnage nécessaire.</x:v>
      </x:c>
      <x:c r="O7" s="9" t="str">
        <x:v>INC-SC-CHECK-MAIN</x:v>
      </x:c>
      <x:c r="P7" s="9" t="str">
        <x:v>Bifurcation de gameplay originale, pas un choix présent dans l’œuvre.</x:v>
      </x:c>
      <x:c r="Q7" s="9" t="str"/>
      <x:c r="R7" s="9" t="str"/>
      <x:c r="S7" s="9" t="str"/>
    </x:row>
    <x:row r="8" ht="54" customHeight="1">
      <x:c r="A8" s="30" t="str">
        <x:v>INC-SC-RAID-CHOICE</x:v>
      </x:c>
      <x:c r="B8" s="7" t="str">
        <x:v>Interrompre la transaction — stratégie locale</x:v>
      </x:c>
      <x:c r="C8" s="14" t="str">
        <x:v>Défini</x:v>
      </x:c>
      <x:c r="D8" s="29" t="str">
        <x:v>Extrapolation</x:v>
      </x:c>
      <x:c r="E8" s="29" t="str">
        <x:v>P1</x:v>
      </x:c>
      <x:c r="F8" s="7" t="str">
        <x:v>Écarter la menace lourde ou supprimer l’appui des tireurs.</x:v>
      </x:c>
      <x:c r="G8" s="7" t="str">
        <x:v>Choix de méthode dans une adaptation; aucun embranchement alternatif n’est déclaré officiel.</x:v>
      </x:c>
      <x:c r="H8" s="7" t="str">
        <x:v>L’une ouvre de l’espace, l’autre réduit la pression; mêmes ancrages narratifs.</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INC/RAID; stocker la méthode choisie et les conséquences temporaires, puis rejoindre le point de raccord.</x:v>
      </x:c>
      <x:c r="M8" s="7" t="str">
        <x:v>Le résultat narratif du raid reste fixé; une tâche de gameplay ne réécrit pas le sort des captifs ni ne fait d’Aria la libératrice de toutes les colonies.</x:v>
      </x:c>
      <x:c r="N8" s="7" t="str">
        <x:v>Les deux méthodes peuvent être comprises avant sélection; chacune rejoint le même ancrage canon sans supprimer un personnage nécessaire.</x:v>
      </x:c>
      <x:c r="O8" s="7" t="str">
        <x:v>INC-SC-RAID-MAIN</x:v>
      </x:c>
      <x:c r="P8" s="7" t="str">
        <x:v>Bifurcation de gameplay originale, pas un choix présent dans l’œuvre.</x:v>
      </x:c>
      <x:c r="Q8" s="7" t="str"/>
      <x:c r="R8" s="7" t="str"/>
      <x:c r="S8" s="7" t="str"/>
    </x:row>
    <x:row r="9" ht="54" customHeight="1">
      <x:c r="A9" s="16" t="str">
        <x:v>INC-SC-REPORT-CHOICE</x:v>
      </x:c>
      <x:c r="B9" s="9" t="str">
        <x:v>Comprendre la cible humaine — stratégie locale</x:v>
      </x:c>
      <x:c r="C9" s="14" t="str">
        <x:v>Défini</x:v>
      </x:c>
      <x:c r="D9" s="15" t="str">
        <x:v>Extrapolation</x:v>
      </x:c>
      <x:c r="E9" s="15" t="str">
        <x:v>P1</x:v>
      </x:c>
      <x:c r="F9" s="9" t="str">
        <x:v>Examiner d’abord les colonies ou l’échelle générale.</x:v>
      </x:c>
      <x:c r="G9" s="9" t="str">
        <x:v>Choix de méthode dans une adaptation; aucun embranchement alternatif n’est déclaré officiel.</x:v>
      </x:c>
      <x:c r="H9" s="9" t="str">
        <x:v>Ordre de lecture uniquement; toutes les informations restent accessibles.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INC/REPORT; stocker la méthode choisie et les conséquences temporaires, puis rejoindre le point de raccord.</x:v>
      </x:c>
      <x:c r="M9" s="9" t="str">
        <x:v>Le résultat narratif du raid reste fixé; une tâche de gameplay ne réécrit pas le sort des captifs ni ne fait d’Aria la libératrice de toutes les colonies.</x:v>
      </x:c>
      <x:c r="N9" s="9" t="str">
        <x:v>Les deux méthodes peuvent être comprises avant sélection; chacune rejoint le même ancrage canon sans supprimer un personnage nécessaire.</x:v>
      </x:c>
      <x:c r="O9" s="9" t="str">
        <x:v>INC-SC-REPORT-MAIN</x:v>
      </x:c>
      <x:c r="P9" s="9" t="str">
        <x:v>Bifurcation de gameplay originale, pas un choix présent dans l’œuvre.</x:v>
      </x:c>
      <x:c r="Q9" s="9" t="str"/>
      <x:c r="R9" s="9" t="str"/>
      <x:c r="S9" s="9" t="str"/>
    </x:row>
  </x:sheetData>
  <x:conditionalFormatting sqref="D7:D9">
    <x:cfRule type="cellIs" dxfId="44" priority="1" operator="equal">
      <x:formula>"À vérifier"</x:formula>
    </x:cfRule>
    <x:cfRule type="cellIs" dxfId="45" priority="2" operator="equal">
      <x:formula>"Extrapolation"</x:formula>
    </x:cfRule>
  </x:conditionalFormatting>
  <x:conditionalFormatting sqref="C7:C9">
    <x:cfRule type="cellIs" dxfId="46" priority="3" operator="equal">
      <x:formula>"Validé"</x:formula>
    </x:cfRule>
  </x:conditionalFormatting>
  <x:conditionalFormatting sqref="E7:E9">
    <x:cfRule type="cellIs" dxfId="4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9663c8cd5e7f4ba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Incursion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INC-SC-CHECK-DIA</x:v>
      </x:c>
      <x:c r="B7" s="9" t="str">
        <x:v>Examiner la perturbation — intentions de conversation</x:v>
      </x:c>
      <x:c r="C7" s="14" t="str">
        <x:v>Défini</x:v>
      </x:c>
      <x:c r="D7" s="15" t="str">
        <x:v>Extrapolation</x:v>
      </x:c>
      <x:c r="E7" s="15" t="str">
        <x:v>P1</x:v>
      </x:c>
      <x:c r="F7" s="9" t="str">
        <x:v>Aria insiste pour évaluer elle-même la situation; les gardes expriment des hypothèses attribuées comme telles.</x:v>
      </x:c>
      <x:c r="G7" s="9" t="str">
        <x:v>Préserver le thème « contrôle du territoire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Examiner la perturbation »; poser les sprites avant tout changement de caméra.</x:v>
      </x:c>
      <x:c r="K7" s="9" t="str">
        <x:v>Dialogue original à écrire; texte intégral accessible, avance manuelle et rappel des locuteurs.</x:v>
      </x:c>
      <x:c r="L7" s="9" t="str">
        <x:v>Arbre proposé INC/CHECK/dialogue; séparer ce qui est su, ce qui est affirmé et ce qui reste caché au joueur.</x:v>
      </x:c>
      <x:c r="M7" s="9" t="str">
        <x:v>Le résultat narratif du raid reste fixé; une tâche de gameplay ne réécrit pas le sort des captifs ni ne fait d’Aria la libératrice de toutes les colonies.</x:v>
      </x:c>
      <x:c r="N7" s="9" t="str">
        <x:v>Le lecteur peut identifier le locuteur, son but et le niveau de certitude; aucune phrase du comic n’est reproduite comme dialogue final.</x:v>
      </x:c>
      <x:c r="O7" s="9" t="str">
        <x:v>INC-SC-CHECK-MAIN</x:v>
      </x:c>
      <x:c r="P7" s="9" t="str">
        <x:v>Écriture originale à partir des thèmes, sans transcrire les bulles.</x:v>
      </x:c>
      <x:c r="Q7" s="9" t="str"/>
      <x:c r="R7" s="9" t="str"/>
      <x:c r="S7" s="9" t="str"/>
    </x:row>
    <x:row r="8" ht="54" customHeight="1">
      <x:c r="A8" s="30" t="str">
        <x:v>INC-SC-RAID-DIA</x:v>
      </x:c>
      <x:c r="B8" s="7" t="str">
        <x:v>Interrompre la transaction — intentions de conversation</x:v>
      </x:c>
      <x:c r="C8" s="14" t="str">
        <x:v>Défini</x:v>
      </x:c>
      <x:c r="D8" s="29" t="str">
        <x:v>Extrapolation</x:v>
      </x:c>
      <x:c r="E8" s="29" t="str">
        <x:v>P1</x:v>
      </x:c>
      <x:c r="F8" s="7" t="str">
        <x:v>Instructions tactiques originales courtes; pas de discours des captifs inventé comme contenu publié.</x:v>
      </x:c>
      <x:c r="G8" s="7" t="str">
        <x:v>Préserver le thème « violence et contrôle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Interrompre la transaction »; poser les sprites avant tout changement de caméra.</x:v>
      </x:c>
      <x:c r="K8" s="7" t="str">
        <x:v>Dialogue original à écrire; texte intégral accessible, avance manuelle et rappel des locuteurs.</x:v>
      </x:c>
      <x:c r="L8" s="7" t="str">
        <x:v>Arbre proposé INC/RAID/dialogue; séparer ce qui est su, ce qui est affirmé et ce qui reste caché au joueur.</x:v>
      </x:c>
      <x:c r="M8" s="7" t="str">
        <x:v>Le résultat narratif du raid reste fixé; une tâche de gameplay ne réécrit pas le sort des captifs ni ne fait d’Aria la libératrice de toutes les colonies.</x:v>
      </x:c>
      <x:c r="N8" s="7" t="str">
        <x:v>Le lecteur peut identifier le locuteur, son but et le niveau de certitude; aucune phrase du comic n’est reproduite comme dialogue final.</x:v>
      </x:c>
      <x:c r="O8" s="7" t="str">
        <x:v>INC-SC-RAID-MAIN</x:v>
      </x:c>
      <x:c r="P8" s="7" t="str">
        <x:v>Écriture originale à partir des thèmes, sans transcrire les bulles.</x:v>
      </x:c>
      <x:c r="Q8" s="7" t="str"/>
      <x:c r="R8" s="7" t="str"/>
      <x:c r="S8" s="7" t="str"/>
    </x:row>
    <x:row r="9" ht="54" customHeight="1">
      <x:c r="A9" s="16" t="str">
        <x:v>INC-SC-REPORT-DIA</x:v>
      </x:c>
      <x:c r="B9" s="9" t="str">
        <x:v>Comprendre la cible humaine — intentions de conversation</x:v>
      </x:c>
      <x:c r="C9" s="14" t="str">
        <x:v>Défini</x:v>
      </x:c>
      <x:c r="D9" s="15" t="str">
        <x:v>Extrapolation</x:v>
      </x:c>
      <x:c r="E9" s="15" t="str">
        <x:v>P1</x:v>
      </x:c>
      <x:c r="F9" s="9" t="str">
        <x:v>Aria évalue une menace plus large; ne pas lui donner les révélations tardives de ME2.</x:v>
      </x:c>
      <x:c r="G9" s="9" t="str">
        <x:v>Préserver le thème « menace au-delà d’Omega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Comprendre la cible humaine »; poser les sprites avant tout changement de caméra.</x:v>
      </x:c>
      <x:c r="K9" s="9" t="str">
        <x:v>Dialogue original à écrire; texte intégral accessible, avance manuelle et rappel des locuteurs.</x:v>
      </x:c>
      <x:c r="L9" s="9" t="str">
        <x:v>Arbre proposé INC/REPORT/dialogue; séparer ce qui est su, ce qui est affirmé et ce qui reste caché au joueur.</x:v>
      </x:c>
      <x:c r="M9" s="9" t="str">
        <x:v>Le résultat narratif du raid reste fixé; une tâche de gameplay ne réécrit pas le sort des captifs ni ne fait d’Aria la libératrice de toutes les colonies.</x:v>
      </x:c>
      <x:c r="N9" s="9" t="str">
        <x:v>Le lecteur peut identifier le locuteur, son but et le niveau de certitude; aucune phrase du comic n’est reproduite comme dialogue final.</x:v>
      </x:c>
      <x:c r="O9" s="9" t="str">
        <x:v>INC-SC-REPORT-MAIN</x:v>
      </x:c>
      <x:c r="P9" s="9" t="str">
        <x:v>Écriture originale à partir des thèmes, sans transcrire les bulles.</x:v>
      </x:c>
      <x:c r="Q9" s="9" t="str"/>
      <x:c r="R9" s="9" t="str"/>
      <x:c r="S9" s="9" t="str"/>
    </x:row>
  </x:sheetData>
  <x:conditionalFormatting sqref="D7:D9">
    <x:cfRule type="cellIs" dxfId="48" priority="1" operator="equal">
      <x:formula>"À vérifier"</x:formula>
    </x:cfRule>
    <x:cfRule type="cellIs" dxfId="49" priority="2" operator="equal">
      <x:formula>"Extrapolation"</x:formula>
    </x:cfRule>
  </x:conditionalFormatting>
  <x:conditionalFormatting sqref="C7:C9">
    <x:cfRule type="cellIs" dxfId="50" priority="3" operator="equal">
      <x:formula>"Validé"</x:formula>
    </x:cfRule>
  </x:conditionalFormatting>
  <x:conditionalFormatting sqref="E7:E9">
    <x:cfRule type="cellIs" dxfId="5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17c795e279cc4050"/>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Incursion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INC-SC-CHECK-CINE</x:v>
      </x:c>
      <x:c r="B7" s="9" t="str">
        <x:v>Examiner la perturbation — raccord mis en scène</x:v>
      </x:c>
      <x:c r="C7" s="14" t="str">
        <x:v>Défini</x:v>
      </x:c>
      <x:c r="D7" s="15" t="str">
        <x:v>Extrapolation</x:v>
      </x:c>
      <x:c r="E7" s="15" t="str">
        <x:v>P1</x:v>
      </x:c>
      <x:c r="F7" s="9" t="str">
        <x:v>Vue par-dessus le seuil puis recul pour montrer les deux routes proposées.</x:v>
      </x:c>
      <x:c r="G7" s="9" t="str">
        <x:v>Arrivée → observation de rôles → choix d’approche → accès.</x:v>
      </x:c>
      <x:c r="H7" s="9" t="str"/>
      <x:c r="I7" s="9" t="str">
        <x:v>Poutre de premier plan et aire de transaction dégagée.</x:v>
      </x:c>
      <x:c r="J7" s="9" t="str">
        <x:v>Entrée prudente, geste d'inspection et retour au contrôle pour « Examiner la perturbation »; poser les sprites avant tout changement de caméra.</x:v>
      </x:c>
      <x:c r="K7" s="9" t="str">
        <x:v>Activité industrielle interrompue par bruits inhabituels.</x:v>
      </x:c>
      <x:c r="L7" s="9" t="str">
        <x:v>Séquence proposée INC/CHECK/cinematic; mise à jour des états avant restitution du contrôle; bouton passer et relecture séparés.</x:v>
      </x:c>
      <x:c r="M7" s="9" t="str">
        <x:v>Le résultat narratif du raid reste fixé; une tâche de gameplay ne réécrit pas le sort des captifs ni ne fait d’Aria la libératrice de toutes les colonies.</x:v>
      </x:c>
      <x:c r="N7" s="9" t="str">
        <x:v>La version passée et la version regardée aboutissent au même placement, inventaire et objectif; les sous-titres ne sont pas coupés.</x:v>
      </x:c>
      <x:c r="O7" s="9" t="str">
        <x:v>INC-SC-CHECK-MAIN</x:v>
      </x:c>
      <x:c r="P7" s="9" t="str">
        <x:v>Découpage original pour sprites 2D sur décor 3D.</x:v>
      </x:c>
      <x:c r="Q7" s="9" t="str"/>
      <x:c r="R7" s="9" t="str"/>
      <x:c r="S7" s="9" t="str"/>
    </x:row>
    <x:row r="8" ht="54" customHeight="1">
      <x:c r="A8" s="30" t="str">
        <x:v>INC-SC-RAID-CINE</x:v>
      </x:c>
      <x:c r="B8" s="7" t="str">
        <x:v>Interrompre la transaction — raccord mis en scène</x:v>
      </x:c>
      <x:c r="C8" s="14" t="str">
        <x:v>Défini</x:v>
      </x:c>
      <x:c r="D8" s="29" t="str">
        <x:v>Extrapolation</x:v>
      </x:c>
      <x:c r="E8" s="29" t="str">
        <x:v>P1</x:v>
      </x:c>
      <x:c r="F8" s="7" t="str">
        <x:v>Garder la menace lourde entière dans le cadre et les accès visibles.</x:v>
      </x:c>
      <x:c r="G8" s="7" t="str">
        <x:v>Révélation → engagement → déplacement de menace lourde → fin du raid.</x:v>
      </x:c>
      <x:c r="H8" s="7" t="str"/>
      <x:c r="I8" s="7" t="str">
        <x:v>Caisses basses, grand volume central et contrastes d’espèces.</x:v>
      </x:c>
      <x:c r="J8" s="7" t="str">
        <x:v>Entrée prudente, geste d'inspection et retour au contrôle pour « Interrompre la transaction »; poser les sprites avant tout changement de caméra.</x:v>
      </x:c>
      <x:c r="K8" s="7" t="str">
        <x:v>Armes distinctes par timbre, sans reproduction des sons commerciaux.</x:v>
      </x:c>
      <x:c r="L8" s="7" t="str">
        <x:v>Séquence proposée INC/RAID/cinematic; mise à jour des états avant restitution du contrôle; bouton passer et relecture séparés.</x:v>
      </x:c>
      <x:c r="M8" s="7" t="str">
        <x:v>Le résultat narratif du raid reste fixé; une tâche de gameplay ne réécrit pas le sort des captifs ni ne fait d’Aria la libératrice de toutes les colonies.</x:v>
      </x:c>
      <x:c r="N8" s="7" t="str">
        <x:v>La version passée et la version regardée aboutissent au même placement, inventaire et objectif; les sous-titres ne sont pas coupés.</x:v>
      </x:c>
      <x:c r="O8" s="7" t="str">
        <x:v>INC-SC-RAID-MAIN</x:v>
      </x:c>
      <x:c r="P8" s="7" t="str">
        <x:v>Découpage original pour sprites 2D sur décor 3D.</x:v>
      </x:c>
      <x:c r="Q8" s="7" t="str"/>
      <x:c r="R8" s="7" t="str"/>
      <x:c r="S8" s="7" t="str"/>
    </x:row>
    <x:row r="9" ht="54" customHeight="1">
      <x:c r="A9" s="16" t="str">
        <x:v>INC-SC-REPORT-CINE</x:v>
      </x:c>
      <x:c r="B9" s="9" t="str">
        <x:v>Comprendre la cible humaine — raccord mis en scène</x:v>
      </x:c>
      <x:c r="C9" s="14" t="str">
        <x:v>Défini</x:v>
      </x:c>
      <x:c r="D9" s="15" t="str">
        <x:v>Extrapolation</x:v>
      </x:c>
      <x:c r="E9" s="15" t="str">
        <x:v>P1</x:v>
      </x:c>
      <x:c r="F9" s="9" t="str">
        <x:v>Plan rapproché du document puis silhouette d’Aria en retrait.</x:v>
      </x:c>
      <x:c r="G9" s="9" t="str">
        <x:v>Retour → lecture → constat de portée → fin.</x:v>
      </x:c>
      <x:c r="H9" s="9" t="str"/>
      <x:c r="I9" s="9" t="str">
        <x:v>Espace d’Afterlife réduit à un décor de conclusion original.</x:v>
      </x:c>
      <x:c r="J9" s="9" t="str">
        <x:v>Entrée prudente, geste d'inspection et retour au contrôle pour « Comprendre la cible humaine »; poser les sprites avant tout changement de caméra.</x:v>
      </x:c>
      <x:c r="K9" s="9" t="str">
        <x:v>Fond de club très filtré et note grave ouverte.</x:v>
      </x:c>
      <x:c r="L9" s="9" t="str">
        <x:v>Séquence proposée INC/REPORT/cinematic; mise à jour des états avant restitution du contrôle; bouton passer et relecture séparés.</x:v>
      </x:c>
      <x:c r="M9" s="9" t="str">
        <x:v>Le résultat narratif du raid reste fixé; une tâche de gameplay ne réécrit pas le sort des captifs ni ne fait d’Aria la libératrice de toutes les colonies.</x:v>
      </x:c>
      <x:c r="N9" s="9" t="str">
        <x:v>La version passée et la version regardée aboutissent au même placement, inventaire et objectif; les sous-titres ne sont pas coupés.</x:v>
      </x:c>
      <x:c r="O9" s="9" t="str">
        <x:v>INC-SC-REPORT-MAIN</x:v>
      </x:c>
      <x:c r="P9" s="9" t="str">
        <x:v>Découpage original pour sprites 2D sur décor 3D.</x:v>
      </x:c>
      <x:c r="Q9" s="9" t="str"/>
      <x:c r="R9" s="9" t="str"/>
      <x:c r="S9" s="9" t="str"/>
    </x:row>
  </x:sheetData>
  <x:conditionalFormatting sqref="D7:D9">
    <x:cfRule type="cellIs" dxfId="52" priority="1" operator="equal">
      <x:formula>"À vérifier"</x:formula>
    </x:cfRule>
    <x:cfRule type="cellIs" dxfId="53" priority="2" operator="equal">
      <x:formula>"Extrapolation"</x:formula>
    </x:cfRule>
  </x:conditionalFormatting>
  <x:conditionalFormatting sqref="C7:C9">
    <x:cfRule type="cellIs" dxfId="54" priority="3" operator="equal">
      <x:formula>"Validé"</x:formula>
    </x:cfRule>
  </x:conditionalFormatting>
  <x:conditionalFormatting sqref="E7:E9">
    <x:cfRule type="cellIs" dxfId="5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01d9e5ffd32b456e"/>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Incursion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INC-KIT-GUARD</x:v>
      </x:c>
      <x:c r="B7" s="9" t="str">
        <x:v>Arme de garde — profil proposé</x:v>
      </x:c>
      <x:c r="C7" s="14" t="str">
        <x:v>Défini</x:v>
      </x:c>
      <x:c r="D7" s="15" t="str">
        <x:v>Extrapolation</x:v>
      </x:c>
      <x:c r="E7" s="15" t="str">
        <x:v>P1</x:v>
      </x:c>
      <x:c r="F7" s="9" t="str">
        <x:v>Profil de soutien à choisir sur référence.</x:v>
      </x:c>
      <x:c r="G7" s="9" t="str">
        <x:v>Offrir un tir d’appui distinct d’Aria.</x:v>
      </x:c>
      <x:c r="H7" s="9" t="str">
        <x:v>Coût ATB annoncé et portée limitée.</x:v>
      </x:c>
      <x:c r="I7" s="9" t="str">
        <x:v>Arme compacte, recul court.</x:v>
      </x:c>
      <x:c r="J7" s="9" t="str">
        <x:v>Visée et retour en garde.</x:v>
      </x:c>
      <x:c r="K7" s="9" t="str">
        <x:v>Confirmation audiovisuelle originale, doublée d’un libellé.</x:v>
      </x:c>
      <x:c r="L7" s="9" t="str">
        <x:v>Spécification de ressource INC/kit/GUARD;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Ne vise pas automatiquement un figurant neutre.</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b9fb130934f4592"/>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Incursion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INC-KIT-DATA</x:v>
      </x:c>
      <x:c r="B7" s="9" t="str">
        <x:v>Porte-document d’opération</x:v>
      </x:c>
      <x:c r="C7" s="14" t="str">
        <x:v>Défini</x:v>
      </x:c>
      <x:c r="D7" s="15" t="str">
        <x:v>Extrapolation</x:v>
      </x:c>
      <x:c r="E7" s="15" t="str">
        <x:v>P1</x:v>
      </x:c>
      <x:c r="F7" s="9" t="str">
        <x:v>Objet de journal original.</x:v>
      </x:c>
      <x:c r="G7" s="9" t="str">
        <x:v>Conserver les observations du raid.</x:v>
      </x:c>
      <x:c r="H7" s="9" t="str">
        <x:v>Données consultables après la fin; non vendables.</x:v>
      </x:c>
      <x:c r="I7" s="9" t="str">
        <x:v>Icône de dossier et origine attribuée.</x:v>
      </x:c>
      <x:c r="J7" s="9" t="str">
        <x:v>Inspection simple.</x:v>
      </x:c>
      <x:c r="K7" s="9" t="str">
        <x:v>Confirmation audiovisuelle originale, doublée d’un libellé.</x:v>
      </x:c>
      <x:c r="L7" s="9" t="str">
        <x:v>Spécification de ressource INC/kit/DATA;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Le dossier ne devient pas une carte de nouvelles quêtes.</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863b1c58f3a4dcd"/>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Incursion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INC-KIT-PUSH</x:v>
      </x:c>
      <x:c r="B7" s="9" t="str">
        <x:v>Projection d’Aria — proposition</x:v>
      </x:c>
      <x:c r="C7" s="14" t="str">
        <x:v>Défini</x:v>
      </x:c>
      <x:c r="D7" s="15" t="str">
        <x:v>Extrapolation</x:v>
      </x:c>
      <x:c r="E7" s="15" t="str">
        <x:v>P1</x:v>
      </x:c>
      <x:c r="F7" s="9" t="str">
        <x:v>Action de contrôle de terrain originale.</x:v>
      </x:c>
      <x:c r="G7" s="9" t="str">
        <x:v>Créer un passage dans une rencontre dense.</x:v>
      </x:c>
      <x:c r="H7" s="9" t="str">
        <x:v>Cibles compatibles seulement; la menace lourde résiste selon un profil de prototype explicite.</x:v>
      </x:c>
      <x:c r="I7" s="9" t="str">
        <x:v>Flèche et contour violet.</x:v>
      </x:c>
      <x:c r="J7" s="9" t="str">
        <x:v>Appui du pied et geste large.</x:v>
      </x:c>
      <x:c r="K7" s="9" t="str">
        <x:v>Confirmation audiovisuelle originale, doublée d’un libellé.</x:v>
      </x:c>
      <x:c r="L7" s="9" t="str">
        <x:v>Spécification de ressource INC/kit/PUSH; données séparées du moteur, interface de coût et états d'épuisement prévus.</x:v>
      </x:c>
      <x:c r="M7" s="9" t="str">
        <x:v>Le résultat narratif du raid reste fixé; une tâche de gameplay ne réécrit pas le sort des captifs ni ne fait d’Aria la libératrice de toutes les colonies.</x:v>
      </x:c>
      <x:c r="N7" s="9" t="str">
        <x:v>La prévision montre exactement le déplacement possible.</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893db1b4b2a4523"/>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Incursion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INC-ALLY-ARIA</x:v>
      </x:c>
      <x:c r="B7" s="9" t="str">
        <x:v>Percée de terrain</x:v>
      </x:c>
      <x:c r="C7" s="14" t="str">
        <x:v>Défini</x:v>
      </x:c>
      <x:c r="D7" s="15" t="str">
        <x:v>Extrapolation</x:v>
      </x:c>
      <x:c r="E7" s="15" t="str">
        <x:v>P1</x:v>
      </x:c>
      <x:c r="F7" s="9" t="str">
        <x:v>Action de groupe originale pour Aria T’Loak.</x:v>
      </x:c>
      <x:c r="G7" s="9" t="str">
        <x:v>Point de vue principal; reconnaissance et contrôle d’un engagement bref.</x:v>
      </x:c>
      <x:c r="H7" s="9" t="str">
        <x:v>Proposition : déplacer une cible légère hors d’un passage pour rejoindre le point d’objectif; la trajectoire doit rester libre.</x:v>
      </x:c>
      <x:c r="I7" s="9" t="str">
        <x:v>Flèche de déplacement et contour de zone.</x:v>
      </x:c>
      <x:c r="J7" s="9" t="str">
        <x:v>Marche décidée, inspection, ordre bref et poussée biotique.</x:v>
      </x:c>
      <x:c r="K7" s="9" t="str">
        <x:v>Confirmation courte doublée d’un pictogramme; événement silencieux visible dans le journal de combat.</x:v>
      </x:c>
      <x:c r="L7" s="9" t="str">
        <x:v>Commande ATB proposée INC/ARIA/assist; résoudre cible, coût proposé, contre-mesure et annulation avant les dégâts.</x:v>
      </x:c>
      <x:c r="M7" s="9" t="str">
        <x:v>Le résultat narratif du raid reste fixé; une tâche de gameplay ne réécrit pas le sort des captifs ni ne fait d’Aria la libératrice de toutes les colonies.</x:v>
      </x:c>
      <x:c r="N7" s="9" t="str">
        <x:v>La commande indique son coût avant validation, échoue proprement si la cible devient invalide et ne déclenche pas une action canon supplémentaire.</x:v>
      </x:c>
      <x:c r="O7" s="9" t="str">
        <x:v>INC-ACT-ARIA, INC-ANI-ARIA</x:v>
      </x:c>
      <x:c r="P7" s="9" t="str">
        <x:v>Adaptation originale du rôle; pas un pouvoir officiel du comic.</x:v>
      </x:c>
      <x:c r="Q7" s="9" t="str"/>
      <x:c r="R7" s="9" t="str"/>
      <x:c r="S7" s="9" t="str"/>
    </x:row>
    <x:row r="8" ht="54" customHeight="1">
      <x:c r="A8" s="30" t="str">
        <x:v>INC-ALLY-GUARDS</x:v>
      </x:c>
      <x:c r="B8" s="7" t="str">
        <x:v>Appui de garde</x:v>
      </x:c>
      <x:c r="C8" s="14" t="str">
        <x:v>Défini</x:v>
      </x:c>
      <x:c r="D8" s="29" t="str">
        <x:v>Extrapolation</x:v>
      </x:c>
      <x:c r="E8" s="29" t="str">
        <x:v>P1</x:v>
      </x:c>
      <x:c r="F8" s="7" t="str">
        <x:v>Action de groupe originale pour Gardes batariens d’Aria.</x:v>
      </x:c>
      <x:c r="G8" s="7" t="str">
        <x:v>Soutien collectif limité au raid; aucun nom propre inventé.</x:v>
      </x:c>
      <x:c r="H8" s="7" t="str">
        <x:v>Proposition : réserver une action pour protéger un flanc identifié; la réserve ne survit pas à la séparation du groupe.</x:v>
      </x:c>
      <x:c r="I8" s="7" t="str">
        <x:v>Secteur protégé avec portrait de rôle.</x:v>
      </x:c>
      <x:c r="J8" s="7" t="str">
        <x:v>Couverture, signal d’alerte et déplacement de flanc.</x:v>
      </x:c>
      <x:c r="K8" s="7" t="str">
        <x:v>Confirmation courte doublée d’un pictogramme; événement silencieux visible dans le journal de combat.</x:v>
      </x:c>
      <x:c r="L8" s="7" t="str">
        <x:v>Commande ATB proposée INC/GUARDS/assist; résoudre cible, coût proposé, contre-mesure et annulation avant les dégâts.</x:v>
      </x:c>
      <x:c r="M8" s="7" t="str">
        <x:v>Le résultat narratif du raid reste fixé; une tâche de gameplay ne réécrit pas le sort des captifs ni ne fait d’Aria la libératrice de toutes les colonies.</x:v>
      </x:c>
      <x:c r="N8" s="7" t="str">
        <x:v>La commande indique son coût avant validation, échoue proprement si la cible devient invalide et ne déclenche pas une action canon supplémentaire.</x:v>
      </x:c>
      <x:c r="O8" s="7" t="str">
        <x:v>INC-ACT-GUARDS, INC-ANI-GUARDS</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a6f9b13b3f745bf"/>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Incursion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INC-EN-SUNS-M1</x:v>
      </x:c>
      <x:c r="B7" s="9" t="str">
        <x:v>Tir de quai</x:v>
      </x:c>
      <x:c r="C7" s="14" t="str">
        <x:v>Défini</x:v>
      </x:c>
      <x:c r="D7" s="15" t="str">
        <x:v>Extrapolation</x:v>
      </x:c>
      <x:c r="E7" s="15" t="str">
        <x:v>P1</x:v>
      </x:c>
      <x:c r="F7" s="9" t="str">
        <x:v>Pattern original de ligne de vue.</x:v>
      </x:c>
      <x:c r="G7" s="9" t="str">
        <x:v>Tireurs de couvert de la rencontre.</x:v>
      </x:c>
      <x:c r="H7" s="9" t="str">
        <x:v>Le couvert l’arrête; une interruption ouvre la traversée.</x:v>
      </x:c>
      <x:c r="I7" s="9" t="str">
        <x:v>Trait hachuré.</x:v>
      </x:c>
      <x:c r="J7" s="9" t="str">
        <x:v>Visée, recul et sortie de couvert.</x:v>
      </x:c>
      <x:c r="K7" s="9" t="str">
        <x:v>Tirs secs.</x:v>
      </x:c>
      <x:c r="L7" s="9" t="str">
        <x:v>Action proposée INC/SUNS/1; étapes annonce → attente ATB → validation cible → résolution; annulation explicite si neutralisé.</x:v>
      </x:c>
      <x:c r="M7" s="9" t="str">
        <x:v>Le résultat narratif du raid reste fixé; une tâche de gameplay ne réécrit pas le sort des captifs ni ne fait d’Aria la libératrice de toutes les colonies.</x:v>
      </x:c>
      <x:c r="N7" s="9" t="str">
        <x:v>Le joueur peut reconnaître la préparation et employer la contre-mesure avant la résolution; aucune attaque invisible ou imparable hors séquence annoncée.</x:v>
      </x:c>
      <x:c r="O7" s="9" t="str">
        <x:v>INC-EN-SUNS</x:v>
      </x:c>
      <x:c r="P7" s="9" t="str">
        <x:v>Pattern original; pas de valeur numérique canon.</x:v>
      </x:c>
      <x:c r="Q7" s="9" t="str"/>
      <x:c r="R7" s="9" t="str"/>
      <x:c r="S7" s="9" t="str"/>
    </x:row>
    <x:row r="8" ht="54" customHeight="1">
      <x:c r="A8" s="30" t="str">
        <x:v>INC-EN-SUNS-M2</x:v>
      </x:c>
      <x:c r="B8" s="7" t="str">
        <x:v>Repli vers sortie</x:v>
      </x:c>
      <x:c r="C8" s="14" t="str">
        <x:v>Défini</x:v>
      </x:c>
      <x:c r="D8" s="29" t="str">
        <x:v>Extrapolation</x:v>
      </x:c>
      <x:c r="E8" s="29" t="str">
        <x:v>P1</x:v>
      </x:c>
      <x:c r="F8" s="7" t="str">
        <x:v>Pattern original de mouvement.</x:v>
      </x:c>
      <x:c r="G8" s="7" t="str">
        <x:v>Tireurs de couvert de la rencontre.</x:v>
      </x:c>
      <x:c r="H8" s="7" t="str">
        <x:v>Une route de repli est annoncée et peut être bloquée par positionnement.</x:v>
      </x:c>
      <x:c r="I8" s="7" t="str">
        <x:v>Flèche de déplacement.</x:v>
      </x:c>
      <x:c r="J8" s="7" t="str">
        <x:v>Visée, recul et sortie de couvert.</x:v>
      </x:c>
      <x:c r="K8" s="7" t="str">
        <x:v>Tirs secs.</x:v>
      </x:c>
      <x:c r="L8" s="7" t="str">
        <x:v>Action proposée INC/SUNS/2; étapes annonce → attente ATB → validation cible → résolution; annulation explicite si neutralisé.</x:v>
      </x:c>
      <x:c r="M8" s="7" t="str">
        <x:v>Le résultat narratif du raid reste fixé; une tâche de gameplay ne réécrit pas le sort des captifs ni ne fait d’Aria la libératrice de toutes les colonies.</x:v>
      </x:c>
      <x:c r="N8" s="7" t="str">
        <x:v>Le joueur peut reconnaître la préparation et employer la contre-mesure avant la résolution; aucune attaque invisible ou imparable hors séquence annoncée.</x:v>
      </x:c>
      <x:c r="O8" s="7" t="str">
        <x:v>INC-EN-SUNS</x:v>
      </x:c>
      <x:c r="P8" s="7" t="str">
        <x:v>Pattern original; pas de valeur numérique canon.</x:v>
      </x:c>
      <x:c r="Q8" s="7" t="str"/>
      <x:c r="R8" s="7" t="str"/>
      <x:c r="S8" s="7" t="str"/>
    </x:row>
    <x:row r="9" ht="54" customHeight="1">
      <x:c r="A9" s="16" t="str">
        <x:v>INC-EN-COLLECTOR-M1</x:v>
      </x:c>
      <x:c r="B9" s="9" t="str">
        <x:v>Salve concentrée</x:v>
      </x:c>
      <x:c r="C9" s="14" t="str">
        <x:v>Défini</x:v>
      </x:c>
      <x:c r="D9" s="15" t="str">
        <x:v>Extrapolation</x:v>
      </x:c>
      <x:c r="E9" s="15" t="str">
        <x:v>P1</x:v>
      </x:c>
      <x:c r="F9" s="9" t="str">
        <x:v>Attaque originale ciblée.</x:v>
      </x:c>
      <x:c r="G9" s="9" t="str">
        <x:v>Adversaire distinct des trafiquants.</x:v>
      </x:c>
      <x:c r="H9" s="9" t="str">
        <x:v>Annoncer la cible et laisser un déplacement ou une protection.</x:v>
      </x:c>
      <x:c r="I9" s="9" t="str">
        <x:v>Marque de cible géométrique.</x:v>
      </x:c>
      <x:c r="J9" s="9" t="str">
        <x:v>Préparation de tir et réorientation complète.</x:v>
      </x:c>
      <x:c r="K9" s="9" t="str">
        <x:v>Timbre organique original.</x:v>
      </x:c>
      <x:c r="L9" s="9" t="str">
        <x:v>Action proposée INC/COLLECTOR/1; étapes annonce → attente ATB → validation cible → résolution; annulation explicite si neutralisé.</x:v>
      </x:c>
      <x:c r="M9" s="9" t="str">
        <x:v>Le résultat narratif du raid reste fixé; une tâche de gameplay ne réécrit pas le sort des captifs ni ne fait d’Aria la libératrice de toutes les colonies.</x:v>
      </x:c>
      <x:c r="N9" s="9" t="str">
        <x:v>Le joueur peut reconnaître la préparation et employer la contre-mesure avant la résolution; aucune attaque invisible ou imparable hors séquence annoncée.</x:v>
      </x:c>
      <x:c r="O9" s="9" t="str">
        <x:v>INC-EN-COLLECTOR</x:v>
      </x:c>
      <x:c r="P9" s="9" t="str">
        <x:v>Pattern original; pas de valeur numérique canon.</x:v>
      </x:c>
      <x:c r="Q9" s="9" t="str"/>
      <x:c r="R9" s="9" t="str"/>
      <x:c r="S9" s="9" t="str"/>
    </x:row>
    <x:row r="10" ht="54" customHeight="1">
      <x:c r="A10" s="30" t="str">
        <x:v>INC-EN-COLLECTOR-M2</x:v>
      </x:c>
      <x:c r="B10" s="7" t="str">
        <x:v>Couverture croisée</x:v>
      </x:c>
      <x:c r="C10" s="14" t="str">
        <x:v>Défini</x:v>
      </x:c>
      <x:c r="D10" s="29" t="str">
        <x:v>Extrapolation</x:v>
      </x:c>
      <x:c r="E10" s="29" t="str">
        <x:v>P1</x:v>
      </x:c>
      <x:c r="F10" s="7" t="str">
        <x:v>Pattern original de groupe.</x:v>
      </x:c>
      <x:c r="G10" s="7" t="str">
        <x:v>Adversaire distinct des trafiquants.</x:v>
      </x:c>
      <x:c r="H10" s="7" t="str">
        <x:v>Les lignes se croisent seulement dans une zone affichée; sortir de l’intersection suffit.</x:v>
      </x:c>
      <x:c r="I10" s="7" t="str">
        <x:v>Deux arcs étroits.</x:v>
      </x:c>
      <x:c r="J10" s="7" t="str">
        <x:v>Préparation de tir et réorientation complète.</x:v>
      </x:c>
      <x:c r="K10" s="7" t="str">
        <x:v>Timbre organique original.</x:v>
      </x:c>
      <x:c r="L10" s="7" t="str">
        <x:v>Action proposée INC/COLLECTOR/2; étapes annonce → attente ATB → validation cible → résolution; annulation explicite si neutralisé.</x:v>
      </x:c>
      <x:c r="M10" s="7" t="str">
        <x:v>Le résultat narratif du raid reste fixé; une tâche de gameplay ne réécrit pas le sort des captifs ni ne fait d’Aria la libératrice de toutes les colonies.</x:v>
      </x:c>
      <x:c r="N10" s="7" t="str">
        <x:v>Le joueur peut reconnaître la préparation et employer la contre-mesure avant la résolution; aucune attaque invisible ou imparable hors séquence annoncée.</x:v>
      </x:c>
      <x:c r="O10" s="7" t="str">
        <x:v>INC-EN-COLLECTOR</x:v>
      </x:c>
      <x:c r="P10" s="7" t="str">
        <x:v>Pattern original; pas de valeur numérique canon.</x:v>
      </x:c>
      <x:c r="Q10" s="7" t="str"/>
      <x:c r="R10" s="7" t="str"/>
      <x:c r="S10" s="7" t="str"/>
    </x:row>
    <x:row r="11" ht="54" customHeight="1">
      <x:c r="A11" s="16" t="str">
        <x:v>INC-EN-PRAETORIAN-M1</x:v>
      </x:c>
      <x:c r="B11" s="9" t="str">
        <x:v>Zone de pression lourde</x:v>
      </x:c>
      <x:c r="C11" s="14" t="str">
        <x:v>Défini</x:v>
      </x:c>
      <x:c r="D11" s="15" t="str">
        <x:v>Extrapolation</x:v>
      </x:c>
      <x:c r="E11" s="15" t="str">
        <x:v>P1</x:v>
      </x:c>
      <x:c r="F11" s="9" t="str">
        <x:v>Pattern original d’aire.</x:v>
      </x:c>
      <x:c r="G11" s="9" t="str">
        <x:v>Menace lourde ponctuelle, pas boss doté de statistiques officielles.</x:v>
      </x:c>
      <x:c r="H11" s="9" t="str">
        <x:v>Marquer l’aire avant résolution; sortie latérale ou protection.</x:v>
      </x:c>
      <x:c r="I11" s="9" t="str">
        <x:v>Grand cercle hachuré.</x:v>
      </x:c>
      <x:c r="J11" s="9" t="str">
        <x:v>Charge lumineuse lente et déplacement lourd.</x:v>
      </x:c>
      <x:c r="K11" s="9" t="str">
        <x:v>Grave de charge doublé d’un symbole.</x:v>
      </x:c>
      <x:c r="L11" s="9" t="str">
        <x:v>Action proposée INC/PRAETORIAN/1; étapes annonce → attente ATB → validation cible → résolution; annulation explicite si neutralisé.</x:v>
      </x:c>
      <x:c r="M11" s="9" t="str">
        <x:v>Le résultat narratif du raid reste fixé; une tâche de gameplay ne réécrit pas le sort des captifs ni ne fait d’Aria la libératrice de toutes les colonies.</x:v>
      </x:c>
      <x:c r="N11" s="9" t="str">
        <x:v>Le joueur peut reconnaître la préparation et employer la contre-mesure avant la résolution; aucune attaque invisible ou imparable hors séquence annoncée.</x:v>
      </x:c>
      <x:c r="O11" s="9" t="str">
        <x:v>INC-EN-PRAETORIAN</x:v>
      </x:c>
      <x:c r="P11" s="9" t="str">
        <x:v>Pattern original; pas de valeur numérique canon.</x:v>
      </x:c>
      <x:c r="Q11" s="9" t="str"/>
      <x:c r="R11" s="9" t="str"/>
      <x:c r="S11" s="9" t="str"/>
    </x:row>
    <x:row r="12" ht="54" customHeight="1">
      <x:c r="A12" s="30" t="str">
        <x:v>INC-EN-PRAETORIAN-M2</x:v>
      </x:c>
      <x:c r="B12" s="7" t="str">
        <x:v>Balayage frontal</x:v>
      </x:c>
      <x:c r="C12" s="14" t="str">
        <x:v>Défini</x:v>
      </x:c>
      <x:c r="D12" s="29" t="str">
        <x:v>Extrapolation</x:v>
      </x:c>
      <x:c r="E12" s="29" t="str">
        <x:v>P1</x:v>
      </x:c>
      <x:c r="F12" s="7" t="str">
        <x:v>Pattern original de cône.</x:v>
      </x:c>
      <x:c r="G12" s="7" t="str">
        <x:v>Menace lourde ponctuelle, pas boss doté de statistiques officielles.</x:v>
      </x:c>
      <x:c r="H12" s="7" t="str">
        <x:v>Passer sur le flanc pendant la préparation; la rotation est visible.</x:v>
      </x:c>
      <x:c r="I12" s="7" t="str">
        <x:v>Cône large tronqué par le décor.</x:v>
      </x:c>
      <x:c r="J12" s="7" t="str">
        <x:v>Charge lumineuse lente et déplacement lourd.</x:v>
      </x:c>
      <x:c r="K12" s="7" t="str">
        <x:v>Grave de charge doublé d’un symbole.</x:v>
      </x:c>
      <x:c r="L12" s="7" t="str">
        <x:v>Action proposée INC/PRAETORIAN/2; étapes annonce → attente ATB → validation cible → résolution; annulation explicite si neutralisé.</x:v>
      </x:c>
      <x:c r="M12" s="7" t="str">
        <x:v>Le résultat narratif du raid reste fixé; une tâche de gameplay ne réécrit pas le sort des captifs ni ne fait d’Aria la libératrice de toutes les colonies.</x:v>
      </x:c>
      <x:c r="N12" s="7" t="str">
        <x:v>Le joueur peut reconnaître la préparation et employer la contre-mesure avant la résolution; aucune attaque invisible ou imparable hors séquence annoncée.</x:v>
      </x:c>
      <x:c r="O12" s="7" t="str">
        <x:v>INC-EN-PRAETORIAN</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d1feb48d5e04831"/>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Incursion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INC-ANI-ARIA</x:v>
      </x:c>
      <x:c r="B7" s="9" t="str">
        <x:v>Aria T’Loak — jeu de poses</x:v>
      </x:c>
      <x:c r="C7" s="14" t="str">
        <x:v>Défini</x:v>
      </x:c>
      <x:c r="D7" s="15" t="str">
        <x:v>Extrapolation</x:v>
      </x:c>
      <x:c r="E7" s="15" t="str">
        <x:v>P1</x:v>
      </x:c>
      <x:c r="F7" s="9" t="str">
        <x:v>Définir les transitions propres au rôle de Aria T’Loak.</x:v>
      </x:c>
      <x:c r="G7" s="9" t="str">
        <x:v>Point de vue principal; reconnaissance et contrôle d’un engagement bref.</x:v>
      </x:c>
      <x:c r="H7" s="9" t="str"/>
      <x:c r="I7" s="9" t="str">
        <x:v>Silhouette asari angulaire, veste sombre et accents violets proposés.</x:v>
      </x:c>
      <x:c r="J7" s="9" t="str">
        <x:v>Marche décidée, inspection, ordre bref et poussée biotique.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INC/ARIA; paramètres direction, locomotion, accessoire et interruption.</x:v>
      </x:c>
      <x:c r="M7" s="9" t="str">
        <x:v>Le résultat narratif du raid reste fixé; une tâche de gameplay ne réécrit pas le sort des captifs ni ne fait d’Aria la libératrice de toutes les colonies.</x:v>
      </x:c>
      <x:c r="N7" s="9" t="str">
        <x:v>Un enchaînement déplacement → interaction → interruption → reprise conserve le pivot et les accessoires de Aria T’Loak.</x:v>
      </x:c>
      <x:c r="O7" s="9" t="str">
        <x:v>INC-ACT-ARIA, INC-SPR-ARIA</x:v>
      </x:c>
      <x:c r="P7" s="9" t="str">
        <x:v>Conception originale, aucune cadence extraite du comic.</x:v>
      </x:c>
      <x:c r="Q7" s="9" t="str"/>
      <x:c r="R7" s="9" t="str"/>
      <x:c r="S7" s="9" t="str"/>
    </x:row>
    <x:row r="8" ht="68" customHeight="1">
      <x:c r="A8" s="30" t="str">
        <x:v>INC-ANI-GUARDS</x:v>
      </x:c>
      <x:c r="B8" s="7" t="str">
        <x:v>Gardes batariens d’Aria — jeu de poses</x:v>
      </x:c>
      <x:c r="C8" s="14" t="str">
        <x:v>Défini</x:v>
      </x:c>
      <x:c r="D8" s="29" t="str">
        <x:v>Extrapolation</x:v>
      </x:c>
      <x:c r="E8" s="29" t="str">
        <x:v>P1</x:v>
      </x:c>
      <x:c r="F8" s="7" t="str">
        <x:v>Définir les transitions propres au rôle de Gardes batariens d’Aria.</x:v>
      </x:c>
      <x:c r="G8" s="7" t="str">
        <x:v>Soutien collectif limité au raid; aucun nom propre inventé.</x:v>
      </x:c>
      <x:c r="H8" s="7" t="str"/>
      <x:c r="I8" s="7" t="str">
        <x:v>Deux silhouettes distinctes par équipement et gabarit, costumes à contrôler.</x:v>
      </x:c>
      <x:c r="J8" s="7" t="str">
        <x:v>Couverture, signal d’alerte et déplacement de flanc.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INC/GUARDS; paramètres direction, locomotion, accessoire et interruption.</x:v>
      </x:c>
      <x:c r="M8" s="7" t="str">
        <x:v>Le résultat narratif du raid reste fixé; une tâche de gameplay ne réécrit pas le sort des captifs ni ne fait d’Aria la libératrice de toutes les colonies.</x:v>
      </x:c>
      <x:c r="N8" s="7" t="str">
        <x:v>Un enchaînement déplacement → interaction → interruption → reprise conserve le pivot et les accessoires de Gardes batariens d’Aria.</x:v>
      </x:c>
      <x:c r="O8" s="7" t="str">
        <x:v>INC-ACT-GUARDS, INC-SPR-GUARDS</x:v>
      </x:c>
      <x:c r="P8" s="7" t="str">
        <x:v>Conception originale, aucune cadence extraite du comic.</x:v>
      </x:c>
      <x:c r="Q8" s="7" t="str"/>
      <x:c r="R8" s="7" t="str"/>
      <x:c r="S8" s="7" t="str"/>
    </x:row>
  </x:sheetData>
  <x:conditionalFormatting sqref="D7:D8">
    <x:cfRule type="cellIs" dxfId="76" priority="1" operator="equal">
      <x:formula>"À vérifier"</x:formula>
    </x:cfRule>
    <x:cfRule type="cellIs" dxfId="77" priority="2" operator="equal">
      <x:formula>"Extrapolation"</x:formula>
    </x:cfRule>
  </x:conditionalFormatting>
  <x:conditionalFormatting sqref="C7:C8">
    <x:cfRule type="cellIs" dxfId="78" priority="3" operator="equal">
      <x:formula>"Validé"</x:formula>
    </x:cfRule>
  </x:conditionalFormatting>
  <x:conditionalFormatting sqref="E7:E8">
    <x:cfRule type="cellIs" dxfId="7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ce626a5b45a14983"/>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Incursion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INC-SPR-ARIA</x:v>
      </x:c>
      <x:c r="B7" s="9" t="str">
        <x:v>Aria T’Loak — planche de sprites</x:v>
      </x:c>
      <x:c r="C7" s="14" t="str">
        <x:v>Défini</x:v>
      </x:c>
      <x:c r="D7" s="15" t="str">
        <x:v>Extrapolation</x:v>
      </x:c>
      <x:c r="E7" s="15" t="str">
        <x:v>P1</x:v>
      </x:c>
      <x:c r="F7" s="9" t="str">
        <x:v>Produire une silhouette lisible pour Aria T’Loak dans le module Incursion.</x:v>
      </x:c>
      <x:c r="G7" s="9" t="str">
        <x:v>Point de vue principal; reconnaissance et contrôle d’un engagement bref.</x:v>
      </x:c>
      <x:c r="H7" s="9" t="str"/>
      <x:c r="I7" s="9" t="str">
        <x:v>Silhouette asari angulaire, veste sombre et accents violets proposés. Prévoir face, dos et profils trois-quarts; conserver le même pivot de pieds dans chaque pose.</x:v>
      </x:c>
      <x:c r="J7" s="9" t="str">
        <x:v>Marche décidée, inspection, ordre bref et poussée biotique. Séparer arme/objet tenu du corps lorsque le changement de main est nécessaire.</x:v>
      </x:c>
      <x:c r="K7" s="9" t="str"/>
      <x:c r="L7" s="9" t="str">
        <x:v>Atlas prévu inc/actors/aria; métadonnées pivot, masque d'occlusion, orientation et état. Aucun fichier de sprite n'est livré par ce catalogue.</x:v>
      </x:c>
      <x:c r="M7" s="9" t="str">
        <x:v>Le résultat narratif du raid reste fixé; une tâche de gameplay ne réécrit pas le sort des captifs ni ne fait d’Aria la libératrice de toutes les colonies.</x:v>
      </x:c>
      <x:c r="N7" s="9" t="str">
        <x:v>La planche permet d'identifier Aria T’Loak sans portrait UI à l'échelle de jeu; pieds stables devant les occultations du décor 3D.</x:v>
      </x:c>
      <x:c r="O7" s="9" t="str">
        <x:v>INC-ACT-ARIA</x:v>
      </x:c>
      <x:c r="P7" s="9" t="str">
        <x:v>Conception originale; référence visuelle du personnage à contrôler.</x:v>
      </x:c>
      <x:c r="Q7" s="9" t="str"/>
      <x:c r="R7" s="9" t="str"/>
      <x:c r="S7" s="9" t="str"/>
    </x:row>
    <x:row r="8" ht="68" customHeight="1">
      <x:c r="A8" s="30" t="str">
        <x:v>INC-SPR-GUARDS</x:v>
      </x:c>
      <x:c r="B8" s="7" t="str">
        <x:v>Gardes batariens d’Aria — planche de sprites</x:v>
      </x:c>
      <x:c r="C8" s="14" t="str">
        <x:v>Défini</x:v>
      </x:c>
      <x:c r="D8" s="29" t="str">
        <x:v>Extrapolation</x:v>
      </x:c>
      <x:c r="E8" s="29" t="str">
        <x:v>P1</x:v>
      </x:c>
      <x:c r="F8" s="7" t="str">
        <x:v>Produire une silhouette lisible pour Gardes batariens d’Aria dans le module Incursion.</x:v>
      </x:c>
      <x:c r="G8" s="7" t="str">
        <x:v>Soutien collectif limité au raid; aucun nom propre inventé.</x:v>
      </x:c>
      <x:c r="H8" s="7" t="str"/>
      <x:c r="I8" s="7" t="str">
        <x:v>Deux silhouettes distinctes par équipement et gabarit, costumes à contrôler. Prévoir face, dos et profils trois-quarts; conserver le même pivot de pieds dans chaque pose.</x:v>
      </x:c>
      <x:c r="J8" s="7" t="str">
        <x:v>Couverture, signal d’alerte et déplacement de flanc. Séparer arme/objet tenu du corps lorsque le changement de main est nécessaire.</x:v>
      </x:c>
      <x:c r="K8" s="7" t="str"/>
      <x:c r="L8" s="7" t="str">
        <x:v>Atlas prévu inc/actors/guards; métadonnées pivot, masque d'occlusion, orientation et état. Aucun fichier de sprite n'est livré par ce catalogue.</x:v>
      </x:c>
      <x:c r="M8" s="7" t="str">
        <x:v>Le résultat narratif du raid reste fixé; une tâche de gameplay ne réécrit pas le sort des captifs ni ne fait d’Aria la libératrice de toutes les colonies.</x:v>
      </x:c>
      <x:c r="N8" s="7" t="str">
        <x:v>La planche permet d'identifier Gardes batariens d’Aria sans portrait UI à l'échelle de jeu; pieds stables devant les occultations du décor 3D.</x:v>
      </x:c>
      <x:c r="O8" s="7" t="str">
        <x:v>INC-ACT-GUARDS</x:v>
      </x:c>
      <x:c r="P8" s="7" t="str">
        <x:v>Conception originale; référence visuelle du personnage à contrôler.</x:v>
      </x:c>
      <x:c r="Q8" s="7" t="str"/>
      <x:c r="R8" s="7" t="str"/>
      <x:c r="S8" s="7" t="str"/>
    </x:row>
  </x:sheetData>
  <x:conditionalFormatting sqref="D7:D8">
    <x:cfRule type="cellIs" dxfId="80" priority="1" operator="equal">
      <x:formula>"À vérifier"</x:formula>
    </x:cfRule>
    <x:cfRule type="cellIs" dxfId="81" priority="2" operator="equal">
      <x:formula>"Extrapolation"</x:formula>
    </x:cfRule>
  </x:conditionalFormatting>
  <x:conditionalFormatting sqref="C7:C8">
    <x:cfRule type="cellIs" dxfId="82" priority="3" operator="equal">
      <x:formula>"Validé"</x:formula>
    </x:cfRule>
  </x:conditionalFormatting>
  <x:conditionalFormatting sqref="E7:E8">
    <x:cfRule type="cellIs" dxfId="8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0a4be9b538104213"/>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Incursion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INC-SC-CHECK-VFX</x:v>
      </x:c>
      <x:c r="B7" s="9" t="str">
        <x:v>Examiner la perturbation — signal visuel</x:v>
      </x:c>
      <x:c r="C7" s="14" t="str">
        <x:v>Défini</x:v>
      </x:c>
      <x:c r="D7" s="15" t="str">
        <x:v>Extrapolation</x:v>
      </x:c>
      <x:c r="E7" s="15" t="str">
        <x:v>P1</x:v>
      </x:c>
      <x:c r="F7" s="9" t="str">
        <x:v>Contours de lignes de vue qui s’arrêtent aux obstacles.</x:v>
      </x:c>
      <x:c r="G7" s="9" t="str">
        <x:v>Rendre lisibles les interactions propres à cette séquence à la taille réelle du jeu.</x:v>
      </x:c>
      <x:c r="H7" s="9" t="str"/>
      <x:c r="I7" s="9" t="str">
        <x:v>Contours de lignes de vue qui s’arrêtent aux obstacles.</x:v>
      </x:c>
      <x:c r="J7" s="9" t="str">
        <x:v>Anticipation séparée de l’impact; variante sans flash, sans secousse et à contraste renforcé.</x:v>
      </x:c>
      <x:c r="K7" s="9" t="str">
        <x:v>Activité industrielle interrompue par bruits inhabituels.</x:v>
      </x:c>
      <x:c r="L7" s="9" t="str">
        <x:v>Émetteur proposé INC/CHECK/vfx; ancrage sur monde 3D et tri compatible avec les sprites; options de confort indépendantes.</x:v>
      </x:c>
      <x:c r="M7" s="9" t="str">
        <x:v>Le résultat narratif du raid reste fixé; une tâche de gameplay ne réécrit pas le sort des captifs ni ne fait d’Aria la libératrice de toutes les colonies.</x:v>
      </x:c>
      <x:c r="N7" s="9" t="str">
        <x:v>Le signal reste identifiable en pause et sans son; aucun flash plein écran indispensable pour comprendre la résolution.</x:v>
      </x:c>
      <x:c r="O7" s="9" t="str">
        <x:v>INC-SC-CHECK-MAIN</x:v>
      </x:c>
      <x:c r="P7" s="9" t="str">
        <x:v>VFX original; intensité et timing à régler au prototype.</x:v>
      </x:c>
      <x:c r="Q7" s="9" t="str"/>
      <x:c r="R7" s="9" t="str"/>
      <x:c r="S7" s="9" t="str"/>
    </x:row>
    <x:row r="8" ht="54" customHeight="1">
      <x:c r="A8" s="30" t="str">
        <x:v>INC-SC-RAID-VFX</x:v>
      </x:c>
      <x:c r="B8" s="7" t="str">
        <x:v>Interrompre la transaction — signal visuel</x:v>
      </x:c>
      <x:c r="C8" s="14" t="str">
        <x:v>Défini</x:v>
      </x:c>
      <x:c r="D8" s="29" t="str">
        <x:v>Extrapolation</x:v>
      </x:c>
      <x:c r="E8" s="29" t="str">
        <x:v>P1</x:v>
      </x:c>
      <x:c r="F8" s="7" t="str">
        <x:v>Zones de menace lourde en hachures, dégâts sans gros flash.</x:v>
      </x:c>
      <x:c r="G8" s="7" t="str">
        <x:v>Rendre lisibles les interactions propres à cette séquence à la taille réelle du jeu.</x:v>
      </x:c>
      <x:c r="H8" s="7" t="str"/>
      <x:c r="I8" s="7" t="str">
        <x:v>Zones de menace lourde en hachures, dégâts sans gros flash.</x:v>
      </x:c>
      <x:c r="J8" s="7" t="str">
        <x:v>Anticipation séparée de l’impact; variante sans flash, sans secousse et à contraste renforcé.</x:v>
      </x:c>
      <x:c r="K8" s="7" t="str">
        <x:v>Armes distinctes par timbre, sans reproduction des sons commerciaux.</x:v>
      </x:c>
      <x:c r="L8" s="7" t="str">
        <x:v>Émetteur proposé INC/RAID/vfx; ancrage sur monde 3D et tri compatible avec les sprites; options de confort indépendantes.</x:v>
      </x:c>
      <x:c r="M8" s="7" t="str">
        <x:v>Le résultat narratif du raid reste fixé; une tâche de gameplay ne réécrit pas le sort des captifs ni ne fait d’Aria la libératrice de toutes les colonies.</x:v>
      </x:c>
      <x:c r="N8" s="7" t="str">
        <x:v>Le signal reste identifiable en pause et sans son; aucun flash plein écran indispensable pour comprendre la résolution.</x:v>
      </x:c>
      <x:c r="O8" s="7" t="str">
        <x:v>INC-SC-RAID-MAIN</x:v>
      </x:c>
      <x:c r="P8" s="7" t="str">
        <x:v>VFX original; intensité et timing à régler au prototype.</x:v>
      </x:c>
      <x:c r="Q8" s="7" t="str"/>
      <x:c r="R8" s="7" t="str"/>
      <x:c r="S8" s="7" t="str"/>
    </x:row>
    <x:row r="9" ht="54" customHeight="1">
      <x:c r="A9" s="16" t="str">
        <x:v>INC-SC-REPORT-VFX</x:v>
      </x:c>
      <x:c r="B9" s="9" t="str">
        <x:v>Comprendre la cible humaine — signal visuel</x:v>
      </x:c>
      <x:c r="C9" s="14" t="str">
        <x:v>Défini</x:v>
      </x:c>
      <x:c r="D9" s="15" t="str">
        <x:v>Extrapolation</x:v>
      </x:c>
      <x:c r="E9" s="15" t="str">
        <x:v>P1</x:v>
      </x:c>
      <x:c r="F9" s="9" t="str">
        <x:v>Mise en évidence de l’échelle par groupe de lignes; pas de carte de missions.</x:v>
      </x:c>
      <x:c r="G9" s="9" t="str">
        <x:v>Rendre lisibles les interactions propres à cette séquence à la taille réelle du jeu.</x:v>
      </x:c>
      <x:c r="H9" s="9" t="str"/>
      <x:c r="I9" s="9" t="str">
        <x:v>Mise en évidence de l’échelle par groupe de lignes; pas de carte de missions.</x:v>
      </x:c>
      <x:c r="J9" s="9" t="str">
        <x:v>Anticipation séparée de l’impact; variante sans flash, sans secousse et à contraste renforcé.</x:v>
      </x:c>
      <x:c r="K9" s="9" t="str">
        <x:v>Fond de club très filtré et note grave ouverte.</x:v>
      </x:c>
      <x:c r="L9" s="9" t="str">
        <x:v>Émetteur proposé INC/REPORT/vfx; ancrage sur monde 3D et tri compatible avec les sprites; options de confort indépendantes.</x:v>
      </x:c>
      <x:c r="M9" s="9" t="str">
        <x:v>Le résultat narratif du raid reste fixé; une tâche de gameplay ne réécrit pas le sort des captifs ni ne fait d’Aria la libératrice de toutes les colonies.</x:v>
      </x:c>
      <x:c r="N9" s="9" t="str">
        <x:v>Le signal reste identifiable en pause et sans son; aucun flash plein écran indispensable pour comprendre la résolution.</x:v>
      </x:c>
      <x:c r="O9" s="9" t="str">
        <x:v>INC-SC-REPORT-MAIN</x:v>
      </x:c>
      <x:c r="P9" s="9" t="str">
        <x:v>VFX original; intensité et timing à régler au prototype.</x:v>
      </x:c>
      <x:c r="Q9" s="9" t="str"/>
      <x:c r="R9" s="9" t="str"/>
      <x:c r="S9" s="9" t="str"/>
    </x:row>
  </x:sheetData>
  <x:conditionalFormatting sqref="D7:D9">
    <x:cfRule type="cellIs" dxfId="84" priority="1" operator="equal">
      <x:formula>"À vérifier"</x:formula>
    </x:cfRule>
    <x:cfRule type="cellIs" dxfId="85" priority="2" operator="equal">
      <x:formula>"Extrapolation"</x:formula>
    </x:cfRule>
  </x:conditionalFormatting>
  <x:conditionalFormatting sqref="C7:C9">
    <x:cfRule type="cellIs" dxfId="86" priority="3" operator="equal">
      <x:formula>"Validé"</x:formula>
    </x:cfRule>
  </x:conditionalFormatting>
  <x:conditionalFormatting sqref="E7:E9">
    <x:cfRule type="cellIs" dxfId="8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4d57963f31fb4c5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Incursion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INC-AUD-OMEGA</x:v>
      </x:c>
      <x:c r="B7" s="9" t="str">
        <x:v>Omega — secteur du raid — paysage sonore</x:v>
      </x:c>
      <x:c r="C7" s="14" t="str">
        <x:v>Défini</x:v>
      </x:c>
      <x:c r="D7" s="15" t="str">
        <x:v>Extrapolation</x:v>
      </x:c>
      <x:c r="E7" s="15" t="str">
        <x:v>P1</x:v>
      </x:c>
      <x:c r="F7" s="9" t="str">
        <x:v>Ventilation et machines, puis silence lorsque le renseignement est consulté.</x:v>
      </x:c>
      <x:c r="G7" s="9" t="str">
        <x:v>Construire un espace compact d’observation et d’engagement.</x:v>
      </x:c>
      <x:c r="H7" s="9" t="str">
        <x:v>Doubler les alarmes utiles par texte, symbole ou changement de pose; les bruits d’ambiance ne portent pas seuls une information obligatoire.</x:v>
      </x:c>
      <x:c r="I7" s="9" t="str">
        <x:v>Métal usé, orange de service et zones d’ombre qui ne masquent pas les cibles.</x:v>
      </x:c>
      <x:c r="J7" s="9" t="str">
        <x:v>Déclencher les contacts mécaniques au mouvement visible; éviter les boucles désynchronisées des portes.</x:v>
      </x:c>
      <x:c r="K7" s="9" t="str">
        <x:v>Ventilation et machines, puis silence lorsque le renseignement est consulté. Composer une ambiance originale en couches fond / activité / danger, avec réglage indépendant des voix.</x:v>
      </x:c>
      <x:c r="L7" s="9" t="str">
        <x:v>Bus proposé INC/OMEGA; snapshots exploration, tension et dialogue; fondus après chargement.</x:v>
      </x:c>
      <x:c r="M7" s="9" t="str">
        <x:v>Le résultat narratif du raid reste fixé; une tâche de gameplay ne réécrit pas le sort des captifs ni ne fait d’Aria la libératrice de toutes les colonies.</x:v>
      </x:c>
      <x:c r="N7" s="9" t="str">
        <x:v>Un parcours muet reste compréhensible; l’entrée en dialogue baisse les ambiances sans couper brutalement leur réverbération.</x:v>
      </x:c>
      <x:c r="O7" s="9" t="str">
        <x:v>INC-ZONE-OMEGA</x:v>
      </x:c>
      <x:c r="P7" s="9" t="str">
        <x:v>Création sonore originale; aucune piste commerciale requise.</x:v>
      </x:c>
      <x:c r="Q7" s="9" t="str"/>
      <x:c r="R7" s="9" t="str"/>
      <x:c r="S7" s="9" t="str"/>
    </x:row>
  </x:sheetData>
  <x:conditionalFormatting sqref="D7:D7">
    <x:cfRule type="cellIs" dxfId="88" priority="1" operator="equal">
      <x:formula>"À vérifier"</x:formula>
    </x:cfRule>
    <x:cfRule type="cellIs" dxfId="89" priority="2" operator="equal">
      <x:formula>"Extrapolation"</x:formula>
    </x:cfRule>
  </x:conditionalFormatting>
  <x:conditionalFormatting sqref="C7:C7">
    <x:cfRule type="cellIs" dxfId="90" priority="3" operator="equal">
      <x:formula>"Validé"</x:formula>
    </x:cfRule>
  </x:conditionalFormatting>
  <x:conditionalFormatting sqref="E7:E7">
    <x:cfRule type="cellIs" dxfId="9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604635d0118442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Incursion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54" customHeight="1">
      <x:c r="A7" s="16" t="str">
        <x:v>INC-SYS-CANON</x:v>
      </x:c>
      <x:c r="B7" s="9" t="str">
        <x:v>Journal à deux niveaux</x:v>
      </x:c>
      <x:c r="C7" s="14" t="str">
        <x:v>Défini</x:v>
      </x:c>
      <x:c r="D7" s="15" t="str">
        <x:v>Extrapolation</x:v>
      </x:c>
      <x:c r="E7" s="15" t="str">
        <x:v>P1</x:v>
      </x:c>
      <x:c r="F7" s="9" t="str">
        <x:v>Dans Incursion,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INC/SYS-CANON; à appliquer au futur contenu de l'œuvre.</x:v>
      </x:c>
      <x:c r="M7" s="9" t="str">
        <x:v>Le résultat narratif du raid reste fixé; une tâche de gameplay ne réécrit pas le sort des captifs ni ne fait d’Aria la libératrice de toutes les colonies.</x:v>
      </x:c>
      <x:c r="N7" s="9" t="str">
        <x:v>Chaque entrée de journal porte sa provenance; un résultat de combat ne change jamais le niveau de certitude du fait source.</x:v>
      </x:c>
      <x:c r="O7" s="9" t="str">
        <x:v>INC-REF-SCOPE</x:v>
      </x:c>
      <x:c r="P7" s="9" t="str">
        <x:v>Règle originale de production; les ancrages de continuité sont documentés dans les fiches REF.</x:v>
      </x:c>
      <x:c r="Q7" s="9" t="str"/>
      <x:c r="R7" s="9" t="str"/>
      <x:c r="S7" s="9" t="str"/>
    </x:row>
    <x:row r="8" ht="54" customHeight="1">
      <x:c r="A8" s="30" t="str">
        <x:v>INC-SYS-GROUP</x:v>
      </x:c>
      <x:c r="B8" s="7" t="str">
        <x:v>Groupe propre au chapitre</x:v>
      </x:c>
      <x:c r="C8" s="14" t="str">
        <x:v>Défini</x:v>
      </x:c>
      <x:c r="D8" s="29" t="str">
        <x:v>Extrapolation</x:v>
      </x:c>
      <x:c r="E8" s="29" t="str">
        <x:v>P1</x:v>
      </x:c>
      <x:c r="F8" s="7" t="str">
        <x:v>Aria avec un soutien de garde local proposé; aucun Shepard jouable ni recrutement de Feron.</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INC/SYS-GROUP; à appliquer au futur contenu de l'œuvre.</x:v>
      </x:c>
      <x:c r="M8" s="7" t="str">
        <x:v>Le résultat narratif du raid reste fixé; une tâche de gameplay ne réécrit pas le sort des captifs ni ne fait d’Aria la libératrice de toutes les colonies.</x:v>
      </x:c>
      <x:c r="N8" s="7" t="str">
        <x:v>Recharger un chapitre restitue uniquement son groupe autorisé, ses positions et ses commandes proposées.</x:v>
      </x:c>
      <x:c r="O8" s="7" t="str">
        <x:v>INC-REF-SCOPE</x:v>
      </x:c>
      <x:c r="P8" s="7" t="str">
        <x:v>Règle originale de production; les ancrages de continuité sont documentés dans les fiches REF.</x:v>
      </x:c>
      <x:c r="Q8" s="7" t="str"/>
      <x:c r="R8" s="7" t="str"/>
      <x:c r="S8" s="7" t="str"/>
    </x:row>
    <x:row r="9" ht="68" customHeight="1">
      <x:c r="A9" s="16" t="str">
        <x:v>INC-SYS-ATB</x:v>
      </x:c>
      <x:c r="B9" s="9" t="str">
        <x:v>Rythme ATB proposé</x:v>
      </x:c>
      <x:c r="C9" s="14" t="str">
        <x:v>Défini</x:v>
      </x:c>
      <x:c r="D9" s="15" t="str">
        <x:v>Extrapolation</x:v>
      </x:c>
      <x:c r="E9" s="15" t="str">
        <x:v>P1</x:v>
      </x:c>
      <x:c r="F9" s="9" t="str">
        <x:v>Trois rôles ennemis au maximum à l’écran : tireur, unité Collector et menace lourde; rencontre courte privilégiant lecture du terrain et protection du groupe.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INC/SYS-ATB; à appliquer au futur contenu de l'œuvre.</x:v>
      </x:c>
      <x:c r="M9" s="9" t="str">
        <x:v>Le résultat narratif du raid reste fixé; une tâche de gameplay ne réécrit pas le sort des captifs ni ne fait d’Aria la libératrice de toutes les colonies.</x:v>
      </x:c>
      <x:c r="N9" s="9" t="str">
        <x:v>Un lecteur peut suivre chaque préparation sans son; la vitesse réglable ne modifie pas les conditions du raccord narratif.</x:v>
      </x:c>
      <x:c r="O9" s="9" t="str">
        <x:v>INC-REF-SCOPE</x:v>
      </x:c>
      <x:c r="P9" s="9" t="str">
        <x:v>Règle originale de production; les ancrages de continuité sont documentés dans les fiches REF.</x:v>
      </x:c>
      <x:c r="Q9" s="9" t="str"/>
      <x:c r="R9" s="9" t="str"/>
      <x:c r="S9" s="9" t="str"/>
    </x:row>
    <x:row r="10" ht="54" customHeight="1">
      <x:c r="A10" s="30" t="str">
        <x:v>INC-SYS-SAVE</x:v>
      </x:c>
      <x:c r="B10" s="7" t="str">
        <x:v>Sauvegarde des modules</x:v>
      </x:c>
      <x:c r="C10" s="14" t="str">
        <x:v>Défini</x:v>
      </x:c>
      <x:c r="D10" s="29" t="str">
        <x:v>Extrapolation</x:v>
      </x:c>
      <x:c r="E10" s="29" t="str">
        <x:v>P1</x:v>
      </x:c>
      <x:c r="F10" s="7" t="str">
        <x:v>Conserver la progression de Incursion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INC/SYS-SAVE; à appliquer au futur contenu de l'œuvre.</x:v>
      </x:c>
      <x:c r="M10" s="7" t="str">
        <x:v>Le résultat narratif du raid reste fixé; une tâche de gameplay ne réécrit pas le sort des captifs ni ne fait d’Aria la libératrice de toutes les colonies.</x:v>
      </x:c>
      <x:c r="N10" s="7" t="str">
        <x:v>Sauvegarder, quitter et reprendre avant/après un raccord ne double aucun objet, objectif ou récompense.</x:v>
      </x:c>
      <x:c r="O10" s="7" t="str">
        <x:v>INC-REF-SCOPE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1653a2e1b21475e"/>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Incursion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INC-SC-CHECK-QA</x:v>
      </x:c>
      <x:c r="B7" s="9" t="str">
        <x:v>Examiner la perturbation — contrôle du parcours</x:v>
      </x:c>
      <x:c r="C7" s="14" t="str">
        <x:v>Défini</x:v>
      </x:c>
      <x:c r="D7" s="15" t="str">
        <x:v>Extrapolation</x:v>
      </x:c>
      <x:c r="E7" s="15" t="str">
        <x:v>P0</x:v>
      </x:c>
      <x:c r="F7" s="9" t="str">
        <x:v>Rejouer « Examiner la perturbation » par les deux méthodes proposées, avec tâche facultative ignorée puis terminée, et en sautant le raccord.</x:v>
      </x:c>
      <x:c r="G7" s="9" t="str">
        <x:v>Arrivée → observation de rôles → choix d’approche → accès.</x:v>
      </x:c>
      <x:c r="H7" s="9" t="str">
        <x:v>Deux postes d’observation révèlent les lignes de vue; aucun dialogue n’explique déjà toute l’origine des Collectors.</x:v>
      </x:c>
      <x:c r="I7" s="9" t="str"/>
      <x:c r="J7" s="9" t="str"/>
      <x:c r="K7" s="9" t="str"/>
      <x:c r="L7" s="9" t="str">
        <x:v>Scénarios de recette à exécuter pour INC/CHECK; consigner résultat réel et preuve seulement lors d’une future réalisation.</x:v>
      </x:c>
      <x:c r="M7" s="9" t="str">
        <x:v>Fiche de recette définie; aucun test du jeu n’a été exécuté par ce catalogue.</x:v>
      </x:c>
      <x:c r="N7" s="9" t="str">
        <x:v>L'objectif « Examiner la perturbation » atteint son raccord annoncé après chaque méthode; sauvegarde, rechargement et saut de scène n'en changent ni le groupe ni les informations acquises.</x:v>
      </x:c>
      <x:c r="O7" s="9" t="str">
        <x:v>INC-SC-CHECK-MAIN, INC-SC-CHECK-CHOICE, INC-SC-CHECK-CINE, INC-SC-CHECK-PROP</x:v>
      </x:c>
      <x:c r="P7" s="9" t="str">
        <x:v>Critère de production original, pas une validation déjà obtenue.</x:v>
      </x:c>
      <x:c r="Q7" s="9" t="str"/>
      <x:c r="R7" s="9" t="str"/>
      <x:c r="S7" s="9" t="str"/>
    </x:row>
    <x:row r="8" ht="68" customHeight="1">
      <x:c r="A8" s="30" t="str">
        <x:v>INC-SC-RAID-QA</x:v>
      </x:c>
      <x:c r="B8" s="7" t="str">
        <x:v>Interrompre la transaction — contrôle du parcours</x:v>
      </x:c>
      <x:c r="C8" s="14" t="str">
        <x:v>Défini</x:v>
      </x:c>
      <x:c r="D8" s="29" t="str">
        <x:v>Extrapolation</x:v>
      </x:c>
      <x:c r="E8" s="29" t="str">
        <x:v>P0</x:v>
      </x:c>
      <x:c r="F8" s="7" t="str">
        <x:v>Rejouer « Interrompre la transaction » par les deux méthodes proposées, avec tâche facultative ignorée puis terminée, et en sautant le raccord.</x:v>
      </x:c>
      <x:c r="G8" s="7" t="str">
        <x:v>Révélation → engagement → déplacement de menace lourde → fin du raid.</x:v>
      </x:c>
      <x:c r="H8" s="7" t="str">
        <x:v>Le résultat source est fixé; les objectifs locaux portent sur la survie du groupe et le contrôle de position, pas sur un décompte de victimes canon.</x:v>
      </x:c>
      <x:c r="I8" s="7" t="str"/>
      <x:c r="J8" s="7" t="str"/>
      <x:c r="K8" s="7" t="str"/>
      <x:c r="L8" s="7" t="str">
        <x:v>Scénarios de recette à exécuter pour INC/RAID; consigner résultat réel et preuve seulement lors d’une future réalisation.</x:v>
      </x:c>
      <x:c r="M8" s="7" t="str">
        <x:v>Fiche de recette définie; aucun test du jeu n’a été exécuté par ce catalogue.</x:v>
      </x:c>
      <x:c r="N8" s="7" t="str">
        <x:v>L'objectif « Interrompre la transaction » atteint son raccord annoncé après chaque méthode; sauvegarde, rechargement et saut de scène n'en changent ni le groupe ni les informations acquises.</x:v>
      </x:c>
      <x:c r="O8" s="7" t="str">
        <x:v>INC-SC-RAID-MAIN, INC-SC-RAID-CHOICE, INC-SC-RAID-CINE, INC-SC-RAID-PROP</x:v>
      </x:c>
      <x:c r="P8" s="7" t="str">
        <x:v>Critère de production original, pas une validation déjà obtenue.</x:v>
      </x:c>
      <x:c r="Q8" s="7" t="str"/>
      <x:c r="R8" s="7" t="str"/>
      <x:c r="S8" s="7" t="str"/>
    </x:row>
    <x:row r="9" ht="68" customHeight="1">
      <x:c r="A9" s="16" t="str">
        <x:v>INC-SC-REPORT-QA</x:v>
      </x:c>
      <x:c r="B9" s="9" t="str">
        <x:v>Comprendre la cible humaine — contrôle du parcours</x:v>
      </x:c>
      <x:c r="C9" s="14" t="str">
        <x:v>Défini</x:v>
      </x:c>
      <x:c r="D9" s="15" t="str">
        <x:v>Extrapolation</x:v>
      </x:c>
      <x:c r="E9" s="15" t="str">
        <x:v>P0</x:v>
      </x:c>
      <x:c r="F9" s="9" t="str">
        <x:v>Rejouer « Comprendre la cible humaine » par les deux méthodes proposées, avec tâche facultative ignorée puis terminée, et en sautant le raccord.</x:v>
      </x:c>
      <x:c r="G9" s="9" t="str">
        <x:v>Retour → lecture → constat de portée → fin.</x:v>
      </x:c>
      <x:c r="H9" s="9" t="str">
        <x:v>Le document sert de renseignement; cliquer un nom n’ouvre aucune planète visitable.</x:v>
      </x:c>
      <x:c r="I9" s="9" t="str"/>
      <x:c r="J9" s="9" t="str"/>
      <x:c r="K9" s="9" t="str"/>
      <x:c r="L9" s="9" t="str">
        <x:v>Scénarios de recette à exécuter pour INC/REPORT; consigner résultat réel et preuve seulement lors d’une future réalisation.</x:v>
      </x:c>
      <x:c r="M9" s="9" t="str">
        <x:v>Fiche de recette définie; aucun test du jeu n’a été exécuté par ce catalogue.</x:v>
      </x:c>
      <x:c r="N9" s="9" t="str">
        <x:v>L'objectif « Comprendre la cible humaine » atteint son raccord annoncé après chaque méthode; sauvegarde, rechargement et saut de scène n'en changent ni le groupe ni les informations acquises.</x:v>
      </x:c>
      <x:c r="O9" s="9" t="str">
        <x:v>INC-SC-REPORT-MAIN, INC-SC-REPORT-CHOICE, INC-SC-REPORT-CINE, INC-SC-REPORT-PROP</x:v>
      </x:c>
      <x:c r="P9" s="9" t="str">
        <x:v>Critère de production original, pas une validation déjà obtenue.</x:v>
      </x:c>
      <x:c r="Q9" s="9" t="str"/>
      <x:c r="R9" s="9" t="str"/>
      <x:c r="S9" s="9" t="str"/>
    </x:row>
    <x:row r="10" ht="54" customHeight="1">
      <x:c r="A10" s="30" t="str">
        <x:v>INC-QA-SOURCE</x:v>
      </x:c>
      <x:c r="B10" s="7" t="str">
        <x:v>Vérification des références</x:v>
      </x:c>
      <x:c r="C10" s="14" t="str">
        <x:v>Défini</x:v>
      </x:c>
      <x:c r="D10" s="29" t="str">
        <x:v>Extrapolation</x:v>
      </x:c>
      <x:c r="E10" s="29" t="str">
        <x:v>P0</x:v>
      </x:c>
      <x:c r="F10" s="7" t="str">
        <x:v>Contrôler Incursion dans une édition autorisée avant de transformer les éléments À vérifier en faits établis.</x:v>
      </x:c>
      <x:c r="G10" s="7" t="str">
        <x:v>Contrôler le récit court dans son édition autorisée; ne pas inventer des numéros ou une pagination absents de la consultation.</x:v>
      </x:c>
      <x:c r="H10" s="7" t="str"/>
      <x:c r="I10" s="7" t="str"/>
      <x:c r="J10" s="7" t="str"/>
      <x:c r="K10" s="7" t="str"/>
      <x:c r="L10" s="7" t="str">
        <x:v>Contrat de production INC/QA-SOURCE; à appliquer au futur contenu de l'œuvre.</x:v>
      </x:c>
      <x:c r="M10" s="7" t="str">
        <x:v>Recette planifiée; aucune réalisation testée ici.</x:v>
      </x:c>
      <x:c r="N10" s="7" t="str">
        <x:v>Chaque ajout de nom, page, costume ou date est lié à la bonne édition; les descriptions restent brèves et paraphrasées.</x:v>
      </x:c>
      <x:c r="O10" s="7" t="str">
        <x:v>INC-REF-SCOPE</x:v>
      </x:c>
      <x:c r="P10" s="7" t="str">
        <x:v>Règle originale de production; les ancrages de continuité sont documentés dans les fiches REF.</x:v>
      </x:c>
      <x:c r="Q10" s="7" t="str"/>
      <x:c r="R10" s="7" t="str"/>
      <x:c r="S10" s="7" t="str"/>
    </x:row>
    <x:row r="11" ht="54" customHeight="1">
      <x:c r="A11" s="16" t="str">
        <x:v>INC-QA-VISIBILITY</x:v>
      </x:c>
      <x:c r="B11" s="9" t="str">
        <x:v>Lecture des sprites et du terrain</x:v>
      </x:c>
      <x:c r="C11" s="14" t="str">
        <x:v>Défini</x:v>
      </x:c>
      <x:c r="D11" s="15" t="str">
        <x:v>Extrapolation</x:v>
      </x:c>
      <x:c r="E11" s="15" t="str">
        <x:v>P0</x:v>
      </x:c>
      <x:c r="F11" s="9" t="str">
        <x:v>Contrôler la taille des sprites, la séparation des silhouettes et les sorties sous la caméra fixe de chaque scène.</x:v>
      </x:c>
      <x:c r="G11" s="9" t="str">
        <x:v>Faire parcourir les zones avec premier plan actif, sous-titres larges et mode de contraste renforcé.</x:v>
      </x:c>
      <x:c r="H11" s="9" t="str"/>
      <x:c r="I11" s="9" t="str"/>
      <x:c r="J11" s="9" t="str"/>
      <x:c r="K11" s="9" t="str"/>
      <x:c r="L11" s="9" t="str">
        <x:v>Contrat de production INC/QA-VISIBILITY; à appliquer au futur contenu de l'œuvre.</x:v>
      </x:c>
      <x:c r="M11" s="9" t="str">
        <x:v>Recette planifiée; aucune réalisation testée ici.</x:v>
      </x:c>
      <x:c r="N11" s="9" t="str">
        <x:v>Le personnage contrôlé, les sorties et le signal de danger restent localisables sans désactiver le décor.</x:v>
      </x:c>
      <x:c r="O11" s="9" t="str">
        <x:v>INC-REF-SCOPE</x:v>
      </x:c>
      <x:c r="P11" s="9" t="str">
        <x:v>Règle originale de production; les ancrages de continuité sont documentés dans les fiches REF.</x:v>
      </x:c>
      <x:c r="Q11" s="9" t="str"/>
      <x:c r="R11" s="9" t="str"/>
      <x:c r="S11" s="9" t="str"/>
    </x:row>
    <x:row r="12" ht="68" customHeight="1">
      <x:c r="A12" s="30" t="str">
        <x:v>INC-QA-NARRATIVE</x:v>
      </x:c>
      <x:c r="B12" s="7" t="str">
        <x:v>Convergence narrative</x:v>
      </x:c>
      <x:c r="C12" s="14" t="str">
        <x:v>Défini</x:v>
      </x:c>
      <x:c r="D12" s="29" t="str">
        <x:v>Extrapolation</x:v>
      </x:c>
      <x:c r="E12" s="29" t="str">
        <x:v>P0</x:v>
      </x:c>
      <x:c r="F12" s="7" t="str">
        <x:v>Le résultat narratif du raid reste fixé; une tâche de gameplay ne réécrit pas le sort des captifs ni ne fait d’Aria la libératrice de toutes les colonies.</x:v>
      </x:c>
      <x:c r="G12" s="7" t="str">
        <x:v>La continuité éditoriale est distincte des essais de gameplay; un choix stratégique ne réécrit pas la fin publiée.</x:v>
      </x:c>
      <x:c r="H12" s="7" t="str"/>
      <x:c r="I12" s="7" t="str"/>
      <x:c r="J12" s="7" t="str"/>
      <x:c r="K12" s="7" t="str"/>
      <x:c r="L12" s="7" t="str">
        <x:v>Contrat de production INC/QA-NARRATIVE; à appliquer au futur contenu de l'œuvre.</x:v>
      </x:c>
      <x:c r="M12" s="7" t="str">
        <x:v>Recette planifiée; aucune réalisation testée ici.</x:v>
      </x:c>
      <x:c r="N12" s="7" t="str">
        <x:v>Jouer chaque choix local et passer chaque cinématique produit les mêmes ancrages de conclusion; les divergences restent marquées adaptation.</x:v>
      </x:c>
      <x:c r="O12" s="7" t="str">
        <x:v>INC-REF-SCOPE</x:v>
      </x:c>
      <x:c r="P12" s="7" t="str">
        <x:v>Règle originale de production; les ancrages de continuité sont documentés dans les fiches REF.</x:v>
      </x:c>
      <x:c r="Q12" s="7" t="str"/>
      <x:c r="R12" s="7" t="str"/>
      <x:c r="S12" s="7" t="str"/>
    </x:row>
  </x:sheetData>
  <x:conditionalFormatting sqref="D7:D12">
    <x:cfRule type="cellIs" dxfId="96" priority="1" operator="equal">
      <x:formula>"À vérifier"</x:formula>
    </x:cfRule>
    <x:cfRule type="cellIs" dxfId="97" priority="2" operator="equal">
      <x:formula>"Extrapolation"</x:formula>
    </x:cfRule>
  </x:conditionalFormatting>
  <x:conditionalFormatting sqref="C7:C12">
    <x:cfRule type="cellIs" dxfId="98" priority="3" operator="equal">
      <x:formula>"Validé"</x:formula>
    </x:cfRule>
  </x:conditionalFormatting>
  <x:conditionalFormatting sqref="E7:E12">
    <x:cfRule type="cellIs" dxfId="9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7cb9b7466f64c5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Incursion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5" t="str">
        <x:v>Identifiant</x:v>
      </x:c>
      <x:c r="B6" s="26" t="str">
        <x:v>Élément</x:v>
      </x:c>
      <x:c r="C6" s="26" t="str">
        <x:v>Contenu</x:v>
      </x:c>
      <x:c r="D6" s="26" t="str">
        <x:v>Nature de la référence</x:v>
      </x:c>
      <x:c r="E6" s="26" t="str">
        <x:v>Priorité</x:v>
      </x:c>
      <x:c r="F6" s="26" t="str">
        <x:v>Fait ou hypothèse</x:v>
      </x:c>
      <x:c r="G6" s="26" t="str">
        <x:v>Adaptation proposée</x:v>
      </x:c>
      <x:c r="H6" s="26" t="str">
        <x:v>Règles et moveset proposés</x:v>
      </x:c>
      <x:c r="I6" s="26" t="str">
        <x:v>Direction visuelle</x:v>
      </x:c>
      <x:c r="J6" s="26" t="str">
        <x:v>Animation</x:v>
      </x:c>
      <x:c r="K6" s="26" t="str">
        <x:v>Audio et accessibilité</x:v>
      </x:c>
      <x:c r="L6" s="26" t="str">
        <x:v>Mise en œuvre prévue</x:v>
      </x:c>
      <x:c r="M6" s="26" t="str">
        <x:v>Conditions et variantes</x:v>
      </x:c>
      <x:c r="N6" s="26" t="str">
        <x:v>Critère d’acceptation</x:v>
      </x:c>
      <x:c r="O6" s="26" t="str">
        <x:v>Dépendances</x:v>
      </x:c>
      <x:c r="P6" s="26" t="str">
        <x:v>Repère dans l’œuvre</x:v>
      </x:c>
      <x:c r="Q6" s="26" t="str">
        <x:v>Sources</x:v>
      </x:c>
      <x:c r="R6" s="26" t="str">
        <x:v>Sources URL</x:v>
      </x:c>
      <x:c r="S6" s="27" t="str">
        <x:v>Notes et limites</x:v>
      </x:c>
    </x:row>
    <x:row r="7" ht="68" customHeight="1">
      <x:c r="A7" s="16" t="str">
        <x:v>INC-CNT-PLACE</x:v>
      </x:c>
      <x:c r="B7" s="9" t="str">
        <x:v>Position dans l’univers</x:v>
      </x:c>
      <x:c r="C7" s="14" t="str">
        <x:v>Défini</x:v>
      </x:c>
      <x:c r="D7" s="15" t="str">
        <x:v>Extrapolation</x:v>
      </x:c>
      <x:c r="E7" s="15" t="str">
        <x:v>P1</x:v>
      </x:c>
      <x:c r="F7" s="9" t="str">
        <x:v>Complément de la relation entre Aria et les Collectors évoquée dans Redemption; le wiki le situe avant l’ouverture de ME2. Aucun voyage vers les colonies listées n’est ajouté.</x:v>
      </x:c>
      <x:c r="G7" s="9" t="str">
        <x:v>La continuité éditoriale est distincte des essais de gameplay; un choix stratégique ne réécrit pas la fin publiée.</x:v>
      </x:c>
      <x:c r="H7" s="9" t="str"/>
      <x:c r="I7" s="9" t="str"/>
      <x:c r="J7" s="9" t="str"/>
      <x:c r="K7" s="9" t="str"/>
      <x:c r="L7" s="9" t="str">
        <x:v>Contrat de production INC/CNT-PLACE; à appliquer au futur contenu de l'œuvre.</x:v>
      </x:c>
      <x:c r="M7" s="9" t="str">
        <x:v>Le résultat narratif du raid reste fixé; une tâche de gameplay ne réécrit pas le sort des captifs ni ne fait d’Aria la libératrice de toutes les colonies.</x:v>
      </x:c>
      <x:c r="N7" s="9" t="str">
        <x:v>La frise indique les incertitudes et les liens avec les autres œuvres sans attribuer une date non sourcée.</x:v>
      </x:c>
      <x:c r="O7" s="9" t="str">
        <x:v>INC-REF-SCOPE</x:v>
      </x:c>
      <x:c r="P7" s="9" t="str">
        <x:v>Règle originale de production; les ancrages de continuité sont documentés dans les fiches REF.</x:v>
      </x:c>
      <x:c r="Q7" s="9" t="str"/>
      <x:c r="R7" s="9" t="str"/>
      <x:c r="S7" s="9" t="str"/>
    </x:row>
    <x:row r="8" ht="54" customHeight="1">
      <x:c r="A8" s="30" t="str">
        <x:v>INC-CNT-NO-CUT</x:v>
      </x:c>
      <x:c r="B8" s="7" t="str">
        <x:v>Contenus non attestés</x:v>
      </x:c>
      <x:c r="C8" s="14" t="str">
        <x:v>Défini</x:v>
      </x:c>
      <x:c r="D8" s="29" t="str">
        <x:v>Extrapolation</x:v>
      </x:c>
      <x:c r="E8" s="29" t="str">
        <x:v>P1</x:v>
      </x:c>
      <x:c r="F8" s="7" t="str">
        <x:v>Aucune rumeur de scène coupée n’est intégrée à Incursion.</x:v>
      </x:c>
      <x:c r="G8" s="7" t="str">
        <x:v>Un contenu absent des notices consultées reste non documenté; une illustration préparatoire ne prouve pas une scène canon.</x:v>
      </x:c>
      <x:c r="H8" s="7" t="str"/>
      <x:c r="I8" s="7" t="str"/>
      <x:c r="J8" s="7" t="str"/>
      <x:c r="K8" s="7" t="str"/>
      <x:c r="L8" s="7" t="str">
        <x:v>Contrat de production INC/CNT-NO-CUT; à appliquer au futur contenu de l'œuvre.</x:v>
      </x:c>
      <x:c r="M8" s="7" t="str">
        <x:v>Le résultat narratif du raid reste fixé; une tâche de gameplay ne réécrit pas le sort des captifs ni ne fait d’Aria la libératrice de toutes les colonies.</x:v>
      </x:c>
      <x:c r="N8" s="7" t="str">
        <x:v>Une future fiche Coupé attesté ou Concept abandonné devra citer une preuve primaire spécifique.</x:v>
      </x:c>
      <x:c r="O8" s="7" t="str">
        <x:v>INC-REF-SCOPE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1bcd67d45d64e34"/>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Incursion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5" t="str">
        <x:v>Champ</x:v>
      </x:c>
      <x:c r="B6" s="27" t="str">
        <x:v>Définition</x:v>
      </x:c>
      <x:c r="C6" s="2"/>
      <x:c r="D6" s="2"/>
      <x:c r="E6" s="2"/>
      <x:c r="F6" s="2"/>
    </x:row>
    <x:row r="7" ht="30" customHeight="1">
      <x:c r="A7" s="7" t="str">
        <x:v>Œuvre</x:v>
      </x:c>
      <x:c r="B7" s="7" t="str">
        <x:v>Mass Effect: Incursion</x:v>
      </x:c>
      <x:c r="C7" s="2"/>
      <x:c r="D7" s="2"/>
      <x:c r="E7" s="2"/>
      <x:c r="F7" s="2"/>
    </x:row>
    <x:row r="8" ht="30" customHeight="1">
      <x:c r="A8" s="7" t="str">
        <x:v>Support</x:v>
      </x:c>
      <x:c r="B8" s="7" t="str">
        <x:v>Comic court / récit autonome</x:v>
      </x:c>
      <x:c r="C8" s="2"/>
      <x:c r="D8" s="2"/>
      <x:c r="E8" s="2"/>
      <x:c r="F8" s="2"/>
    </x:row>
    <x:row r="9" ht="40" customHeight="1">
      <x:c r="A9" s="7" t="str">
        <x:v>Périmètre</x:v>
      </x:c>
      <x:c r="B9" s="7" t="str">
        <x:v>Récit court centré sur Aria, les Collectors et un trafic sur Omega; trois modules de production proportionnés à l’œuvre.</x:v>
      </x:c>
      <x:c r="C9" s="2"/>
      <x:c r="D9" s="2"/>
      <x:c r="E9" s="2"/>
      <x:c r="F9" s="2"/>
    </x:row>
    <x:row r="10" ht="54" customHeight="1">
      <x:c r="A10" s="7" t="str">
        <x:v>Projet</x:v>
      </x:c>
      <x:c r="B10" s="7" t="str">
        <x:v>64 fiches de production ; 2 fiches au stade Prototype de portée partielle. Les autres livrables restent des spécifications ; aucun achèvement intégral 1:1 revendiqué.</x:v>
      </x:c>
      <x:c r="C10" s="2"/>
      <x:c r="D10" s="2"/>
      <x:c r="E10" s="2"/>
      <x:c r="F10" s="2"/>
    </x:row>
    <x:row r="11" ht="166" customHeight="1">
      <x:c r="A11" s="7" t="str">
        <x:v>Références et limites</x:v>
      </x:c>
      <x:c r="B11" s="7" t="str">
        <x:v>La présence de lieux dans un relevé de population ne signifie pas qu’ils sont visités. Les groupes et leurs comportements précis doivent être comparés aux planches.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5" t="str">
        <x:v>Source</x:v>
      </x:c>
      <x:c r="B26" s="26" t="str">
        <x:v>Titre</x:v>
      </x:c>
      <x:c r="C26" s="26" t="str">
        <x:v>Type</x:v>
      </x:c>
      <x:c r="D26" s="26" t="str">
        <x:v>URL</x:v>
      </x:c>
      <x:c r="E26" s="26" t="str">
        <x:v>Périmètre</x:v>
      </x:c>
      <x:c r="F26" s="27" t="str">
        <x:v>Accès et limites</x:v>
      </x:c>
    </x:row>
    <x:row r="27" ht="54" customHeight="1">
      <x:c r="A27" s="6" t="str">
        <x:v>INC-S-PAIR</x:v>
      </x:c>
      <x:c r="B27" s="6" t="str">
        <x:v>Dark Horse — Incursion / Inquisition, notice éditeur</x:v>
      </x:c>
      <x:c r="C27" s="6" t="str">
        <x:v>publication originale — notice éditeur distribuée</x:v>
      </x:c>
      <x:c r="D27" s="6" t="str">
        <x:v>https://books.apple.com/gr/book/mass-effect-incursion-inquisition/id1047054838</x:v>
      </x:c>
      <x:c r="E27" s="6" t="str">
        <x:v>Présentation des deux récits, Aria/Collectors/Omega et Bailey/Citadelle; fournisseur identifié Dark Horse Comics Inc.</x:v>
      </x:c>
      <x:c r="F27" s="6" t="str">
        <x:v>Consulté le 22 octobre 2026; les faits sont paraphrasés brièvement.</x:v>
      </x:c>
    </x:row>
    <x:row r="28" ht="54" customHeight="1">
      <x:c r="A28" s="6" t="str">
        <x:v>INC-S-WIKI</x:v>
      </x:c>
      <x:c r="B28" s="6" t="str">
        <x:v>Mass Effect: Incursion</x:v>
      </x:c>
      <x:c r="C28" s="6" t="str">
        <x:v>wiki — extrait indexé, à contrôler</x:v>
      </x:c>
      <x:c r="D28" s="6" t="str">
        <x:v>https://masseffect.fandom.com/wiki/Mass_Effect%3A_Incursion</x:v>
      </x:c>
      <x:c r="E28" s="6" t="str">
        <x:v>Récit court, Blue Suns, Collectors, Praetorian et datapad.</x:v>
      </x:c>
      <x:c r="F28" s="6" t="str">
        <x:v>Contenu lu dans le résultat de recherche indexé; ouverture directe Fandom restreinte ou en erreur. Comparaison avec le comic autorisé requise.</x:v>
      </x:c>
    </x:row>
    <x:row r="29" ht="54" customHeight="1">
      <x:c r="A29" s="6" t="str">
        <x:v>INC-S-EVOBOOK</x:v>
      </x:c>
      <x:c r="B29" s="6" t="str">
        <x:v>Dark Horse — Evolution</x:v>
      </x:c>
      <x:c r="C29" s="6" t="str">
        <x:v>source officielle — notice Dark Horse via Penguin Random House</x:v>
      </x:c>
      <x:c r="D29" s="6" t="str">
        <x:v>https://www.penguinrandomhouse.com/books/241664/mass-effect-volume-2-evolution-by-mac-walters-various-artists/</x:v>
      </x:c>
      <x:c r="E29" s="6" t="str">
        <x:v>Présence de récits courts issus de MySpace et USA Today; identification à vérifier sur sommaire.</x:v>
      </x:c>
      <x:c r="F29" s="6" t="str">
        <x:v>Consulté le 22 octobre 2026; les faits sont paraphrasés brièvement.</x:v>
      </x:c>
    </x:row>
    <x:row r="30" ht="22" customHeight="1">
      <x:c r="A30" s="2"/>
      <x:c r="B30" s="2"/>
      <x:c r="C30" s="2"/>
      <x:c r="D30" s="2"/>
      <x:c r="E30" s="2"/>
      <x:c r="F30" s="2"/>
    </x:row>
    <x:row r="31" ht="22" customHeight="1">
      <x:c r="A31" s="2"/>
      <x:c r="B31" s="2"/>
      <x:c r="C31" s="2"/>
      <x:c r="D31" s="2"/>
      <x:c r="E31" s="2"/>
      <x:c r="F31" s="2"/>
    </x:row>
    <x:row r="32" ht="22" customHeight="1">
      <x:c r="A32" s="2"/>
      <x:c r="B32" s="2"/>
      <x:c r="C32" s="2"/>
      <x:c r="D32" s="2"/>
      <x:c r="E32" s="2"/>
      <x:c r="F32" s="2"/>
    </x:row>
    <x:row r="33" ht="34" customHeight="1">
      <x:c r="A33" s="25" t="str">
        <x:v>Domaine</x:v>
      </x:c>
      <x:c r="B33" s="26" t="str">
        <x:v>Couverture actuelle</x:v>
      </x:c>
      <x:c r="C33" s="27" t="str">
        <x:v>Travail restant</x:v>
      </x:c>
      <x:c r="D33" s="2"/>
      <x:c r="E33" s="2"/>
      <x:c r="F33" s="2"/>
    </x:row>
    <x:row r="34" ht="68" customHeight="1">
      <x:c r="A34" s="6" t="str">
        <x:v>characters</x:v>
      </x:c>
      <x:c r="B34" s="6" t="str">
        <x:v>1 fiche(s) : Aria T’Loak</x:v>
      </x:c>
      <x:c r="C34" s="6" t="str">
        <x:v>Comparer les détails marqués À vérifier à une édition autorisée; les sources éditoriales n’attestent pas chaque détail graphique.</x:v>
      </x:c>
      <x:c r="D34" s="2"/>
      <x:c r="E34" s="2"/>
      <x:c r="F34" s="2"/>
    </x:row>
    <x:row r="35" ht="68" customHeight="1">
      <x:c r="A35" s="6" t="str">
        <x:v>npcs</x:v>
      </x:c>
      <x:c r="B35" s="6" t="str">
        <x:v>1 fiche(s) : Gardes batariens d’Aria</x:v>
      </x:c>
      <x:c r="C35" s="6" t="str">
        <x:v>Comparer les détails marqués À vérifier à une édition autorisée; les sources éditoriales n’attestent pas chaque détail graphique.</x:v>
      </x:c>
      <x:c r="D35" s="2"/>
      <x:c r="E35" s="2"/>
      <x:c r="F35" s="2"/>
    </x:row>
    <x:row r="36" ht="68" customHeight="1">
      <x:c r="A36" s="6" t="str">
        <x:v>lore</x:v>
      </x:c>
      <x:c r="B36" s="6" t="str">
        <x:v>6 fiche(s) : Aria et les Collectors; Position avant ME2; Portée du renseignement; Examiner la perturbation</x:v>
      </x:c>
      <x:c r="C36" s="6" t="str">
        <x:v>Comparer les détails marqués À vérifier à une édition autorisée; les sources éditoriales n’attestent pas chaque détail graphique.</x:v>
      </x:c>
      <x:c r="D36" s="2"/>
      <x:c r="E36" s="2"/>
      <x:c r="F36" s="2"/>
    </x:row>
    <x:row r="37" ht="68" customHeight="1">
      <x:c r="A37" s="6" t="str">
        <x:v>worlds</x:v>
      </x:c>
      <x:c r="B37" s="6" t="str">
        <x:v>1 fiche(s) : Omega — secteur du raid</x:v>
      </x:c>
      <x:c r="C37" s="6" t="str">
        <x:v>Comparer les détails marqués À vérifier à une édition autorisée; les sources éditoriales n’attestent pas chaque détail graphique.</x:v>
      </x:c>
      <x:c r="D37" s="2"/>
      <x:c r="E37" s="2"/>
      <x:c r="F37" s="2"/>
    </x:row>
    <x:row r="38" ht="54" customHeight="1">
      <x:c r="A38" s="6" t="str">
        <x:v>zones</x:v>
      </x:c>
      <x:c r="B38" s="6" t="str">
        <x:v>1 fiche(s) : Omega — secteur du raid — espace jouable proposé</x:v>
      </x:c>
      <x:c r="C38" s="6" t="str">
        <x:v>Prototyper les règles proposées et exécuter les critères de recette; aucune fiche n’est déclarée intégrée ou validée.</x:v>
      </x:c>
      <x:c r="D38" s="2"/>
      <x:c r="E38" s="2"/>
      <x:c r="F38" s="2"/>
    </x:row>
    <x:row r="39" ht="54" customHeight="1">
      <x:c r="A39" s="6" t="str">
        <x:v>links</x:v>
      </x:c>
      <x:c r="B39" s="6" t="str">
        <x:v>1 fiche(s) : Omega — secteur du raid — accès et sortie</x:v>
      </x:c>
      <x:c r="C39" s="6" t="str">
        <x:v>Prototyper les règles proposées et exécuter les critères de recette; aucune fiche n’est déclarée intégrée ou validée.</x:v>
      </x:c>
      <x:c r="D39" s="2"/>
      <x:c r="E39" s="2"/>
      <x:c r="F39" s="2"/>
    </x:row>
    <x:row r="40" ht="54" customHeight="1">
      <x:c r="A40" s="6" t="str">
        <x:v>scenery</x:v>
      </x:c>
      <x:c r="B40" s="6" t="str">
        <x:v>1 fiche(s) : Omega — secteur du raid — décor et repère</x:v>
      </x:c>
      <x:c r="C40" s="6" t="str">
        <x:v>Produire les assets originaux puis vérifier en situation; ce catalogue ne livre ni image, ni son, ni animation.</x:v>
      </x:c>
      <x:c r="D40" s="2"/>
      <x:c r="E40" s="2"/>
      <x:c r="F40" s="2"/>
    </x:row>
    <x:row r="41" ht="54" customHeight="1">
      <x:c r="A41" s="6" t="str">
        <x:v>props</x:v>
      </x:c>
      <x:c r="B41" s="6" t="str">
        <x:v>3 fiche(s) : Repère d’observation; Commande de grue — prototype; Datapad démographique — représentation proposée</x:v>
      </x:c>
      <x:c r="C41" s="6" t="str">
        <x:v>Prototyper les règles proposées et exécuter les critères de recette; aucune fiche n’est déclarée intégrée ou validée.</x:v>
      </x:c>
      <x:c r="D41" s="2"/>
      <x:c r="E41" s="2"/>
      <x:c r="F41" s="2"/>
    </x:row>
    <x:row r="42" ht="54" customHeight="1">
      <x:c r="A42" s="6" t="str">
        <x:v>enemies</x:v>
      </x:c>
      <x:c r="B42" s="6" t="str">
        <x:v>3 fiche(s) : Blue Suns; Unité Collector; Praetorian</x:v>
      </x:c>
      <x:c r="C42" s="6" t="str">
        <x:v>Prototyper les règles proposées et exécuter les critères de recette; aucune fiche n’est déclarée intégrée ou validée.</x:v>
      </x:c>
      <x:c r="D42" s="2"/>
      <x:c r="E42" s="2"/>
      <x:c r="F42" s="2"/>
    </x:row>
    <x:row r="43" ht="54" customHeight="1">
      <x:c r="A43" s="6" t="str">
        <x:v>main_quests</x:v>
      </x:c>
      <x:c r="B43" s="6" t="str">
        <x:v>3 fiche(s) : Examiner la perturbation — objectif jouable; Interrompre la transaction — objectif jouable; Comprendre la cible humaine — objectif jouable</x:v>
      </x:c>
      <x:c r="C43" s="6" t="str">
        <x:v>Prototyper les règles proposées et exécuter les critères de recette; aucune fiche n’est déclarée intégrée ou validée.</x:v>
      </x:c>
      <x:c r="D43" s="2"/>
      <x:c r="E43" s="2"/>
      <x:c r="F43" s="2"/>
    </x:row>
    <x:row r="44" ht="54" customHeight="1">
      <x:c r="A44" s="6" t="str">
        <x:v>side_quests</x:v>
      </x:c>
      <x:c r="B44" s="6" t="str">
        <x:v>3 fiche(s) : Vérifier le flanc de sortie; Isoler un accès technique; Relier le dossier à Redemption</x:v>
      </x:c>
      <x:c r="C44" s="6" t="str">
        <x:v>Prototyper les règles proposées et exécuter les critères de recette; aucune fiche n’est déclarée intégrée ou validée.</x:v>
      </x:c>
      <x:c r="D44" s="2"/>
      <x:c r="E44" s="2"/>
      <x:c r="F44" s="2"/>
    </x:row>
    <x:row r="45" ht="54" customHeight="1">
      <x:c r="A45" s="6" t="str">
        <x:v>choices</x:v>
      </x:c>
      <x:c r="B45" s="6" t="str">
        <x:v>3 fiche(s) : Examiner la perturbation — stratégie locale; Interrompre la transaction — stratégie locale; Comprendre la cible humaine — stratégie locale</x:v>
      </x:c>
      <x:c r="C45" s="6" t="str">
        <x:v>Prototyper les règles proposées et exécuter les critères de recette; aucune fiche n’est déclarée intégrée ou validée.</x:v>
      </x:c>
      <x:c r="D45" s="2"/>
      <x:c r="E45" s="2"/>
      <x:c r="F45" s="2"/>
    </x:row>
    <x:row r="46" ht="68" customHeight="1">
      <x:c r="A46" s="6" t="str">
        <x:v>dialogues</x:v>
      </x:c>
      <x:c r="B46" s="6" t="str">
        <x:v>3 fiche(s) : Examiner la perturbation — intentions de conversation; Interrompre la transaction — intentions de conversation; Comprendre la cible humaine — intentions de conversation</x:v>
      </x:c>
      <x:c r="C46" s="6" t="str">
        <x:v>Prototyper les règles proposées et exécuter les critères de recette; aucune fiche n’est déclarée intégrée ou validée.</x:v>
      </x:c>
      <x:c r="D46" s="2"/>
      <x:c r="E46" s="2"/>
      <x:c r="F46" s="2"/>
    </x:row>
    <x:row r="47" ht="54" customHeight="1">
      <x:c r="A47" s="6" t="str">
        <x:v>cinematics</x:v>
      </x:c>
      <x:c r="B47" s="6" t="str">
        <x:v>3 fiche(s) : Examiner la perturbation — raccord mis en scène; Interrompre la transaction — raccord mis en scène; Comprendre la cible humaine — raccord mis en scène</x:v>
      </x:c>
      <x:c r="C47" s="6" t="str">
        <x:v>Prototyper les règles proposées et exécuter les critères de recette; aucune fiche n’est déclarée intégrée ou validée.</x:v>
      </x:c>
      <x:c r="D47" s="2"/>
      <x:c r="E47" s="2"/>
      <x:c r="F47" s="2"/>
    </x:row>
    <x:row r="48" ht="54" customHeight="1">
      <x:c r="A48" s="6" t="str">
        <x:v>weapons</x:v>
      </x:c>
      <x:c r="B48" s="6" t="str">
        <x:v>1 fiche(s) : Arme de garde — profil proposé</x:v>
      </x:c>
      <x:c r="C48" s="6" t="str">
        <x:v>Prototyper les règles proposées et exécuter les critères de recette; aucune fiche n’est déclarée intégrée ou validée.</x:v>
      </x:c>
      <x:c r="D48" s="2"/>
      <x:c r="E48" s="2"/>
      <x:c r="F48" s="2"/>
    </x:row>
    <x:row r="49" ht="54" customHeight="1">
      <x:c r="A49" s="6" t="str">
        <x:v>equipment</x:v>
      </x:c>
      <x:c r="B49" s="6" t="str">
        <x:v>1 fiche(s) : Porte-document d’opération</x:v>
      </x:c>
      <x:c r="C49" s="6" t="str">
        <x:v>Prototyper les règles proposées et exécuter les critères de recette; aucune fiche n’est déclarée intégrée ou validée.</x:v>
      </x:c>
      <x:c r="D49" s="2"/>
      <x:c r="E49" s="2"/>
      <x:c r="F49" s="2"/>
    </x:row>
    <x:row r="50" ht="54" customHeight="1">
      <x:c r="A50" s="6" t="str">
        <x:v>powers</x:v>
      </x:c>
      <x:c r="B50" s="6" t="str">
        <x:v>1 fiche(s) : Projection d’Aria — proposition</x:v>
      </x:c>
      <x:c r="C50" s="6" t="str">
        <x:v>Prototyper les règles proposées et exécuter les critères de recette; aucune fiche n’est déclarée intégrée ou validée.</x:v>
      </x:c>
      <x:c r="D50" s="2"/>
      <x:c r="E50" s="2"/>
      <x:c r="F50" s="2"/>
    </x:row>
    <x:row r="51" ht="54" customHeight="1">
      <x:c r="A51" s="6" t="str">
        <x:v>ally_moves</x:v>
      </x:c>
      <x:c r="B51" s="6" t="str">
        <x:v>2 fiche(s) : Percée de terrain; Appui de garde</x:v>
      </x:c>
      <x:c r="C51" s="6" t="str">
        <x:v>Prototyper les règles proposées et exécuter les critères de recette; aucune fiche n’est déclarée intégrée ou validée.</x:v>
      </x:c>
      <x:c r="D51" s="2"/>
      <x:c r="E51" s="2"/>
      <x:c r="F51" s="2"/>
    </x:row>
    <x:row r="52" ht="54" customHeight="1">
      <x:c r="A52" s="6" t="str">
        <x:v>enemy_moves</x:v>
      </x:c>
      <x:c r="B52" s="6" t="str">
        <x:v>6 fiche(s) : Tir de quai; Repli vers sortie; Salve concentrée; Couverture croisée</x:v>
      </x:c>
      <x:c r="C52" s="6" t="str">
        <x:v>Prototyper les règles proposées et exécuter les critères de recette; aucune fiche n’est déclarée intégrée ou validée.</x:v>
      </x:c>
      <x:c r="D52" s="2"/>
      <x:c r="E52" s="2"/>
      <x:c r="F52" s="2"/>
    </x:row>
    <x:row r="53" ht="54" customHeight="1">
      <x:c r="A53" s="6" t="str">
        <x:v>animations</x:v>
      </x:c>
      <x:c r="B53" s="6" t="str">
        <x:v>2 fiche(s) : Aria T’Loak — jeu de poses; Gardes batariens d’Aria — jeu de poses</x:v>
      </x:c>
      <x:c r="C53" s="6" t="str">
        <x:v>Produire les assets originaux puis vérifier en situation; ce catalogue ne livre ni image, ni son, ni animation.</x:v>
      </x:c>
      <x:c r="D53" s="2"/>
      <x:c r="E53" s="2"/>
      <x:c r="F53" s="2"/>
    </x:row>
    <x:row r="54" ht="54" customHeight="1">
      <x:c r="A54" s="6" t="str">
        <x:v>sprites</x:v>
      </x:c>
      <x:c r="B54" s="6" t="str">
        <x:v>2 fiche(s) : Aria T’Loak — planche de sprites; Gardes batariens d’Aria — planche de sprites</x:v>
      </x:c>
      <x:c r="C54" s="6" t="str">
        <x:v>Produire les assets originaux puis vérifier en situation; ce catalogue ne livre ni image, ni son, ni animation.</x:v>
      </x:c>
      <x:c r="D54" s="2"/>
      <x:c r="E54" s="2"/>
      <x:c r="F54" s="2"/>
    </x:row>
    <x:row r="55" ht="54" customHeight="1">
      <x:c r="A55" s="6" t="str">
        <x:v>vfx</x:v>
      </x:c>
      <x:c r="B55" s="6" t="str">
        <x:v>3 fiche(s) : Examiner la perturbation — signal visuel; Interrompre la transaction — signal visuel; Comprendre la cible humaine — signal visuel</x:v>
      </x:c>
      <x:c r="C55" s="6" t="str">
        <x:v>Produire les assets originaux puis vérifier en situation; ce catalogue ne livre ni image, ni son, ni animation.</x:v>
      </x:c>
      <x:c r="D55" s="2"/>
      <x:c r="E55" s="2"/>
      <x:c r="F55" s="2"/>
    </x:row>
    <x:row r="56" ht="54" customHeight="1">
      <x:c r="A56" s="6" t="str">
        <x:v>audio</x:v>
      </x:c>
      <x:c r="B56" s="6" t="str">
        <x:v>1 fiche(s) : Omega — secteur du raid — paysage sonore</x:v>
      </x:c>
      <x:c r="C56" s="6" t="str">
        <x:v>Produire les assets originaux puis vérifier en situation; ce catalogue ne livre ni image, ni son, ni animation.</x:v>
      </x:c>
      <x:c r="D56" s="2"/>
      <x:c r="E56" s="2"/>
      <x:c r="F56" s="2"/>
    </x:row>
    <x:row r="57" ht="54" customHeight="1">
      <x:c r="A57" s="6" t="str">
        <x:v>systems</x:v>
      </x:c>
      <x:c r="B57" s="6" t="str">
        <x:v>4 fiche(s) : Journal à deux niveaux; Groupe propre au chapitre; Rythme ATB proposé; Sauvegarde des modules</x:v>
      </x:c>
      <x:c r="C57" s="6" t="str">
        <x:v>Prototyper les règles proposées et exécuter les critères de recette; aucune fiche n’est déclarée intégrée ou validée.</x:v>
      </x:c>
      <x:c r="D57" s="2"/>
      <x:c r="E57" s="2"/>
      <x:c r="F57" s="2"/>
    </x:row>
    <x:row r="58" ht="68" customHeight="1">
      <x:c r="A58" s="6" t="str">
        <x:v>qa</x:v>
      </x:c>
      <x:c r="B58" s="6" t="str">
        <x:v>6 fiche(s) : Examiner la perturbation — contrôle du parcours; Interrompre la transaction — contrôle du parcours; Comprendre la cible humaine — contrôle du parcours; Vérification des références</x:v>
      </x:c>
      <x:c r="C58" s="6" t="str">
        <x:v>Prototyper les règles proposées et exécuter les critères de recette; aucune fiche n’est déclarée intégrée ou validée.</x:v>
      </x:c>
      <x:c r="D58" s="2"/>
      <x:c r="E58" s="2"/>
      <x:c r="F58" s="2"/>
    </x:row>
    <x:row r="59" ht="68" customHeight="1">
      <x:c r="A59" s="6" t="str">
        <x:v>continuity</x:v>
      </x:c>
      <x:c r="B59" s="6" t="str">
        <x:v>2 fiche(s) : Position dans l’univers; Contenus non attestés</x:v>
      </x:c>
      <x:c r="C59" s="6" t="str">
        <x:v>Comparer les détails marqués À vérifier à une édition autorisée; les sources éditoriales n’attestent pas chaque détail graphique.</x:v>
      </x:c>
      <x:c r="D59" s="2"/>
      <x:c r="E59" s="2"/>
      <x:c r="F59" s="2"/>
    </x:row>
    <x:row r="60" ht="96" customHeight="1">
      <x:c r="A60" s="6" t="str">
        <x:v>Complément lectures contextualisées</x:v>
      </x:c>
      <x:c r="B60" s="6" t="str">
        <x:v>2 références supplémentaires au stade Prototype dans 1 parcours de lecture (1 pages de paraphrases documentaires sourcées), limités à leurs segments exacts.</x:v>
      </x:c>
      <x:c r="C60" s="6" t="str">
        <x:v>Les faits, références, sources et réserves d’origine sont conservés. Ces lectures ne constituent ni un découpage intégral, ni une scène jouable, ni un recrutement ; modèles, voix et animations de l’œuvre ne sont pas produits.</x:v>
      </x:c>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sheetData>
  <x:pageMargins left="0.7" right="0.7" top="0.75" bottom="0.75" header="0.3" footer="0.3"/>
</x:worksheet>
</file>