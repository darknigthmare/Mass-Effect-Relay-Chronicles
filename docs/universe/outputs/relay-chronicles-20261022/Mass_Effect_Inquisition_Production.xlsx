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2231a9a0bf417f" /></Relationships>
</file>

<file path=xl/workbook.xml><?xml version="1.0" encoding="utf-8"?>
<x:workbook xmlns:x="http://schemas.openxmlformats.org/spreadsheetml/2006/main">
  <x:sheets>
    <x:sheet xmlns:r="http://schemas.openxmlformats.org/officeDocument/2006/relationships" name="Dashboard" sheetId="1" r:id="R36044f486d564365"/>
    <x:sheet xmlns:r="http://schemas.openxmlformats.org/officeDocument/2006/relationships" name="Personnages" sheetId="2" r:id="Re64364d7c1934757"/>
    <x:sheet xmlns:r="http://schemas.openxmlformats.org/officeDocument/2006/relationships" name="PNJ" sheetId="3" r:id="R89ea3b403174413b"/>
    <x:sheet xmlns:r="http://schemas.openxmlformats.org/officeDocument/2006/relationships" name="Especes_factions" sheetId="4" r:id="R2219ce82828841fe"/>
    <x:sheet xmlns:r="http://schemas.openxmlformats.org/officeDocument/2006/relationships" name="Mondes" sheetId="5" r:id="Ra87ba17902d346ed"/>
    <x:sheet xmlns:r="http://schemas.openxmlformats.org/officeDocument/2006/relationships" name="Zones" sheetId="6" r:id="R580539bc76034379"/>
    <x:sheet xmlns:r="http://schemas.openxmlformats.org/officeDocument/2006/relationships" name="Liaisons" sheetId="7" r:id="Rcee268be7ba34451"/>
    <x:sheet xmlns:r="http://schemas.openxmlformats.org/officeDocument/2006/relationships" name="Decors" sheetId="8" r:id="Rc7b6d59e66c24791"/>
    <x:sheet xmlns:r="http://schemas.openxmlformats.org/officeDocument/2006/relationships" name="Props" sheetId="9" r:id="Rf66eda51172d4c3d"/>
    <x:sheet xmlns:r="http://schemas.openxmlformats.org/officeDocument/2006/relationships" name="Ennemis_boss" sheetId="10" r:id="Rb71f33970c174bad"/>
    <x:sheet xmlns:r="http://schemas.openxmlformats.org/officeDocument/2006/relationships" name="Missions" sheetId="11" r:id="Rcd0a196dd2cf494a"/>
    <x:sheet xmlns:r="http://schemas.openxmlformats.org/officeDocument/2006/relationships" name="Secondaires_DLC" sheetId="12" r:id="R2dbf1b2a42b84254"/>
    <x:sheet xmlns:r="http://schemas.openxmlformats.org/officeDocument/2006/relationships" name="Choix_relations" sheetId="13" r:id="R655fe7289ea24690"/>
    <x:sheet xmlns:r="http://schemas.openxmlformats.org/officeDocument/2006/relationships" name="Dialogues" sheetId="14" r:id="R4fbcde2611a240f6"/>
    <x:sheet xmlns:r="http://schemas.openxmlformats.org/officeDocument/2006/relationships" name="Cinematiques" sheetId="15" r:id="Rf7ffdd1f155e4437"/>
    <x:sheet xmlns:r="http://schemas.openxmlformats.org/officeDocument/2006/relationships" name="Armes" sheetId="16" r:id="R41317e56ad6e4a15"/>
    <x:sheet xmlns:r="http://schemas.openxmlformats.org/officeDocument/2006/relationships" name="Armures_equipement" sheetId="17" r:id="R587461c49c074485"/>
    <x:sheet xmlns:r="http://schemas.openxmlformats.org/officeDocument/2006/relationships" name="Pouvoirs" sheetId="18" r:id="R16f3dfdbe8a146c0"/>
    <x:sheet xmlns:r="http://schemas.openxmlformats.org/officeDocument/2006/relationships" name="Movesets_allies" sheetId="19" r:id="Rfb424684e3e44e6c"/>
    <x:sheet xmlns:r="http://schemas.openxmlformats.org/officeDocument/2006/relationships" name="Movesets_ennemis" sheetId="20" r:id="R3c403f0c8b4d4335"/>
    <x:sheet xmlns:r="http://schemas.openxmlformats.org/officeDocument/2006/relationships" name="Animations" sheetId="21" r:id="Ra464bcf668b841de"/>
    <x:sheet xmlns:r="http://schemas.openxmlformats.org/officeDocument/2006/relationships" name="Sprites" sheetId="22" r:id="R11f7794640684edb"/>
    <x:sheet xmlns:r="http://schemas.openxmlformats.org/officeDocument/2006/relationships" name="VFX" sheetId="23" r:id="R806963dadd6c4f89"/>
    <x:sheet xmlns:r="http://schemas.openxmlformats.org/officeDocument/2006/relationships" name="Audio" sheetId="24" r:id="Rffab14eb199f4e4c"/>
    <x:sheet xmlns:r="http://schemas.openxmlformats.org/officeDocument/2006/relationships" name="UI_systemes" sheetId="25" r:id="R4a2fc4991ab64fa0"/>
    <x:sheet xmlns:r="http://schemas.openxmlformats.org/officeDocument/2006/relationships" name="QA" sheetId="26" r:id="R2b4d526485594c9a"/>
    <x:sheet xmlns:r="http://schemas.openxmlformats.org/officeDocument/2006/relationships" name="Continuite" sheetId="27" r:id="Rca629ac055e44859"/>
    <x:sheet xmlns:r="http://schemas.openxmlformats.org/officeDocument/2006/relationships" name="Guide" sheetId="28" r:id="R039c4a920a9b413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feca084f8ab44ea4" /><Relationship Type="http://schemas.openxmlformats.org/officeDocument/2006/relationships/theme" Target="/xl/theme/theme1.xml" Id="Rd5b957118ed24949" /><Relationship Type="http://schemas.openxmlformats.org/officeDocument/2006/relationships/sharedStrings" Target="/xl/sharedStrings.xml" Id="R4b3347e5a4434f30" /><Relationship Type="http://schemas.openxmlformats.org/officeDocument/2006/relationships/worksheet" Target="/xl/worksheets/sheet1.xml" Id="R36044f486d564365" /><Relationship Type="http://schemas.openxmlformats.org/officeDocument/2006/relationships/worksheet" Target="/xl/worksheets/sheet2.xml" Id="Re64364d7c1934757" /><Relationship Type="http://schemas.openxmlformats.org/officeDocument/2006/relationships/worksheet" Target="/xl/worksheets/sheet3.xml" Id="R89ea3b403174413b" /><Relationship Type="http://schemas.openxmlformats.org/officeDocument/2006/relationships/worksheet" Target="/xl/worksheets/sheet4.xml" Id="R2219ce82828841fe" /><Relationship Type="http://schemas.openxmlformats.org/officeDocument/2006/relationships/worksheet" Target="/xl/worksheets/sheet5.xml" Id="Ra87ba17902d346ed" /><Relationship Type="http://schemas.openxmlformats.org/officeDocument/2006/relationships/worksheet" Target="/xl/worksheets/sheet6.xml" Id="R580539bc76034379" /><Relationship Type="http://schemas.openxmlformats.org/officeDocument/2006/relationships/worksheet" Target="/xl/worksheets/sheet7.xml" Id="Rcee268be7ba34451" /><Relationship Type="http://schemas.openxmlformats.org/officeDocument/2006/relationships/worksheet" Target="/xl/worksheets/sheet8.xml" Id="Rc7b6d59e66c24791" /><Relationship Type="http://schemas.openxmlformats.org/officeDocument/2006/relationships/worksheet" Target="/xl/worksheets/sheet9.xml" Id="Rf66eda51172d4c3d" /><Relationship Type="http://schemas.openxmlformats.org/officeDocument/2006/relationships/worksheet" Target="/xl/worksheets/sheet10.xml" Id="Rb71f33970c174bad" /><Relationship Type="http://schemas.openxmlformats.org/officeDocument/2006/relationships/worksheet" Target="/xl/worksheets/sheet11.xml" Id="Rcd0a196dd2cf494a" /><Relationship Type="http://schemas.openxmlformats.org/officeDocument/2006/relationships/worksheet" Target="/xl/worksheets/sheet12.xml" Id="R2dbf1b2a42b84254" /><Relationship Type="http://schemas.openxmlformats.org/officeDocument/2006/relationships/worksheet" Target="/xl/worksheets/sheet13.xml" Id="R655fe7289ea24690" /><Relationship Type="http://schemas.openxmlformats.org/officeDocument/2006/relationships/worksheet" Target="/xl/worksheets/sheet14.xml" Id="R4fbcde2611a240f6" /><Relationship Type="http://schemas.openxmlformats.org/officeDocument/2006/relationships/worksheet" Target="/xl/worksheets/sheet15.xml" Id="Rf7ffdd1f155e4437" /><Relationship Type="http://schemas.openxmlformats.org/officeDocument/2006/relationships/worksheet" Target="/xl/worksheets/sheet16.xml" Id="R41317e56ad6e4a15" /><Relationship Type="http://schemas.openxmlformats.org/officeDocument/2006/relationships/worksheet" Target="/xl/worksheets/sheet17.xml" Id="R587461c49c074485" /><Relationship Type="http://schemas.openxmlformats.org/officeDocument/2006/relationships/worksheet" Target="/xl/worksheets/sheet18.xml" Id="R16f3dfdbe8a146c0" /><Relationship Type="http://schemas.openxmlformats.org/officeDocument/2006/relationships/worksheet" Target="/xl/worksheets/sheet19.xml" Id="Rfb424684e3e44e6c" /><Relationship Type="http://schemas.openxmlformats.org/officeDocument/2006/relationships/worksheet" Target="/xl/worksheets/sheet20.xml" Id="R3c403f0c8b4d4335" /><Relationship Type="http://schemas.openxmlformats.org/officeDocument/2006/relationships/worksheet" Target="/xl/worksheets/sheet21.xml" Id="Ra464bcf668b841de" /><Relationship Type="http://schemas.openxmlformats.org/officeDocument/2006/relationships/worksheet" Target="/xl/worksheets/sheet22.xml" Id="R11f7794640684edb" /><Relationship Type="http://schemas.openxmlformats.org/officeDocument/2006/relationships/worksheet" Target="/xl/worksheets/sheet23.xml" Id="R806963dadd6c4f89" /><Relationship Type="http://schemas.openxmlformats.org/officeDocument/2006/relationships/worksheet" Target="/xl/worksheets/sheet24.xml" Id="Rffab14eb199f4e4c" /><Relationship Type="http://schemas.openxmlformats.org/officeDocument/2006/relationships/worksheet" Target="/xl/worksheets/sheet25.xml" Id="R4a2fc4991ab64fa0" /><Relationship Type="http://schemas.openxmlformats.org/officeDocument/2006/relationships/worksheet" Target="/xl/worksheets/sheet26.xml" Id="R2b4d526485594c9a" /><Relationship Type="http://schemas.openxmlformats.org/officeDocument/2006/relationships/worksheet" Target="/xl/worksheets/sheet27.xml" Id="Rca629ac055e44859" /><Relationship Type="http://schemas.openxmlformats.org/officeDocument/2006/relationships/worksheet" Target="/xl/worksheets/sheet28.xml" Id="R039c4a920a9b4137" /></Relationships>
</file>

<file path=xl/tables/table1.xml><?xml version="1.0" encoding="utf-8"?>
<x:table xmlns:x="http://schemas.openxmlformats.org/spreadsheetml/2006/main" id="1" name="INQ_characters" displayName="INQ_character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INQ_npcs" displayName="INQ_npc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INQ_lore" displayName="INQ_lore"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INQ_worlds" displayName="INQ_world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INQ_zones" displayName="INQ_zon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INQ_links" displayName="INQ_link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INQ_scenery" displayName="INQ_scenery"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INQ_props" displayName="INQ_prop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INQ_enemies" displayName="INQ_enemi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INQ_main_quests" displayName="INQ_main_quest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INQ_side_quests" displayName="INQ_side_quest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INQ_choices" displayName="INQ_choic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INQ_dialogues" displayName="INQ_dialogu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INQ_cinematics" displayName="INQ_cinematic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INQ_weapons" displayName="INQ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INQ_equipment" displayName="INQ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INQ_powers" displayName="INQ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INQ_ally_moves" displayName="INQ_ally_mov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INQ_enemy_moves" displayName="INQ_enemy_mov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INQ_animations" displayName="INQ_animation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INQ_sprites" displayName="INQ_sprit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INQ_vfx" displayName="INQ_vfx"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INQ_audio" displayName="INQ_audio"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INQ_systems" displayName="INQ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INQ_qa" displayName="INQ_qa"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INQ_continuity" displayName="INQ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bf72b5cd1b40f1" /></Relationships>
</file>

<file path=xl/worksheets/_rels/sheet3.xml.rels>&#65279;<?xml version="1.0" encoding="utf-8"?><Relationships xmlns="http://schemas.openxmlformats.org/package/2006/relationships"><Relationship Type="http://schemas.openxmlformats.org/officeDocument/2006/relationships/table" Target="/xl/tables/table2.xml" Id="R6c3fc47dfa724f71" /></Relationships>
</file>

<file path=xl/worksheets/_rels/sheet4.xml.rels>&#65279;<?xml version="1.0" encoding="utf-8"?><Relationships xmlns="http://schemas.openxmlformats.org/package/2006/relationships"><Relationship Type="http://schemas.openxmlformats.org/officeDocument/2006/relationships/table" Target="/xl/tables/table3.xml" Id="R2da64a7a5bf64886" /></Relationships>
</file>

<file path=xl/worksheets/_rels/sheet5.xml.rels>&#65279;<?xml version="1.0" encoding="utf-8"?><Relationships xmlns="http://schemas.openxmlformats.org/package/2006/relationships"><Relationship Type="http://schemas.openxmlformats.org/officeDocument/2006/relationships/table" Target="/xl/tables/table4.xml" Id="R463de148a7d04f01" /></Relationships>
</file>

<file path=xl/worksheets/_rels/sheet6.xml.rels>&#65279;<?xml version="1.0" encoding="utf-8"?><Relationships xmlns="http://schemas.openxmlformats.org/package/2006/relationships"><Relationship Type="http://schemas.openxmlformats.org/officeDocument/2006/relationships/table" Target="/xl/tables/table5.xml" Id="R3f0e069d90624aed" /></Relationships>
</file>

<file path=xl/worksheets/_rels/sheet7.xml.rels>&#65279;<?xml version="1.0" encoding="utf-8"?><Relationships xmlns="http://schemas.openxmlformats.org/package/2006/relationships"><Relationship Type="http://schemas.openxmlformats.org/officeDocument/2006/relationships/table" Target="/xl/tables/table6.xml" Id="Ra77de13929a74fe5" /></Relationships>
</file>

<file path=xl/worksheets/_rels/sheet8.xml.rels>&#65279;<?xml version="1.0" encoding="utf-8"?><Relationships xmlns="http://schemas.openxmlformats.org/package/2006/relationships"><Relationship Type="http://schemas.openxmlformats.org/officeDocument/2006/relationships/table" Target="/xl/tables/table7.xml" Id="R03ba96b73ba04555" /></Relationships>
</file>

<file path=xl/worksheets/_rels/sheet9.xml.rels>&#65279;<?xml version="1.0" encoding="utf-8"?><Relationships xmlns="http://schemas.openxmlformats.org/package/2006/relationships"><Relationship Type="http://schemas.openxmlformats.org/officeDocument/2006/relationships/table" Target="/xl/tables/table8.xml" Id="Rb69150dd0d244f50" /></Relationships>
</file>

<file path=xl/worksheets/_rels/sheet10.xml.rels>&#65279;<?xml version="1.0" encoding="utf-8"?><Relationships xmlns="http://schemas.openxmlformats.org/package/2006/relationships"><Relationship Type="http://schemas.openxmlformats.org/officeDocument/2006/relationships/table" Target="/xl/tables/table9.xml" Id="R1134369a99104da0" /></Relationships>
</file>

<file path=xl/worksheets/_rels/sheet11.xml.rels>&#65279;<?xml version="1.0" encoding="utf-8"?><Relationships xmlns="http://schemas.openxmlformats.org/package/2006/relationships"><Relationship Type="http://schemas.openxmlformats.org/officeDocument/2006/relationships/table" Target="/xl/tables/table10.xml" Id="R95636c86eb8848f9" /></Relationships>
</file>

<file path=xl/worksheets/_rels/sheet12.xml.rels>&#65279;<?xml version="1.0" encoding="utf-8"?><Relationships xmlns="http://schemas.openxmlformats.org/package/2006/relationships"><Relationship Type="http://schemas.openxmlformats.org/officeDocument/2006/relationships/table" Target="/xl/tables/table11.xml" Id="R09edc8dc0d294f83" /></Relationships>
</file>

<file path=xl/worksheets/_rels/sheet13.xml.rels>&#65279;<?xml version="1.0" encoding="utf-8"?><Relationships xmlns="http://schemas.openxmlformats.org/package/2006/relationships"><Relationship Type="http://schemas.openxmlformats.org/officeDocument/2006/relationships/table" Target="/xl/tables/table12.xml" Id="Raa4bcb1362144464" /></Relationships>
</file>

<file path=xl/worksheets/_rels/sheet14.xml.rels>&#65279;<?xml version="1.0" encoding="utf-8"?><Relationships xmlns="http://schemas.openxmlformats.org/package/2006/relationships"><Relationship Type="http://schemas.openxmlformats.org/officeDocument/2006/relationships/table" Target="/xl/tables/table13.xml" Id="Rf98580b01686463f" /></Relationships>
</file>

<file path=xl/worksheets/_rels/sheet15.xml.rels>&#65279;<?xml version="1.0" encoding="utf-8"?><Relationships xmlns="http://schemas.openxmlformats.org/package/2006/relationships"><Relationship Type="http://schemas.openxmlformats.org/officeDocument/2006/relationships/table" Target="/xl/tables/table14.xml" Id="Rd554e58aaf3e4001" /></Relationships>
</file>

<file path=xl/worksheets/_rels/sheet16.xml.rels>&#65279;<?xml version="1.0" encoding="utf-8"?><Relationships xmlns="http://schemas.openxmlformats.org/package/2006/relationships"><Relationship Type="http://schemas.openxmlformats.org/officeDocument/2006/relationships/table" Target="/xl/tables/table15.xml" Id="R081a1df1e7e44f0b" /></Relationships>
</file>

<file path=xl/worksheets/_rels/sheet17.xml.rels>&#65279;<?xml version="1.0" encoding="utf-8"?><Relationships xmlns="http://schemas.openxmlformats.org/package/2006/relationships"><Relationship Type="http://schemas.openxmlformats.org/officeDocument/2006/relationships/table" Target="/xl/tables/table16.xml" Id="R07f9ce784d774199" /></Relationships>
</file>

<file path=xl/worksheets/_rels/sheet18.xml.rels>&#65279;<?xml version="1.0" encoding="utf-8"?><Relationships xmlns="http://schemas.openxmlformats.org/package/2006/relationships"><Relationship Type="http://schemas.openxmlformats.org/officeDocument/2006/relationships/table" Target="/xl/tables/table17.xml" Id="Rcb96232f787b4a37" /></Relationships>
</file>

<file path=xl/worksheets/_rels/sheet19.xml.rels>&#65279;<?xml version="1.0" encoding="utf-8"?><Relationships xmlns="http://schemas.openxmlformats.org/package/2006/relationships"><Relationship Type="http://schemas.openxmlformats.org/officeDocument/2006/relationships/table" Target="/xl/tables/table18.xml" Id="R0ac806a1a1bf4436" /></Relationships>
</file>

<file path=xl/worksheets/_rels/sheet20.xml.rels>&#65279;<?xml version="1.0" encoding="utf-8"?><Relationships xmlns="http://schemas.openxmlformats.org/package/2006/relationships"><Relationship Type="http://schemas.openxmlformats.org/officeDocument/2006/relationships/table" Target="/xl/tables/table19.xml" Id="Rd2a326ef35e045a3" /></Relationships>
</file>

<file path=xl/worksheets/_rels/sheet21.xml.rels>&#65279;<?xml version="1.0" encoding="utf-8"?><Relationships xmlns="http://schemas.openxmlformats.org/package/2006/relationships"><Relationship Type="http://schemas.openxmlformats.org/officeDocument/2006/relationships/table" Target="/xl/tables/table20.xml" Id="Rca8aee42ab0a4ae6" /></Relationships>
</file>

<file path=xl/worksheets/_rels/sheet22.xml.rels>&#65279;<?xml version="1.0" encoding="utf-8"?><Relationships xmlns="http://schemas.openxmlformats.org/package/2006/relationships"><Relationship Type="http://schemas.openxmlformats.org/officeDocument/2006/relationships/table" Target="/xl/tables/table21.xml" Id="Rdf1f903ed23344ee" /></Relationships>
</file>

<file path=xl/worksheets/_rels/sheet23.xml.rels>&#65279;<?xml version="1.0" encoding="utf-8"?><Relationships xmlns="http://schemas.openxmlformats.org/package/2006/relationships"><Relationship Type="http://schemas.openxmlformats.org/officeDocument/2006/relationships/table" Target="/xl/tables/table22.xml" Id="R97071a1a2038484b" /></Relationships>
</file>

<file path=xl/worksheets/_rels/sheet24.xml.rels>&#65279;<?xml version="1.0" encoding="utf-8"?><Relationships xmlns="http://schemas.openxmlformats.org/package/2006/relationships"><Relationship Type="http://schemas.openxmlformats.org/officeDocument/2006/relationships/table" Target="/xl/tables/table23.xml" Id="Rde4a614129dc4d23" /></Relationships>
</file>

<file path=xl/worksheets/_rels/sheet25.xml.rels>&#65279;<?xml version="1.0" encoding="utf-8"?><Relationships xmlns="http://schemas.openxmlformats.org/package/2006/relationships"><Relationship Type="http://schemas.openxmlformats.org/officeDocument/2006/relationships/table" Target="/xl/tables/table24.xml" Id="R96fbe8f3638f41a0" /></Relationships>
</file>

<file path=xl/worksheets/_rels/sheet26.xml.rels>&#65279;<?xml version="1.0" encoding="utf-8"?><Relationships xmlns="http://schemas.openxmlformats.org/package/2006/relationships"><Relationship Type="http://schemas.openxmlformats.org/officeDocument/2006/relationships/table" Target="/xl/tables/table25.xml" Id="R86de20cd9b5d497e" /></Relationships>
</file>

<file path=xl/worksheets/_rels/sheet27.xml.rels>&#65279;<?xml version="1.0" encoding="utf-8"?><Relationships xmlns="http://schemas.openxmlformats.org/package/2006/relationships"><Relationship Type="http://schemas.openxmlformats.org/officeDocument/2006/relationships/table" Target="/xl/tables/table26.xml" Id="R99548987fb594181"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Inquisition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63</x:v>
      </x:c>
      <x:c r="C5" s="2"/>
      <x:c r="D5" s="2" t="str">
        <x:v>Intégrés</x:v>
      </x:c>
      <x:c r="E5" s="31" t="n">
        <x:f>SUM(E10:F35)</x:f>
        <x:v>0</x:v>
      </x:c>
      <x:c r="F5" s="2"/>
      <x:c r="G5" s="2" t="str">
        <x:v>À vérifier</x:v>
      </x:c>
      <x:c r="H5" s="31" t="n">
        <x:f>SUM(H10:H35)</x:f>
        <x:v>9</x:v>
      </x:c>
      <x:c r="I5" s="2"/>
      <x:c r="J5" s="2" t="str">
        <x:v>Extrapolations</x:v>
      </x:c>
      <x:c r="K5" s="31" t="n">
        <x:f>SUM(I10:I35)</x:f>
        <x:v>51</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COUNTA('Personnages'!$A$7:$A$8)</x:f>
        <x:v>2</x:v>
      </x:c>
      <x:c r="C10" s="37" t="n">
        <x:f>COUNTIFS('Personnages'!$C$7:$C$8,"Défini")</x:f>
        <x:v>2</x:v>
      </x:c>
      <x:c r="D10" s="37" t="n">
        <x:f>COUNTIFS('Personnages'!$C$7:$C$8,"Prototype")</x:f>
        <x:v>0</x:v>
      </x:c>
      <x:c r="E10" s="37" t="n">
        <x:f>COUNTIFS('Personnages'!$C$7:$C$8,"Intégré")</x:f>
        <x:v>0</x:v>
      </x:c>
      <x:c r="F10" s="37" t="n">
        <x:f>COUNTIFS('Personnages'!$C$7:$C$8,"Validé")</x:f>
        <x:v>0</x:v>
      </x:c>
      <x:c r="G10" s="37" t="n">
        <x:f>COUNTIFS('Personnages'!$D$7:$D$8,"Établi")</x:f>
        <x:v>1</x:v>
      </x:c>
      <x:c r="H10" s="37" t="n">
        <x:f>COUNTIFS('Personnages'!$D$7:$D$8,"À vérifier")</x:f>
        <x:v>1</x:v>
      </x:c>
      <x:c r="I10" s="37" t="n">
        <x:f>COUNTIFS('Personnages'!$D$7:$D$8,"Extrapolation")</x:f>
        <x:v>0</x:v>
      </x:c>
      <x:c r="J10" s="37" t="n">
        <x:f>COUNTIFS('Personnages'!$D$7:$D$8,"Coupé attesté")</x:f>
        <x:v>0</x:v>
      </x:c>
      <x:c r="K10" s="37" t="n">
        <x:f>COUNTIFS('Personnages'!$D$7:$D$8,"Concept abandonné")</x:f>
        <x:v>0</x:v>
      </x:c>
      <x:c r="L10" s="37" t="n">
        <x:f>COUNTIFS('Personnages'!$D$7:$D$8,"Allégation écartée")</x:f>
        <x:v>0</x:v>
      </x:c>
      <x:c r="M10" s="37" t="n">
        <x:f>COUNTIFS('Personnages'!$E$7:$E$8,"P0")</x:f>
        <x:v>0</x:v>
      </x:c>
    </x:row>
    <x:row r="11" ht="22" customHeight="1">
      <x:c r="A11" s="2" t="str">
        <x:v>PNJ</x:v>
      </x:c>
      <x:c r="B11" s="38" t="n">
        <x:f>COUNTA('PNJ'!$A$7:$A$8)</x:f>
        <x:v>2</x:v>
      </x:c>
      <x:c r="C11" s="38" t="n">
        <x:f>COUNTIFS('PNJ'!$C$7:$C$8,"Défini")</x:f>
        <x:v>2</x:v>
      </x:c>
      <x:c r="D11" s="38" t="n">
        <x:f>COUNTIFS('PNJ'!$C$7:$C$8,"Prototype")</x:f>
        <x:v>0</x:v>
      </x:c>
      <x:c r="E11" s="38" t="n">
        <x:f>COUNTIFS('PNJ'!$C$7:$C$8,"Intégré")</x:f>
        <x:v>0</x:v>
      </x:c>
      <x:c r="F11" s="38" t="n">
        <x:f>COUNTIFS('PNJ'!$C$7:$C$8,"Validé")</x:f>
        <x:v>0</x:v>
      </x:c>
      <x:c r="G11" s="38" t="n">
        <x:f>COUNTIFS('PNJ'!$D$7:$D$8,"Établi")</x:f>
        <x:v>0</x:v>
      </x:c>
      <x:c r="H11" s="38" t="n">
        <x:f>COUNTIFS('PNJ'!$D$7:$D$8,"À vérifier")</x:f>
        <x:v>2</x:v>
      </x:c>
      <x:c r="I11" s="38" t="n">
        <x:f>COUNTIFS('PNJ'!$D$7:$D$8,"Extrapolation")</x:f>
        <x:v>0</x:v>
      </x:c>
      <x:c r="J11" s="38" t="n">
        <x:f>COUNTIFS('PNJ'!$D$7:$D$8,"Coupé attesté")</x:f>
        <x:v>0</x:v>
      </x:c>
      <x:c r="K11" s="38" t="n">
        <x:f>COUNTIFS('PNJ'!$D$7:$D$8,"Concept abandonné")</x:f>
        <x:v>0</x:v>
      </x:c>
      <x:c r="L11" s="38" t="n">
        <x:f>COUNTIFS('PNJ'!$D$7:$D$8,"Allégation écartée")</x:f>
        <x:v>0</x:v>
      </x:c>
      <x:c r="M11" s="38" t="n">
        <x:f>COUNTIFS('PNJ'!$E$7:$E$8,"P0")</x:f>
        <x:v>0</x:v>
      </x:c>
    </x:row>
    <x:row r="12" ht="22" customHeight="1">
      <x:c r="A12" s="33" t="str">
        <x:v>Espèces et factions</x:v>
      </x:c>
      <x:c r="B12" s="37" t="n">
        <x:f>COUNTA('Especes_factions'!$A$7:$A$12)</x:f>
        <x:v>6</x:v>
      </x:c>
      <x:c r="C12" s="37" t="n">
        <x:f>COUNTIFS('Especes_factions'!$C$7:$C$12,"Défini")</x:f>
        <x:v>5</x:v>
      </x:c>
      <x:c r="D12" s="37" t="n">
        <x:f>COUNTIFS('Especes_factions'!$C$7:$C$12,"Prototype")</x:f>
        <x:v>1</x:v>
      </x:c>
      <x:c r="E12" s="37" t="n">
        <x:f>COUNTIFS('Especes_factions'!$C$7:$C$12,"Intégré")</x:f>
        <x:v>0</x:v>
      </x:c>
      <x:c r="F12" s="37" t="n">
        <x:f>COUNTIFS('Especes_factions'!$C$7:$C$12,"Validé")</x:f>
        <x:v>0</x:v>
      </x:c>
      <x:c r="G12" s="37" t="n">
        <x:f>COUNTIFS('Especes_factions'!$D$7:$D$12,"Établi")</x:f>
        <x:v>1</x:v>
      </x:c>
      <x:c r="H12" s="37" t="n">
        <x:f>COUNTIFS('Especes_factions'!$D$7:$D$12,"À vérifier")</x:f>
        <x:v>5</x:v>
      </x:c>
      <x:c r="I12" s="37" t="n">
        <x:f>COUNTIFS('Especes_factions'!$D$7:$D$12,"Extrapolation")</x:f>
        <x:v>0</x:v>
      </x:c>
      <x:c r="J12" s="37" t="n">
        <x:f>COUNTIFS('Especes_factions'!$D$7:$D$12,"Coupé attesté")</x:f>
        <x:v>0</x:v>
      </x:c>
      <x:c r="K12" s="37" t="n">
        <x:f>COUNTIFS('Especes_factions'!$D$7:$D$12,"Concept abandonné")</x:f>
        <x:v>0</x:v>
      </x:c>
      <x:c r="L12" s="37" t="n">
        <x:f>COUNTIFS('Especes_factions'!$D$7:$D$12,"Allégation écartée")</x:f>
        <x:v>0</x:v>
      </x:c>
      <x:c r="M12" s="37" t="n">
        <x:f>COUNTIFS('Especes_factions'!$E$7:$E$12,"P0")</x:f>
        <x:v>3</x:v>
      </x:c>
    </x:row>
    <x:row r="13" ht="22" customHeight="1">
      <x:c r="A13" s="2" t="str">
        <x:v>Mondes</x:v>
      </x:c>
      <x:c r="B13" s="38" t="n">
        <x:f>COUNTA('Mondes'!$A$7:$A$7)</x:f>
        <x:v>1</x:v>
      </x:c>
      <x:c r="C13" s="38" t="n">
        <x:f>COUNTIFS('Mondes'!$C$7:$C$7,"Défini")</x:f>
        <x:v>0</x:v>
      </x:c>
      <x:c r="D13" s="38" t="n">
        <x:f>COUNTIFS('Mondes'!$C$7:$C$7,"Prototype")</x:f>
        <x:v>1</x:v>
      </x:c>
      <x:c r="E13" s="38" t="n">
        <x:f>COUNTIFS('Mondes'!$C$7:$C$7,"Intégré")</x:f>
        <x:v>0</x:v>
      </x:c>
      <x:c r="F13" s="38" t="n">
        <x:f>COUNTIFS('Mondes'!$C$7:$C$7,"Validé")</x:f>
        <x:v>0</x:v>
      </x:c>
      <x:c r="G13" s="38" t="n">
        <x:f>COUNTIFS('Mondes'!$D$7:$D$7,"Établi")</x:f>
        <x:v>1</x:v>
      </x:c>
      <x:c r="H13" s="38" t="n">
        <x:f>COUNTIFS('Mondes'!$D$7:$D$7,"À vérifier")</x:f>
        <x:v>0</x:v>
      </x:c>
      <x:c r="I13" s="38" t="n">
        <x:f>COUNTIFS('Mondes'!$D$7:$D$7,"Extrapolation")</x:f>
        <x:v>0</x:v>
      </x:c>
      <x:c r="J13" s="38" t="n">
        <x:f>COUNTIFS('Mondes'!$D$7:$D$7,"Coupé attesté")</x:f>
        <x:v>0</x:v>
      </x:c>
      <x:c r="K13" s="38" t="n">
        <x:f>COUNTIFS('Mondes'!$D$7:$D$7,"Concept abandonné")</x:f>
        <x:v>0</x:v>
      </x:c>
      <x:c r="L13" s="38" t="n">
        <x:f>COUNTIFS('Mondes'!$D$7:$D$7,"Allégation écartée")</x:f>
        <x:v>0</x:v>
      </x:c>
      <x:c r="M13" s="38" t="n">
        <x:f>COUNTIFS('Mondes'!$E$7:$E$7,"P0")</x:f>
        <x:v>0</x:v>
      </x:c>
    </x:row>
    <x:row r="14" ht="22" customHeight="1">
      <x:c r="A14" s="33" t="str">
        <x:v>Zones</x:v>
      </x:c>
      <x:c r="B14" s="37" t="n">
        <x:f>COUNTA('Zones'!$A$7:$A$7)</x:f>
        <x:v>1</x:v>
      </x:c>
      <x:c r="C14" s="37" t="n">
        <x:f>COUNTIFS('Zones'!$C$7:$C$7,"Défini")</x:f>
        <x:v>1</x:v>
      </x:c>
      <x:c r="D14" s="37" t="n">
        <x:f>COUNTIFS('Zones'!$C$7:$C$7,"Prototype")</x:f>
        <x:v>0</x:v>
      </x:c>
      <x:c r="E14" s="37" t="n">
        <x:f>COUNTIFS('Zones'!$C$7:$C$7,"Intégré")</x:f>
        <x:v>0</x:v>
      </x:c>
      <x:c r="F14" s="37" t="n">
        <x:f>COUNTIFS('Zones'!$C$7:$C$7,"Validé")</x:f>
        <x:v>0</x:v>
      </x:c>
      <x:c r="G14" s="37" t="n">
        <x:f>COUNTIFS('Zones'!$D$7:$D$7,"Établi")</x:f>
        <x:v>0</x:v>
      </x:c>
      <x:c r="H14" s="37" t="n">
        <x:f>COUNTIFS('Zones'!$D$7:$D$7,"À vérifier")</x:f>
        <x:v>0</x:v>
      </x:c>
      <x:c r="I14" s="37" t="n">
        <x:f>COUNTIFS('Zones'!$D$7:$D$7,"Extrapolation")</x:f>
        <x:v>1</x:v>
      </x:c>
      <x:c r="J14" s="37" t="n">
        <x:f>COUNTIFS('Zones'!$D$7:$D$7,"Coupé attesté")</x:f>
        <x:v>0</x:v>
      </x:c>
      <x:c r="K14" s="37" t="n">
        <x:f>COUNTIFS('Zones'!$D$7:$D$7,"Concept abandonné")</x:f>
        <x:v>0</x:v>
      </x:c>
      <x:c r="L14" s="37" t="n">
        <x:f>COUNTIFS('Zones'!$D$7:$D$7,"Allégation écartée")</x:f>
        <x:v>0</x:v>
      </x:c>
      <x:c r="M14" s="37" t="n">
        <x:f>COUNTIFS('Zones'!$E$7:$E$7,"P0")</x:f>
        <x:v>0</x:v>
      </x:c>
    </x:row>
    <x:row r="15" ht="22" customHeight="1">
      <x:c r="A15" s="2" t="str">
        <x:v>Liaisons</x:v>
      </x:c>
      <x:c r="B15" s="38" t="n">
        <x:f>COUNTA('Liaisons'!$A$7:$A$7)</x:f>
        <x:v>1</x:v>
      </x:c>
      <x:c r="C15" s="38" t="n">
        <x:f>COUNTIFS('Liaisons'!$C$7:$C$7,"Défini")</x:f>
        <x:v>1</x:v>
      </x:c>
      <x:c r="D15" s="38" t="n">
        <x:f>COUNTIFS('Liaisons'!$C$7:$C$7,"Prototype")</x:f>
        <x:v>0</x:v>
      </x:c>
      <x:c r="E15" s="38" t="n">
        <x:f>COUNTIFS('Liaisons'!$C$7:$C$7,"Intégré")</x:f>
        <x:v>0</x:v>
      </x:c>
      <x:c r="F15" s="38" t="n">
        <x:f>COUNTIFS('Liaisons'!$C$7:$C$7,"Validé")</x:f>
        <x:v>0</x:v>
      </x:c>
      <x:c r="G15" s="38" t="n">
        <x:f>COUNTIFS('Liaisons'!$D$7:$D$7,"Établi")</x:f>
        <x:v>0</x:v>
      </x:c>
      <x:c r="H15" s="38" t="n">
        <x:f>COUNTIFS('Liaisons'!$D$7:$D$7,"À vérifier")</x:f>
        <x:v>0</x:v>
      </x:c>
      <x:c r="I15" s="38" t="n">
        <x:f>COUNTIFS('Liaisons'!$D$7:$D$7,"Extrapolation")</x:f>
        <x:v>1</x:v>
      </x:c>
      <x:c r="J15" s="38" t="n">
        <x:f>COUNTIFS('Liaisons'!$D$7:$D$7,"Coupé attesté")</x:f>
        <x:v>0</x:v>
      </x:c>
      <x:c r="K15" s="38" t="n">
        <x:f>COUNTIFS('Liaisons'!$D$7:$D$7,"Concept abandonné")</x:f>
        <x:v>0</x:v>
      </x:c>
      <x:c r="L15" s="38" t="n">
        <x:f>COUNTIFS('Liaisons'!$D$7:$D$7,"Allégation écartée")</x:f>
        <x:v>0</x:v>
      </x:c>
      <x:c r="M15" s="38" t="n">
        <x:f>COUNTIFS('Liaisons'!$E$7:$E$7,"P0")</x:f>
        <x:v>0</x:v>
      </x:c>
    </x:row>
    <x:row r="16" ht="22" customHeight="1">
      <x:c r="A16" s="33" t="str">
        <x:v>Décors</x:v>
      </x:c>
      <x:c r="B16" s="37" t="n">
        <x:f>COUNTA('Decors'!$A$7:$A$7)</x:f>
        <x:v>1</x:v>
      </x:c>
      <x:c r="C16" s="37" t="n">
        <x:f>COUNTIFS('Decors'!$C$7:$C$7,"Défini")</x:f>
        <x:v>1</x:v>
      </x:c>
      <x:c r="D16" s="37" t="n">
        <x:f>COUNTIFS('Decors'!$C$7:$C$7,"Prototype")</x:f>
        <x:v>0</x:v>
      </x:c>
      <x:c r="E16" s="37" t="n">
        <x:f>COUNTIFS('Decors'!$C$7:$C$7,"Intégré")</x:f>
        <x:v>0</x:v>
      </x:c>
      <x:c r="F16" s="37" t="n">
        <x:f>COUNTIFS('Decors'!$C$7:$C$7,"Validé")</x:f>
        <x:v>0</x:v>
      </x:c>
      <x:c r="G16" s="37" t="n">
        <x:f>COUNTIFS('Decors'!$D$7:$D$7,"Établi")</x:f>
        <x:v>0</x:v>
      </x:c>
      <x:c r="H16" s="37" t="n">
        <x:f>COUNTIFS('Decors'!$D$7:$D$7,"À vérifier")</x:f>
        <x:v>0</x:v>
      </x:c>
      <x:c r="I16" s="37" t="n">
        <x:f>COUNTIFS('Decors'!$D$7:$D$7,"Extrapolation")</x:f>
        <x:v>1</x:v>
      </x:c>
      <x:c r="J16" s="37" t="n">
        <x:f>COUNTIFS('Decors'!$D$7:$D$7,"Coupé attesté")</x:f>
        <x:v>0</x:v>
      </x:c>
      <x:c r="K16" s="37" t="n">
        <x:f>COUNTIFS('Decors'!$D$7:$D$7,"Concept abandonné")</x:f>
        <x:v>0</x:v>
      </x:c>
      <x:c r="L16" s="37" t="n">
        <x:f>COUNTIFS('Decors'!$D$7:$D$7,"Allégation écartée")</x:f>
        <x:v>0</x:v>
      </x:c>
      <x:c r="M16" s="37" t="n">
        <x:f>COUNTIFS('Decors'!$E$7:$E$7,"P0")</x:f>
        <x:v>0</x:v>
      </x:c>
    </x:row>
    <x:row r="17" ht="22" customHeight="1">
      <x:c r="A17" s="2" t="str">
        <x:v>Props</x:v>
      </x:c>
      <x:c r="B17" s="38" t="n">
        <x:f>COUNTA('Props'!$A$7:$A$9)</x:f>
        <x:v>3</x:v>
      </x:c>
      <x:c r="C17" s="38" t="n">
        <x:f>COUNTIFS('Props'!$C$7:$C$9,"Défini")</x:f>
        <x:v>3</x:v>
      </x:c>
      <x:c r="D17" s="38" t="n">
        <x:f>COUNTIFS('Props'!$C$7:$C$9,"Prototype")</x:f>
        <x:v>0</x:v>
      </x:c>
      <x:c r="E17" s="38" t="n">
        <x:f>COUNTIFS('Props'!$C$7:$C$9,"Intégré")</x:f>
        <x:v>0</x:v>
      </x:c>
      <x:c r="F17" s="38" t="n">
        <x:f>COUNTIFS('Props'!$C$7:$C$9,"Validé")</x:f>
        <x:v>0</x:v>
      </x:c>
      <x:c r="G17" s="38" t="n">
        <x:f>COUNTIFS('Props'!$D$7:$D$9,"Établi")</x:f>
        <x:v>0</x:v>
      </x:c>
      <x:c r="H17" s="38" t="n">
        <x:f>COUNTIFS('Props'!$D$7:$D$9,"À vérifier")</x:f>
        <x:v>0</x:v>
      </x:c>
      <x:c r="I17" s="38" t="n">
        <x:f>COUNTIFS('Props'!$D$7:$D$9,"Extrapolation")</x:f>
        <x:v>3</x:v>
      </x:c>
      <x:c r="J17" s="38" t="n">
        <x:f>COUNTIFS('Props'!$D$7:$D$9,"Coupé attesté")</x:f>
        <x:v>0</x:v>
      </x:c>
      <x:c r="K17" s="38" t="n">
        <x:f>COUNTIFS('Props'!$D$7:$D$9,"Concept abandonné")</x:f>
        <x:v>0</x:v>
      </x:c>
      <x:c r="L17" s="38" t="n">
        <x:f>COUNTIFS('Props'!$D$7:$D$9,"Allégation écartée")</x:f>
        <x:v>0</x:v>
      </x:c>
      <x:c r="M17" s="38" t="n">
        <x:f>COUNTIFS('Props'!$E$7:$E$9,"P0")</x:f>
        <x:v>0</x:v>
      </x:c>
    </x:row>
    <x:row r="18" ht="22" customHeight="1">
      <x:c r="A18" s="33" t="str">
        <x:v>Ennemis et boss</x:v>
      </x:c>
      <x:c r="B18" s="37" t="n">
        <x:f>COUNTA('Ennemis_boss'!$A$7:$A$7)</x:f>
        <x:v>1</x:v>
      </x:c>
      <x:c r="C18" s="37" t="n">
        <x:f>COUNTIFS('Ennemis_boss'!$C$7:$C$7,"Défini")</x:f>
        <x:v>1</x:v>
      </x:c>
      <x:c r="D18" s="37" t="n">
        <x:f>COUNTIFS('Ennemis_boss'!$C$7:$C$7,"Prototype")</x:f>
        <x:v>0</x:v>
      </x:c>
      <x:c r="E18" s="37" t="n">
        <x:f>COUNTIFS('Ennemis_boss'!$C$7:$C$7,"Intégré")</x:f>
        <x:v>0</x:v>
      </x:c>
      <x:c r="F18" s="37" t="n">
        <x:f>COUNTIFS('Ennemis_boss'!$C$7:$C$7,"Validé")</x:f>
        <x:v>0</x:v>
      </x:c>
      <x:c r="G18" s="37" t="n">
        <x:f>COUNTIFS('Ennemis_boss'!$D$7:$D$7,"Établi")</x:f>
        <x:v>0</x:v>
      </x:c>
      <x:c r="H18" s="37" t="n">
        <x:f>COUNTIFS('Ennemis_boss'!$D$7:$D$7,"À vérifier")</x:f>
        <x:v>1</x:v>
      </x:c>
      <x:c r="I18" s="37" t="n">
        <x:f>COUNTIFS('Ennemis_boss'!$D$7:$D$7,"Extrapolation")</x:f>
        <x:v>0</x:v>
      </x:c>
      <x:c r="J18" s="37" t="n">
        <x:f>COUNTIFS('Ennemis_boss'!$D$7:$D$7,"Coupé attesté")</x:f>
        <x:v>0</x:v>
      </x:c>
      <x:c r="K18" s="37" t="n">
        <x:f>COUNTIFS('Ennemis_boss'!$D$7:$D$7,"Concept abandonné")</x:f>
        <x:v>0</x:v>
      </x:c>
      <x:c r="L18" s="37" t="n">
        <x:f>COUNTIFS('Ennemis_boss'!$D$7:$D$7,"Allégation écartée")</x:f>
        <x:v>0</x:v>
      </x:c>
      <x:c r="M18" s="37" t="n">
        <x:f>COUNTIFS('Ennemis_boss'!$E$7:$E$7,"P0")</x:f>
        <x:v>0</x:v>
      </x:c>
    </x:row>
    <x:row r="19" ht="22" customHeight="1">
      <x:c r="A19" s="2" t="str">
        <x:v>Missions</x:v>
      </x:c>
      <x:c r="B19" s="38" t="n">
        <x:f>COUNTA('Missions'!$A$7:$A$9)</x:f>
        <x:v>3</x:v>
      </x:c>
      <x:c r="C19" s="38" t="n">
        <x:f>COUNTIFS('Missions'!$C$7:$C$9,"Défini")</x:f>
        <x:v>3</x:v>
      </x:c>
      <x:c r="D19" s="38" t="n">
        <x:f>COUNTIFS('Missions'!$C$7:$C$9,"Prototype")</x:f>
        <x:v>0</x:v>
      </x:c>
      <x:c r="E19" s="38" t="n">
        <x:f>COUNTIFS('Missions'!$C$7:$C$9,"Intégré")</x:f>
        <x:v>0</x:v>
      </x:c>
      <x:c r="F19" s="38" t="n">
        <x:f>COUNTIFS('Missions'!$C$7:$C$9,"Validé")</x:f>
        <x:v>0</x:v>
      </x:c>
      <x:c r="G19" s="38" t="n">
        <x:f>COUNTIFS('Missions'!$D$7:$D$9,"Établi")</x:f>
        <x:v>0</x:v>
      </x:c>
      <x:c r="H19" s="38" t="n">
        <x:f>COUNTIFS('Missions'!$D$7:$D$9,"À vérifier")</x:f>
        <x:v>0</x:v>
      </x:c>
      <x:c r="I19" s="38" t="n">
        <x:f>COUNTIFS('Missions'!$D$7:$D$9,"Extrapolation")</x:f>
        <x:v>3</x:v>
      </x:c>
      <x:c r="J19" s="38" t="n">
        <x:f>COUNTIFS('Missions'!$D$7:$D$9,"Coupé attesté")</x:f>
        <x:v>0</x:v>
      </x:c>
      <x:c r="K19" s="38" t="n">
        <x:f>COUNTIFS('Missions'!$D$7:$D$9,"Concept abandonné")</x:f>
        <x:v>0</x:v>
      </x:c>
      <x:c r="L19" s="38" t="n">
        <x:f>COUNTIFS('Missions'!$D$7:$D$9,"Allégation écartée")</x:f>
        <x:v>0</x:v>
      </x:c>
      <x:c r="M19" s="38" t="n">
        <x:f>COUNTIFS('Missions'!$E$7:$E$9,"P0")</x:f>
        <x:v>3</x:v>
      </x:c>
    </x:row>
    <x:row r="20" ht="22" customHeight="1">
      <x:c r="A20" s="33" t="str">
        <x:v>Secondaires et DLC</x:v>
      </x:c>
      <x:c r="B20" s="37" t="n">
        <x:f>COUNTA('Secondaires_DLC'!$A$7:$A$9)</x:f>
        <x:v>3</x:v>
      </x:c>
      <x:c r="C20" s="37" t="n">
        <x:f>COUNTIFS('Secondaires_DLC'!$C$7:$C$9,"Défini")</x:f>
        <x:v>3</x:v>
      </x:c>
      <x:c r="D20" s="37" t="n">
        <x:f>COUNTIFS('Secondaires_DLC'!$C$7:$C$9,"Prototype")</x:f>
        <x:v>0</x:v>
      </x:c>
      <x:c r="E20" s="37" t="n">
        <x:f>COUNTIFS('Secondaires_DLC'!$C$7:$C$9,"Intégré")</x:f>
        <x:v>0</x:v>
      </x:c>
      <x:c r="F20" s="37" t="n">
        <x:f>COUNTIFS('Secondaires_DLC'!$C$7:$C$9,"Validé")</x:f>
        <x:v>0</x:v>
      </x:c>
      <x:c r="G20" s="37" t="n">
        <x:f>COUNTIFS('Secondaires_DLC'!$D$7:$D$9,"Établi")</x:f>
        <x:v>0</x:v>
      </x:c>
      <x:c r="H20" s="37" t="n">
        <x:f>COUNTIFS('Secondaires_DLC'!$D$7:$D$9,"À vérifier")</x:f>
        <x:v>0</x:v>
      </x:c>
      <x:c r="I20" s="37" t="n">
        <x:f>COUNTIFS('Secondaires_DLC'!$D$7:$D$9,"Extrapolation")</x:f>
        <x:v>3</x:v>
      </x:c>
      <x:c r="J20" s="37" t="n">
        <x:f>COUNTIFS('Secondaires_DLC'!$D$7:$D$9,"Coupé attesté")</x:f>
        <x:v>0</x:v>
      </x:c>
      <x:c r="K20" s="37" t="n">
        <x:f>COUNTIFS('Secondaires_DLC'!$D$7:$D$9,"Concept abandonné")</x:f>
        <x:v>0</x:v>
      </x:c>
      <x:c r="L20" s="37" t="n">
        <x:f>COUNTIFS('Secondaires_DLC'!$D$7:$D$9,"Allégation écartée")</x:f>
        <x:v>0</x:v>
      </x:c>
      <x:c r="M20" s="37" t="n">
        <x:f>COUNTIFS('Secondaires_DLC'!$E$7:$E$9,"P0")</x:f>
        <x:v>0</x:v>
      </x:c>
    </x:row>
    <x:row r="21" ht="22" customHeight="1">
      <x:c r="A21" s="2" t="str">
        <x:v>Choix et relations</x:v>
      </x:c>
      <x:c r="B21" s="38" t="n">
        <x:f>COUNTA('Choix_relations'!$A$7:$A$9)</x:f>
        <x:v>3</x:v>
      </x:c>
      <x:c r="C21" s="38" t="n">
        <x:f>COUNTIFS('Choix_relations'!$C$7:$C$9,"Défini")</x:f>
        <x:v>3</x:v>
      </x:c>
      <x:c r="D21" s="38" t="n">
        <x:f>COUNTIFS('Choix_relations'!$C$7:$C$9,"Prototype")</x:f>
        <x:v>0</x:v>
      </x:c>
      <x:c r="E21" s="38" t="n">
        <x:f>COUNTIFS('Choix_relations'!$C$7:$C$9,"Intégré")</x:f>
        <x:v>0</x:v>
      </x:c>
      <x:c r="F21" s="38" t="n">
        <x:f>COUNTIFS('Choix_relations'!$C$7:$C$9,"Validé")</x:f>
        <x:v>0</x:v>
      </x:c>
      <x:c r="G21" s="38" t="n">
        <x:f>COUNTIFS('Choix_relations'!$D$7:$D$9,"Établi")</x:f>
        <x:v>0</x:v>
      </x:c>
      <x:c r="H21" s="38" t="n">
        <x:f>COUNTIFS('Choix_relations'!$D$7:$D$9,"À vérifier")</x:f>
        <x:v>0</x:v>
      </x:c>
      <x:c r="I21" s="38" t="n">
        <x:f>COUNTIFS('Choix_relations'!$D$7:$D$9,"Extrapolation")</x:f>
        <x:v>3</x:v>
      </x:c>
      <x:c r="J21" s="38" t="n">
        <x:f>COUNTIFS('Choix_relations'!$D$7:$D$9,"Coupé attesté")</x:f>
        <x:v>0</x:v>
      </x:c>
      <x:c r="K21" s="38" t="n">
        <x:f>COUNTIFS('Choix_relations'!$D$7:$D$9,"Concept abandonné")</x:f>
        <x:v>0</x:v>
      </x:c>
      <x:c r="L21" s="38" t="n">
        <x:f>COUNTIFS('Choix_relations'!$D$7:$D$9,"Allégation écartée")</x:f>
        <x:v>0</x:v>
      </x:c>
      <x:c r="M21" s="38" t="n">
        <x:f>COUNTIFS('Choix_relations'!$E$7:$E$9,"P0")</x:f>
        <x:v>0</x:v>
      </x:c>
    </x:row>
    <x:row r="22" ht="22" customHeight="1">
      <x:c r="A22" s="33" t="str">
        <x:v>Dialogues</x:v>
      </x:c>
      <x:c r="B22" s="37" t="n">
        <x:f>COUNTA('Dialogues'!$A$7:$A$9)</x:f>
        <x:v>3</x:v>
      </x:c>
      <x:c r="C22" s="37" t="n">
        <x:f>COUNTIFS('Dialogues'!$C$7:$C$9,"Défini")</x:f>
        <x:v>3</x:v>
      </x:c>
      <x:c r="D22" s="37" t="n">
        <x:f>COUNTIFS('Dialogues'!$C$7:$C$9,"Prototype")</x:f>
        <x:v>0</x:v>
      </x:c>
      <x:c r="E22" s="37" t="n">
        <x:f>COUNTIFS('Dialogues'!$C$7:$C$9,"Intégré")</x:f>
        <x:v>0</x:v>
      </x:c>
      <x:c r="F22" s="37" t="n">
        <x:f>COUNTIFS('Dialogues'!$C$7:$C$9,"Validé")</x:f>
        <x:v>0</x:v>
      </x:c>
      <x:c r="G22" s="37" t="n">
        <x:f>COUNTIFS('Dialogues'!$D$7:$D$9,"Établi")</x:f>
        <x:v>0</x:v>
      </x:c>
      <x:c r="H22" s="37" t="n">
        <x:f>COUNTIFS('Dialogues'!$D$7:$D$9,"À vérifier")</x:f>
        <x:v>0</x:v>
      </x:c>
      <x:c r="I22" s="37" t="n">
        <x:f>COUNTIFS('Dialogues'!$D$7:$D$9,"Extrapolation")</x:f>
        <x:v>3</x:v>
      </x:c>
      <x:c r="J22" s="37" t="n">
        <x:f>COUNTIFS('Dialogues'!$D$7:$D$9,"Coupé attesté")</x:f>
        <x:v>0</x:v>
      </x:c>
      <x:c r="K22" s="37" t="n">
        <x:f>COUNTIFS('Dialogues'!$D$7:$D$9,"Concept abandonné")</x:f>
        <x:v>0</x:v>
      </x:c>
      <x:c r="L22" s="37" t="n">
        <x:f>COUNTIFS('Dialogues'!$D$7:$D$9,"Allégation écartée")</x:f>
        <x:v>0</x:v>
      </x:c>
      <x:c r="M22" s="37" t="n">
        <x:f>COUNTIFS('Dialogues'!$E$7:$E$9,"P0")</x:f>
        <x:v>0</x:v>
      </x:c>
    </x:row>
    <x:row r="23" ht="22" customHeight="1">
      <x:c r="A23" s="2" t="str">
        <x:v>Cinématiques</x:v>
      </x:c>
      <x:c r="B23" s="38" t="n">
        <x:f>COUNTA('Cinematiques'!$A$7:$A$9)</x:f>
        <x:v>3</x:v>
      </x:c>
      <x:c r="C23" s="38" t="n">
        <x:f>COUNTIFS('Cinematiques'!$C$7:$C$9,"Défini")</x:f>
        <x:v>3</x:v>
      </x:c>
      <x:c r="D23" s="38" t="n">
        <x:f>COUNTIFS('Cinematiques'!$C$7:$C$9,"Prototype")</x:f>
        <x:v>0</x:v>
      </x:c>
      <x:c r="E23" s="38" t="n">
        <x:f>COUNTIFS('Cinematiques'!$C$7:$C$9,"Intégré")</x:f>
        <x:v>0</x:v>
      </x:c>
      <x:c r="F23" s="38" t="n">
        <x:f>COUNTIFS('Cinematiques'!$C$7:$C$9,"Validé")</x:f>
        <x:v>0</x:v>
      </x:c>
      <x:c r="G23" s="38" t="n">
        <x:f>COUNTIFS('Cinematiques'!$D$7:$D$9,"Établi")</x:f>
        <x:v>0</x:v>
      </x:c>
      <x:c r="H23" s="38" t="n">
        <x:f>COUNTIFS('Cinematiques'!$D$7:$D$9,"À vérifier")</x:f>
        <x:v>0</x:v>
      </x:c>
      <x:c r="I23" s="38" t="n">
        <x:f>COUNTIFS('Cinematiques'!$D$7:$D$9,"Extrapolation")</x:f>
        <x:v>3</x:v>
      </x:c>
      <x:c r="J23" s="38" t="n">
        <x:f>COUNTIFS('Cinematiques'!$D$7:$D$9,"Coupé attesté")</x:f>
        <x:v>0</x:v>
      </x:c>
      <x:c r="K23" s="38" t="n">
        <x:f>COUNTIFS('Cinematiques'!$D$7:$D$9,"Concept abandonné")</x:f>
        <x:v>0</x:v>
      </x:c>
      <x:c r="L23" s="38" t="n">
        <x:f>COUNTIFS('Cinematiques'!$D$7:$D$9,"Allégation écartée")</x:f>
        <x:v>0</x:v>
      </x:c>
      <x:c r="M23" s="38" t="n">
        <x:f>COUNTIFS('Cinematiques'!$E$7:$E$9,"P0")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0</x:v>
      </x:c>
      <x:c r="H24" s="37" t="n">
        <x:f>COUNTIFS('Armes'!$D$7:$D$7,"À vérifier")</x:f>
        <x:v>0</x:v>
      </x:c>
      <x:c r="I24" s="37" t="n">
        <x:f>COUNTIFS('Armes'!$D$7:$D$7,"Extrapolation")</x:f>
        <x:v>1</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COUNTA('Armures_equipement'!$A$7:$A$7)</x:f>
        <x:v>1</x:v>
      </x:c>
      <x:c r="C25" s="38" t="n">
        <x:f>COUNTIFS('Armures_equipement'!$C$7:$C$7,"Défini")</x:f>
        <x:v>1</x:v>
      </x:c>
      <x:c r="D25" s="38" t="n">
        <x:f>COUNTIFS('Armures_equipement'!$C$7:$C$7,"Prototype")</x:f>
        <x:v>0</x:v>
      </x:c>
      <x:c r="E25" s="38" t="n">
        <x:f>COUNTIFS('Armures_equipement'!$C$7:$C$7,"Intégré")</x:f>
        <x:v>0</x:v>
      </x:c>
      <x:c r="F25" s="38" t="n">
        <x:f>COUNTIFS('Armures_equipement'!$C$7:$C$7,"Validé")</x:f>
        <x:v>0</x:v>
      </x:c>
      <x:c r="G25" s="38" t="n">
        <x:f>COUNTIFS('Armures_equipement'!$D$7:$D$7,"Établi")</x:f>
        <x:v>0</x:v>
      </x:c>
      <x:c r="H25" s="38" t="n">
        <x:f>COUNTIFS('Armures_equipement'!$D$7:$D$7,"À vérifier")</x:f>
        <x:v>0</x:v>
      </x:c>
      <x:c r="I25" s="38" t="n">
        <x:f>COUNTIFS('Armures_equipement'!$D$7:$D$7,"Extrapolation")</x:f>
        <x:v>1</x:v>
      </x:c>
      <x:c r="J25" s="38" t="n">
        <x:f>COUNTIFS('Armures_equipement'!$D$7:$D$7,"Coupé attesté")</x:f>
        <x:v>0</x:v>
      </x:c>
      <x:c r="K25" s="38" t="n">
        <x:f>COUNTIFS('Armures_equipement'!$D$7:$D$7,"Concept abandonné")</x:f>
        <x:v>0</x:v>
      </x:c>
      <x:c r="L25" s="38" t="n">
        <x:f>COUNTIFS('Armures_equipement'!$D$7:$D$7,"Allégation écartée")</x:f>
        <x:v>0</x:v>
      </x:c>
      <x:c r="M25" s="38" t="n">
        <x:f>COUNTIFS('Armures_equipement'!$E$7:$E$7,"P0")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0</x:v>
      </x:c>
      <x:c r="H26" s="37" t="n">
        <x:f>COUNTIFS('Pouvoirs'!$D$7:$D$7,"À vérifier")</x:f>
        <x:v>0</x:v>
      </x:c>
      <x:c r="I26" s="37" t="n">
        <x:f>COUNTIFS('Pouvoirs'!$D$7:$D$7,"Extrapolation")</x:f>
        <x:v>1</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COUNTA('Movesets_allies'!$A$7:$A$7)</x:f>
        <x:v>1</x:v>
      </x:c>
      <x:c r="C27" s="38" t="n">
        <x:f>COUNTIFS('Movesets_allies'!$C$7:$C$7,"Défini")</x:f>
        <x:v>1</x:v>
      </x:c>
      <x:c r="D27" s="38" t="n">
        <x:f>COUNTIFS('Movesets_allies'!$C$7:$C$7,"Prototype")</x:f>
        <x:v>0</x:v>
      </x:c>
      <x:c r="E27" s="38" t="n">
        <x:f>COUNTIFS('Movesets_allies'!$C$7:$C$7,"Intégré")</x:f>
        <x:v>0</x:v>
      </x:c>
      <x:c r="F27" s="38" t="n">
        <x:f>COUNTIFS('Movesets_allies'!$C$7:$C$7,"Validé")</x:f>
        <x:v>0</x:v>
      </x:c>
      <x:c r="G27" s="38" t="n">
        <x:f>COUNTIFS('Movesets_allies'!$D$7:$D$7,"Établi")</x:f>
        <x:v>0</x:v>
      </x:c>
      <x:c r="H27" s="38" t="n">
        <x:f>COUNTIFS('Movesets_allies'!$D$7:$D$7,"À vérifier")</x:f>
        <x:v>0</x:v>
      </x:c>
      <x:c r="I27" s="38" t="n">
        <x:f>COUNTIFS('Movesets_allies'!$D$7:$D$7,"Extrapolation")</x:f>
        <x:v>1</x:v>
      </x:c>
      <x:c r="J27" s="38" t="n">
        <x:f>COUNTIFS('Movesets_allies'!$D$7:$D$7,"Coupé attesté")</x:f>
        <x:v>0</x:v>
      </x:c>
      <x:c r="K27" s="38" t="n">
        <x:f>COUNTIFS('Movesets_allies'!$D$7:$D$7,"Concept abandonné")</x:f>
        <x:v>0</x:v>
      </x:c>
      <x:c r="L27" s="38" t="n">
        <x:f>COUNTIFS('Movesets_allies'!$D$7:$D$7,"Allégation écartée")</x:f>
        <x:v>0</x:v>
      </x:c>
      <x:c r="M27" s="38" t="n">
        <x:f>COUNTIFS('Movesets_allies'!$E$7:$E$7,"P0")</x:f>
        <x:v>0</x:v>
      </x:c>
    </x:row>
    <x:row r="28" ht="22" customHeight="1">
      <x:c r="A28" s="33" t="str">
        <x:v>Movesets ennemis</x:v>
      </x:c>
      <x:c r="B28" s="37" t="n">
        <x:f>COUNTA('Movesets_ennemis'!$A$7:$A$8)</x:f>
        <x:v>2</x:v>
      </x:c>
      <x:c r="C28" s="37" t="n">
        <x:f>COUNTIFS('Movesets_ennemis'!$C$7:$C$8,"Défini")</x:f>
        <x:v>2</x:v>
      </x:c>
      <x:c r="D28" s="37" t="n">
        <x:f>COUNTIFS('Movesets_ennemis'!$C$7:$C$8,"Prototype")</x:f>
        <x:v>0</x:v>
      </x:c>
      <x:c r="E28" s="37" t="n">
        <x:f>COUNTIFS('Movesets_ennemis'!$C$7:$C$8,"Intégré")</x:f>
        <x:v>0</x:v>
      </x:c>
      <x:c r="F28" s="37" t="n">
        <x:f>COUNTIFS('Movesets_ennemis'!$C$7:$C$8,"Validé")</x:f>
        <x:v>0</x:v>
      </x:c>
      <x:c r="G28" s="37" t="n">
        <x:f>COUNTIFS('Movesets_ennemis'!$D$7:$D$8,"Établi")</x:f>
        <x:v>0</x:v>
      </x:c>
      <x:c r="H28" s="37" t="n">
        <x:f>COUNTIFS('Movesets_ennemis'!$D$7:$D$8,"À vérifier")</x:f>
        <x:v>0</x:v>
      </x:c>
      <x:c r="I28" s="37" t="n">
        <x:f>COUNTIFS('Movesets_ennemis'!$D$7:$D$8,"Extrapolation")</x:f>
        <x:v>2</x:v>
      </x:c>
      <x:c r="J28" s="37" t="n">
        <x:f>COUNTIFS('Movesets_ennemis'!$D$7:$D$8,"Coupé attesté")</x:f>
        <x:v>0</x:v>
      </x:c>
      <x:c r="K28" s="37" t="n">
        <x:f>COUNTIFS('Movesets_ennemis'!$D$7:$D$8,"Concept abandonné")</x:f>
        <x:v>0</x:v>
      </x:c>
      <x:c r="L28" s="37" t="n">
        <x:f>COUNTIFS('Movesets_ennemis'!$D$7:$D$8,"Allégation écartée")</x:f>
        <x:v>0</x:v>
      </x:c>
      <x:c r="M28" s="37" t="n">
        <x:f>COUNTIFS('Movesets_ennemis'!$E$7:$E$8,"P0")</x:f>
        <x:v>0</x:v>
      </x:c>
    </x:row>
    <x:row r="29" ht="22" customHeight="1">
      <x:c r="A29" s="2" t="str">
        <x:v>Animations</x:v>
      </x:c>
      <x:c r="B29" s="38" t="n">
        <x:f>COUNTA('Animations'!$A$7:$A$10)</x:f>
        <x:v>4</x:v>
      </x:c>
      <x:c r="C29" s="38" t="n">
        <x:f>COUNTIFS('Animations'!$C$7:$C$10,"Défini")</x:f>
        <x:v>4</x:v>
      </x:c>
      <x:c r="D29" s="38" t="n">
        <x:f>COUNTIFS('Animations'!$C$7:$C$10,"Prototype")</x:f>
        <x:v>0</x:v>
      </x:c>
      <x:c r="E29" s="38" t="n">
        <x:f>COUNTIFS('Animations'!$C$7:$C$10,"Intégré")</x:f>
        <x:v>0</x:v>
      </x:c>
      <x:c r="F29" s="38" t="n">
        <x:f>COUNTIFS('Animations'!$C$7:$C$10,"Validé")</x:f>
        <x:v>0</x:v>
      </x:c>
      <x:c r="G29" s="38" t="n">
        <x:f>COUNTIFS('Animations'!$D$7:$D$10,"Établi")</x:f>
        <x:v>0</x:v>
      </x:c>
      <x:c r="H29" s="38" t="n">
        <x:f>COUNTIFS('Animations'!$D$7:$D$10,"À vérifier")</x:f>
        <x:v>0</x:v>
      </x:c>
      <x:c r="I29" s="38" t="n">
        <x:f>COUNTIFS('Animations'!$D$7:$D$10,"Extrapolation")</x:f>
        <x:v>4</x:v>
      </x:c>
      <x:c r="J29" s="38" t="n">
        <x:f>COUNTIFS('Animations'!$D$7:$D$10,"Coupé attesté")</x:f>
        <x:v>0</x:v>
      </x:c>
      <x:c r="K29" s="38" t="n">
        <x:f>COUNTIFS('Animations'!$D$7:$D$10,"Concept abandonné")</x:f>
        <x:v>0</x:v>
      </x:c>
      <x:c r="L29" s="38" t="n">
        <x:f>COUNTIFS('Animations'!$D$7:$D$10,"Allégation écartée")</x:f>
        <x:v>0</x:v>
      </x:c>
      <x:c r="M29" s="38" t="n">
        <x:f>COUNTIFS('Animations'!$E$7:$E$10,"P0")</x:f>
        <x:v>0</x:v>
      </x:c>
    </x:row>
    <x:row r="30" ht="22" customHeight="1">
      <x:c r="A30" s="33" t="str">
        <x:v>Sprites</x:v>
      </x:c>
      <x:c r="B30" s="37" t="n">
        <x:f>COUNTA('Sprites'!$A$7:$A$10)</x:f>
        <x:v>4</x:v>
      </x:c>
      <x:c r="C30" s="37" t="n">
        <x:f>COUNTIFS('Sprites'!$C$7:$C$10,"Défini")</x:f>
        <x:v>4</x:v>
      </x:c>
      <x:c r="D30" s="37" t="n">
        <x:f>COUNTIFS('Sprites'!$C$7:$C$10,"Prototype")</x:f>
        <x:v>0</x:v>
      </x:c>
      <x:c r="E30" s="37" t="n">
        <x:f>COUNTIFS('Sprites'!$C$7:$C$10,"Intégré")</x:f>
        <x:v>0</x:v>
      </x:c>
      <x:c r="F30" s="37" t="n">
        <x:f>COUNTIFS('Sprites'!$C$7:$C$10,"Validé")</x:f>
        <x:v>0</x:v>
      </x:c>
      <x:c r="G30" s="37" t="n">
        <x:f>COUNTIFS('Sprites'!$D$7:$D$10,"Établi")</x:f>
        <x:v>0</x:v>
      </x:c>
      <x:c r="H30" s="37" t="n">
        <x:f>COUNTIFS('Sprites'!$D$7:$D$10,"À vérifier")</x:f>
        <x:v>0</x:v>
      </x:c>
      <x:c r="I30" s="37" t="n">
        <x:f>COUNTIFS('Sprites'!$D$7:$D$10,"Extrapolation")</x:f>
        <x:v>4</x:v>
      </x:c>
      <x:c r="J30" s="37" t="n">
        <x:f>COUNTIFS('Sprites'!$D$7:$D$10,"Coupé attesté")</x:f>
        <x:v>0</x:v>
      </x:c>
      <x:c r="K30" s="37" t="n">
        <x:f>COUNTIFS('Sprites'!$D$7:$D$10,"Concept abandonné")</x:f>
        <x:v>0</x:v>
      </x:c>
      <x:c r="L30" s="37" t="n">
        <x:f>COUNTIFS('Sprites'!$D$7:$D$10,"Allégation écartée")</x:f>
        <x:v>0</x:v>
      </x:c>
      <x:c r="M30" s="37" t="n">
        <x:f>COUNTIFS('Sprites'!$E$7:$E$10,"P0")</x:f>
        <x:v>0</x:v>
      </x:c>
    </x:row>
    <x:row r="31" ht="22" customHeight="1">
      <x:c r="A31" s="2" t="str">
        <x:v>VFX</x:v>
      </x:c>
      <x:c r="B31" s="38" t="n">
        <x:f>COUNTA('VFX'!$A$7:$A$9)</x:f>
        <x:v>3</x:v>
      </x:c>
      <x:c r="C31" s="38" t="n">
        <x:f>COUNTIFS('VFX'!$C$7:$C$9,"Défini")</x:f>
        <x:v>3</x:v>
      </x:c>
      <x:c r="D31" s="38" t="n">
        <x:f>COUNTIFS('VFX'!$C$7:$C$9,"Prototype")</x:f>
        <x:v>0</x:v>
      </x:c>
      <x:c r="E31" s="38" t="n">
        <x:f>COUNTIFS('VFX'!$C$7:$C$9,"Intégré")</x:f>
        <x:v>0</x:v>
      </x:c>
      <x:c r="F31" s="38" t="n">
        <x:f>COUNTIFS('VFX'!$C$7:$C$9,"Validé")</x:f>
        <x:v>0</x:v>
      </x:c>
      <x:c r="G31" s="38" t="n">
        <x:f>COUNTIFS('VFX'!$D$7:$D$9,"Établi")</x:f>
        <x:v>0</x:v>
      </x:c>
      <x:c r="H31" s="38" t="n">
        <x:f>COUNTIFS('VFX'!$D$7:$D$9,"À vérifier")</x:f>
        <x:v>0</x:v>
      </x:c>
      <x:c r="I31" s="38" t="n">
        <x:f>COUNTIFS('VFX'!$D$7:$D$9,"Extrapolation")</x:f>
        <x:v>3</x:v>
      </x:c>
      <x:c r="J31" s="38" t="n">
        <x:f>COUNTIFS('VFX'!$D$7:$D$9,"Coupé attesté")</x:f>
        <x:v>0</x:v>
      </x:c>
      <x:c r="K31" s="38" t="n">
        <x:f>COUNTIFS('VFX'!$D$7:$D$9,"Concept abandonné")</x:f>
        <x:v>0</x:v>
      </x:c>
      <x:c r="L31" s="38" t="n">
        <x:f>COUNTIFS('VFX'!$D$7:$D$9,"Allégation écartée")</x:f>
        <x:v>0</x:v>
      </x:c>
      <x:c r="M31" s="38" t="n">
        <x:f>COUNTIFS('VFX'!$E$7:$E$9,"P0")</x:f>
        <x:v>0</x:v>
      </x:c>
    </x:row>
    <x:row r="32" ht="22" customHeight="1">
      <x:c r="A32" s="33" t="str">
        <x:v>Audio</x:v>
      </x:c>
      <x:c r="B32" s="37" t="n">
        <x:f>COUNTA('Audio'!$A$7:$A$7)</x:f>
        <x:v>1</x:v>
      </x:c>
      <x:c r="C32" s="37" t="n">
        <x:f>COUNTIFS('Audio'!$C$7:$C$7,"Défini")</x:f>
        <x:v>1</x:v>
      </x:c>
      <x:c r="D32" s="37" t="n">
        <x:f>COUNTIFS('Audio'!$C$7:$C$7,"Prototype")</x:f>
        <x:v>0</x:v>
      </x:c>
      <x:c r="E32" s="37" t="n">
        <x:f>COUNTIFS('Audio'!$C$7:$C$7,"Intégré")</x:f>
        <x:v>0</x:v>
      </x:c>
      <x:c r="F32" s="37" t="n">
        <x:f>COUNTIFS('Audio'!$C$7:$C$7,"Validé")</x:f>
        <x:v>0</x:v>
      </x:c>
      <x:c r="G32" s="37" t="n">
        <x:f>COUNTIFS('Audio'!$D$7:$D$7,"Établi")</x:f>
        <x:v>0</x:v>
      </x:c>
      <x:c r="H32" s="37" t="n">
        <x:f>COUNTIFS('Audio'!$D$7:$D$7,"À vérifier")</x:f>
        <x:v>0</x:v>
      </x:c>
      <x:c r="I32" s="37" t="n">
        <x:f>COUNTIFS('Audio'!$D$7:$D$7,"Extrapolation")</x:f>
        <x:v>1</x:v>
      </x:c>
      <x:c r="J32" s="37" t="n">
        <x:f>COUNTIFS('Audio'!$D$7:$D$7,"Coupé attesté")</x:f>
        <x:v>0</x:v>
      </x:c>
      <x:c r="K32" s="37" t="n">
        <x:f>COUNTIFS('Audio'!$D$7:$D$7,"Concept abandonné")</x:f>
        <x:v>0</x:v>
      </x:c>
      <x:c r="L32" s="37" t="n">
        <x:f>COUNTIFS('Audio'!$D$7:$D$7,"Allégation écartée")</x:f>
        <x:v>0</x:v>
      </x:c>
      <x:c r="M32" s="37" t="n">
        <x:f>COUNTIFS('Audio'!$E$7:$E$7,"P0")</x:f>
        <x:v>0</x:v>
      </x:c>
    </x:row>
    <x:row r="33" ht="22" customHeight="1">
      <x:c r="A33" s="2" t="str">
        <x:v>Systèmes et UI</x:v>
      </x:c>
      <x:c r="B33" s="38" t="n">
        <x:f>COUNTA('UI_systemes'!$A$7:$A$10)</x:f>
        <x:v>4</x:v>
      </x:c>
      <x:c r="C33" s="38" t="n">
        <x:f>COUNTIFS('UI_systemes'!$C$7:$C$10,"Défini")</x:f>
        <x:v>4</x:v>
      </x:c>
      <x:c r="D33" s="38" t="n">
        <x:f>COUNTIFS('UI_systemes'!$C$7:$C$10,"Prototype")</x:f>
        <x:v>0</x:v>
      </x:c>
      <x:c r="E33" s="38" t="n">
        <x:f>COUNTIFS('UI_systemes'!$C$7:$C$10,"Intégré")</x:f>
        <x:v>0</x:v>
      </x:c>
      <x:c r="F33" s="38" t="n">
        <x:f>COUNTIFS('UI_systemes'!$C$7:$C$10,"Validé")</x:f>
        <x:v>0</x:v>
      </x:c>
      <x:c r="G33" s="38" t="n">
        <x:f>COUNTIFS('UI_systemes'!$D$7:$D$10,"Établi")</x:f>
        <x:v>0</x:v>
      </x:c>
      <x:c r="H33" s="38" t="n">
        <x:f>COUNTIFS('UI_systemes'!$D$7:$D$10,"À vérifier")</x:f>
        <x:v>0</x:v>
      </x:c>
      <x:c r="I33" s="38" t="n">
        <x:f>COUNTIFS('UI_systemes'!$D$7:$D$10,"Extrapolation")</x:f>
        <x:v>4</x:v>
      </x:c>
      <x:c r="J33" s="38" t="n">
        <x:f>COUNTIFS('UI_systemes'!$D$7:$D$10,"Coupé attesté")</x:f>
        <x:v>0</x:v>
      </x:c>
      <x:c r="K33" s="38" t="n">
        <x:f>COUNTIFS('UI_systemes'!$D$7:$D$10,"Concept abandonné")</x:f>
        <x:v>0</x:v>
      </x:c>
      <x:c r="L33" s="38" t="n">
        <x:f>COUNTIFS('UI_systemes'!$D$7:$D$10,"Allégation écartée")</x:f>
        <x:v>0</x:v>
      </x:c>
      <x:c r="M33" s="38" t="n">
        <x:f>COUNTIFS('UI_systemes'!$E$7:$E$10,"P0")</x:f>
        <x:v>0</x:v>
      </x:c>
    </x:row>
    <x:row r="34" ht="22" customHeight="1">
      <x:c r="A34" s="33" t="str">
        <x:v>QA</x:v>
      </x:c>
      <x:c r="B34" s="37" t="n">
        <x:f>COUNTA('QA'!$A$7:$A$12)</x:f>
        <x:v>6</x:v>
      </x:c>
      <x:c r="C34" s="37" t="n">
        <x:f>COUNTIFS('QA'!$C$7:$C$12,"Défini")</x:f>
        <x:v>6</x:v>
      </x:c>
      <x:c r="D34" s="37" t="n">
        <x:f>COUNTIFS('QA'!$C$7:$C$12,"Prototype")</x:f>
        <x:v>0</x:v>
      </x:c>
      <x:c r="E34" s="37" t="n">
        <x:f>COUNTIFS('QA'!$C$7:$C$12,"Intégré")</x:f>
        <x:v>0</x:v>
      </x:c>
      <x:c r="F34" s="37" t="n">
        <x:f>COUNTIFS('QA'!$C$7:$C$12,"Validé")</x:f>
        <x:v>0</x:v>
      </x:c>
      <x:c r="G34" s="37" t="n">
        <x:f>COUNTIFS('QA'!$D$7:$D$12,"Établi")</x:f>
        <x:v>0</x:v>
      </x:c>
      <x:c r="H34" s="37" t="n">
        <x:f>COUNTIFS('QA'!$D$7:$D$12,"À vérifier")</x:f>
        <x:v>0</x:v>
      </x:c>
      <x:c r="I34" s="37" t="n">
        <x:f>COUNTIFS('QA'!$D$7:$D$12,"Extrapolation")</x:f>
        <x:v>6</x:v>
      </x:c>
      <x:c r="J34" s="37" t="n">
        <x:f>COUNTIFS('QA'!$D$7:$D$12,"Coupé attesté")</x:f>
        <x:v>0</x:v>
      </x:c>
      <x:c r="K34" s="37" t="n">
        <x:f>COUNTIFS('QA'!$D$7:$D$12,"Concept abandonné")</x:f>
        <x:v>0</x:v>
      </x:c>
      <x:c r="L34" s="37" t="n">
        <x:f>COUNTIFS('QA'!$D$7:$D$12,"Allégation écartée")</x:f>
        <x:v>0</x:v>
      </x:c>
      <x:c r="M34" s="37" t="n">
        <x:f>COUNTIFS('QA'!$E$7:$E$12,"P0")</x:f>
        <x:v>6</x:v>
      </x:c>
    </x:row>
    <x:row r="35" ht="22" customHeight="1">
      <x:c r="A35" s="2" t="str">
        <x:v>Continuité</x:v>
      </x:c>
      <x:c r="B35" s="38" t="n">
        <x:f>COUNTA('Continuite'!$A$7:$A$8)</x:f>
        <x:v>2</x:v>
      </x:c>
      <x:c r="C35" s="38" t="n">
        <x:f>COUNTIFS('Continuite'!$C$7:$C$8,"Défini")</x:f>
        <x:v>2</x:v>
      </x:c>
      <x:c r="D35" s="38" t="n">
        <x:f>COUNTIFS('Continuite'!$C$7:$C$8,"Prototype")</x:f>
        <x:v>0</x:v>
      </x:c>
      <x:c r="E35" s="38" t="n">
        <x:f>COUNTIFS('Continuite'!$C$7:$C$8,"Intégré")</x:f>
        <x:v>0</x:v>
      </x:c>
      <x:c r="F35" s="38" t="n">
        <x:f>COUNTIFS('Continuite'!$C$7:$C$8,"Validé")</x:f>
        <x:v>0</x:v>
      </x:c>
      <x:c r="G35" s="38" t="n">
        <x:f>COUNTIFS('Continuite'!$D$7:$D$8,"Établi")</x:f>
        <x:v>0</x:v>
      </x:c>
      <x:c r="H35" s="38" t="n">
        <x:f>COUNTIFS('Continuite'!$D$7:$D$8,"À vérifier")</x:f>
        <x:v>0</x:v>
      </x:c>
      <x:c r="I35" s="38" t="n">
        <x:f>COUNTIFS('Continuite'!$D$7:$D$8,"Extrapolation")</x:f>
        <x:v>2</x:v>
      </x:c>
      <x:c r="J35" s="38" t="n">
        <x:f>COUNTIFS('Continuite'!$D$7:$D$8,"Coupé attesté")</x:f>
        <x:v>0</x:v>
      </x:c>
      <x:c r="K35" s="38" t="n">
        <x:f>COUNTIFS('Continuite'!$D$7:$D$8,"Concept abandonné")</x:f>
        <x:v>0</x:v>
      </x:c>
      <x:c r="L35" s="38" t="n">
        <x:f>COUNTIFS('Continuite'!$D$7:$D$8,"Allégation écartée")</x:f>
        <x:v>0</x:v>
      </x:c>
      <x:c r="M35" s="38" t="n">
        <x:f>COUNTIFS('Continuite'!$E$7:$E$8,"P0")</x:f>
        <x:v>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63</x:v>
      </x:c>
      <x:c r="C37" s="39" t="n">
        <x:f>SUM(C10:C35)</x:f>
        <x:v>61</x:v>
      </x:c>
      <x:c r="D37" s="39" t="n">
        <x:f>SUM(D10:D35)</x:f>
        <x:v>2</x:v>
      </x:c>
      <x:c r="E37" s="39" t="n">
        <x:f>SUM(E10:E35)</x:f>
        <x:v>0</x:v>
      </x:c>
      <x:c r="F37" s="39" t="n">
        <x:f>SUM(F10:F35)</x:f>
        <x:v>0</x:v>
      </x:c>
      <x:c r="G37" s="39" t="n">
        <x:f>SUM(G10:G35)</x:f>
        <x:v>3</x:v>
      </x:c>
      <x:c r="H37" s="39" t="n">
        <x:f>SUM(H10:H35)</x:f>
        <x:v>9</x:v>
      </x:c>
      <x:c r="I37" s="39" t="n">
        <x:f>SUM(I10:I35)</x:f>
        <x:v>51</x:v>
      </x:c>
      <x:c r="J37" s="39" t="n">
        <x:f>SUM(J10:J35)</x:f>
        <x:v>0</x:v>
      </x:c>
      <x:c r="K37" s="39" t="n">
        <x:f>SUM(K10:K35)</x:f>
        <x:v>0</x:v>
      </x:c>
      <x:c r="L37" s="39" t="n">
        <x:f>SUM(L10:L35)</x:f>
        <x:v>0</x:v>
      </x:c>
      <x:c r="M37" s="39" t="n">
        <x:f>SUM(M10:M35)</x:f>
        <x:v>12</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Inquisition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INQ-ACT-BAILEY</x:v>
      </x:c>
      <x:c r="B7" s="9" t="str">
        <x:v>Armando-Owen Bailey</x:v>
      </x:c>
      <x:c r="C7" s="15" t="str">
        <x:v>Défini</x:v>
      </x:c>
      <x:c r="D7" s="16" t="str">
        <x:v>Établi</x:v>
      </x:c>
      <x:c r="E7" s="16" t="str">
        <x:v>P1</x:v>
      </x:c>
      <x:c r="F7" s="9" t="str">
        <x:v>Bailey est le protagoniste de l’enquête.</x:v>
      </x:c>
      <x:c r="G7" s="9" t="str">
        <x:v>Enquêteur jouable; observation, mise à distance et rapport.</x:v>
      </x:c>
      <x:c r="H7" s="9" t="str">
        <x:v>Rôle narratif; aucune statistique officielle déduite.</x:v>
      </x:c>
      <x:c r="I7" s="9" t="str">
        <x:v>Direction proposée : Armure C-Sec et silhouette humaine robuste, détails de grade à contrôler. Vérifier le costume sur l'édition autorisée avant peinture finale.</x:v>
      </x:c>
      <x:c r="J7" s="9" t="str">
        <x:v>Lecture de dossier, inspection au sol, garde prudente et fatigue finale.</x:v>
      </x:c>
      <x:c r="K7" s="9" t="str">
        <x:v>Interprétation originale; sous-titres attribués au locuteur et aucune reprise des voix du jeu.</x:v>
      </x:c>
      <x:c r="L7" s="9" t="str">
        <x:v>Livrable proposé : spécification INQ/characters/act-bailey; brancher au registre de contenu de l'œuvre seulement après production.</x:v>
      </x:c>
      <x:c r="M7" s="9" t="str">
        <x:v>Conserver la confrontation publiée et l’incertitude finale; une option de dialogue n’établit pas une innocence ou une culpabilité omnisciente.</x:v>
      </x:c>
      <x:c r="N7" s="9" t="str">
        <x:v>Armando-Owen Bailey possède une fiche de référence séparant rôle attesté, silhouette à contrôler et commandes proposées.</x:v>
      </x:c>
      <x:c r="O7" s="9" t="str"/>
      <x:c r="P7" s="9" t="str">
        <x:v>Mass Effect: Inquisition, récit court</x:v>
      </x:c>
      <x:c r="Q7" s="9" t="str">
        <x:v>INQ-S-PAIR</x:v>
      </x:c>
      <x:c r="R7" s="9" t="str">
        <x:v>https://books.apple.com/gr/book/mass-effect-incursion-inquisition/id1047054838</x:v>
      </x:c>
      <x:c r="S7" s="9" t="str">
        <x:v>Le rôle dans la source ne prouve ni recrutement jouable ni disponibilité permanente.</x:v>
      </x:c>
    </x:row>
    <x:row r="8" ht="68" customHeight="1">
      <x:c r="A8" s="19" t="str">
        <x:v>INQ-ACT-PALLIN</x:v>
      </x:c>
      <x:c r="B8" s="7" t="str">
        <x:v>Exécuteur Venari Pallin</x:v>
      </x:c>
      <x:c r="C8" s="15" t="str">
        <x:v>Défini</x:v>
      </x:c>
      <x:c r="D8" s="17" t="str">
        <x:v>À vérifier</x:v>
      </x:c>
      <x:c r="E8" s="17" t="str">
        <x:v>P1</x:v>
      </x:c>
      <x:c r="F8" s="7" t="str">
        <x:v>Pallin est visé par l’enquête et participe à la confrontation.</x:v>
      </x:c>
      <x:c r="G8" s="7" t="str">
        <x:v>Interlocuteur puis adversaire de scène; culpabilité non tranchée.</x:v>
      </x:c>
      <x:c r="H8" s="7" t="str">
        <x:v>Rôle narratif; aucune statistique officielle déduite.</x:v>
      </x:c>
      <x:c r="I8" s="7" t="str">
        <x:v>Direction proposée : Turien en tenue C-Sec à vérifier, arme de poing tenue visiblement. Vérifier le costume sur l'édition autorisée avant peinture finale.</x:v>
      </x:c>
      <x:c r="J8" s="7" t="str">
        <x:v>Mise en garde, réaction tendue et approche brusque.</x:v>
      </x:c>
      <x:c r="K8" s="7" t="str">
        <x:v>Interprétation originale; sous-titres attribués au locuteur et aucune reprise des voix du jeu.</x:v>
      </x:c>
      <x:c r="L8" s="7" t="str">
        <x:v>Livrable proposé : spécification INQ/characters/act-pallin; brancher au registre de contenu de l'œuvre seulement après production.</x:v>
      </x:c>
      <x:c r="M8" s="7" t="str">
        <x:v>Conserver la confrontation publiée et l’incertitude finale; une option de dialogue n’établit pas une innocence ou une culpabilité omnisciente.</x:v>
      </x:c>
      <x:c r="N8" s="7" t="str">
        <x:v>Exécuteur Venari Pallin possède une fiche de référence séparant rôle attesté, silhouette à contrôler et commandes proposées.</x:v>
      </x:c>
      <x:c r="O8" s="7" t="str"/>
      <x:c r="P8" s="7" t="str">
        <x:v>Mass Effect: Inquisition, récit court</x:v>
      </x:c>
      <x:c r="Q8" s="7" t="str">
        <x:v>INQ-S-WIKI</x:v>
      </x:c>
      <x:c r="R8" s="7" t="str">
        <x:v>https://masseffect.fandom.com/wiki/Mass_Effect%3A_Inquisition</x:v>
      </x:c>
      <x:c r="S8" s="7" t="str">
        <x:v>Le rôle dans la source ne prouve ni recrutement jouable ni disponibilité permanente.</x:v>
      </x:c>
    </x:row>
  </x:sheetData>
  <x:conditionalFormatting sqref="D7:D8">
    <x:cfRule type="cellIs" dxfId="0" priority="1" operator="equal">
      <x:formula>"À vérifier"</x:formula>
    </x:cfRule>
    <x:cfRule type="cellIs" dxfId="1" priority="2" operator="equal">
      <x:formula>"Extrapolation"</x:formula>
    </x:cfRule>
  </x:conditionalFormatting>
  <x:conditionalFormatting sqref="C7:C8">
    <x:cfRule type="cellIs" dxfId="2" priority="3" operator="equal">
      <x:formula>"Validé"</x:formula>
    </x:cfRule>
  </x:conditionalFormatting>
  <x:conditionalFormatting sqref="E7:E8">
    <x:cfRule type="cellIs" dxfId="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a9bf72b5cd1b40f1"/>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Inquisition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INQ-ACT-UDINA</x:v>
      </x:c>
      <x:c r="B7" s="9" t="str">
        <x:v>Donnel Udina</x:v>
      </x:c>
      <x:c r="C7" s="15" t="str">
        <x:v>Défini</x:v>
      </x:c>
      <x:c r="D7" s="16" t="str">
        <x:v>À vérifier</x:v>
      </x:c>
      <x:c r="E7" s="16" t="str">
        <x:v>P1</x:v>
      </x:c>
      <x:c r="F7" s="9" t="str">
        <x:v>Udina confie à Bailey des accusations contre Pallin.</x:v>
      </x:c>
      <x:c r="G7" s="9" t="str">
        <x:v>Autorité politique interlocutrice; ne pas traiter ses affirmations comme faits de système.</x:v>
      </x:c>
      <x:c r="H7" s="9" t="str">
        <x:v>Rôle narratif; aucune statistique officielle déduite.</x:v>
      </x:c>
      <x:c r="I7" s="9" t="str">
        <x:v>Direction proposée : Tenue politique soignée et bureau en hauteur; costume à comparer. Vérifier le costume sur l'édition autorisée avant peinture finale.</x:v>
      </x:c>
      <x:c r="J7" s="9" t="str">
        <x:v>Accueil mesuré, désignation de dossier et clôture d’entretien.</x:v>
      </x:c>
      <x:c r="K7" s="9" t="str">
        <x:v>Interprétation originale; sous-titres attribués au locuteur et aucune reprise des voix du jeu.</x:v>
      </x:c>
      <x:c r="L7" s="9" t="str">
        <x:v>Livrable proposé : spécification INQ/npcs/act-udina; brancher au registre de contenu de l'œuvre seulement après production.</x:v>
      </x:c>
      <x:c r="M7" s="9" t="str">
        <x:v>Conserver la confrontation publiée et l’incertitude finale; une option de dialogue n’établit pas une innocence ou une culpabilité omnisciente.</x:v>
      </x:c>
      <x:c r="N7" s="9" t="str">
        <x:v>Donnel Udina possède une fiche de référence séparant rôle attesté, silhouette à contrôler et commandes proposées.</x:v>
      </x:c>
      <x:c r="O7" s="9" t="str"/>
      <x:c r="P7" s="9" t="str">
        <x:v>Mass Effect: Inquisition, récit court</x:v>
      </x:c>
      <x:c r="Q7" s="9" t="str">
        <x:v>INQ-S-WIKI</x:v>
      </x:c>
      <x:c r="R7" s="9" t="str">
        <x:v>https://masseffect.fandom.com/wiki/Mass_Effect%3A_Inquisition</x:v>
      </x:c>
      <x:c r="S7" s="9" t="str">
        <x:v>Le rôle dans la source ne prouve ni recrutement jouable ni disponibilité permanente.</x:v>
      </x:c>
    </x:row>
    <x:row r="8" ht="68" customHeight="1">
      <x:c r="A8" s="19" t="str">
        <x:v>INQ-ACT-CHILD</x:v>
      </x:c>
      <x:c r="B8" s="7" t="str">
        <x:v>Enfant de Bailey — interlocuteur distant</x:v>
      </x:c>
      <x:c r="C8" s="15" t="str">
        <x:v>Défini</x:v>
      </x:c>
      <x:c r="D8" s="17" t="str">
        <x:v>À vérifier</x:v>
      </x:c>
      <x:c r="E8" s="17" t="str">
        <x:v>P1</x:v>
      </x:c>
      <x:c r="F8" s="7" t="str">
        <x:v>Le wiki décrit une communication de Bailey avec son enfant.</x:v>
      </x:c>
      <x:c r="G8" s="7" t="str">
        <x:v>Ancrage personnel, sans nom ni visage inventé comme canon.</x:v>
      </x:c>
      <x:c r="H8" s="7" t="str">
        <x:v>Rôle narratif; aucune statistique officielle déduite.</x:v>
      </x:c>
      <x:c r="I8" s="7" t="str">
        <x:v>Direction proposée : Interface de communication abstraite; portrait optionnel seulement après référence. Vérifier le costume sur l'édition autorisée avant peinture finale.</x:v>
      </x:c>
      <x:c r="J8" s="7" t="str">
        <x:v>Bailey écoute; aucun avatar enfant jouable ajouté.</x:v>
      </x:c>
      <x:c r="K8" s="7" t="str">
        <x:v>Interprétation originale; sous-titres attribués au locuteur et aucune reprise des voix du jeu.</x:v>
      </x:c>
      <x:c r="L8" s="7" t="str">
        <x:v>Livrable proposé : spécification INQ/npcs/act-child; brancher au registre de contenu de l'œuvre seulement après production.</x:v>
      </x:c>
      <x:c r="M8" s="7" t="str">
        <x:v>Conserver la confrontation publiée et l’incertitude finale; une option de dialogue n’établit pas une innocence ou une culpabilité omnisciente.</x:v>
      </x:c>
      <x:c r="N8" s="7" t="str">
        <x:v>Enfant de Bailey — interlocuteur distant possède une fiche de référence séparant rôle attesté, silhouette à contrôler et commandes proposées.</x:v>
      </x:c>
      <x:c r="O8" s="7" t="str"/>
      <x:c r="P8" s="7" t="str">
        <x:v>Mass Effect: Inquisition, récit court</x:v>
      </x:c>
      <x:c r="Q8" s="7" t="str">
        <x:v>INQ-S-WIKI</x:v>
      </x:c>
      <x:c r="R8" s="7" t="str">
        <x:v>https://masseffect.fandom.com/wiki/Mass_Effect%3A_Inquisition</x:v>
      </x:c>
      <x:c r="S8" s="7" t="str">
        <x:v>Le rôle dans la source ne prouve ni recrutement jouable ni disponibilité permanente.</x:v>
      </x:c>
    </x:row>
  </x:sheetData>
  <x:conditionalFormatting sqref="D7:D8">
    <x:cfRule type="cellIs" dxfId="4" priority="1" operator="equal">
      <x:formula>"À vérifier"</x:formula>
    </x:cfRule>
    <x:cfRule type="cellIs" dxfId="5" priority="2" operator="equal">
      <x:formula>"Extrapolation"</x:formula>
    </x:cfRule>
  </x:conditionalFormatting>
  <x:conditionalFormatting sqref="C7:C8">
    <x:cfRule type="cellIs" dxfId="6" priority="3" operator="equal">
      <x:formula>"Validé"</x:formula>
    </x:cfRule>
  </x:conditionalFormatting>
  <x:conditionalFormatting sqref="E7:E8">
    <x:cfRule type="cellIs" dxfId="7"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6c3fc47dfa724f71"/>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Inquisition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INQ-REF-SCOPE</x:v>
      </x:c>
      <x:c r="B7" s="9" t="str">
        <x:v>Bailey au centre de l’enquête</x:v>
      </x:c>
      <x:c r="C7" s="15" t="str">
        <x:v>Prototype</x:v>
      </x:c>
      <x:c r="D7" s="16" t="str">
        <x:v>Établi</x:v>
      </x:c>
      <x:c r="E7" s="16" t="str">
        <x:v>P0</x:v>
      </x:c>
      <x:c r="F7" s="9" t="str">
        <x:v>L’éditeur présente Bailey cherchant un traître présumé dans le contexte de la Citadelle.</x:v>
      </x:c>
      <x:c r="G7" s="9" t="str">
        <x:v>Conserver cet ancrage dans les données éditoriales; les variantes de jeu restent dans un espace séparé.</x:v>
      </x:c>
      <x:c r="H7" s="9" t="str"/>
      <x:c r="I7" s="9" t="str"/>
      <x:c r="J7" s="9" t="str"/>
      <x:c r="K7" s="9" t="str"/>
      <x:c r="L7" s="9" t="str">
        <x:v>Référence documentaire INQ-REF-SCOPE consultable dans les lectures inq-bailey de src/chronicle-story.js, avec sources et progression séparée. Aucune scène, carte, animation ni incarnation de personnage produite par cette fiche.</x:v>
      </x:c>
      <x:c r="M7" s="9" t="str">
        <x:v>Vérifier toute précision non contenue dans cette notice avant de la déclarer canon.</x:v>
      </x:c>
      <x:c r="N7" s="9" t="str">
        <x:v>Le dossier cite la source PAIR et distingue cette information de toute règle de gameplay.</x:v>
      </x:c>
      <x:c r="O7" s="9" t="str"/>
      <x:c r="P7" s="9" t="str">
        <x:v>Mass Effect: Inquisition, récit court</x:v>
      </x:c>
      <x:c r="Q7" s="9" t="str">
        <x:v>INQ-S-PAIR</x:v>
      </x:c>
      <x:c r="R7" s="9" t="str">
        <x:v>https://books.apple.com/gr/book/mass-effect-incursion-inquisition/id1047054838</x:v>
      </x:c>
      <x:c r="S7" s="9" t="str">
        <x:v>Fait résumé brièvement; aucun dialogue ni découpage intégral du comic reproduit. Prototype limité à une paraphrase documentaire sourcée et aux références visitées ; pas de reproduction intégrale du récit. Les soupçons d’Inquisition restent attribués à leur notice, sans verdict inventé. Une lecture n’accorde ni recrutement, équipement, victoire ni récompense de campagne.</x:v>
      </x:c>
    </x:row>
    <x:row r="8" ht="54" customHeight="1">
      <x:c r="A8" s="19" t="str">
        <x:v>INQ-REF-DOUBT</x:v>
      </x:c>
      <x:c r="B8" s="7" t="str">
        <x:v>Accusation et doute</x:v>
      </x:c>
      <x:c r="C8" s="15" t="str">
        <x:v>Défini</x:v>
      </x:c>
      <x:c r="D8" s="17" t="str">
        <x:v>À vérifier</x:v>
      </x:c>
      <x:c r="E8" s="17" t="str">
        <x:v>P0</x:v>
      </x:c>
      <x:c r="F8" s="7" t="str">
        <x:v>Le wiki décrit les accusations d’Udina contre Pallin et les doutes de Bailey après la confrontation.</x:v>
      </x:c>
      <x:c r="G8" s="7" t="str">
        <x:v>Attribuer chaque affirmation à son locuteur; aucun badge traître confirmé.</x:v>
      </x:c>
      <x:c r="H8" s="7" t="str"/>
      <x:c r="I8" s="7" t="str"/>
      <x:c r="J8" s="7" t="str"/>
      <x:c r="K8" s="7" t="str"/>
      <x:c r="L8" s="7" t="str">
        <x:v>Livrable proposé : spécification INQ/lore/ref-doubt; brancher au registre de contenu de l'œuvre seulement après production.</x:v>
      </x:c>
      <x:c r="M8" s="7" t="str">
        <x:v>Vérifier toute précision non contenue dans cette notice avant de la déclarer canon.</x:v>
      </x:c>
      <x:c r="N8" s="7" t="str">
        <x:v>Le dossier cite la source WIKI et distingue cette information de toute règle de gameplay.</x:v>
      </x:c>
      <x:c r="O8" s="7" t="str"/>
      <x:c r="P8" s="7" t="str">
        <x:v>Mass Effect: Inquisition, récit court</x:v>
      </x:c>
      <x:c r="Q8" s="7" t="str">
        <x:v>INQ-S-WIKI</x:v>
      </x:c>
      <x:c r="R8" s="7" t="str">
        <x:v>https://masseffect.fandom.com/wiki/Mass_Effect%3A_Inquisition</x:v>
      </x:c>
      <x:c r="S8" s="7" t="str">
        <x:v>Fait résumé brièvement; aucun dialogue ni découpage intégral du comic reproduit.</x:v>
      </x:c>
    </x:row>
    <x:row r="9" ht="54" customHeight="1">
      <x:c r="A9" s="18" t="str">
        <x:v>INQ-REF-PROMOTION</x:v>
      </x:c>
      <x:c r="B9" s="9" t="str">
        <x:v>Conclusion de carrière</x:v>
      </x:c>
      <x:c r="C9" s="15" t="str">
        <x:v>Défini</x:v>
      </x:c>
      <x:c r="D9" s="16" t="str">
        <x:v>À vérifier</x:v>
      </x:c>
      <x:c r="E9" s="16" t="str">
        <x:v>P0</x:v>
      </x:c>
      <x:c r="F9" s="9" t="str">
        <x:v>Le récit rapporté se conclut par une promotion de Bailey.</x:v>
      </x:c>
      <x:c r="G9" s="9" t="str">
        <x:v>La promotion n’est pas présentée comme preuve que l’enquête avait raison.</x:v>
      </x:c>
      <x:c r="H9" s="9" t="str"/>
      <x:c r="I9" s="9" t="str"/>
      <x:c r="J9" s="9" t="str"/>
      <x:c r="K9" s="9" t="str"/>
      <x:c r="L9" s="9" t="str">
        <x:v>Livrable proposé : spécification INQ/lore/ref-promotion; brancher au registre de contenu de l'œuvre seulement après production.</x:v>
      </x:c>
      <x:c r="M9" s="9" t="str">
        <x:v>Vérifier toute précision non contenue dans cette notice avant de la déclarer canon.</x:v>
      </x:c>
      <x:c r="N9" s="9" t="str">
        <x:v>Le dossier cite la source WIKI et distingue cette information de toute règle de gameplay.</x:v>
      </x:c>
      <x:c r="O9" s="9" t="str"/>
      <x:c r="P9" s="9" t="str">
        <x:v>Mass Effect: Inquisition, récit court</x:v>
      </x:c>
      <x:c r="Q9" s="9" t="str">
        <x:v>INQ-S-WIKI</x:v>
      </x:c>
      <x:c r="R9" s="9" t="str">
        <x:v>https://masseffect.fandom.com/wiki/Mass_Effect%3A_Inquisition</x:v>
      </x:c>
      <x:c r="S9" s="9" t="str">
        <x:v>Fait résumé brièvement; aucun dialogue ni découpage intégral du comic reproduit.</x:v>
      </x:c>
    </x:row>
    <x:row r="10" ht="54" customHeight="1">
      <x:c r="A10" s="19" t="str">
        <x:v>INQ-SC-BRIEF-REF</x:v>
      </x:c>
      <x:c r="B10" s="7" t="str">
        <x:v>Recevoir les accusations</x:v>
      </x:c>
      <x:c r="C10" s="15" t="str">
        <x:v>Défini</x:v>
      </x:c>
      <x:c r="D10" s="17" t="str">
        <x:v>À vérifier</x:v>
      </x:c>
      <x:c r="E10" s="17" t="str">
        <x:v>P1</x:v>
      </x:c>
      <x:c r="F10" s="7" t="str">
        <x:v>Udina demande à Bailey d’enquêter sur Pallin. </x:v>
      </x:c>
      <x:c r="G10" s="7" t="str">
        <x:v>Ancrage du module; les intitulés de quêtes et options ci-dessous sont des créations de production.</x:v>
      </x:c>
      <x:c r="H10" s="7" t="str"/>
      <x:c r="I10" s="7" t="str"/>
      <x:c r="J10" s="7" t="str"/>
      <x:c r="K10" s="7" t="str"/>
      <x:c r="L10" s="7" t="str">
        <x:v>Livrable proposé : spécification INQ/lore/sc-brief-ref; brancher au registre de contenu de l'œuvre seulement après production.</x:v>
      </x:c>
      <x:c r="M10" s="7" t="str">
        <x:v>Conserver la confrontation publiée et l’incertitude finale; une option de dialogue n’établit pas une innocence ou une culpabilité omnisciente.</x:v>
      </x:c>
      <x:c r="N10" s="7" t="str">
        <x:v>L’ancrage reste bref et son numéro/segment est identifiable dans les sources; les détails non confirmés portent À vérifier.</x:v>
      </x:c>
      <x:c r="O10" s="7" t="str"/>
      <x:c r="P10" s="7" t="str">
        <x:v>Mass Effect: Inquisition, récit court</x:v>
      </x:c>
      <x:c r="Q10" s="7" t="str">
        <x:v>INQ-S-WIKI</x:v>
      </x:c>
      <x:c r="R10" s="7" t="str">
        <x:v>https://masseffect.fandom.com/wiki/Mass_Effect%3A_Inquisition</x:v>
      </x:c>
      <x:c r="S10" s="7" t="str">
        <x:v>Ne remplace pas la lecture du numéro.</x:v>
      </x:c>
    </x:row>
    <x:row r="11" ht="54" customHeight="1">
      <x:c r="A11" s="18" t="str">
        <x:v>INQ-SC-OFFICE-REF</x:v>
      </x:c>
      <x:c r="B11" s="9" t="str">
        <x:v>Lieu d’enquête et confrontation</x:v>
      </x:c>
      <x:c r="C11" s="15" t="str">
        <x:v>Défini</x:v>
      </x:c>
      <x:c r="D11" s="16" t="str">
        <x:v>À vérifier</x:v>
      </x:c>
      <x:c r="E11" s="16" t="str">
        <x:v>P1</x:v>
      </x:c>
      <x:c r="F11" s="9" t="str">
        <x:v>Bailey découvre des agents morts puis affronte Pallin dans le récit rapporté. </x:v>
      </x:c>
      <x:c r="G11" s="9" t="str">
        <x:v>Ancrage du module; les intitulés de quêtes et options ci-dessous sont des créations de production.</x:v>
      </x:c>
      <x:c r="H11" s="9" t="str"/>
      <x:c r="I11" s="9" t="str"/>
      <x:c r="J11" s="9" t="str"/>
      <x:c r="K11" s="9" t="str"/>
      <x:c r="L11" s="9" t="str">
        <x:v>Livrable proposé : spécification INQ/lore/sc-office-ref; brancher au registre de contenu de l'œuvre seulement après production.</x:v>
      </x:c>
      <x:c r="M11" s="9" t="str">
        <x:v>Conserver la confrontation publiée et l’incertitude finale; une option de dialogue n’établit pas une innocence ou une culpabilité omnisciente.</x:v>
      </x:c>
      <x:c r="N11" s="9" t="str">
        <x:v>L’ancrage reste bref et son numéro/segment est identifiable dans les sources; les détails non confirmés portent À vérifier.</x:v>
      </x:c>
      <x:c r="O11" s="9" t="str"/>
      <x:c r="P11" s="9" t="str">
        <x:v>Mass Effect: Inquisition, récit court</x:v>
      </x:c>
      <x:c r="Q11" s="9" t="str">
        <x:v>INQ-S-WIKI</x:v>
      </x:c>
      <x:c r="R11" s="9" t="str">
        <x:v>https://masseffect.fandom.com/wiki/Mass_Effect%3A_Inquisition</x:v>
      </x:c>
      <x:c r="S11" s="9" t="str">
        <x:v>Ne remplace pas la lecture du numéro.</x:v>
      </x:c>
    </x:row>
    <x:row r="12" ht="54" customHeight="1">
      <x:c r="A12" s="19" t="str">
        <x:v>INQ-SC-REPORT-REF</x:v>
      </x:c>
      <x:c r="B12" s="7" t="str">
        <x:v>Rendre un rapport incertain</x:v>
      </x:c>
      <x:c r="C12" s="15" t="str">
        <x:v>Défini</x:v>
      </x:c>
      <x:c r="D12" s="17" t="str">
        <x:v>À vérifier</x:v>
      </x:c>
      <x:c r="E12" s="17" t="str">
        <x:v>P1</x:v>
      </x:c>
      <x:c r="F12" s="7" t="str">
        <x:v>Bailey expose ses doutes avant sa promotion dans le récit rapporté. </x:v>
      </x:c>
      <x:c r="G12" s="7" t="str">
        <x:v>Ancrage du module; les intitulés de quêtes et options ci-dessous sont des créations de production.</x:v>
      </x:c>
      <x:c r="H12" s="7" t="str"/>
      <x:c r="I12" s="7" t="str"/>
      <x:c r="J12" s="7" t="str"/>
      <x:c r="K12" s="7" t="str"/>
      <x:c r="L12" s="7" t="str">
        <x:v>Livrable proposé : spécification INQ/lore/sc-report-ref; brancher au registre de contenu de l'œuvre seulement après production.</x:v>
      </x:c>
      <x:c r="M12" s="7" t="str">
        <x:v>Conserver la confrontation publiée et l’incertitude finale; une option de dialogue n’établit pas une innocence ou une culpabilité omnisciente.</x:v>
      </x:c>
      <x:c r="N12" s="7" t="str">
        <x:v>L’ancrage reste bref et son numéro/segment est identifiable dans les sources; les détails non confirmés portent À vérifier.</x:v>
      </x:c>
      <x:c r="O12" s="7" t="str"/>
      <x:c r="P12" s="7" t="str">
        <x:v>Mass Effect: Inquisition, récit court</x:v>
      </x:c>
      <x:c r="Q12" s="7" t="str">
        <x:v>INQ-S-WIKI</x:v>
      </x:c>
      <x:c r="R12" s="7" t="str">
        <x:v>https://masseffect.fandom.com/wiki/Mass_Effect%3A_Inquisition</x:v>
      </x:c>
      <x:c r="S12" s="7" t="str">
        <x:v>Ne remplace pas la lecture du numéro.</x:v>
      </x:c>
    </x:row>
  </x:sheetData>
  <x:conditionalFormatting sqref="D7:D12">
    <x:cfRule type="cellIs" dxfId="8" priority="1" operator="equal">
      <x:formula>"À vérifier"</x:formula>
    </x:cfRule>
    <x:cfRule type="cellIs" dxfId="9" priority="2" operator="equal">
      <x:formula>"Extrapolation"</x:formula>
    </x:cfRule>
  </x:conditionalFormatting>
  <x:conditionalFormatting sqref="C7:C12">
    <x:cfRule type="cellIs" dxfId="10" priority="3" operator="equal">
      <x:formula>"Validé"</x:formula>
    </x:cfRule>
  </x:conditionalFormatting>
  <x:conditionalFormatting sqref="E7:E12">
    <x:cfRule type="cellIs" dxfId="1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2da64a7a5bf64886"/>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Inquisition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INQ-WRL-CITADEL</x:v>
      </x:c>
      <x:c r="B7" s="9" t="str">
        <x:v>Citadelle — enquête de Bailey</x:v>
      </x:c>
      <x:c r="C7" s="15" t="str">
        <x:v>Prototype</x:v>
      </x:c>
      <x:c r="D7" s="16" t="str">
        <x:v>Établi</x:v>
      </x:c>
      <x:c r="E7" s="16" t="str">
        <x:v>P1</x:v>
      </x:c>
      <x:c r="F7" s="9" t="str">
        <x:v>L’éditeur situe l’enquête de Bailey sur la Citadelle.</x:v>
      </x:c>
      <x:c r="G7" s="9" t="str">
        <x:v>Trois espaces courts contrastés.</x:v>
      </x:c>
      <x:c r="H7" s="9" t="str"/>
      <x:c r="I7" s="9" t="str">
        <x:v>Clair institutionnel, coin d’enquête plus sombre mais éclairage jouable suffisant.</x:v>
      </x:c>
      <x:c r="J7" s="9" t="str"/>
      <x:c r="K7" s="9" t="str"/>
      <x:c r="L7" s="9" t="str">
        <x:v>Référence documentaire INQ-WRL-CITADEL consultable dans les lectures inq-bailey de src/chronicle-story.js, avec sources et progression séparée. Aucune scène, carte, animation ni incarnation de personnage produite par cette fiche.</x:v>
      </x:c>
      <x:c r="M7" s="9" t="str">
        <x:v>Conserver la confrontation publiée et l’incertitude finale; une option de dialogue n’établit pas une innocence ou une culpabilité omnisciente.</x:v>
      </x:c>
      <x:c r="N7" s="9" t="str">
        <x:v>Le nom Citadelle — enquête de Bailey et sa fonction sont sourcés; les dimensions, chemins et interactions restent explicitement proposés.</x:v>
      </x:c>
      <x:c r="O7" s="9" t="str"/>
      <x:c r="P7" s="9" t="str">
        <x:v>Mass Effect: Inquisition, récit court</x:v>
      </x:c>
      <x:c r="Q7" s="9" t="str">
        <x:v>INQ-S-PAIR</x:v>
      </x:c>
      <x:c r="R7" s="9" t="str">
        <x:v>https://books.apple.com/gr/book/mass-effect-incursion-inquisition/id1047054838</x:v>
      </x:c>
      <x:c r="S7" s="9" t="str">
        <x:v>La géométrie jouable ci-dessous est originale et ne prétend pas reconstituer une carte officielle. Prototype limité à une paraphrase documentaire sourcée et aux références visitées ; pas de reproduction intégrale du récit. Les soupçons d’Inquisition restent attribués à leur notice, sans verdict inventé. Une lecture n’accorde ni recrutement, équipement, victoire ni récompense de campagne.</x:v>
      </x:c>
    </x:row>
  </x:sheetData>
  <x:conditionalFormatting sqref="D7:D7">
    <x:cfRule type="cellIs" dxfId="12" priority="1" operator="equal">
      <x:formula>"À vérifier"</x:formula>
    </x:cfRule>
    <x:cfRule type="cellIs" dxfId="13" priority="2" operator="equal">
      <x:formula>"Extrapolation"</x:formula>
    </x:cfRule>
  </x:conditionalFormatting>
  <x:conditionalFormatting sqref="C7:C7">
    <x:cfRule type="cellIs" dxfId="14" priority="3" operator="equal">
      <x:formula>"Validé"</x:formula>
    </x:cfRule>
  </x:conditionalFormatting>
  <x:conditionalFormatting sqref="E7:E7">
    <x:cfRule type="cellIs" dxfId="1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63de148a7d04f01"/>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Inquisition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INQ-ZONE-CITADEL</x:v>
      </x:c>
      <x:c r="B7" s="9" t="str">
        <x:v>Citadelle — enquête de Bailey — espace jouable proposé</x:v>
      </x:c>
      <x:c r="C7" s="15" t="str">
        <x:v>Défini</x:v>
      </x:c>
      <x:c r="D7" s="16" t="str">
        <x:v>Extrapolation</x:v>
      </x:c>
      <x:c r="E7" s="16" t="str">
        <x:v>P1</x:v>
      </x:c>
      <x:c r="F7" s="9" t="str">
        <x:v>Bureau de service, office politique et lieu d’enquête reliés par ellipses.</x:v>
      </x:c>
      <x:c r="G7" s="9" t="str">
        <x:v>Trois espaces courts contrastés.</x:v>
      </x:c>
      <x:c r="H7" s="9" t="str">
        <x:v>Les indices restent accessibles après la confrontation; aucune fouille aléatoire indispensable.</x:v>
      </x:c>
      <x:c r="I7" s="9" t="str">
        <x:v>Clair institutionnel, coin d’enquête plus sombre mais éclairage jouable suffisant.</x:v>
      </x:c>
      <x:c r="J7" s="9" t="str">
        <x:v>Garder les trajectoires de sprites sur le sol navigable; traversées de premier plan traitées par masques.</x:v>
      </x:c>
      <x:c r="K7" s="9" t="str"/>
      <x:c r="L7" s="9" t="str">
        <x:v>Scène 3D prévue inq/zones/citadel; volumes de navigation, ancrages d'actions et caméras fixes séparés.</x:v>
      </x:c>
      <x:c r="M7" s="9" t="str">
        <x:v>Conserver la confrontation publiée et l’incertitude finale; une option de dialogue n’établit pas une innocence ou une culpabilité omnisciente.</x:v>
      </x:c>
      <x:c r="N7" s="9" t="str">
        <x:v>Le blocage de Citadelle — enquête de Bailey permet un parcours aller-retour sans caméra aveugle; chaque danger annoncé possède une sortie lisible.</x:v>
      </x:c>
      <x:c r="O7" s="9" t="str">
        <x:v>INQ-WRL-CITADEL</x:v>
      </x:c>
      <x:c r="P7" s="9" t="str">
        <x:v>Plan original, dimensions à prototyper.</x:v>
      </x:c>
      <x:c r="Q7" s="9" t="str"/>
      <x:c r="R7" s="9" t="str"/>
      <x:c r="S7" s="9" t="str"/>
    </x:row>
  </x:sheetData>
  <x:conditionalFormatting sqref="D7:D7">
    <x:cfRule type="cellIs" dxfId="16" priority="1" operator="equal">
      <x:formula>"À vérifier"</x:formula>
    </x:cfRule>
    <x:cfRule type="cellIs" dxfId="17" priority="2" operator="equal">
      <x:formula>"Extrapolation"</x:formula>
    </x:cfRule>
  </x:conditionalFormatting>
  <x:conditionalFormatting sqref="C7:C7">
    <x:cfRule type="cellIs" dxfId="18" priority="3" operator="equal">
      <x:formula>"Validé"</x:formula>
    </x:cfRule>
  </x:conditionalFormatting>
  <x:conditionalFormatting sqref="E7:E7">
    <x:cfRule type="cellIs" dxfId="1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f0e069d90624aed"/>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Inquisition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INQ-LINK-CITADEL</x:v>
      </x:c>
      <x:c r="B7" s="9" t="str">
        <x:v>Citadelle — enquête de Bailey — accès et sortie</x:v>
      </x:c>
      <x:c r="C7" s="15" t="str">
        <x:v>Défini</x:v>
      </x:c>
      <x:c r="D7" s="16" t="str">
        <x:v>Extrapolation</x:v>
      </x:c>
      <x:c r="E7" s="16" t="str">
        <x:v>P1</x:v>
      </x:c>
      <x:c r="F7" s="9" t="str">
        <x:v>Bureau → entretien → lieu d’enquête → retour; pas de monde ouvert de la Citadelle.</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INQ/CITADEL; sauvegarder zone, point d'entrée et version de chapitre.</x:v>
      </x:c>
      <x:c r="M7" s="9" t="str">
        <x:v>Conserver la confrontation publiée et l’incertitude finale; une option de dialogue n’établit pas une innocence ou une culpabilité omnisciente.</x:v>
      </x:c>
      <x:c r="N7" s="9" t="str">
        <x:v>Entrer, ressortir et recharger au seuil restitue le même état du chapitre; aucun accès ne court-circuite sa conclusion fixée.</x:v>
      </x:c>
      <x:c r="O7" s="9" t="str">
        <x:v>INQ-ZONE-CITADEL</x:v>
      </x:c>
      <x:c r="P7" s="9" t="str">
        <x:v>Raccord de gameplay original; ordre narratif selon les ancrages sourcés.</x:v>
      </x:c>
      <x:c r="Q7" s="9" t="str"/>
      <x:c r="R7" s="9" t="str"/>
      <x:c r="S7" s="9" t="str"/>
    </x:row>
  </x:sheetData>
  <x:conditionalFormatting sqref="D7:D7">
    <x:cfRule type="cellIs" dxfId="20" priority="1" operator="equal">
      <x:formula>"À vérifier"</x:formula>
    </x:cfRule>
    <x:cfRule type="cellIs" dxfId="21" priority="2" operator="equal">
      <x:formula>"Extrapolation"</x:formula>
    </x:cfRule>
  </x:conditionalFormatting>
  <x:conditionalFormatting sqref="C7:C7">
    <x:cfRule type="cellIs" dxfId="22" priority="3" operator="equal">
      <x:formula>"Validé"</x:formula>
    </x:cfRule>
  </x:conditionalFormatting>
  <x:conditionalFormatting sqref="E7:E7">
    <x:cfRule type="cellIs" dxfId="2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a77de13929a74fe5"/>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Inquisition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INQ-SET-CITADEL</x:v>
      </x:c>
      <x:c r="B7" s="9" t="str">
        <x:v>Citadelle — enquête de Bailey — décor et repère</x:v>
      </x:c>
      <x:c r="C7" s="15" t="str">
        <x:v>Défini</x:v>
      </x:c>
      <x:c r="D7" s="16" t="str">
        <x:v>Extrapolation</x:v>
      </x:c>
      <x:c r="E7" s="16" t="str">
        <x:v>P1</x:v>
      </x:c>
      <x:c r="F7" s="9" t="str">
        <x:v>Ligne d’horizon du Présidium pour les scènes politiques à vérifier.</x:v>
      </x:c>
      <x:c r="G7" s="9" t="str">
        <x:v>Trois espaces courts contrastés.</x:v>
      </x:c>
      <x:c r="H7" s="9" t="str"/>
      <x:c r="I7" s="9" t="str">
        <x:v>Clair institutionnel, coin d’enquête plus sombre mais éclairage jouable suffisant.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inq/sets/citadel; collisions simples et matériau de repère distinct.</x:v>
      </x:c>
      <x:c r="M7" s="9" t="str">
        <x:v>Conserver la confrontation publiée et l’incertitude finale; une option de dialogue n’établit pas une innocence ou une culpabilité omnisciente.</x:v>
      </x:c>
      <x:c r="N7" s="9" t="str">
        <x:v>Le repère décrit reste visible depuis l'entrée et depuis le retour; aucune décoration ne masque un signal d'interaction.</x:v>
      </x:c>
      <x:c r="O7" s="9" t="str">
        <x:v>INQ-ZONE-CITADEL</x:v>
      </x:c>
      <x:c r="P7" s="9" t="str">
        <x:v>Direction artistique originale, matériaux à confronter aux planches.</x:v>
      </x:c>
      <x:c r="Q7" s="9" t="str"/>
      <x:c r="R7" s="9" t="str"/>
      <x:c r="S7" s="9" t="str"/>
    </x:row>
  </x:sheetData>
  <x:conditionalFormatting sqref="D7:D7">
    <x:cfRule type="cellIs" dxfId="24" priority="1" operator="equal">
      <x:formula>"À vérifier"</x:formula>
    </x:cfRule>
    <x:cfRule type="cellIs" dxfId="25" priority="2" operator="equal">
      <x:formula>"Extrapolation"</x:formula>
    </x:cfRule>
  </x:conditionalFormatting>
  <x:conditionalFormatting sqref="C7:C7">
    <x:cfRule type="cellIs" dxfId="26" priority="3" operator="equal">
      <x:formula>"Validé"</x:formula>
    </x:cfRule>
  </x:conditionalFormatting>
  <x:conditionalFormatting sqref="E7:E7">
    <x:cfRule type="cellIs" dxfId="2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3ba96b73ba04555"/>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Inquisition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INQ-SC-BRIEF-PROP</x:v>
      </x:c>
      <x:c r="B7" s="9" t="str">
        <x:v>Dossier transmis</x:v>
      </x:c>
      <x:c r="C7" s="15" t="str">
        <x:v>Défini</x:v>
      </x:c>
      <x:c r="D7" s="16" t="str">
        <x:v>Extrapolation</x:v>
      </x:c>
      <x:c r="E7" s="16" t="str">
        <x:v>P1</x:v>
      </x:c>
      <x:c r="F7" s="9" t="str">
        <x:v>Support d’accusation représenté pour le prototype.</x:v>
      </x:c>
      <x:c r="G7" s="9" t="str">
        <x:v>Attribuer les informations à Udina.</x:v>
      </x:c>
      <x:c r="H7" s="9" t="str">
        <x:v>Une ligne accusation reste marquée déclaration même après lecture.</x:v>
      </x:c>
      <x:c r="I7" s="9" t="str">
        <x:v>Étiquettes auteur et niveau de certitude.</x:v>
      </x:c>
      <x:c r="J7" s="9" t="str">
        <x:v>État repos, sélection, utilisation et remise en place; l’objet conserve son pivot entre ces états.</x:v>
      </x:c>
      <x:c r="K7" s="9" t="str">
        <x:v>Bruit de manipulation original et confirmation visible.</x:v>
      </x:c>
      <x:c r="L7" s="9" t="str">
        <x:v>Objet proposé INQ/BRIEF/prop; composant inspectable distinct du déclencheur narratif.</x:v>
      </x:c>
      <x:c r="M7" s="9" t="str">
        <x:v>Conserver la confrontation publiée et l’incertitude finale; une option de dialogue n’établit pas une innocence ou une culpabilité omnisciente.</x:v>
      </x:c>
      <x:c r="N7" s="9" t="str">
        <x:v>L’objet possède un état visible avant et après interaction; il ne peut pas être perdu ni dupliqué par rechargement.</x:v>
      </x:c>
      <x:c r="O7" s="9" t="str">
        <x:v>INQ-SC-BRIEF-MAIN</x:v>
      </x:c>
      <x:c r="P7" s="9" t="str">
        <x:v>Accessoire ou interaction de production proposé; ne vaut pas relevé exhaustif de la planche.</x:v>
      </x:c>
      <x:c r="Q7" s="9" t="str"/>
      <x:c r="R7" s="9" t="str"/>
      <x:c r="S7" s="9" t="str"/>
    </x:row>
    <x:row r="8" ht="54" customHeight="1">
      <x:c r="A8" s="19" t="str">
        <x:v>INQ-SC-OFFICE-PROP</x:v>
      </x:c>
      <x:c r="B8" s="7" t="str">
        <x:v>Datapad d’indice</x:v>
      </x:c>
      <x:c r="C8" s="15" t="str">
        <x:v>Défini</x:v>
      </x:c>
      <x:c r="D8" s="17" t="str">
        <x:v>Extrapolation</x:v>
      </x:c>
      <x:c r="E8" s="17" t="str">
        <x:v>P1</x:v>
      </x:c>
      <x:c r="F8" s="7" t="str">
        <x:v>Support de preuve à contrôler dans l’édition.</x:v>
      </x:c>
      <x:c r="G8" s="7" t="str">
        <x:v>Montrer une image associée à une question, pas une preuve de culpabilité automatique.</x:v>
      </x:c>
      <x:c r="H8" s="7" t="str">
        <x:v>Inspection conserve le contexte et l’origine de l’objet.</x:v>
      </x:c>
      <x:c r="I8" s="7" t="str">
        <x:v>Écran simple avec portrait non définitif avant référence.</x:v>
      </x:c>
      <x:c r="J8" s="7" t="str">
        <x:v>État repos, sélection, utilisation et remise en place; l’objet conserve son pivot entre ces états.</x:v>
      </x:c>
      <x:c r="K8" s="7" t="str">
        <x:v>Bruit de manipulation original et confirmation visible.</x:v>
      </x:c>
      <x:c r="L8" s="7" t="str">
        <x:v>Objet proposé INQ/OFFICE/prop; composant inspectable distinct du déclencheur narratif.</x:v>
      </x:c>
      <x:c r="M8" s="7" t="str">
        <x:v>Conserver la confrontation publiée et l’incertitude finale; une option de dialogue n’établit pas une innocence ou une culpabilité omnisciente.</x:v>
      </x:c>
      <x:c r="N8" s="7" t="str">
        <x:v>L’objet possède un état visible avant et après interaction; il ne peut pas être perdu ni dupliqué par rechargement.</x:v>
      </x:c>
      <x:c r="O8" s="7" t="str">
        <x:v>INQ-SC-OFFICE-MAIN</x:v>
      </x:c>
      <x:c r="P8" s="7" t="str">
        <x:v>Accessoire ou interaction de production proposé; ne vaut pas relevé exhaustif de la planche.</x:v>
      </x:c>
      <x:c r="Q8" s="7" t="str"/>
      <x:c r="R8" s="7" t="str"/>
      <x:c r="S8" s="7" t="str"/>
    </x:row>
    <x:row r="9" ht="54" customHeight="1">
      <x:c r="A9" s="18" t="str">
        <x:v>INQ-SC-REPORT-PROP</x:v>
      </x:c>
      <x:c r="B9" s="9" t="str">
        <x:v>Rapport à provenance</x:v>
      </x:c>
      <x:c r="C9" s="15" t="str">
        <x:v>Défini</x:v>
      </x:c>
      <x:c r="D9" s="16" t="str">
        <x:v>Extrapolation</x:v>
      </x:c>
      <x:c r="E9" s="16" t="str">
        <x:v>P1</x:v>
      </x:c>
      <x:c r="F9" s="9" t="str">
        <x:v>Interface de conclusion originale.</x:v>
      </x:c>
      <x:c r="G9" s="9" t="str">
        <x:v>Séparer faits, déclarations et questions.</x:v>
      </x:c>
      <x:c r="H9" s="9" t="str">
        <x:v>Le joueur peut relire les trois catégories; aucune case exige un verdict certain.</x:v>
      </x:c>
      <x:c r="I9" s="9" t="str">
        <x:v>Trois colonnes textuelles lisibles.</x:v>
      </x:c>
      <x:c r="J9" s="9" t="str">
        <x:v>État repos, sélection, utilisation et remise en place; l’objet conserve son pivot entre ces états.</x:v>
      </x:c>
      <x:c r="K9" s="9" t="str">
        <x:v>Bruit de manipulation original et confirmation visible.</x:v>
      </x:c>
      <x:c r="L9" s="9" t="str">
        <x:v>Objet proposé INQ/REPORT/prop; composant inspectable distinct du déclencheur narratif.</x:v>
      </x:c>
      <x:c r="M9" s="9" t="str">
        <x:v>Conserver la confrontation publiée et l’incertitude finale; une option de dialogue n’établit pas une innocence ou une culpabilité omnisciente.</x:v>
      </x:c>
      <x:c r="N9" s="9" t="str">
        <x:v>L’objet possède un état visible avant et après interaction; il ne peut pas être perdu ni dupliqué par rechargement.</x:v>
      </x:c>
      <x:c r="O9" s="9" t="str">
        <x:v>INQ-SC-REPORT-MAIN</x:v>
      </x:c>
      <x:c r="P9" s="9" t="str">
        <x:v>Accessoire ou interaction de production proposé; ne vaut pas relevé exhaustif de la planche.</x:v>
      </x:c>
      <x:c r="Q9" s="9" t="str"/>
      <x:c r="R9" s="9" t="str"/>
      <x:c r="S9" s="9" t="str"/>
    </x:row>
  </x:sheetData>
  <x:conditionalFormatting sqref="D7:D9">
    <x:cfRule type="cellIs" dxfId="28" priority="1" operator="equal">
      <x:formula>"À vérifier"</x:formula>
    </x:cfRule>
    <x:cfRule type="cellIs" dxfId="29" priority="2" operator="equal">
      <x:formula>"Extrapolation"</x:formula>
    </x:cfRule>
  </x:conditionalFormatting>
  <x:conditionalFormatting sqref="C7:C9">
    <x:cfRule type="cellIs" dxfId="30" priority="3" operator="equal">
      <x:formula>"Validé"</x:formula>
    </x:cfRule>
  </x:conditionalFormatting>
  <x:conditionalFormatting sqref="E7:E9">
    <x:cfRule type="cellIs" dxfId="3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b69150dd0d244f50"/>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Inquisition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INQ-EN-CONFRONT</x:v>
      </x:c>
      <x:c r="B7" s="9" t="str">
        <x:v>Pallin — confrontation de scène</x:v>
      </x:c>
      <x:c r="C7" s="15" t="str">
        <x:v>Défini</x:v>
      </x:c>
      <x:c r="D7" s="16" t="str">
        <x:v>À vérifier</x:v>
      </x:c>
      <x:c r="E7" s="16" t="str">
        <x:v>P1</x:v>
      </x:c>
      <x:c r="F7" s="9" t="str">
        <x:v>Le récit rapporté comporte une confrontation armée avec Pallin.</x:v>
      </x:c>
      <x:c r="G7" s="9" t="str">
        <x:v>Adversaire ponctuel sans verdict moral automatique.</x:v>
      </x:c>
      <x:c r="H7" s="9" t="str">
        <x:v>Profil proposé : Actions de distance et de proximité, toutes télégraphiées; résultat narratif distinct du score local.</x:v>
      </x:c>
      <x:c r="I7" s="9" t="str">
        <x:v>Silhouette proposée : Même tenue que la fiche personnage; aucune mutation visuelle en monstre.</x:v>
      </x:c>
      <x:c r="J7" s="9" t="str">
        <x:v>Mise en joue et pas d’approche visibles.</x:v>
      </x:c>
      <x:c r="K7" s="9" t="str">
        <x:v>Arme de poing originale et souffle.</x:v>
      </x:c>
      <x:c r="L7" s="9" t="str">
        <x:v>Livrable proposé : spécification INQ/enemies/en-confront; brancher au registre de contenu de l'œuvre seulement après production.</x:v>
      </x:c>
      <x:c r="M7" s="9" t="str">
        <x:v>Conserver la confrontation publiée et l’incertitude finale; une option de dialogue n’établit pas une innocence ou une culpabilité omnisciente.</x:v>
      </x:c>
      <x:c r="N7" s="9" t="str">
        <x:v>Pallin — confrontation de scène a une silhouette distincte, un comportement télégraphié et une contre-mesure documentée; aucune valeur n'est annoncée comme statistique officielle.</x:v>
      </x:c>
      <x:c r="O7" s="9" t="str"/>
      <x:c r="P7" s="9" t="str">
        <x:v>Mass Effect: Inquisition, récit court</x:v>
      </x:c>
      <x:c r="Q7" s="9" t="str">
        <x:v>INQ-S-WIKI</x:v>
      </x:c>
      <x:c r="R7" s="9" t="str">
        <x:v>https://masseffect.fandom.com/wiki/Mass_Effect%3A_Inquisition</x:v>
      </x:c>
      <x:c r="S7" s="9" t="str">
        <x:v>L’adversaire ou groupe est attesté selon la source; le combat ATB et ses réglages sont entièrement proposés.</x:v>
      </x:c>
    </x:row>
  </x:sheetData>
  <x:conditionalFormatting sqref="D7:D7">
    <x:cfRule type="cellIs" dxfId="32" priority="1" operator="equal">
      <x:formula>"À vérifier"</x:formula>
    </x:cfRule>
    <x:cfRule type="cellIs" dxfId="33" priority="2" operator="equal">
      <x:formula>"Extrapolation"</x:formula>
    </x:cfRule>
  </x:conditionalFormatting>
  <x:conditionalFormatting sqref="C7:C7">
    <x:cfRule type="cellIs" dxfId="34" priority="3" operator="equal">
      <x:formula>"Validé"</x:formula>
    </x:cfRule>
  </x:conditionalFormatting>
  <x:conditionalFormatting sqref="E7:E7">
    <x:cfRule type="cellIs" dxfId="3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1134369a99104da0"/>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Inquisition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INQ-SC-BRIEF-MAIN</x:v>
      </x:c>
      <x:c r="B7" s="9" t="str">
        <x:v>Recevoir les accusations — objectif jouable</x:v>
      </x:c>
      <x:c r="C7" s="15" t="str">
        <x:v>Défini</x:v>
      </x:c>
      <x:c r="D7" s="16" t="str">
        <x:v>Extrapolation</x:v>
      </x:c>
      <x:c r="E7" s="16" t="str">
        <x:v>P0</x:v>
      </x:c>
      <x:c r="F7" s="9" t="str">
        <x:v>Enregistrer une demande en distinguant accusation et observation.</x:v>
      </x:c>
      <x:c r="G7" s="9" t="str">
        <x:v>Appel personnel → convocation → briefing → départ.</x:v>
      </x:c>
      <x:c r="H7" s="9" t="str">
        <x:v>Le dossier affiche la source de chaque information; accepter la mission ne transforme pas l’accusation en vérité.</x:v>
      </x:c>
      <x:c r="I7" s="9" t="str">
        <x:v>Bureau clair, dossier au centre et sortie visible.</x:v>
      </x:c>
      <x:c r="J7" s="9" t="str">
        <x:v>Entrée prudente, geste d'inspection et retour au contrôle pour « Recevoir les accusations »; poser les sprites avant tout changement de caméra.</x:v>
      </x:c>
      <x:c r="K7" s="9" t="str">
        <x:v>Notification sobre puis ambiance institutionnelle.</x:v>
      </x:c>
      <x:c r="L7" s="9" t="str">
        <x:v>Graphe proposé INQ/quests/BRIEF: entrée → objectif actif → résolution → raccord; conditions terminales séparées des points facultatifs.</x:v>
      </x:c>
      <x:c r="M7" s="9" t="str">
        <x:v>Conserver la confrontation publiée et l’incertitude finale; une option de dialogue n’établit pas une innocence ou une culpabilité omnisciente.</x:v>
      </x:c>
      <x:c r="N7" s="9" t="str">
        <x:v>L'objectif « Recevoir les accusations » atteint son raccord annoncé après chaque méthode; sauvegarde, rechargement et saut de scène n'en changent ni le groupe ni les informations acquises.</x:v>
      </x:c>
      <x:c r="O7" s="9" t="str">
        <x:v>INQ-SC-BRIEF-REF</x:v>
      </x:c>
      <x:c r="P7" s="9" t="str">
        <x:v>Conception originale rattachée à Mass Effect: Inquisition, récit court</x:v>
      </x:c>
      <x:c r="Q7" s="9" t="str"/>
      <x:c r="R7" s="9" t="str"/>
      <x:c r="S7" s="9" t="str"/>
    </x:row>
    <x:row r="8" ht="68" customHeight="1">
      <x:c r="A8" s="19" t="str">
        <x:v>INQ-SC-OFFICE-MAIN</x:v>
      </x:c>
      <x:c r="B8" s="7" t="str">
        <x:v>Lieu d’enquête et confrontation — objectif jouable</x:v>
      </x:c>
      <x:c r="C8" s="15" t="str">
        <x:v>Défini</x:v>
      </x:c>
      <x:c r="D8" s="17" t="str">
        <x:v>Extrapolation</x:v>
      </x:c>
      <x:c r="E8" s="17" t="str">
        <x:v>P0</x:v>
      </x:c>
      <x:c r="F8" s="7" t="str">
        <x:v>Observer le lieu puis gérer une confrontation courte.</x:v>
      </x:c>
      <x:c r="G8" s="7" t="str">
        <x:v>Entrée → indices visibles → apparition de Pallin → confrontation fixée.</x:v>
      </x:c>
      <x:c r="H8" s="7" t="str">
        <x:v>L’observation est sans chronomètre; le combat proposé annonce chaque action et ne conditionne pas l’accès aux indices par un tir précis.</x:v>
      </x:c>
      <x:c r="I8" s="7" t="str">
        <x:v>Bureau sombre avec lumière sur les indices; violence non détaillée.</x:v>
      </x:c>
      <x:c r="J8" s="7" t="str">
        <x:v>Entrée prudente, geste d'inspection et retour au contrôle pour « Lieu d’enquête et confrontation »; poser les sprites avant tout changement de caméra.</x:v>
      </x:c>
      <x:c r="K8" s="7" t="str">
        <x:v>Silence de lieu, voix proches et deux signatures de tir distinctes.</x:v>
      </x:c>
      <x:c r="L8" s="7" t="str">
        <x:v>Graphe proposé INQ/quests/OFFICE: entrée → objectif actif → résolution → raccord; conditions terminales séparées des points facultatifs.</x:v>
      </x:c>
      <x:c r="M8" s="7" t="str">
        <x:v>Conserver la confrontation publiée et l’incertitude finale; une option de dialogue n’établit pas une innocence ou une culpabilité omnisciente.</x:v>
      </x:c>
      <x:c r="N8" s="7" t="str">
        <x:v>L'objectif « Lieu d’enquête et confrontation » atteint son raccord annoncé après chaque méthode; sauvegarde, rechargement et saut de scène n'en changent ni le groupe ni les informations acquises.</x:v>
      </x:c>
      <x:c r="O8" s="7" t="str">
        <x:v>INQ-SC-OFFICE-REF</x:v>
      </x:c>
      <x:c r="P8" s="7" t="str">
        <x:v>Conception originale rattachée à Mass Effect: Inquisition, récit court</x:v>
      </x:c>
      <x:c r="Q8" s="7" t="str"/>
      <x:c r="R8" s="7" t="str"/>
      <x:c r="S8" s="7" t="str"/>
    </x:row>
    <x:row r="9" ht="68" customHeight="1">
      <x:c r="A9" s="18" t="str">
        <x:v>INQ-SC-REPORT-MAIN</x:v>
      </x:c>
      <x:c r="B9" s="9" t="str">
        <x:v>Rendre un rapport incertain — objectif jouable</x:v>
      </x:c>
      <x:c r="C9" s="15" t="str">
        <x:v>Défini</x:v>
      </x:c>
      <x:c r="D9" s="16" t="str">
        <x:v>Extrapolation</x:v>
      </x:c>
      <x:c r="E9" s="16" t="str">
        <x:v>P0</x:v>
      </x:c>
      <x:c r="F9" s="9" t="str">
        <x:v>Classer les faits et laisser ouvertes les questions non résolues.</x:v>
      </x:c>
      <x:c r="G9" s="9" t="str">
        <x:v>Rapport → objection → décision d’autorité → conclusion personnelle.</x:v>
      </x:c>
      <x:c r="H9" s="9" t="str">
        <x:v>Le journal final comporte une rubrique non établi; aucune note de réussite fondée sur l’adhésion à Udina.</x:v>
      </x:c>
      <x:c r="I9" s="9" t="str">
        <x:v>Horizon clair et personnage isolé au premier plan.</x:v>
      </x:c>
      <x:c r="J9" s="9" t="str">
        <x:v>Entrée prudente, geste d'inspection et retour au contrôle pour « Rendre un rapport incertain »; poser les sprites avant tout changement de caméra.</x:v>
      </x:c>
      <x:c r="K9" s="9" t="str">
        <x:v>Ambiance institutionnelle amortie, motif personnel incomplet.</x:v>
      </x:c>
      <x:c r="L9" s="9" t="str">
        <x:v>Graphe proposé INQ/quests/REPORT: entrée → objectif actif → résolution → raccord; conditions terminales séparées des points facultatifs.</x:v>
      </x:c>
      <x:c r="M9" s="9" t="str">
        <x:v>Conserver la confrontation publiée et l’incertitude finale; une option de dialogue n’établit pas une innocence ou une culpabilité omnisciente.</x:v>
      </x:c>
      <x:c r="N9" s="9" t="str">
        <x:v>L'objectif « Rendre un rapport incertain » atteint son raccord annoncé après chaque méthode; sauvegarde, rechargement et saut de scène n'en changent ni le groupe ni les informations acquises.</x:v>
      </x:c>
      <x:c r="O9" s="9" t="str">
        <x:v>INQ-SC-REPORT-REF</x:v>
      </x:c>
      <x:c r="P9" s="9" t="str">
        <x:v>Conception originale rattachée à Mass Effect: Inquisition, récit court</x:v>
      </x:c>
      <x:c r="Q9" s="9" t="str"/>
      <x:c r="R9" s="9" t="str"/>
      <x:c r="S9" s="9" t="str"/>
    </x:row>
  </x:sheetData>
  <x:conditionalFormatting sqref="D7:D9">
    <x:cfRule type="cellIs" dxfId="36" priority="1" operator="equal">
      <x:formula>"À vérifier"</x:formula>
    </x:cfRule>
    <x:cfRule type="cellIs" dxfId="37" priority="2" operator="equal">
      <x:formula>"Extrapolation"</x:formula>
    </x:cfRule>
  </x:conditionalFormatting>
  <x:conditionalFormatting sqref="C7:C9">
    <x:cfRule type="cellIs" dxfId="38" priority="3" operator="equal">
      <x:formula>"Validé"</x:formula>
    </x:cfRule>
  </x:conditionalFormatting>
  <x:conditionalFormatting sqref="E7:E9">
    <x:cfRule type="cellIs" dxfId="39"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95636c86eb8848f9"/>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Inquisition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INQ-SC-BRIEF-SIDE</x:v>
      </x:c>
      <x:c r="B7" s="9" t="str">
        <x:v>Noter une question non résolue</x:v>
      </x:c>
      <x:c r="C7" s="15" t="str">
        <x:v>Défini</x:v>
      </x:c>
      <x:c r="D7" s="16" t="str">
        <x:v>Extrapolation</x:v>
      </x:c>
      <x:c r="E7" s="16" t="str">
        <x:v>P2</x:v>
      </x:c>
      <x:c r="F7" s="9" t="str">
        <x:v>Entrée facultative de journal.</x:v>
      </x:c>
      <x:c r="G7" s="9" t="str">
        <x:v>Encourager l’enquête prudente.</x:v>
      </x:c>
      <x:c r="H7" s="9" t="str">
        <x:v>Ne produit pas de réponse omnisciente.</x:v>
      </x:c>
      <x:c r="I7" s="9" t="str">
        <x:v>Bureau clair, dossier au centre et sortie visible.</x:v>
      </x:c>
      <x:c r="J7" s="9" t="str">
        <x:v>Inspection, interaction courte, confirmation; permettre de renoncer sans bloquer le chemin principal.</x:v>
      </x:c>
      <x:c r="K7" s="9" t="str">
        <x:v>Confirmation discrète; aucune réplique source réemployée.</x:v>
      </x:c>
      <x:c r="L7" s="9" t="str">
        <x:v>Objectif facultatif INQ/BRIEF/optional; récompense locale de contexte, pas de modification de la fin.</x:v>
      </x:c>
      <x:c r="M7" s="9" t="str">
        <x:v>Conserver la confrontation publiée et l’incertitude finale; une option de dialogue n’établit pas une innocence ou une culpabilité omnisciente.</x:v>
      </x:c>
      <x:c r="N7" s="9" t="str">
        <x:v>Terminer, ignorer ou abandonner cette tâche laisse le récit principal accessible et conserve correctement l’état en sauvegarde.</x:v>
      </x:c>
      <x:c r="O7" s="9" t="str">
        <x:v>INQ-SC-BRIEF-MAIN</x:v>
      </x:c>
      <x:c r="P7" s="9" t="str">
        <x:v>Ajout original; cette tâche n’est pas attestée dans le comic.</x:v>
      </x:c>
      <x:c r="Q7" s="9" t="str"/>
      <x:c r="R7" s="9" t="str"/>
      <x:c r="S7" s="9" t="str"/>
    </x:row>
    <x:row r="8" ht="54" customHeight="1">
      <x:c r="A8" s="19" t="str">
        <x:v>INQ-SC-OFFICE-SIDE</x:v>
      </x:c>
      <x:c r="B8" s="7" t="str">
        <x:v>Relever l’emplacement d’un indice</x:v>
      </x:c>
      <x:c r="C8" s="15" t="str">
        <x:v>Défini</x:v>
      </x:c>
      <x:c r="D8" s="17" t="str">
        <x:v>Extrapolation</x:v>
      </x:c>
      <x:c r="E8" s="17" t="str">
        <x:v>P2</x:v>
      </x:c>
      <x:c r="F8" s="7" t="str">
        <x:v>Tâche originale de documentation.</x:v>
      </x:c>
      <x:c r="G8" s="7" t="str">
        <x:v>Préserver la chaîne d’observation.</x:v>
      </x:c>
      <x:c r="H8" s="7" t="str">
        <x:v>Ne détermine pas à elle seule qui a commis les morts initiales.</x:v>
      </x:c>
      <x:c r="I8" s="7" t="str">
        <x:v>Bureau sombre avec lumière sur les indices; violence non détaillée.</x:v>
      </x:c>
      <x:c r="J8" s="7" t="str">
        <x:v>Inspection, interaction courte, confirmation; permettre de renoncer sans bloquer le chemin principal.</x:v>
      </x:c>
      <x:c r="K8" s="7" t="str">
        <x:v>Confirmation discrète; aucune réplique source réemployée.</x:v>
      </x:c>
      <x:c r="L8" s="7" t="str">
        <x:v>Objectif facultatif INQ/OFFICE/optional; récompense locale de contexte, pas de modification de la fin.</x:v>
      </x:c>
      <x:c r="M8" s="7" t="str">
        <x:v>Conserver la confrontation publiée et l’incertitude finale; une option de dialogue n’établit pas une innocence ou une culpabilité omnisciente.</x:v>
      </x:c>
      <x:c r="N8" s="7" t="str">
        <x:v>Terminer, ignorer ou abandonner cette tâche laisse le récit principal accessible et conserve correctement l’état en sauvegarde.</x:v>
      </x:c>
      <x:c r="O8" s="7" t="str">
        <x:v>INQ-SC-OFFICE-MAIN</x:v>
      </x:c>
      <x:c r="P8" s="7" t="str">
        <x:v>Ajout original; cette tâche n’est pas attestée dans le comic.</x:v>
      </x:c>
      <x:c r="Q8" s="7" t="str"/>
      <x:c r="R8" s="7" t="str"/>
      <x:c r="S8" s="7" t="str"/>
    </x:row>
    <x:row r="9" ht="54" customHeight="1">
      <x:c r="A9" s="18" t="str">
        <x:v>INQ-SC-REPORT-SIDE</x:v>
      </x:c>
      <x:c r="B9" s="9" t="str">
        <x:v>Conserver une note personnelle</x:v>
      </x:c>
      <x:c r="C9" s="15" t="str">
        <x:v>Défini</x:v>
      </x:c>
      <x:c r="D9" s="16" t="str">
        <x:v>Extrapolation</x:v>
      </x:c>
      <x:c r="E9" s="16" t="str">
        <x:v>P2</x:v>
      </x:c>
      <x:c r="F9" s="9" t="str">
        <x:v>Texte original facultatif.</x:v>
      </x:c>
      <x:c r="G9" s="9" t="str">
        <x:v>Relier fonction et vie privée.</x:v>
      </x:c>
      <x:c r="H9" s="9" t="str">
        <x:v>Ne crée pas de nouvelle conversation officielle avec l’enfant.</x:v>
      </x:c>
      <x:c r="I9" s="9" t="str">
        <x:v>Horizon clair et personnage isolé au premier plan.</x:v>
      </x:c>
      <x:c r="J9" s="9" t="str">
        <x:v>Inspection, interaction courte, confirmation; permettre de renoncer sans bloquer le chemin principal.</x:v>
      </x:c>
      <x:c r="K9" s="9" t="str">
        <x:v>Confirmation discrète; aucune réplique source réemployée.</x:v>
      </x:c>
      <x:c r="L9" s="9" t="str">
        <x:v>Objectif facultatif INQ/REPORT/optional; récompense locale de contexte, pas de modification de la fin.</x:v>
      </x:c>
      <x:c r="M9" s="9" t="str">
        <x:v>Conserver la confrontation publiée et l’incertitude finale; une option de dialogue n’établit pas une innocence ou une culpabilité omnisciente.</x:v>
      </x:c>
      <x:c r="N9" s="9" t="str">
        <x:v>Terminer, ignorer ou abandonner cette tâche laisse le récit principal accessible et conserve correctement l’état en sauvegarde.</x:v>
      </x:c>
      <x:c r="O9" s="9" t="str">
        <x:v>INQ-SC-REPORT-MAIN</x:v>
      </x:c>
      <x:c r="P9" s="9" t="str">
        <x:v>Ajout original; cette tâche n’est pas attestée dans le comic.</x:v>
      </x:c>
      <x:c r="Q9" s="9" t="str"/>
      <x:c r="R9" s="9" t="str"/>
      <x:c r="S9" s="9" t="str"/>
    </x:row>
  </x:sheetData>
  <x:conditionalFormatting sqref="D7:D9">
    <x:cfRule type="cellIs" dxfId="40" priority="1" operator="equal">
      <x:formula>"À vérifier"</x:formula>
    </x:cfRule>
    <x:cfRule type="cellIs" dxfId="41" priority="2" operator="equal">
      <x:formula>"Extrapolation"</x:formula>
    </x:cfRule>
  </x:conditionalFormatting>
  <x:conditionalFormatting sqref="C7:C9">
    <x:cfRule type="cellIs" dxfId="42" priority="3" operator="equal">
      <x:formula>"Validé"</x:formula>
    </x:cfRule>
  </x:conditionalFormatting>
  <x:conditionalFormatting sqref="E7:E9">
    <x:cfRule type="cellIs" dxfId="4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09edc8dc0d294f83"/>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Inquisition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INQ-SC-BRIEF-CHOICE</x:v>
      </x:c>
      <x:c r="B7" s="9" t="str">
        <x:v>Recevoir les accusations — stratégie locale</x:v>
      </x:c>
      <x:c r="C7" s="15" t="str">
        <x:v>Défini</x:v>
      </x:c>
      <x:c r="D7" s="16" t="str">
        <x:v>Extrapolation</x:v>
      </x:c>
      <x:c r="E7" s="16" t="str">
        <x:v>P1</x:v>
      </x:c>
      <x:c r="F7" s="9" t="str">
        <x:v>Demander le contexte ou les éléments matériels.</x:v>
      </x:c>
      <x:c r="G7" s="9" t="str">
        <x:v>Choix de méthode dans une adaptation; aucun embranchement alternatif n’est déclaré officiel.</x:v>
      </x:c>
      <x:c r="H7" s="9" t="str">
        <x:v>Deux ordres de questionnement; mêmes pistes nécessaires.</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INQ/BRIEF; stocker la méthode choisie et les conséquences temporaires, puis rejoindre le point de raccord.</x:v>
      </x:c>
      <x:c r="M7" s="9" t="str">
        <x:v>Conserver la confrontation publiée et l’incertitude finale; une option de dialogue n’établit pas une innocence ou une culpabilité omnisciente.</x:v>
      </x:c>
      <x:c r="N7" s="9" t="str">
        <x:v>Les deux méthodes peuvent être comprises avant sélection; chacune rejoint le même ancrage canon sans supprimer un personnage nécessaire.</x:v>
      </x:c>
      <x:c r="O7" s="9" t="str">
        <x:v>INQ-SC-BRIEF-MAIN</x:v>
      </x:c>
      <x:c r="P7" s="9" t="str">
        <x:v>Bifurcation de gameplay originale, pas un choix présent dans l’œuvre.</x:v>
      </x:c>
      <x:c r="Q7" s="9" t="str"/>
      <x:c r="R7" s="9" t="str"/>
      <x:c r="S7" s="9" t="str"/>
    </x:row>
    <x:row r="8" ht="54" customHeight="1">
      <x:c r="A8" s="19" t="str">
        <x:v>INQ-SC-OFFICE-CHOICE</x:v>
      </x:c>
      <x:c r="B8" s="7" t="str">
        <x:v>Lieu d’enquête et confrontation — stratégie locale</x:v>
      </x:c>
      <x:c r="C8" s="15" t="str">
        <x:v>Défini</x:v>
      </x:c>
      <x:c r="D8" s="17" t="str">
        <x:v>Extrapolation</x:v>
      </x:c>
      <x:c r="E8" s="17" t="str">
        <x:v>P1</x:v>
      </x:c>
      <x:c r="F8" s="7" t="str">
        <x:v>Prendre un couvert proche ou maintenir la distance.</x:v>
      </x:c>
      <x:c r="G8" s="7" t="str">
        <x:v>Choix de méthode dans une adaptation; aucun embranchement alternatif n’est déclaré officiel.</x:v>
      </x:c>
      <x:c r="H8" s="7" t="str">
        <x:v>Placement tactique seulement; la fin source et les doutes restent conservés.</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INQ/OFFICE; stocker la méthode choisie et les conséquences temporaires, puis rejoindre le point de raccord.</x:v>
      </x:c>
      <x:c r="M8" s="7" t="str">
        <x:v>Conserver la confrontation publiée et l’incertitude finale; une option de dialogue n’établit pas une innocence ou une culpabilité omnisciente.</x:v>
      </x:c>
      <x:c r="N8" s="7" t="str">
        <x:v>Les deux méthodes peuvent être comprises avant sélection; chacune rejoint le même ancrage canon sans supprimer un personnage nécessaire.</x:v>
      </x:c>
      <x:c r="O8" s="7" t="str">
        <x:v>INQ-SC-OFFICE-MAIN</x:v>
      </x:c>
      <x:c r="P8" s="7" t="str">
        <x:v>Bifurcation de gameplay originale, pas un choix présent dans l’œuvre.</x:v>
      </x:c>
      <x:c r="Q8" s="7" t="str"/>
      <x:c r="R8" s="7" t="str"/>
      <x:c r="S8" s="7" t="str"/>
    </x:row>
    <x:row r="9" ht="54" customHeight="1">
      <x:c r="A9" s="18" t="str">
        <x:v>INQ-SC-REPORT-CHOICE</x:v>
      </x:c>
      <x:c r="B9" s="9" t="str">
        <x:v>Rendre un rapport incertain — stratégie locale</x:v>
      </x:c>
      <x:c r="C9" s="15" t="str">
        <x:v>Défini</x:v>
      </x:c>
      <x:c r="D9" s="16" t="str">
        <x:v>Extrapolation</x:v>
      </x:c>
      <x:c r="E9" s="16" t="str">
        <x:v>P1</x:v>
      </x:c>
      <x:c r="F9" s="9" t="str">
        <x:v>Mettre l’accent sur l’incohérence ou sur les faits matériels.</x:v>
      </x:c>
      <x:c r="G9" s="9" t="str">
        <x:v>Choix de méthode dans une adaptation; aucun embranchement alternatif n’est déclaré officiel.</x:v>
      </x:c>
      <x:c r="H9" s="9" t="str">
        <x:v>Ton et ordre du rapport changent; promotion et ambiguïté narrative restent.</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INQ/REPORT; stocker la méthode choisie et les conséquences temporaires, puis rejoindre le point de raccord.</x:v>
      </x:c>
      <x:c r="M9" s="9" t="str">
        <x:v>Conserver la confrontation publiée et l’incertitude finale; une option de dialogue n’établit pas une innocence ou une culpabilité omnisciente.</x:v>
      </x:c>
      <x:c r="N9" s="9" t="str">
        <x:v>Les deux méthodes peuvent être comprises avant sélection; chacune rejoint le même ancrage canon sans supprimer un personnage nécessaire.</x:v>
      </x:c>
      <x:c r="O9" s="9" t="str">
        <x:v>INQ-SC-REPORT-MAIN</x:v>
      </x:c>
      <x:c r="P9" s="9" t="str">
        <x:v>Bifurcation de gameplay originale, pas un choix présent dans l’œuvre.</x:v>
      </x:c>
      <x:c r="Q9" s="9" t="str"/>
      <x:c r="R9" s="9" t="str"/>
      <x:c r="S9" s="9" t="str"/>
    </x:row>
  </x:sheetData>
  <x:conditionalFormatting sqref="D7:D9">
    <x:cfRule type="cellIs" dxfId="44" priority="1" operator="equal">
      <x:formula>"À vérifier"</x:formula>
    </x:cfRule>
    <x:cfRule type="cellIs" dxfId="45" priority="2" operator="equal">
      <x:formula>"Extrapolation"</x:formula>
    </x:cfRule>
  </x:conditionalFormatting>
  <x:conditionalFormatting sqref="C7:C9">
    <x:cfRule type="cellIs" dxfId="46" priority="3" operator="equal">
      <x:formula>"Validé"</x:formula>
    </x:cfRule>
  </x:conditionalFormatting>
  <x:conditionalFormatting sqref="E7:E9">
    <x:cfRule type="cellIs" dxfId="4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aa4bcb1362144464"/>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Inquisition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INQ-SC-BRIEF-DIA</x:v>
      </x:c>
      <x:c r="B7" s="9" t="str">
        <x:v>Recevoir les accusations — intentions de conversation</x:v>
      </x:c>
      <x:c r="C7" s="15" t="str">
        <x:v>Défini</x:v>
      </x:c>
      <x:c r="D7" s="16" t="str">
        <x:v>Extrapolation</x:v>
      </x:c>
      <x:c r="E7" s="16" t="str">
        <x:v>P1</x:v>
      </x:c>
      <x:c r="F7" s="9" t="str">
        <x:v>Bailey exprime sa prudence et Udina son urgence; texte entièrement nouveau.</x:v>
      </x:c>
      <x:c r="G7" s="9" t="str">
        <x:v>Préserver le thème « autorité et preuve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Recevoir les accusations »; poser les sprites avant tout changement de caméra.</x:v>
      </x:c>
      <x:c r="K7" s="9" t="str">
        <x:v>Dialogue original à écrire; texte intégral accessible, avance manuelle et rappel des locuteurs.</x:v>
      </x:c>
      <x:c r="L7" s="9" t="str">
        <x:v>Arbre proposé INQ/BRIEF/dialogue; séparer ce qui est su, ce qui est affirmé et ce qui reste caché au joueur.</x:v>
      </x:c>
      <x:c r="M7" s="9" t="str">
        <x:v>Conserver la confrontation publiée et l’incertitude finale; une option de dialogue n’établit pas une innocence ou une culpabilité omnisciente.</x:v>
      </x:c>
      <x:c r="N7" s="9" t="str">
        <x:v>Le lecteur peut identifier le locuteur, son but et le niveau de certitude; aucune phrase du comic n’est reproduite comme dialogue final.</x:v>
      </x:c>
      <x:c r="O7" s="9" t="str">
        <x:v>INQ-SC-BRIEF-MAIN</x:v>
      </x:c>
      <x:c r="P7" s="9" t="str">
        <x:v>Écriture originale à partir des thèmes, sans transcrire les bulles.</x:v>
      </x:c>
      <x:c r="Q7" s="9" t="str"/>
      <x:c r="R7" s="9" t="str"/>
      <x:c r="S7" s="9" t="str"/>
    </x:row>
    <x:row r="8" ht="54" customHeight="1">
      <x:c r="A8" s="19" t="str">
        <x:v>INQ-SC-OFFICE-DIA</x:v>
      </x:c>
      <x:c r="B8" s="7" t="str">
        <x:v>Lieu d’enquête et confrontation — intentions de conversation</x:v>
      </x:c>
      <x:c r="C8" s="15" t="str">
        <x:v>Défini</x:v>
      </x:c>
      <x:c r="D8" s="17" t="str">
        <x:v>Extrapolation</x:v>
      </x:c>
      <x:c r="E8" s="17" t="str">
        <x:v>P1</x:v>
      </x:c>
      <x:c r="F8" s="7" t="str">
        <x:v>Pallin conteste les accusations; l’interface garde le nom du locuteur plutôt qu’un label de vérité.</x:v>
      </x:c>
      <x:c r="G8" s="7" t="str">
        <x:v>Préserver le thème « pression et information incomplète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Lieu d’enquête et confrontation »; poser les sprites avant tout changement de caméra.</x:v>
      </x:c>
      <x:c r="K8" s="7" t="str">
        <x:v>Dialogue original à écrire; texte intégral accessible, avance manuelle et rappel des locuteurs.</x:v>
      </x:c>
      <x:c r="L8" s="7" t="str">
        <x:v>Arbre proposé INQ/OFFICE/dialogue; séparer ce qui est su, ce qui est affirmé et ce qui reste caché au joueur.</x:v>
      </x:c>
      <x:c r="M8" s="7" t="str">
        <x:v>Conserver la confrontation publiée et l’incertitude finale; une option de dialogue n’établit pas une innocence ou une culpabilité omnisciente.</x:v>
      </x:c>
      <x:c r="N8" s="7" t="str">
        <x:v>Le lecteur peut identifier le locuteur, son but et le niveau de certitude; aucune phrase du comic n’est reproduite comme dialogue final.</x:v>
      </x:c>
      <x:c r="O8" s="7" t="str">
        <x:v>INQ-SC-OFFICE-MAIN</x:v>
      </x:c>
      <x:c r="P8" s="7" t="str">
        <x:v>Écriture originale à partir des thèmes, sans transcrire les bulles.</x:v>
      </x:c>
      <x:c r="Q8" s="7" t="str"/>
      <x:c r="R8" s="7" t="str"/>
      <x:c r="S8" s="7" t="str"/>
    </x:row>
    <x:row r="9" ht="54" customHeight="1">
      <x:c r="A9" s="18" t="str">
        <x:v>INQ-SC-REPORT-DIA</x:v>
      </x:c>
      <x:c r="B9" s="9" t="str">
        <x:v>Rendre un rapport incertain — intentions de conversation</x:v>
      </x:c>
      <x:c r="C9" s="15" t="str">
        <x:v>Défini</x:v>
      </x:c>
      <x:c r="D9" s="16" t="str">
        <x:v>Extrapolation</x:v>
      </x:c>
      <x:c r="E9" s="16" t="str">
        <x:v>P1</x:v>
      </x:c>
      <x:c r="F9" s="9" t="str">
        <x:v>Bailey peut insister sur sa lecture des événements sans recevoir une confirmation divine de l’interface.</x:v>
      </x:c>
      <x:c r="G9" s="9" t="str">
        <x:v>Préserver le thème « récompense et malaise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Rendre un rapport incertain »; poser les sprites avant tout changement de caméra.</x:v>
      </x:c>
      <x:c r="K9" s="9" t="str">
        <x:v>Dialogue original à écrire; texte intégral accessible, avance manuelle et rappel des locuteurs.</x:v>
      </x:c>
      <x:c r="L9" s="9" t="str">
        <x:v>Arbre proposé INQ/REPORT/dialogue; séparer ce qui est su, ce qui est affirmé et ce qui reste caché au joueur.</x:v>
      </x:c>
      <x:c r="M9" s="9" t="str">
        <x:v>Conserver la confrontation publiée et l’incertitude finale; une option de dialogue n’établit pas une innocence ou une culpabilité omnisciente.</x:v>
      </x:c>
      <x:c r="N9" s="9" t="str">
        <x:v>Le lecteur peut identifier le locuteur, son but et le niveau de certitude; aucune phrase du comic n’est reproduite comme dialogue final.</x:v>
      </x:c>
      <x:c r="O9" s="9" t="str">
        <x:v>INQ-SC-REPORT-MAIN</x:v>
      </x:c>
      <x:c r="P9" s="9" t="str">
        <x:v>Écriture originale à partir des thèmes, sans transcrire les bulles.</x:v>
      </x:c>
      <x:c r="Q9" s="9" t="str"/>
      <x:c r="R9" s="9" t="str"/>
      <x:c r="S9" s="9" t="str"/>
    </x:row>
  </x:sheetData>
  <x:conditionalFormatting sqref="D7:D9">
    <x:cfRule type="cellIs" dxfId="48" priority="1" operator="equal">
      <x:formula>"À vérifier"</x:formula>
    </x:cfRule>
    <x:cfRule type="cellIs" dxfId="49" priority="2" operator="equal">
      <x:formula>"Extrapolation"</x:formula>
    </x:cfRule>
  </x:conditionalFormatting>
  <x:conditionalFormatting sqref="C7:C9">
    <x:cfRule type="cellIs" dxfId="50" priority="3" operator="equal">
      <x:formula>"Validé"</x:formula>
    </x:cfRule>
  </x:conditionalFormatting>
  <x:conditionalFormatting sqref="E7:E9">
    <x:cfRule type="cellIs" dxfId="5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f98580b01686463f"/>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Inquisition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INQ-SC-BRIEF-CINE</x:v>
      </x:c>
      <x:c r="B7" s="9" t="str">
        <x:v>Recevoir les accusations — raccord mis en scène</x:v>
      </x:c>
      <x:c r="C7" s="15" t="str">
        <x:v>Défini</x:v>
      </x:c>
      <x:c r="D7" s="16" t="str">
        <x:v>Extrapolation</x:v>
      </x:c>
      <x:c r="E7" s="16" t="str">
        <x:v>P1</x:v>
      </x:c>
      <x:c r="F7" s="9" t="str">
        <x:v>Contraste entre communication personnelle et bureau politique.</x:v>
      </x:c>
      <x:c r="G7" s="9" t="str">
        <x:v>Appel personnel → convocation → briefing → départ.</x:v>
      </x:c>
      <x:c r="H7" s="9" t="str"/>
      <x:c r="I7" s="9" t="str">
        <x:v>Bureau clair, dossier au centre et sortie visible.</x:v>
      </x:c>
      <x:c r="J7" s="9" t="str">
        <x:v>Entrée prudente, geste d'inspection et retour au contrôle pour « Recevoir les accusations »; poser les sprites avant tout changement de caméra.</x:v>
      </x:c>
      <x:c r="K7" s="9" t="str">
        <x:v>Notification sobre puis ambiance institutionnelle.</x:v>
      </x:c>
      <x:c r="L7" s="9" t="str">
        <x:v>Séquence proposée INQ/BRIEF/cinematic; mise à jour des états avant restitution du contrôle; bouton passer et relecture séparés.</x:v>
      </x:c>
      <x:c r="M7" s="9" t="str">
        <x:v>Conserver la confrontation publiée et l’incertitude finale; une option de dialogue n’établit pas une innocence ou une culpabilité omnisciente.</x:v>
      </x:c>
      <x:c r="N7" s="9" t="str">
        <x:v>La version passée et la version regardée aboutissent au même placement, inventaire et objectif; les sous-titres ne sont pas coupés.</x:v>
      </x:c>
      <x:c r="O7" s="9" t="str">
        <x:v>INQ-SC-BRIEF-MAIN</x:v>
      </x:c>
      <x:c r="P7" s="9" t="str">
        <x:v>Découpage original pour sprites 2D sur décor 3D.</x:v>
      </x:c>
      <x:c r="Q7" s="9" t="str"/>
      <x:c r="R7" s="9" t="str"/>
      <x:c r="S7" s="9" t="str"/>
    </x:row>
    <x:row r="8" ht="54" customHeight="1">
      <x:c r="A8" s="19" t="str">
        <x:v>INQ-SC-OFFICE-CINE</x:v>
      </x:c>
      <x:c r="B8" s="7" t="str">
        <x:v>Lieu d’enquête et confrontation — raccord mis en scène</x:v>
      </x:c>
      <x:c r="C8" s="15" t="str">
        <x:v>Défini</x:v>
      </x:c>
      <x:c r="D8" s="17" t="str">
        <x:v>Extrapolation</x:v>
      </x:c>
      <x:c r="E8" s="17" t="str">
        <x:v>P1</x:v>
      </x:c>
      <x:c r="F8" s="7" t="str">
        <x:v>Vue assez large pour voir Bailey, Pallin et les sorties.</x:v>
      </x:c>
      <x:c r="G8" s="7" t="str">
        <x:v>Entrée → indices visibles → apparition de Pallin → confrontation fixée.</x:v>
      </x:c>
      <x:c r="H8" s="7" t="str"/>
      <x:c r="I8" s="7" t="str">
        <x:v>Bureau sombre avec lumière sur les indices; violence non détaillée.</x:v>
      </x:c>
      <x:c r="J8" s="7" t="str">
        <x:v>Entrée prudente, geste d'inspection et retour au contrôle pour « Lieu d’enquête et confrontation »; poser les sprites avant tout changement de caméra.</x:v>
      </x:c>
      <x:c r="K8" s="7" t="str">
        <x:v>Silence de lieu, voix proches et deux signatures de tir distinctes.</x:v>
      </x:c>
      <x:c r="L8" s="7" t="str">
        <x:v>Séquence proposée INQ/OFFICE/cinematic; mise à jour des états avant restitution du contrôle; bouton passer et relecture séparés.</x:v>
      </x:c>
      <x:c r="M8" s="7" t="str">
        <x:v>Conserver la confrontation publiée et l’incertitude finale; une option de dialogue n’établit pas une innocence ou une culpabilité omnisciente.</x:v>
      </x:c>
      <x:c r="N8" s="7" t="str">
        <x:v>La version passée et la version regardée aboutissent au même placement, inventaire et objectif; les sous-titres ne sont pas coupés.</x:v>
      </x:c>
      <x:c r="O8" s="7" t="str">
        <x:v>INQ-SC-OFFICE-MAIN</x:v>
      </x:c>
      <x:c r="P8" s="7" t="str">
        <x:v>Découpage original pour sprites 2D sur décor 3D.</x:v>
      </x:c>
      <x:c r="Q8" s="7" t="str"/>
      <x:c r="R8" s="7" t="str"/>
      <x:c r="S8" s="7" t="str"/>
    </x:row>
    <x:row r="9" ht="54" customHeight="1">
      <x:c r="A9" s="18" t="str">
        <x:v>INQ-SC-REPORT-CINE</x:v>
      </x:c>
      <x:c r="B9" s="9" t="str">
        <x:v>Rendre un rapport incertain — raccord mis en scène</x:v>
      </x:c>
      <x:c r="C9" s="15" t="str">
        <x:v>Défini</x:v>
      </x:c>
      <x:c r="D9" s="16" t="str">
        <x:v>Extrapolation</x:v>
      </x:c>
      <x:c r="E9" s="16" t="str">
        <x:v>P1</x:v>
      </x:c>
      <x:c r="F9" s="9" t="str">
        <x:v>Plan de bureau puis regard vers la station; le cadre reste ouvert.</x:v>
      </x:c>
      <x:c r="G9" s="9" t="str">
        <x:v>Rapport → objection → décision d’autorité → conclusion personnelle.</x:v>
      </x:c>
      <x:c r="H9" s="9" t="str"/>
      <x:c r="I9" s="9" t="str">
        <x:v>Horizon clair et personnage isolé au premier plan.</x:v>
      </x:c>
      <x:c r="J9" s="9" t="str">
        <x:v>Entrée prudente, geste d'inspection et retour au contrôle pour « Rendre un rapport incertain »; poser les sprites avant tout changement de caméra.</x:v>
      </x:c>
      <x:c r="K9" s="9" t="str">
        <x:v>Ambiance institutionnelle amortie, motif personnel incomplet.</x:v>
      </x:c>
      <x:c r="L9" s="9" t="str">
        <x:v>Séquence proposée INQ/REPORT/cinematic; mise à jour des états avant restitution du contrôle; bouton passer et relecture séparés.</x:v>
      </x:c>
      <x:c r="M9" s="9" t="str">
        <x:v>Conserver la confrontation publiée et l’incertitude finale; une option de dialogue n’établit pas une innocence ou une culpabilité omnisciente.</x:v>
      </x:c>
      <x:c r="N9" s="9" t="str">
        <x:v>La version passée et la version regardée aboutissent au même placement, inventaire et objectif; les sous-titres ne sont pas coupés.</x:v>
      </x:c>
      <x:c r="O9" s="9" t="str">
        <x:v>INQ-SC-REPORT-MAIN</x:v>
      </x:c>
      <x:c r="P9" s="9" t="str">
        <x:v>Découpage original pour sprites 2D sur décor 3D.</x:v>
      </x:c>
      <x:c r="Q9" s="9" t="str"/>
      <x:c r="R9" s="9" t="str"/>
      <x:c r="S9" s="9" t="str"/>
    </x:row>
  </x:sheetData>
  <x:conditionalFormatting sqref="D7:D9">
    <x:cfRule type="cellIs" dxfId="52" priority="1" operator="equal">
      <x:formula>"À vérifier"</x:formula>
    </x:cfRule>
    <x:cfRule type="cellIs" dxfId="53" priority="2" operator="equal">
      <x:formula>"Extrapolation"</x:formula>
    </x:cfRule>
  </x:conditionalFormatting>
  <x:conditionalFormatting sqref="C7:C9">
    <x:cfRule type="cellIs" dxfId="54" priority="3" operator="equal">
      <x:formula>"Validé"</x:formula>
    </x:cfRule>
  </x:conditionalFormatting>
  <x:conditionalFormatting sqref="E7:E9">
    <x:cfRule type="cellIs" dxfId="5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d554e58aaf3e4001"/>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Inquisition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INQ-KIT-SIDEARM</x:v>
      </x:c>
      <x:c r="B7" s="9" t="str">
        <x:v>Arme de service — profil proposé</x:v>
      </x:c>
      <x:c r="C7" s="15" t="str">
        <x:v>Défini</x:v>
      </x:c>
      <x:c r="D7" s="16" t="str">
        <x:v>Extrapolation</x:v>
      </x:c>
      <x:c r="E7" s="16" t="str">
        <x:v>P1</x:v>
      </x:c>
      <x:c r="F7" s="9" t="str">
        <x:v>Modèle précis à identifier dans le comic.</x:v>
      </x:c>
      <x:c r="G7" s="9" t="str">
        <x:v>Confrontation courte avec lecture des couverts.</x:v>
      </x:c>
      <x:c r="H7" s="9" t="str">
        <x:v>Tir simple et garde défensive, coût ATB affiché.</x:v>
      </x:c>
      <x:c r="I7" s="9" t="str">
        <x:v>Arme compacte, sans marque canon non vérifiée.</x:v>
      </x:c>
      <x:c r="J7" s="9" t="str">
        <x:v>Visée basse, tir et rangement.</x:v>
      </x:c>
      <x:c r="K7" s="9" t="str">
        <x:v>Confirmation audiovisuelle originale, doublée d’un libellé.</x:v>
      </x:c>
      <x:c r="L7" s="9" t="str">
        <x:v>Spécification de ressource INQ/kit/SIDEARM; données séparées du moteur, interface de coût et états d'épuisement prévus.</x:v>
      </x:c>
      <x:c r="M7" s="9" t="str">
        <x:v>Conserver la confrontation publiée et l’incertitude finale; une option de dialogue n’établit pas une innocence ou une culpabilité omnisciente.</x:v>
      </x:c>
      <x:c r="N7" s="9" t="str">
        <x:v>Aucun tir ne traverse un mur ni un allié.</x:v>
      </x:c>
      <x:c r="O7" s="9" t="str"/>
      <x:c r="P7" s="9" t="str">
        <x:v>Création de gameplay et direction visuelle originales; modèle exact à vérifier si une arme source est évoquée.</x:v>
      </x:c>
      <x:c r="Q7" s="9" t="str"/>
      <x:c r="R7" s="9" t="str"/>
      <x:c r="S7" s="9"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81a1df1e7e44f0b"/>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Inquisition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INQ-KIT-NOTES</x:v>
      </x:c>
      <x:c r="B7" s="9" t="str">
        <x:v>Carnet de provenance</x:v>
      </x:c>
      <x:c r="C7" s="15" t="str">
        <x:v>Défini</x:v>
      </x:c>
      <x:c r="D7" s="16" t="str">
        <x:v>Extrapolation</x:v>
      </x:c>
      <x:c r="E7" s="16" t="str">
        <x:v>P1</x:v>
      </x:c>
      <x:c r="F7" s="9" t="str">
        <x:v>Interface originale d’enquête.</x:v>
      </x:c>
      <x:c r="G7" s="9" t="str">
        <x:v>Éviter de confondre accusation et preuve.</x:v>
      </x:c>
      <x:c r="H7" s="9" t="str">
        <x:v>Chaque note possède auteur, lieu d’observation et certitude.</x:v>
      </x:c>
      <x:c r="I7" s="9" t="str">
        <x:v>Typographie sobre, symboles distincts.</x:v>
      </x:c>
      <x:c r="J7" s="9" t="str">
        <x:v>Ouverture instantanée possible.</x:v>
      </x:c>
      <x:c r="K7" s="9" t="str">
        <x:v>Confirmation audiovisuelle originale, doublée d’un libellé.</x:v>
      </x:c>
      <x:c r="L7" s="9" t="str">
        <x:v>Spécification de ressource INQ/kit/NOTES; données séparées du moteur, interface de coût et états d'épuisement prévus.</x:v>
      </x:c>
      <x:c r="M7" s="9" t="str">
        <x:v>Conserver la confrontation publiée et l’incertitude finale; une option de dialogue n’établit pas une innocence ou une culpabilité omnisciente.</x:v>
      </x:c>
      <x:c r="N7" s="9" t="str">
        <x:v>Une accusation n’est jamais convertie automatiquement en fait confirmé.</x:v>
      </x:c>
      <x:c r="O7" s="9" t="str"/>
      <x:c r="P7" s="9" t="str">
        <x:v>Création de gameplay et direction visuelle originales; modèle exact à vérifier si une arme source est évoquée.</x:v>
      </x:c>
      <x:c r="Q7" s="9" t="str"/>
      <x:c r="R7" s="9" t="str"/>
      <x:c r="S7" s="9" t="str"/>
    </x:row>
  </x:sheetData>
  <x:conditionalFormatting sqref="D7:D7">
    <x:cfRule type="cellIs" dxfId="60" priority="1" operator="equal">
      <x:formula>"À vérifier"</x:formula>
    </x:cfRule>
    <x:cfRule type="cellIs" dxfId="61" priority="2" operator="equal">
      <x:formula>"Extrapolation"</x:formula>
    </x:cfRule>
  </x:conditionalFormatting>
  <x:conditionalFormatting sqref="C7:C7">
    <x:cfRule type="cellIs" dxfId="62" priority="3" operator="equal">
      <x:formula>"Validé"</x:formula>
    </x:cfRule>
  </x:conditionalFormatting>
  <x:conditionalFormatting sqref="E7:E7">
    <x:cfRule type="cellIs" dxfId="6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7f9ce784d774199"/>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Inquisition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INQ-KIT-NO-BIOTIC</x:v>
      </x:c>
      <x:c r="B7" s="9" t="str">
        <x:v>Pouvoirs : aucun ajout biotique requis</x:v>
      </x:c>
      <x:c r="C7" s="15" t="str">
        <x:v>Défini</x:v>
      </x:c>
      <x:c r="D7" s="16" t="str">
        <x:v>Extrapolation</x:v>
      </x:c>
      <x:c r="E7" s="16" t="str">
        <x:v>P1</x:v>
      </x:c>
      <x:c r="F7" s="9" t="str">
        <x:v>Le module se conçoit sans capacité surnaturelle supplémentaire pour Bailey.</x:v>
      </x:c>
      <x:c r="G7" s="9" t="str">
        <x:v>Concentrer les actions sur enquête et garde.</x:v>
      </x:c>
      <x:c r="H7" s="9" t="str">
        <x:v>Aucune commande biotique activée par défaut; observation reste une compétence d’interface.</x:v>
      </x:c>
      <x:c r="I7" s="9" t="str">
        <x:v>Pas d’aura ou d’effet psychique ajouté.</x:v>
      </x:c>
      <x:c r="J7" s="9" t="str">
        <x:v>Gestes humains ordinaires.</x:v>
      </x:c>
      <x:c r="K7" s="9" t="str">
        <x:v>Confirmation audiovisuelle originale, doublée d’un libellé.</x:v>
      </x:c>
      <x:c r="L7" s="9" t="str">
        <x:v>Spécification de ressource INQ/kit/NO-BIOTIC; données séparées du moteur, interface de coût et états d'épuisement prévus.</x:v>
      </x:c>
      <x:c r="M7" s="9" t="str">
        <x:v>Conserver la confrontation publiée et l’incertitude finale; une option de dialogue n’établit pas une innocence ou une culpabilité omnisciente.</x:v>
      </x:c>
      <x:c r="N7" s="9" t="str">
        <x:v>Le menu n’attribue aucun pouvoir non sourcé à Bailey.</x:v>
      </x:c>
      <x:c r="O7" s="9" t="str"/>
      <x:c r="P7" s="9" t="str">
        <x:v>Création de gameplay et direction visuelle originales; modèle exact à vérifier si une arme source est évoquée.</x:v>
      </x:c>
      <x:c r="Q7" s="9" t="str"/>
      <x:c r="R7" s="9" t="str"/>
      <x:c r="S7" s="9"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b96232f787b4a37"/>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Inquisition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INQ-ALLY-BAILEY</x:v>
      </x:c>
      <x:c r="B7" s="9" t="str">
        <x:v>Prendre du recul</x:v>
      </x:c>
      <x:c r="C7" s="15" t="str">
        <x:v>Défini</x:v>
      </x:c>
      <x:c r="D7" s="16" t="str">
        <x:v>Extrapolation</x:v>
      </x:c>
      <x:c r="E7" s="16" t="str">
        <x:v>P1</x:v>
      </x:c>
      <x:c r="F7" s="9" t="str">
        <x:v>Action de groupe originale pour Armando-Owen Bailey.</x:v>
      </x:c>
      <x:c r="G7" s="9" t="str">
        <x:v>Enquêteur jouable; observation, mise à distance et rapport.</x:v>
      </x:c>
      <x:c r="H7" s="9" t="str">
        <x:v>Proposition : suspendre une action pour afficher les faits connus et leurs auteurs; aucune lecture de pensée.</x:v>
      </x:c>
      <x:c r="I7" s="9" t="str">
        <x:v>Journal en colonnes observation/déclaration.</x:v>
      </x:c>
      <x:c r="J7" s="9" t="str">
        <x:v>Lecture de dossier, inspection au sol, garde prudente et fatigue finale.</x:v>
      </x:c>
      <x:c r="K7" s="9" t="str">
        <x:v>Confirmation courte doublée d’un pictogramme; événement silencieux visible dans le journal de combat.</x:v>
      </x:c>
      <x:c r="L7" s="9" t="str">
        <x:v>Commande ATB proposée INQ/BAILEY/assist; résoudre cible, coût proposé, contre-mesure et annulation avant les dégâts.</x:v>
      </x:c>
      <x:c r="M7" s="9" t="str">
        <x:v>Conserver la confrontation publiée et l’incertitude finale; une option de dialogue n’établit pas une innocence ou une culpabilité omnisciente.</x:v>
      </x:c>
      <x:c r="N7" s="9" t="str">
        <x:v>La commande indique son coût avant validation, échoue proprement si la cible devient invalide et ne déclenche pas une action canon supplémentaire.</x:v>
      </x:c>
      <x:c r="O7" s="9" t="str">
        <x:v>INQ-ACT-BAILEY, INQ-ANI-BAILEY</x:v>
      </x:c>
      <x:c r="P7" s="9" t="str">
        <x:v>Adaptation originale du rôle; pas un pouvoir officiel du comic.</x:v>
      </x:c>
      <x:c r="Q7" s="9" t="str"/>
      <x:c r="R7" s="9" t="str"/>
      <x:c r="S7" s="9" t="str"/>
    </x:row>
  </x:sheetData>
  <x:conditionalFormatting sqref="D7:D7">
    <x:cfRule type="cellIs" dxfId="68" priority="1" operator="equal">
      <x:formula>"À vérifier"</x:formula>
    </x:cfRule>
    <x:cfRule type="cellIs" dxfId="69" priority="2" operator="equal">
      <x:formula>"Extrapolation"</x:formula>
    </x:cfRule>
  </x:conditionalFormatting>
  <x:conditionalFormatting sqref="C7:C7">
    <x:cfRule type="cellIs" dxfId="70" priority="3" operator="equal">
      <x:formula>"Validé"</x:formula>
    </x:cfRule>
  </x:conditionalFormatting>
  <x:conditionalFormatting sqref="E7:E7">
    <x:cfRule type="cellIs" dxfId="7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0ac806a1a1bf4436"/>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Inquisition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INQ-EN-CONFRONT-M1</x:v>
      </x:c>
      <x:c r="B7" s="9" t="str">
        <x:v>Mise en joue</x:v>
      </x:c>
      <x:c r="C7" s="15" t="str">
        <x:v>Défini</x:v>
      </x:c>
      <x:c r="D7" s="16" t="str">
        <x:v>Extrapolation</x:v>
      </x:c>
      <x:c r="E7" s="16" t="str">
        <x:v>P1</x:v>
      </x:c>
      <x:c r="F7" s="9" t="str">
        <x:v>Pattern original de tension.</x:v>
      </x:c>
      <x:c r="G7" s="9" t="str">
        <x:v>Adversaire ponctuel sans verdict moral automatique.</x:v>
      </x:c>
      <x:c r="H7" s="9" t="str">
        <x:v>Se couvrir ou garder une action défensive; aucune attaque hors cadre.</x:v>
      </x:c>
      <x:c r="I7" s="9" t="str">
        <x:v>Ligne de visée fine.</x:v>
      </x:c>
      <x:c r="J7" s="9" t="str">
        <x:v>Mise en joue et pas d’approche visibles.</x:v>
      </x:c>
      <x:c r="K7" s="9" t="str">
        <x:v>Arme de poing originale et souffle.</x:v>
      </x:c>
      <x:c r="L7" s="9" t="str">
        <x:v>Action proposée INQ/CONFRONT/1; étapes annonce → attente ATB → validation cible → résolution; annulation explicite si neutralisé.</x:v>
      </x:c>
      <x:c r="M7" s="9" t="str">
        <x:v>Conserver la confrontation publiée et l’incertitude finale; une option de dialogue n’établit pas une innocence ou une culpabilité omnisciente.</x:v>
      </x:c>
      <x:c r="N7" s="9" t="str">
        <x:v>Le joueur peut reconnaître la préparation et employer la contre-mesure avant la résolution; aucune attaque invisible ou imparable hors séquence annoncée.</x:v>
      </x:c>
      <x:c r="O7" s="9" t="str">
        <x:v>INQ-EN-CONFRONT</x:v>
      </x:c>
      <x:c r="P7" s="9" t="str">
        <x:v>Pattern original; pas de valeur numérique canon.</x:v>
      </x:c>
      <x:c r="Q7" s="9" t="str"/>
      <x:c r="R7" s="9" t="str"/>
      <x:c r="S7" s="9" t="str"/>
    </x:row>
    <x:row r="8" ht="54" customHeight="1">
      <x:c r="A8" s="19" t="str">
        <x:v>INQ-EN-CONFRONT-M2</x:v>
      </x:c>
      <x:c r="B8" s="7" t="str">
        <x:v>Approche brusque</x:v>
      </x:c>
      <x:c r="C8" s="15" t="str">
        <x:v>Défini</x:v>
      </x:c>
      <x:c r="D8" s="17" t="str">
        <x:v>Extrapolation</x:v>
      </x:c>
      <x:c r="E8" s="17" t="str">
        <x:v>P1</x:v>
      </x:c>
      <x:c r="F8" s="7" t="str">
        <x:v>Pattern original rapproché.</x:v>
      </x:c>
      <x:c r="G8" s="7" t="str">
        <x:v>Adversaire ponctuel sans verdict moral automatique.</x:v>
      </x:c>
      <x:c r="H8" s="7" t="str">
        <x:v>Déplacement latéral proposé ou parade de scène; la contre-mesure reste lisible en pause.</x:v>
      </x:c>
      <x:c r="I8" s="7" t="str">
        <x:v>Flèche courte et pose inclinée.</x:v>
      </x:c>
      <x:c r="J8" s="7" t="str">
        <x:v>Mise en joue et pas d’approche visibles.</x:v>
      </x:c>
      <x:c r="K8" s="7" t="str">
        <x:v>Arme de poing originale et souffle.</x:v>
      </x:c>
      <x:c r="L8" s="7" t="str">
        <x:v>Action proposée INQ/CONFRONT/2; étapes annonce → attente ATB → validation cible → résolution; annulation explicite si neutralisé.</x:v>
      </x:c>
      <x:c r="M8" s="7" t="str">
        <x:v>Conserver la confrontation publiée et l’incertitude finale; une option de dialogue n’établit pas une innocence ou une culpabilité omnisciente.</x:v>
      </x:c>
      <x:c r="N8" s="7" t="str">
        <x:v>Le joueur peut reconnaître la préparation et employer la contre-mesure avant la résolution; aucune attaque invisible ou imparable hors séquence annoncée.</x:v>
      </x:c>
      <x:c r="O8" s="7" t="str">
        <x:v>INQ-EN-CONFRONT</x:v>
      </x:c>
      <x:c r="P8" s="7" t="str">
        <x:v>Pattern original; pas de valeur numérique canon.</x:v>
      </x:c>
      <x:c r="Q8" s="7" t="str"/>
      <x:c r="R8" s="7" t="str"/>
      <x:c r="S8" s="7" t="str"/>
    </x:row>
  </x:sheetData>
  <x:conditionalFormatting sqref="D7:D8">
    <x:cfRule type="cellIs" dxfId="72" priority="1" operator="equal">
      <x:formula>"À vérifier"</x:formula>
    </x:cfRule>
    <x:cfRule type="cellIs" dxfId="73" priority="2" operator="equal">
      <x:formula>"Extrapolation"</x:formula>
    </x:cfRule>
  </x:conditionalFormatting>
  <x:conditionalFormatting sqref="C7:C8">
    <x:cfRule type="cellIs" dxfId="74" priority="3" operator="equal">
      <x:formula>"Validé"</x:formula>
    </x:cfRule>
  </x:conditionalFormatting>
  <x:conditionalFormatting sqref="E7:E8">
    <x:cfRule type="cellIs" dxfId="75"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d2a326ef35e045a3"/>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Inquisition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INQ-ANI-BAILEY</x:v>
      </x:c>
      <x:c r="B7" s="9" t="str">
        <x:v>Armando-Owen Bailey — jeu de poses</x:v>
      </x:c>
      <x:c r="C7" s="15" t="str">
        <x:v>Défini</x:v>
      </x:c>
      <x:c r="D7" s="16" t="str">
        <x:v>Extrapolation</x:v>
      </x:c>
      <x:c r="E7" s="16" t="str">
        <x:v>P1</x:v>
      </x:c>
      <x:c r="F7" s="9" t="str">
        <x:v>Définir les transitions propres au rôle de Armando-Owen Bailey.</x:v>
      </x:c>
      <x:c r="G7" s="9" t="str">
        <x:v>Enquêteur jouable; observation, mise à distance et rapport.</x:v>
      </x:c>
      <x:c r="H7" s="9" t="str"/>
      <x:c r="I7" s="9" t="str">
        <x:v>Armure C-Sec et silhouette humaine robuste, détails de grade à contrôler.</x:v>
      </x:c>
      <x:c r="J7" s="9" t="str">
        <x:v>Lecture de dossier, inspection au sol, garde prudente et fatigue finale.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INQ/BAILEY; paramètres direction, locomotion, accessoire et interruption.</x:v>
      </x:c>
      <x:c r="M7" s="9" t="str">
        <x:v>Conserver la confrontation publiée et l’incertitude finale; une option de dialogue n’établit pas une innocence ou une culpabilité omnisciente.</x:v>
      </x:c>
      <x:c r="N7" s="9" t="str">
        <x:v>Un enchaînement déplacement → interaction → interruption → reprise conserve le pivot et les accessoires de Armando-Owen Bailey.</x:v>
      </x:c>
      <x:c r="O7" s="9" t="str">
        <x:v>INQ-ACT-BAILEY, INQ-SPR-BAILEY</x:v>
      </x:c>
      <x:c r="P7" s="9" t="str">
        <x:v>Conception originale, aucune cadence extraite du comic.</x:v>
      </x:c>
      <x:c r="Q7" s="9" t="str"/>
      <x:c r="R7" s="9" t="str"/>
      <x:c r="S7" s="9" t="str"/>
    </x:row>
    <x:row r="8" ht="68" customHeight="1">
      <x:c r="A8" s="19" t="str">
        <x:v>INQ-ANI-UDINA</x:v>
      </x:c>
      <x:c r="B8" s="7" t="str">
        <x:v>Donnel Udina — jeu de poses</x:v>
      </x:c>
      <x:c r="C8" s="15" t="str">
        <x:v>Défini</x:v>
      </x:c>
      <x:c r="D8" s="17" t="str">
        <x:v>Extrapolation</x:v>
      </x:c>
      <x:c r="E8" s="17" t="str">
        <x:v>P1</x:v>
      </x:c>
      <x:c r="F8" s="7" t="str">
        <x:v>Définir les transitions propres au rôle de Donnel Udina.</x:v>
      </x:c>
      <x:c r="G8" s="7" t="str">
        <x:v>Autorité politique interlocutrice; ne pas traiter ses affirmations comme faits de système.</x:v>
      </x:c>
      <x:c r="H8" s="7" t="str"/>
      <x:c r="I8" s="7" t="str">
        <x:v>Tenue politique soignée et bureau en hauteur; costume à comparer.</x:v>
      </x:c>
      <x:c r="J8" s="7" t="str">
        <x:v>Accueil mesuré, désignation de dossier et clôture d’entretien.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INQ/UDINA; paramètres direction, locomotion, accessoire et interruption.</x:v>
      </x:c>
      <x:c r="M8" s="7" t="str">
        <x:v>Conserver la confrontation publiée et l’incertitude finale; une option de dialogue n’établit pas une innocence ou une culpabilité omnisciente.</x:v>
      </x:c>
      <x:c r="N8" s="7" t="str">
        <x:v>Un enchaînement déplacement → interaction → interruption → reprise conserve le pivot et les accessoires de Donnel Udina.</x:v>
      </x:c>
      <x:c r="O8" s="7" t="str">
        <x:v>INQ-ACT-UDINA, INQ-SPR-UDINA</x:v>
      </x:c>
      <x:c r="P8" s="7" t="str">
        <x:v>Conception originale, aucune cadence extraite du comic.</x:v>
      </x:c>
      <x:c r="Q8" s="7" t="str"/>
      <x:c r="R8" s="7" t="str"/>
      <x:c r="S8" s="7" t="str"/>
    </x:row>
    <x:row r="9" ht="68" customHeight="1">
      <x:c r="A9" s="18" t="str">
        <x:v>INQ-ANI-PALLIN</x:v>
      </x:c>
      <x:c r="B9" s="9" t="str">
        <x:v>Exécuteur Venari Pallin — jeu de poses</x:v>
      </x:c>
      <x:c r="C9" s="15" t="str">
        <x:v>Défini</x:v>
      </x:c>
      <x:c r="D9" s="16" t="str">
        <x:v>Extrapolation</x:v>
      </x:c>
      <x:c r="E9" s="16" t="str">
        <x:v>P1</x:v>
      </x:c>
      <x:c r="F9" s="9" t="str">
        <x:v>Définir les transitions propres au rôle de Exécuteur Venari Pallin.</x:v>
      </x:c>
      <x:c r="G9" s="9" t="str">
        <x:v>Interlocuteur puis adversaire de scène; culpabilité non tranchée.</x:v>
      </x:c>
      <x:c r="H9" s="9" t="str"/>
      <x:c r="I9" s="9" t="str">
        <x:v>Turien en tenue C-Sec à vérifier, arme de poing tenue visiblement.</x:v>
      </x:c>
      <x:c r="J9" s="9" t="str">
        <x:v>Mise en garde, réaction tendue et approche brusque.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INQ/PALLIN; paramètres direction, locomotion, accessoire et interruption.</x:v>
      </x:c>
      <x:c r="M9" s="9" t="str">
        <x:v>Conserver la confrontation publiée et l’incertitude finale; une option de dialogue n’établit pas une innocence ou une culpabilité omnisciente.</x:v>
      </x:c>
      <x:c r="N9" s="9" t="str">
        <x:v>Un enchaînement déplacement → interaction → interruption → reprise conserve le pivot et les accessoires de Exécuteur Venari Pallin.</x:v>
      </x:c>
      <x:c r="O9" s="9" t="str">
        <x:v>INQ-ACT-PALLIN, INQ-SPR-PALLIN</x:v>
      </x:c>
      <x:c r="P9" s="9" t="str">
        <x:v>Conception originale, aucune cadence extraite du comic.</x:v>
      </x:c>
      <x:c r="Q9" s="9" t="str"/>
      <x:c r="R9" s="9" t="str"/>
      <x:c r="S9" s="9" t="str"/>
    </x:row>
    <x:row r="10" ht="68" customHeight="1">
      <x:c r="A10" s="19" t="str">
        <x:v>INQ-ANI-CHILD</x:v>
      </x:c>
      <x:c r="B10" s="7" t="str">
        <x:v>Enfant de Bailey — interlocuteur distant — jeu de poses</x:v>
      </x:c>
      <x:c r="C10" s="15" t="str">
        <x:v>Défini</x:v>
      </x:c>
      <x:c r="D10" s="17" t="str">
        <x:v>Extrapolation</x:v>
      </x:c>
      <x:c r="E10" s="17" t="str">
        <x:v>P1</x:v>
      </x:c>
      <x:c r="F10" s="7" t="str">
        <x:v>Définir les transitions propres au rôle de Enfant de Bailey — interlocuteur distant.</x:v>
      </x:c>
      <x:c r="G10" s="7" t="str">
        <x:v>Ancrage personnel, sans nom ni visage inventé comme canon.</x:v>
      </x:c>
      <x:c r="H10" s="7" t="str"/>
      <x:c r="I10" s="7" t="str">
        <x:v>Interface de communication abstraite; portrait optionnel seulement après référence.</x:v>
      </x:c>
      <x:c r="J10" s="7" t="str">
        <x:v>Bailey écoute; aucun avatar enfant jouable ajouté.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INQ/CHILD; paramètres direction, locomotion, accessoire et interruption.</x:v>
      </x:c>
      <x:c r="M10" s="7" t="str">
        <x:v>Conserver la confrontation publiée et l’incertitude finale; une option de dialogue n’établit pas une innocence ou une culpabilité omnisciente.</x:v>
      </x:c>
      <x:c r="N10" s="7" t="str">
        <x:v>Un enchaînement déplacement → interaction → interruption → reprise conserve le pivot et les accessoires de Enfant de Bailey — interlocuteur distant.</x:v>
      </x:c>
      <x:c r="O10" s="7" t="str">
        <x:v>INQ-ACT-CHILD, INQ-SPR-CHILD</x:v>
      </x:c>
      <x:c r="P10" s="7" t="str">
        <x:v>Conception originale, aucune cadence extraite du comic.</x:v>
      </x:c>
      <x:c r="Q10" s="7" t="str"/>
      <x:c r="R10" s="7" t="str"/>
      <x:c r="S10" s="7" t="str"/>
    </x:row>
  </x:sheetData>
  <x:conditionalFormatting sqref="D7:D10">
    <x:cfRule type="cellIs" dxfId="76" priority="1" operator="equal">
      <x:formula>"À vérifier"</x:formula>
    </x:cfRule>
    <x:cfRule type="cellIs" dxfId="77" priority="2" operator="equal">
      <x:formula>"Extrapolation"</x:formula>
    </x:cfRule>
  </x:conditionalFormatting>
  <x:conditionalFormatting sqref="C7:C10">
    <x:cfRule type="cellIs" dxfId="78" priority="3" operator="equal">
      <x:formula>"Validé"</x:formula>
    </x:cfRule>
  </x:conditionalFormatting>
  <x:conditionalFormatting sqref="E7:E10">
    <x:cfRule type="cellIs" dxfId="79"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ca8aee42ab0a4ae6"/>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Inquisition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INQ-SPR-BAILEY</x:v>
      </x:c>
      <x:c r="B7" s="9" t="str">
        <x:v>Armando-Owen Bailey — planche de sprites</x:v>
      </x:c>
      <x:c r="C7" s="15" t="str">
        <x:v>Défini</x:v>
      </x:c>
      <x:c r="D7" s="16" t="str">
        <x:v>Extrapolation</x:v>
      </x:c>
      <x:c r="E7" s="16" t="str">
        <x:v>P1</x:v>
      </x:c>
      <x:c r="F7" s="9" t="str">
        <x:v>Produire une silhouette lisible pour Armando-Owen Bailey dans le module Inquisition.</x:v>
      </x:c>
      <x:c r="G7" s="9" t="str">
        <x:v>Enquêteur jouable; observation, mise à distance et rapport.</x:v>
      </x:c>
      <x:c r="H7" s="9" t="str"/>
      <x:c r="I7" s="9" t="str">
        <x:v>Armure C-Sec et silhouette humaine robuste, détails de grade à contrôler. Prévoir face, dos et profils trois-quarts; conserver le même pivot de pieds dans chaque pose.</x:v>
      </x:c>
      <x:c r="J7" s="9" t="str">
        <x:v>Lecture de dossier, inspection au sol, garde prudente et fatigue finale. Séparer arme/objet tenu du corps lorsque le changement de main est nécessaire.</x:v>
      </x:c>
      <x:c r="K7" s="9" t="str"/>
      <x:c r="L7" s="9" t="str">
        <x:v>Atlas prévu inq/actors/bailey; métadonnées pivot, masque d'occlusion, orientation et état. Aucun fichier de sprite n'est livré par ce catalogue.</x:v>
      </x:c>
      <x:c r="M7" s="9" t="str">
        <x:v>Conserver la confrontation publiée et l’incertitude finale; une option de dialogue n’établit pas une innocence ou une culpabilité omnisciente.</x:v>
      </x:c>
      <x:c r="N7" s="9" t="str">
        <x:v>La planche permet d'identifier Armando-Owen Bailey sans portrait UI à l'échelle de jeu; pieds stables devant les occultations du décor 3D.</x:v>
      </x:c>
      <x:c r="O7" s="9" t="str">
        <x:v>INQ-ACT-BAILEY</x:v>
      </x:c>
      <x:c r="P7" s="9" t="str">
        <x:v>Conception originale; référence visuelle du personnage à contrôler.</x:v>
      </x:c>
      <x:c r="Q7" s="9" t="str"/>
      <x:c r="R7" s="9" t="str"/>
      <x:c r="S7" s="9" t="str"/>
    </x:row>
    <x:row r="8" ht="68" customHeight="1">
      <x:c r="A8" s="19" t="str">
        <x:v>INQ-SPR-UDINA</x:v>
      </x:c>
      <x:c r="B8" s="7" t="str">
        <x:v>Donnel Udina — planche de sprites</x:v>
      </x:c>
      <x:c r="C8" s="15" t="str">
        <x:v>Défini</x:v>
      </x:c>
      <x:c r="D8" s="17" t="str">
        <x:v>Extrapolation</x:v>
      </x:c>
      <x:c r="E8" s="17" t="str">
        <x:v>P1</x:v>
      </x:c>
      <x:c r="F8" s="7" t="str">
        <x:v>Produire une silhouette lisible pour Donnel Udina dans le module Inquisition.</x:v>
      </x:c>
      <x:c r="G8" s="7" t="str">
        <x:v>Autorité politique interlocutrice; ne pas traiter ses affirmations comme faits de système.</x:v>
      </x:c>
      <x:c r="H8" s="7" t="str"/>
      <x:c r="I8" s="7" t="str">
        <x:v>Tenue politique soignée et bureau en hauteur; costume à comparer. Prévoir face, dos et profils trois-quarts; conserver le même pivot de pieds dans chaque pose.</x:v>
      </x:c>
      <x:c r="J8" s="7" t="str">
        <x:v>Accueil mesuré, désignation de dossier et clôture d’entretien. Séparer arme/objet tenu du corps lorsque le changement de main est nécessaire.</x:v>
      </x:c>
      <x:c r="K8" s="7" t="str"/>
      <x:c r="L8" s="7" t="str">
        <x:v>Atlas prévu inq/actors/udina; métadonnées pivot, masque d'occlusion, orientation et état. Aucun fichier de sprite n'est livré par ce catalogue.</x:v>
      </x:c>
      <x:c r="M8" s="7" t="str">
        <x:v>Conserver la confrontation publiée et l’incertitude finale; une option de dialogue n’établit pas une innocence ou une culpabilité omnisciente.</x:v>
      </x:c>
      <x:c r="N8" s="7" t="str">
        <x:v>La planche permet d'identifier Donnel Udina sans portrait UI à l'échelle de jeu; pieds stables devant les occultations du décor 3D.</x:v>
      </x:c>
      <x:c r="O8" s="7" t="str">
        <x:v>INQ-ACT-UDINA</x:v>
      </x:c>
      <x:c r="P8" s="7" t="str">
        <x:v>Conception originale; référence visuelle du personnage à contrôler.</x:v>
      </x:c>
      <x:c r="Q8" s="7" t="str"/>
      <x:c r="R8" s="7" t="str"/>
      <x:c r="S8" s="7" t="str"/>
    </x:row>
    <x:row r="9" ht="68" customHeight="1">
      <x:c r="A9" s="18" t="str">
        <x:v>INQ-SPR-PALLIN</x:v>
      </x:c>
      <x:c r="B9" s="9" t="str">
        <x:v>Exécuteur Venari Pallin — planche de sprites</x:v>
      </x:c>
      <x:c r="C9" s="15" t="str">
        <x:v>Défini</x:v>
      </x:c>
      <x:c r="D9" s="16" t="str">
        <x:v>Extrapolation</x:v>
      </x:c>
      <x:c r="E9" s="16" t="str">
        <x:v>P1</x:v>
      </x:c>
      <x:c r="F9" s="9" t="str">
        <x:v>Produire une silhouette lisible pour Exécuteur Venari Pallin dans le module Inquisition.</x:v>
      </x:c>
      <x:c r="G9" s="9" t="str">
        <x:v>Interlocuteur puis adversaire de scène; culpabilité non tranchée.</x:v>
      </x:c>
      <x:c r="H9" s="9" t="str"/>
      <x:c r="I9" s="9" t="str">
        <x:v>Turien en tenue C-Sec à vérifier, arme de poing tenue visiblement. Prévoir face, dos et profils trois-quarts; conserver le même pivot de pieds dans chaque pose.</x:v>
      </x:c>
      <x:c r="J9" s="9" t="str">
        <x:v>Mise en garde, réaction tendue et approche brusque. Séparer arme/objet tenu du corps lorsque le changement de main est nécessaire.</x:v>
      </x:c>
      <x:c r="K9" s="9" t="str"/>
      <x:c r="L9" s="9" t="str">
        <x:v>Atlas prévu inq/actors/pallin; métadonnées pivot, masque d'occlusion, orientation et état. Aucun fichier de sprite n'est livré par ce catalogue.</x:v>
      </x:c>
      <x:c r="M9" s="9" t="str">
        <x:v>Conserver la confrontation publiée et l’incertitude finale; une option de dialogue n’établit pas une innocence ou une culpabilité omnisciente.</x:v>
      </x:c>
      <x:c r="N9" s="9" t="str">
        <x:v>La planche permet d'identifier Exécuteur Venari Pallin sans portrait UI à l'échelle de jeu; pieds stables devant les occultations du décor 3D.</x:v>
      </x:c>
      <x:c r="O9" s="9" t="str">
        <x:v>INQ-ACT-PALLIN</x:v>
      </x:c>
      <x:c r="P9" s="9" t="str">
        <x:v>Conception originale; référence visuelle du personnage à contrôler.</x:v>
      </x:c>
      <x:c r="Q9" s="9" t="str"/>
      <x:c r="R9" s="9" t="str"/>
      <x:c r="S9" s="9" t="str"/>
    </x:row>
    <x:row r="10" ht="68" customHeight="1">
      <x:c r="A10" s="19" t="str">
        <x:v>INQ-SPR-CHILD</x:v>
      </x:c>
      <x:c r="B10" s="7" t="str">
        <x:v>Enfant de Bailey — interlocuteur distant — planche de sprites</x:v>
      </x:c>
      <x:c r="C10" s="15" t="str">
        <x:v>Défini</x:v>
      </x:c>
      <x:c r="D10" s="17" t="str">
        <x:v>Extrapolation</x:v>
      </x:c>
      <x:c r="E10" s="17" t="str">
        <x:v>P1</x:v>
      </x:c>
      <x:c r="F10" s="7" t="str">
        <x:v>Produire une silhouette lisible pour Enfant de Bailey — interlocuteur distant dans le module Inquisition.</x:v>
      </x:c>
      <x:c r="G10" s="7" t="str">
        <x:v>Ancrage personnel, sans nom ni visage inventé comme canon.</x:v>
      </x:c>
      <x:c r="H10" s="7" t="str"/>
      <x:c r="I10" s="7" t="str">
        <x:v>Interface de communication abstraite; portrait optionnel seulement après référence. Prévoir face, dos et profils trois-quarts; conserver le même pivot de pieds dans chaque pose.</x:v>
      </x:c>
      <x:c r="J10" s="7" t="str">
        <x:v>Bailey écoute; aucun avatar enfant jouable ajouté. Séparer arme/objet tenu du corps lorsque le changement de main est nécessaire.</x:v>
      </x:c>
      <x:c r="K10" s="7" t="str"/>
      <x:c r="L10" s="7" t="str">
        <x:v>Atlas prévu inq/actors/child; métadonnées pivot, masque d'occlusion, orientation et état. Aucun fichier de sprite n'est livré par ce catalogue.</x:v>
      </x:c>
      <x:c r="M10" s="7" t="str">
        <x:v>Conserver la confrontation publiée et l’incertitude finale; une option de dialogue n’établit pas une innocence ou une culpabilité omnisciente.</x:v>
      </x:c>
      <x:c r="N10" s="7" t="str">
        <x:v>La planche permet d'identifier Enfant de Bailey — interlocuteur distant sans portrait UI à l'échelle de jeu; pieds stables devant les occultations du décor 3D.</x:v>
      </x:c>
      <x:c r="O10" s="7" t="str">
        <x:v>INQ-ACT-CHILD</x:v>
      </x:c>
      <x:c r="P10" s="7" t="str">
        <x:v>Conception originale; référence visuelle du personnage à contrôler.</x:v>
      </x:c>
      <x:c r="Q10" s="7" t="str"/>
      <x:c r="R10" s="7" t="str"/>
      <x:c r="S10" s="7" t="str"/>
    </x:row>
  </x:sheetData>
  <x:conditionalFormatting sqref="D7:D10">
    <x:cfRule type="cellIs" dxfId="80" priority="1" operator="equal">
      <x:formula>"À vérifier"</x:formula>
    </x:cfRule>
    <x:cfRule type="cellIs" dxfId="81" priority="2" operator="equal">
      <x:formula>"Extrapolation"</x:formula>
    </x:cfRule>
  </x:conditionalFormatting>
  <x:conditionalFormatting sqref="C7:C10">
    <x:cfRule type="cellIs" dxfId="82" priority="3" operator="equal">
      <x:formula>"Validé"</x:formula>
    </x:cfRule>
  </x:conditionalFormatting>
  <x:conditionalFormatting sqref="E7:E10">
    <x:cfRule type="cellIs" dxfId="8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df1f903ed23344ee"/>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Inquisition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INQ-SC-BRIEF-VFX</x:v>
      </x:c>
      <x:c r="B7" s="9" t="str">
        <x:v>Recevoir les accusations — signal visuel</x:v>
      </x:c>
      <x:c r="C7" s="15" t="str">
        <x:v>Défini</x:v>
      </x:c>
      <x:c r="D7" s="16" t="str">
        <x:v>Extrapolation</x:v>
      </x:c>
      <x:c r="E7" s="16" t="str">
        <x:v>P1</x:v>
      </x:c>
      <x:c r="F7" s="9" t="str">
        <x:v>Cadres distincts pour observation et témoignage, sans signal vérité/faux.</x:v>
      </x:c>
      <x:c r="G7" s="9" t="str">
        <x:v>Rendre lisibles les interactions propres à cette séquence à la taille réelle du jeu.</x:v>
      </x:c>
      <x:c r="H7" s="9" t="str"/>
      <x:c r="I7" s="9" t="str">
        <x:v>Cadres distincts pour observation et témoignage, sans signal vérité/faux.</x:v>
      </x:c>
      <x:c r="J7" s="9" t="str">
        <x:v>Anticipation séparée de l’impact; variante sans flash, sans secousse et à contraste renforcé.</x:v>
      </x:c>
      <x:c r="K7" s="9" t="str">
        <x:v>Notification sobre puis ambiance institutionnelle.</x:v>
      </x:c>
      <x:c r="L7" s="9" t="str">
        <x:v>Émetteur proposé INQ/BRIEF/vfx; ancrage sur monde 3D et tri compatible avec les sprites; options de confort indépendantes.</x:v>
      </x:c>
      <x:c r="M7" s="9" t="str">
        <x:v>Conserver la confrontation publiée et l’incertitude finale; une option de dialogue n’établit pas une innocence ou une culpabilité omnisciente.</x:v>
      </x:c>
      <x:c r="N7" s="9" t="str">
        <x:v>Le signal reste identifiable en pause et sans son; aucun flash plein écran indispensable pour comprendre la résolution.</x:v>
      </x:c>
      <x:c r="O7" s="9" t="str">
        <x:v>INQ-SC-BRIEF-MAIN</x:v>
      </x:c>
      <x:c r="P7" s="9" t="str">
        <x:v>VFX original; intensité et timing à régler au prototype.</x:v>
      </x:c>
      <x:c r="Q7" s="9" t="str"/>
      <x:c r="R7" s="9" t="str"/>
      <x:c r="S7" s="9" t="str"/>
    </x:row>
    <x:row r="8" ht="54" customHeight="1">
      <x:c r="A8" s="19" t="str">
        <x:v>INQ-SC-OFFICE-VFX</x:v>
      </x:c>
      <x:c r="B8" s="7" t="str">
        <x:v>Lieu d’enquête et confrontation — signal visuel</x:v>
      </x:c>
      <x:c r="C8" s="15" t="str">
        <x:v>Défini</x:v>
      </x:c>
      <x:c r="D8" s="17" t="str">
        <x:v>Extrapolation</x:v>
      </x:c>
      <x:c r="E8" s="17" t="str">
        <x:v>P1</x:v>
      </x:c>
      <x:c r="F8" s="7" t="str">
        <x:v>Marque d’indice persistante après combat; trajectoire de tir visible.</x:v>
      </x:c>
      <x:c r="G8" s="7" t="str">
        <x:v>Rendre lisibles les interactions propres à cette séquence à la taille réelle du jeu.</x:v>
      </x:c>
      <x:c r="H8" s="7" t="str"/>
      <x:c r="I8" s="7" t="str">
        <x:v>Marque d’indice persistante après combat; trajectoire de tir visible.</x:v>
      </x:c>
      <x:c r="J8" s="7" t="str">
        <x:v>Anticipation séparée de l’impact; variante sans flash, sans secousse et à contraste renforcé.</x:v>
      </x:c>
      <x:c r="K8" s="7" t="str">
        <x:v>Silence de lieu, voix proches et deux signatures de tir distinctes.</x:v>
      </x:c>
      <x:c r="L8" s="7" t="str">
        <x:v>Émetteur proposé INQ/OFFICE/vfx; ancrage sur monde 3D et tri compatible avec les sprites; options de confort indépendantes.</x:v>
      </x:c>
      <x:c r="M8" s="7" t="str">
        <x:v>Conserver la confrontation publiée et l’incertitude finale; une option de dialogue n’établit pas une innocence ou une culpabilité omnisciente.</x:v>
      </x:c>
      <x:c r="N8" s="7" t="str">
        <x:v>Le signal reste identifiable en pause et sans son; aucun flash plein écran indispensable pour comprendre la résolution.</x:v>
      </x:c>
      <x:c r="O8" s="7" t="str">
        <x:v>INQ-SC-OFFICE-MAIN</x:v>
      </x:c>
      <x:c r="P8" s="7" t="str">
        <x:v>VFX original; intensité et timing à régler au prototype.</x:v>
      </x:c>
      <x:c r="Q8" s="7" t="str"/>
      <x:c r="R8" s="7" t="str"/>
      <x:c r="S8" s="7" t="str"/>
    </x:row>
    <x:row r="9" ht="54" customHeight="1">
      <x:c r="A9" s="18" t="str">
        <x:v>INQ-SC-REPORT-VFX</x:v>
      </x:c>
      <x:c r="B9" s="9" t="str">
        <x:v>Rendre un rapport incertain — signal visuel</x:v>
      </x:c>
      <x:c r="C9" s="15" t="str">
        <x:v>Défini</x:v>
      </x:c>
      <x:c r="D9" s="16" t="str">
        <x:v>Extrapolation</x:v>
      </x:c>
      <x:c r="E9" s="16" t="str">
        <x:v>P1</x:v>
      </x:c>
      <x:c r="F9" s="9" t="str">
        <x:v>Dernière question laissée en pointillés; aucune coche verte de culpabilité.</x:v>
      </x:c>
      <x:c r="G9" s="9" t="str">
        <x:v>Rendre lisibles les interactions propres à cette séquence à la taille réelle du jeu.</x:v>
      </x:c>
      <x:c r="H9" s="9" t="str"/>
      <x:c r="I9" s="9" t="str">
        <x:v>Dernière question laissée en pointillés; aucune coche verte de culpabilité.</x:v>
      </x:c>
      <x:c r="J9" s="9" t="str">
        <x:v>Anticipation séparée de l’impact; variante sans flash, sans secousse et à contraste renforcé.</x:v>
      </x:c>
      <x:c r="K9" s="9" t="str">
        <x:v>Ambiance institutionnelle amortie, motif personnel incomplet.</x:v>
      </x:c>
      <x:c r="L9" s="9" t="str">
        <x:v>Émetteur proposé INQ/REPORT/vfx; ancrage sur monde 3D et tri compatible avec les sprites; options de confort indépendantes.</x:v>
      </x:c>
      <x:c r="M9" s="9" t="str">
        <x:v>Conserver la confrontation publiée et l’incertitude finale; une option de dialogue n’établit pas une innocence ou une culpabilité omnisciente.</x:v>
      </x:c>
      <x:c r="N9" s="9" t="str">
        <x:v>Le signal reste identifiable en pause et sans son; aucun flash plein écran indispensable pour comprendre la résolution.</x:v>
      </x:c>
      <x:c r="O9" s="9" t="str">
        <x:v>INQ-SC-REPORT-MAIN</x:v>
      </x:c>
      <x:c r="P9" s="9" t="str">
        <x:v>VFX original; intensité et timing à régler au prototype.</x:v>
      </x:c>
      <x:c r="Q9" s="9" t="str"/>
      <x:c r="R9" s="9" t="str"/>
      <x:c r="S9" s="9" t="str"/>
    </x:row>
  </x:sheetData>
  <x:conditionalFormatting sqref="D7:D9">
    <x:cfRule type="cellIs" dxfId="84" priority="1" operator="equal">
      <x:formula>"À vérifier"</x:formula>
    </x:cfRule>
    <x:cfRule type="cellIs" dxfId="85" priority="2" operator="equal">
      <x:formula>"Extrapolation"</x:formula>
    </x:cfRule>
  </x:conditionalFormatting>
  <x:conditionalFormatting sqref="C7:C9">
    <x:cfRule type="cellIs" dxfId="86" priority="3" operator="equal">
      <x:formula>"Validé"</x:formula>
    </x:cfRule>
  </x:conditionalFormatting>
  <x:conditionalFormatting sqref="E7:E9">
    <x:cfRule type="cellIs" dxfId="8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97071a1a2038484b"/>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Inquisition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INQ-AUD-CITADEL</x:v>
      </x:c>
      <x:c r="B7" s="9" t="str">
        <x:v>Citadelle — enquête de Bailey — paysage sonore</x:v>
      </x:c>
      <x:c r="C7" s="15" t="str">
        <x:v>Défini</x:v>
      </x:c>
      <x:c r="D7" s="16" t="str">
        <x:v>Extrapolation</x:v>
      </x:c>
      <x:c r="E7" s="16" t="str">
        <x:v>P1</x:v>
      </x:c>
      <x:c r="F7" s="9" t="str">
        <x:v>Ambiance de bureau calme, bourdonnement du lieu fermé et silence final.</x:v>
      </x:c>
      <x:c r="G7" s="9" t="str">
        <x:v>Trois espaces courts contrastés.</x:v>
      </x:c>
      <x:c r="H7" s="9" t="str">
        <x:v>Doubler les alarmes utiles par texte, symbole ou changement de pose; les bruits d’ambiance ne portent pas seuls une information obligatoire.</x:v>
      </x:c>
      <x:c r="I7" s="9" t="str">
        <x:v>Clair institutionnel, coin d’enquête plus sombre mais éclairage jouable suffisant.</x:v>
      </x:c>
      <x:c r="J7" s="9" t="str">
        <x:v>Déclencher les contacts mécaniques au mouvement visible; éviter les boucles désynchronisées des portes.</x:v>
      </x:c>
      <x:c r="K7" s="9" t="str">
        <x:v>Ambiance de bureau calme, bourdonnement du lieu fermé et silence final. Composer une ambiance originale en couches fond / activité / danger, avec réglage indépendant des voix.</x:v>
      </x:c>
      <x:c r="L7" s="9" t="str">
        <x:v>Bus proposé INQ/CITADEL; snapshots exploration, tension et dialogue; fondus après chargement.</x:v>
      </x:c>
      <x:c r="M7" s="9" t="str">
        <x:v>Conserver la confrontation publiée et l’incertitude finale; une option de dialogue n’établit pas une innocence ou une culpabilité omnisciente.</x:v>
      </x:c>
      <x:c r="N7" s="9" t="str">
        <x:v>Un parcours muet reste compréhensible; l’entrée en dialogue baisse les ambiances sans couper brutalement leur réverbération.</x:v>
      </x:c>
      <x:c r="O7" s="9" t="str">
        <x:v>INQ-ZONE-CITADEL</x:v>
      </x:c>
      <x:c r="P7" s="9" t="str">
        <x:v>Création sonore originale; aucune piste commerciale requise.</x:v>
      </x:c>
      <x:c r="Q7" s="9" t="str"/>
      <x:c r="R7" s="9" t="str"/>
      <x:c r="S7" s="9" t="str"/>
    </x:row>
  </x:sheetData>
  <x:conditionalFormatting sqref="D7:D7">
    <x:cfRule type="cellIs" dxfId="88" priority="1" operator="equal">
      <x:formula>"À vérifier"</x:formula>
    </x:cfRule>
    <x:cfRule type="cellIs" dxfId="89" priority="2" operator="equal">
      <x:formula>"Extrapolation"</x:formula>
    </x:cfRule>
  </x:conditionalFormatting>
  <x:conditionalFormatting sqref="C7:C7">
    <x:cfRule type="cellIs" dxfId="90" priority="3" operator="equal">
      <x:formula>"Validé"</x:formula>
    </x:cfRule>
  </x:conditionalFormatting>
  <x:conditionalFormatting sqref="E7:E7">
    <x:cfRule type="cellIs" dxfId="9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de4a614129dc4d23"/>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Inquisition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INQ-SYS-CANON</x:v>
      </x:c>
      <x:c r="B7" s="9" t="str">
        <x:v>Journal à deux niveaux</x:v>
      </x:c>
      <x:c r="C7" s="15" t="str">
        <x:v>Défini</x:v>
      </x:c>
      <x:c r="D7" s="16" t="str">
        <x:v>Extrapolation</x:v>
      </x:c>
      <x:c r="E7" s="16" t="str">
        <x:v>P1</x:v>
      </x:c>
      <x:c r="F7" s="9" t="str">
        <x:v>Dans Inquisition,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INQ/SYS-CANON; à appliquer au futur contenu de l'œuvre.</x:v>
      </x:c>
      <x:c r="M7" s="9" t="str">
        <x:v>Conserver la confrontation publiée et l’incertitude finale; une option de dialogue n’établit pas une innocence ou une culpabilité omnisciente.</x:v>
      </x:c>
      <x:c r="N7" s="9" t="str">
        <x:v>Chaque entrée de journal porte sa provenance; un résultat de combat ne change jamais le niveau de certitude du fait source.</x:v>
      </x:c>
      <x:c r="O7" s="9" t="str">
        <x:v>INQ-REF-SCOPE</x:v>
      </x:c>
      <x:c r="P7" s="9" t="str">
        <x:v>Règle originale de production; les ancrages de continuité sont documentés dans les fiches REF.</x:v>
      </x:c>
      <x:c r="Q7" s="9" t="str"/>
      <x:c r="R7" s="9" t="str"/>
      <x:c r="S7" s="9" t="str"/>
    </x:row>
    <x:row r="8" ht="54" customHeight="1">
      <x:c r="A8" s="19" t="str">
        <x:v>INQ-SYS-GROUP</x:v>
      </x:c>
      <x:c r="B8" s="7" t="str">
        <x:v>Groupe propre au chapitre</x:v>
      </x:c>
      <x:c r="C8" s="15" t="str">
        <x:v>Défini</x:v>
      </x:c>
      <x:c r="D8" s="17" t="str">
        <x:v>Extrapolation</x:v>
      </x:c>
      <x:c r="E8" s="17" t="str">
        <x:v>P1</x:v>
      </x:c>
      <x:c r="F8" s="7" t="str">
        <x:v>Bailey est seul sur le terrain; soutien d’enquête par interface, sans groupe d’assaut inventé.</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INQ/SYS-GROUP; à appliquer au futur contenu de l'œuvre.</x:v>
      </x:c>
      <x:c r="M8" s="7" t="str">
        <x:v>Conserver la confrontation publiée et l’incertitude finale; une option de dialogue n’établit pas une innocence ou une culpabilité omnisciente.</x:v>
      </x:c>
      <x:c r="N8" s="7" t="str">
        <x:v>Recharger un chapitre restitue uniquement son groupe autorisé, ses positions et ses commandes proposées.</x:v>
      </x:c>
      <x:c r="O8" s="7" t="str">
        <x:v>INQ-REF-SCOPE</x:v>
      </x:c>
      <x:c r="P8" s="7" t="str">
        <x:v>Règle originale de production; les ancrages de continuité sont documentés dans les fiches REF.</x:v>
      </x:c>
      <x:c r="Q8" s="7" t="str"/>
      <x:c r="R8" s="7" t="str"/>
      <x:c r="S8" s="7" t="str"/>
    </x:row>
    <x:row r="9" ht="54" customHeight="1">
      <x:c r="A9" s="18" t="str">
        <x:v>INQ-SYS-ATB</x:v>
      </x:c>
      <x:c r="B9" s="9" t="str">
        <x:v>Rythme ATB proposé</x:v>
      </x:c>
      <x:c r="C9" s="15" t="str">
        <x:v>Défini</x:v>
      </x:c>
      <x:c r="D9" s="16" t="str">
        <x:v>Extrapolation</x:v>
      </x:c>
      <x:c r="E9" s="16" t="str">
        <x:v>P1</x:v>
      </x:c>
      <x:c r="F9" s="9" t="str">
        <x:v>ATB réduit à la confrontation proposée; enquête et lecture sans chronomètre, pause complète pour examiner les informations.</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INQ/SYS-ATB; à appliquer au futur contenu de l'œuvre.</x:v>
      </x:c>
      <x:c r="M9" s="9" t="str">
        <x:v>Conserver la confrontation publiée et l’incertitude finale; une option de dialogue n’établit pas une innocence ou une culpabilité omnisciente.</x:v>
      </x:c>
      <x:c r="N9" s="9" t="str">
        <x:v>Un lecteur peut suivre chaque préparation sans son; la vitesse réglable ne modifie pas les conditions du raccord narratif.</x:v>
      </x:c>
      <x:c r="O9" s="9" t="str">
        <x:v>INQ-REF-SCOPE</x:v>
      </x:c>
      <x:c r="P9" s="9" t="str">
        <x:v>Règle originale de production; les ancrages de continuité sont documentés dans les fiches REF.</x:v>
      </x:c>
      <x:c r="Q9" s="9" t="str"/>
      <x:c r="R9" s="9" t="str"/>
      <x:c r="S9" s="9" t="str"/>
    </x:row>
    <x:row r="10" ht="54" customHeight="1">
      <x:c r="A10" s="19" t="str">
        <x:v>INQ-SYS-SAVE</x:v>
      </x:c>
      <x:c r="B10" s="7" t="str">
        <x:v>Sauvegarde des modules</x:v>
      </x:c>
      <x:c r="C10" s="15" t="str">
        <x:v>Défini</x:v>
      </x:c>
      <x:c r="D10" s="17" t="str">
        <x:v>Extrapolation</x:v>
      </x:c>
      <x:c r="E10" s="17" t="str">
        <x:v>P1</x:v>
      </x:c>
      <x:c r="F10" s="7" t="str">
        <x:v>Conserver la progression de Inquisition sans exporter une issue hypothétique vers la continuité des jeux.</x:v>
      </x:c>
      <x:c r="G10" s="7" t="str">
        <x:v>Stocker le numéro/segment, la méthode locale, les indices acquis et le raccord déjà vu; ne pas écrire dans une sauvegarde canon du jeu.</x:v>
      </x:c>
      <x:c r="H10" s="7" t="str">
        <x:v>Stocker le numéro/segment, la méthode locale, les indices acquis et le raccord déjà vu; ne pas écrire dans une sauvegarde canon du jeu.</x:v>
      </x:c>
      <x:c r="I10" s="7" t="str"/>
      <x:c r="J10" s="7" t="str"/>
      <x:c r="K10" s="7" t="str"/>
      <x:c r="L10" s="7" t="str">
        <x:v>Contrat de production INQ/SYS-SAVE; à appliquer au futur contenu de l'œuvre.</x:v>
      </x:c>
      <x:c r="M10" s="7" t="str">
        <x:v>Conserver la confrontation publiée et l’incertitude finale; une option de dialogue n’établit pas une innocence ou une culpabilité omnisciente.</x:v>
      </x:c>
      <x:c r="N10" s="7" t="str">
        <x:v>Sauvegarder, quitter et reprendre avant/après un raccord ne double aucun objet, objectif ou récompense.</x:v>
      </x:c>
      <x:c r="O10" s="7" t="str">
        <x:v>INQ-REF-SCOPE</x:v>
      </x:c>
      <x:c r="P10" s="7" t="str">
        <x:v>Règle originale de production; les ancrages de continuité sont documentés dans les fiches REF.</x:v>
      </x:c>
      <x:c r="Q10" s="7" t="str"/>
      <x:c r="R10" s="7" t="str"/>
      <x:c r="S10" s="7"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96fbe8f3638f41a0"/>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Inquisition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INQ-SC-BRIEF-QA</x:v>
      </x:c>
      <x:c r="B7" s="9" t="str">
        <x:v>Recevoir les accusations — contrôle du parcours</x:v>
      </x:c>
      <x:c r="C7" s="15" t="str">
        <x:v>Défini</x:v>
      </x:c>
      <x:c r="D7" s="16" t="str">
        <x:v>Extrapolation</x:v>
      </x:c>
      <x:c r="E7" s="16" t="str">
        <x:v>P0</x:v>
      </x:c>
      <x:c r="F7" s="9" t="str">
        <x:v>Rejouer « Recevoir les accusations » par les deux méthodes proposées, avec tâche facultative ignorée puis terminée, et en sautant le raccord.</x:v>
      </x:c>
      <x:c r="G7" s="9" t="str">
        <x:v>Appel personnel → convocation → briefing → départ.</x:v>
      </x:c>
      <x:c r="H7" s="9" t="str">
        <x:v>Le dossier affiche la source de chaque information; accepter la mission ne transforme pas l’accusation en vérité.</x:v>
      </x:c>
      <x:c r="I7" s="9" t="str"/>
      <x:c r="J7" s="9" t="str"/>
      <x:c r="K7" s="9" t="str"/>
      <x:c r="L7" s="9" t="str">
        <x:v>Scénarios de recette à exécuter pour INQ/BRIEF; consigner résultat réel et preuve seulement lors d’une future réalisation.</x:v>
      </x:c>
      <x:c r="M7" s="9" t="str">
        <x:v>Fiche de recette définie; aucun test du jeu n’a été exécuté par ce catalogue.</x:v>
      </x:c>
      <x:c r="N7" s="9" t="str">
        <x:v>L'objectif « Recevoir les accusations » atteint son raccord annoncé après chaque méthode; sauvegarde, rechargement et saut de scène n'en changent ni le groupe ni les informations acquises.</x:v>
      </x:c>
      <x:c r="O7" s="9" t="str">
        <x:v>INQ-SC-BRIEF-MAIN, INQ-SC-BRIEF-CHOICE, INQ-SC-BRIEF-CINE, INQ-SC-BRIEF-PROP</x:v>
      </x:c>
      <x:c r="P7" s="9" t="str">
        <x:v>Critère de production original, pas une validation déjà obtenue.</x:v>
      </x:c>
      <x:c r="Q7" s="9" t="str"/>
      <x:c r="R7" s="9" t="str"/>
      <x:c r="S7" s="9" t="str"/>
    </x:row>
    <x:row r="8" ht="68" customHeight="1">
      <x:c r="A8" s="19" t="str">
        <x:v>INQ-SC-OFFICE-QA</x:v>
      </x:c>
      <x:c r="B8" s="7" t="str">
        <x:v>Lieu d’enquête et confrontation — contrôle du parcours</x:v>
      </x:c>
      <x:c r="C8" s="15" t="str">
        <x:v>Défini</x:v>
      </x:c>
      <x:c r="D8" s="17" t="str">
        <x:v>Extrapolation</x:v>
      </x:c>
      <x:c r="E8" s="17" t="str">
        <x:v>P0</x:v>
      </x:c>
      <x:c r="F8" s="7" t="str">
        <x:v>Rejouer « Lieu d’enquête et confrontation » par les deux méthodes proposées, avec tâche facultative ignorée puis terminée, et en sautant le raccord.</x:v>
      </x:c>
      <x:c r="G8" s="7" t="str">
        <x:v>Entrée → indices visibles → apparition de Pallin → confrontation fixée.</x:v>
      </x:c>
      <x:c r="H8" s="7" t="str">
        <x:v>L’observation est sans chronomètre; le combat proposé annonce chaque action et ne conditionne pas l’accès aux indices par un tir précis.</x:v>
      </x:c>
      <x:c r="I8" s="7" t="str"/>
      <x:c r="J8" s="7" t="str"/>
      <x:c r="K8" s="7" t="str"/>
      <x:c r="L8" s="7" t="str">
        <x:v>Scénarios de recette à exécuter pour INQ/OFFICE; consigner résultat réel et preuve seulement lors d’une future réalisation.</x:v>
      </x:c>
      <x:c r="M8" s="7" t="str">
        <x:v>Fiche de recette définie; aucun test du jeu n’a été exécuté par ce catalogue.</x:v>
      </x:c>
      <x:c r="N8" s="7" t="str">
        <x:v>L'objectif « Lieu d’enquête et confrontation » atteint son raccord annoncé après chaque méthode; sauvegarde, rechargement et saut de scène n'en changent ni le groupe ni les informations acquises.</x:v>
      </x:c>
      <x:c r="O8" s="7" t="str">
        <x:v>INQ-SC-OFFICE-MAIN, INQ-SC-OFFICE-CHOICE, INQ-SC-OFFICE-CINE, INQ-SC-OFFICE-PROP</x:v>
      </x:c>
      <x:c r="P8" s="7" t="str">
        <x:v>Critère de production original, pas une validation déjà obtenue.</x:v>
      </x:c>
      <x:c r="Q8" s="7" t="str"/>
      <x:c r="R8" s="7" t="str"/>
      <x:c r="S8" s="7" t="str"/>
    </x:row>
    <x:row r="9" ht="68" customHeight="1">
      <x:c r="A9" s="18" t="str">
        <x:v>INQ-SC-REPORT-QA</x:v>
      </x:c>
      <x:c r="B9" s="9" t="str">
        <x:v>Rendre un rapport incertain — contrôle du parcours</x:v>
      </x:c>
      <x:c r="C9" s="15" t="str">
        <x:v>Défini</x:v>
      </x:c>
      <x:c r="D9" s="16" t="str">
        <x:v>Extrapolation</x:v>
      </x:c>
      <x:c r="E9" s="16" t="str">
        <x:v>P0</x:v>
      </x:c>
      <x:c r="F9" s="9" t="str">
        <x:v>Rejouer « Rendre un rapport incertain » par les deux méthodes proposées, avec tâche facultative ignorée puis terminée, et en sautant le raccord.</x:v>
      </x:c>
      <x:c r="G9" s="9" t="str">
        <x:v>Rapport → objection → décision d’autorité → conclusion personnelle.</x:v>
      </x:c>
      <x:c r="H9" s="9" t="str">
        <x:v>Le journal final comporte une rubrique non établi; aucune note de réussite fondée sur l’adhésion à Udina.</x:v>
      </x:c>
      <x:c r="I9" s="9" t="str"/>
      <x:c r="J9" s="9" t="str"/>
      <x:c r="K9" s="9" t="str"/>
      <x:c r="L9" s="9" t="str">
        <x:v>Scénarios de recette à exécuter pour INQ/REPORT; consigner résultat réel et preuve seulement lors d’une future réalisation.</x:v>
      </x:c>
      <x:c r="M9" s="9" t="str">
        <x:v>Fiche de recette définie; aucun test du jeu n’a été exécuté par ce catalogue.</x:v>
      </x:c>
      <x:c r="N9" s="9" t="str">
        <x:v>L'objectif « Rendre un rapport incertain » atteint son raccord annoncé après chaque méthode; sauvegarde, rechargement et saut de scène n'en changent ni le groupe ni les informations acquises.</x:v>
      </x:c>
      <x:c r="O9" s="9" t="str">
        <x:v>INQ-SC-REPORT-MAIN, INQ-SC-REPORT-CHOICE, INQ-SC-REPORT-CINE, INQ-SC-REPORT-PROP</x:v>
      </x:c>
      <x:c r="P9" s="9" t="str">
        <x:v>Critère de production original, pas une validation déjà obtenue.</x:v>
      </x:c>
      <x:c r="Q9" s="9" t="str"/>
      <x:c r="R9" s="9" t="str"/>
      <x:c r="S9" s="9" t="str"/>
    </x:row>
    <x:row r="10" ht="54" customHeight="1">
      <x:c r="A10" s="19" t="str">
        <x:v>INQ-QA-SOURCE</x:v>
      </x:c>
      <x:c r="B10" s="7" t="str">
        <x:v>Vérification des références</x:v>
      </x:c>
      <x:c r="C10" s="15" t="str">
        <x:v>Défini</x:v>
      </x:c>
      <x:c r="D10" s="17" t="str">
        <x:v>Extrapolation</x:v>
      </x:c>
      <x:c r="E10" s="17" t="str">
        <x:v>P0</x:v>
      </x:c>
      <x:c r="F10" s="7" t="str">
        <x:v>Contrôler Inquisition dans une édition autorisée avant de transformer les éléments À vérifier en faits établis.</x:v>
      </x:c>
      <x:c r="G10" s="7" t="str">
        <x:v>Contrôler le récit court dans son édition autorisée; ne pas inventer des numéros ou une pagination absents de la consultation.</x:v>
      </x:c>
      <x:c r="H10" s="7" t="str"/>
      <x:c r="I10" s="7" t="str"/>
      <x:c r="J10" s="7" t="str"/>
      <x:c r="K10" s="7" t="str"/>
      <x:c r="L10" s="7" t="str">
        <x:v>Contrat de production INQ/QA-SOURCE; à appliquer au futur contenu de l'œuvre.</x:v>
      </x:c>
      <x:c r="M10" s="7" t="str">
        <x:v>Recette planifiée; aucune réalisation testée ici.</x:v>
      </x:c>
      <x:c r="N10" s="7" t="str">
        <x:v>Chaque ajout de nom, page, costume ou date est lié à la bonne édition; les descriptions restent brèves et paraphrasées.</x:v>
      </x:c>
      <x:c r="O10" s="7" t="str">
        <x:v>INQ-REF-SCOPE</x:v>
      </x:c>
      <x:c r="P10" s="7" t="str">
        <x:v>Règle originale de production; les ancrages de continuité sont documentés dans les fiches REF.</x:v>
      </x:c>
      <x:c r="Q10" s="7" t="str"/>
      <x:c r="R10" s="7" t="str"/>
      <x:c r="S10" s="7" t="str"/>
    </x:row>
    <x:row r="11" ht="54" customHeight="1">
      <x:c r="A11" s="18" t="str">
        <x:v>INQ-QA-VISIBILITY</x:v>
      </x:c>
      <x:c r="B11" s="9" t="str">
        <x:v>Lecture des sprites et du terrain</x:v>
      </x:c>
      <x:c r="C11" s="15" t="str">
        <x:v>Défini</x:v>
      </x:c>
      <x:c r="D11" s="16" t="str">
        <x:v>Extrapolation</x:v>
      </x:c>
      <x:c r="E11" s="16" t="str">
        <x:v>P0</x:v>
      </x:c>
      <x:c r="F11" s="9" t="str">
        <x:v>Contrôler la taille des sprites, la séparation des silhouettes et les sorties sous la caméra fixe de chaque scène.</x:v>
      </x:c>
      <x:c r="G11" s="9" t="str">
        <x:v>Faire parcourir les zones avec premier plan actif, sous-titres larges et mode de contraste renforcé.</x:v>
      </x:c>
      <x:c r="H11" s="9" t="str"/>
      <x:c r="I11" s="9" t="str"/>
      <x:c r="J11" s="9" t="str"/>
      <x:c r="K11" s="9" t="str"/>
      <x:c r="L11" s="9" t="str">
        <x:v>Contrat de production INQ/QA-VISIBILITY; à appliquer au futur contenu de l'œuvre.</x:v>
      </x:c>
      <x:c r="M11" s="9" t="str">
        <x:v>Recette planifiée; aucune réalisation testée ici.</x:v>
      </x:c>
      <x:c r="N11" s="9" t="str">
        <x:v>Le personnage contrôlé, les sorties et le signal de danger restent localisables sans désactiver le décor.</x:v>
      </x:c>
      <x:c r="O11" s="9" t="str">
        <x:v>INQ-REF-SCOPE</x:v>
      </x:c>
      <x:c r="P11" s="9" t="str">
        <x:v>Règle originale de production; les ancrages de continuité sont documentés dans les fiches REF.</x:v>
      </x:c>
      <x:c r="Q11" s="9" t="str"/>
      <x:c r="R11" s="9" t="str"/>
      <x:c r="S11" s="9" t="str"/>
    </x:row>
    <x:row r="12" ht="68" customHeight="1">
      <x:c r="A12" s="19" t="str">
        <x:v>INQ-QA-NARRATIVE</x:v>
      </x:c>
      <x:c r="B12" s="7" t="str">
        <x:v>Convergence narrative</x:v>
      </x:c>
      <x:c r="C12" s="15" t="str">
        <x:v>Défini</x:v>
      </x:c>
      <x:c r="D12" s="17" t="str">
        <x:v>Extrapolation</x:v>
      </x:c>
      <x:c r="E12" s="17" t="str">
        <x:v>P0</x:v>
      </x:c>
      <x:c r="F12" s="7" t="str">
        <x:v>Conserver la confrontation publiée et l’incertitude finale; une option de dialogue n’établit pas une innocence ou une culpabilité omnisciente.</x:v>
      </x:c>
      <x:c r="G12" s="7" t="str">
        <x:v>La continuité éditoriale est distincte des essais de gameplay; un choix stratégique ne réécrit pas la fin publiée.</x:v>
      </x:c>
      <x:c r="H12" s="7" t="str"/>
      <x:c r="I12" s="7" t="str"/>
      <x:c r="J12" s="7" t="str"/>
      <x:c r="K12" s="7" t="str"/>
      <x:c r="L12" s="7" t="str">
        <x:v>Contrat de production INQ/QA-NARRATIVE; à appliquer au futur contenu de l'œuvre.</x:v>
      </x:c>
      <x:c r="M12" s="7" t="str">
        <x:v>Recette planifiée; aucune réalisation testée ici.</x:v>
      </x:c>
      <x:c r="N12" s="7" t="str">
        <x:v>Jouer chaque choix local et passer chaque cinématique produit les mêmes ancrages de conclusion; les divergences restent marquées adaptation.</x:v>
      </x:c>
      <x:c r="O12" s="7" t="str">
        <x:v>INQ-REF-SCOPE</x:v>
      </x:c>
      <x:c r="P12" s="7" t="str">
        <x:v>Règle originale de production; les ancrages de continuité sont documentés dans les fiches REF.</x:v>
      </x:c>
      <x:c r="Q12" s="7" t="str"/>
      <x:c r="R12" s="7" t="str"/>
      <x:c r="S12" s="7" t="str"/>
    </x:row>
  </x:sheetData>
  <x:conditionalFormatting sqref="D7:D12">
    <x:cfRule type="cellIs" dxfId="96" priority="1" operator="equal">
      <x:formula>"À vérifier"</x:formula>
    </x:cfRule>
    <x:cfRule type="cellIs" dxfId="97" priority="2" operator="equal">
      <x:formula>"Extrapolation"</x:formula>
    </x:cfRule>
  </x:conditionalFormatting>
  <x:conditionalFormatting sqref="C7:C12">
    <x:cfRule type="cellIs" dxfId="98" priority="3" operator="equal">
      <x:formula>"Validé"</x:formula>
    </x:cfRule>
  </x:conditionalFormatting>
  <x:conditionalFormatting sqref="E7:E12">
    <x:cfRule type="cellIs" dxfId="99"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86de20cd9b5d497e"/>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Inquisition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INQ-CNT-PLACE</x:v>
      </x:c>
      <x:c r="B7" s="9" t="str">
        <x:v>Position dans l’univers</x:v>
      </x:c>
      <x:c r="C7" s="15" t="str">
        <x:v>Défini</x:v>
      </x:c>
      <x:c r="D7" s="16" t="str">
        <x:v>Extrapolation</x:v>
      </x:c>
      <x:c r="E7" s="16" t="str">
        <x:v>P1</x:v>
      </x:c>
      <x:c r="F7" s="9" t="str">
        <x:v>Le wiki place le récit après ME2 et relie sa conclusion à la promotion de Bailey. Contrôler la datation et les raccords exacts avec les jeux.</x:v>
      </x:c>
      <x:c r="G7" s="9" t="str">
        <x:v>La continuité éditoriale est distincte des essais de gameplay; un choix stratégique ne réécrit pas la fin publiée.</x:v>
      </x:c>
      <x:c r="H7" s="9" t="str"/>
      <x:c r="I7" s="9" t="str"/>
      <x:c r="J7" s="9" t="str"/>
      <x:c r="K7" s="9" t="str"/>
      <x:c r="L7" s="9" t="str">
        <x:v>Contrat de production INQ/CNT-PLACE; à appliquer au futur contenu de l'œuvre.</x:v>
      </x:c>
      <x:c r="M7" s="9" t="str">
        <x:v>Conserver la confrontation publiée et l’incertitude finale; une option de dialogue n’établit pas une innocence ou une culpabilité omnisciente.</x:v>
      </x:c>
      <x:c r="N7" s="9" t="str">
        <x:v>La frise indique les incertitudes et les liens avec les autres œuvres sans attribuer une date non sourcée.</x:v>
      </x:c>
      <x:c r="O7" s="9" t="str">
        <x:v>INQ-REF-SCOPE</x:v>
      </x:c>
      <x:c r="P7" s="9" t="str">
        <x:v>Règle originale de production; les ancrages de continuité sont documentés dans les fiches REF.</x:v>
      </x:c>
      <x:c r="Q7" s="9" t="str"/>
      <x:c r="R7" s="9" t="str"/>
      <x:c r="S7" s="9" t="str"/>
    </x:row>
    <x:row r="8" ht="54" customHeight="1">
      <x:c r="A8" s="19" t="str">
        <x:v>INQ-CNT-NO-CUT</x:v>
      </x:c>
      <x:c r="B8" s="7" t="str">
        <x:v>Contenus non attestés</x:v>
      </x:c>
      <x:c r="C8" s="15" t="str">
        <x:v>Défini</x:v>
      </x:c>
      <x:c r="D8" s="17" t="str">
        <x:v>Extrapolation</x:v>
      </x:c>
      <x:c r="E8" s="17" t="str">
        <x:v>P1</x:v>
      </x:c>
      <x:c r="F8" s="7" t="str">
        <x:v>Aucune rumeur de scène coupée n’est intégrée à Inquisition.</x:v>
      </x:c>
      <x:c r="G8" s="7" t="str">
        <x:v>Un contenu absent des notices consultées reste non documenté; une illustration préparatoire ne prouve pas une scène canon.</x:v>
      </x:c>
      <x:c r="H8" s="7" t="str"/>
      <x:c r="I8" s="7" t="str"/>
      <x:c r="J8" s="7" t="str"/>
      <x:c r="K8" s="7" t="str"/>
      <x:c r="L8" s="7" t="str">
        <x:v>Contrat de production INQ/CNT-NO-CUT; à appliquer au futur contenu de l'œuvre.</x:v>
      </x:c>
      <x:c r="M8" s="7" t="str">
        <x:v>Conserver la confrontation publiée et l’incertitude finale; une option de dialogue n’établit pas une innocence ou une culpabilité omnisciente.</x:v>
      </x:c>
      <x:c r="N8" s="7" t="str">
        <x:v>Une future fiche Coupé attesté ou Concept abandonné devra citer une preuve primaire spécifique.</x:v>
      </x:c>
      <x:c r="O8" s="7" t="str">
        <x:v>INQ-REF-SCOPE</x:v>
      </x:c>
      <x:c r="P8" s="7" t="str">
        <x:v>Règle originale de production; les ancrages de continuité sont documentés dans les fiches REF.</x:v>
      </x:c>
      <x:c r="Q8" s="7" t="str"/>
      <x:c r="R8" s="7" t="str"/>
      <x:c r="S8" s="7"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99548987fb594181"/>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Inquisition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Inquisition</x:v>
      </x:c>
      <x:c r="C7" s="2"/>
      <x:c r="D7" s="2"/>
      <x:c r="E7" s="2"/>
      <x:c r="F7" s="2"/>
    </x:row>
    <x:row r="8" ht="30" customHeight="1">
      <x:c r="A8" s="7" t="str">
        <x:v>Support</x:v>
      </x:c>
      <x:c r="B8" s="7" t="str">
        <x:v>Comic court / récit autonome</x:v>
      </x:c>
      <x:c r="C8" s="2"/>
      <x:c r="D8" s="2"/>
      <x:c r="E8" s="2"/>
      <x:c r="F8" s="2"/>
    </x:row>
    <x:row r="9" ht="54" customHeight="1">
      <x:c r="A9" s="7" t="str">
        <x:v>Périmètre</x:v>
      </x:c>
      <x:c r="B9" s="7" t="str">
        <x:v>Récit court de Bailey : demande d’Udina, enquête, confrontation avec Pallin et conclusion ambiguë. Le dossier ne tranche pas une culpabilité que la source laisse questionnée.</x:v>
      </x:c>
      <x:c r="C9" s="2"/>
      <x:c r="D9" s="2"/>
      <x:c r="E9" s="2"/>
      <x:c r="F9" s="2"/>
    </x:row>
    <x:row r="10" ht="54" customHeight="1">
      <x:c r="A10" s="7" t="str">
        <x:v>Projet</x:v>
      </x:c>
      <x:c r="B10" s="7" t="str">
        <x:v>63 fiches de production ; 2 fiches au stade Prototype de portée partielle. Les autres livrables restent des spécifications ; aucun achèvement intégral 1:1 revendiqué.</x:v>
      </x:c>
      <x:c r="C10" s="2"/>
      <x:c r="D10" s="2"/>
      <x:c r="E10" s="2"/>
      <x:c r="F10" s="2"/>
    </x:row>
    <x:row r="11" ht="166" customHeight="1">
      <x:c r="A11" s="7" t="str">
        <x:v>Références et limites</x:v>
      </x:c>
      <x:c r="B11" s="7" t="str">
        <x:v>Les accusations d’Udina et les doutes de Bailey doivent rester des points de vue. Aucune fiche ne qualifie Pallin de traître avéré sur cette seule base.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INQ-S-PAIR</x:v>
      </x:c>
      <x:c r="B27" s="6" t="str">
        <x:v>Dark Horse — Incursion / Inquisition, notice éditeur</x:v>
      </x:c>
      <x:c r="C27" s="6" t="str">
        <x:v>publication originale — notice éditeur distribuée</x:v>
      </x:c>
      <x:c r="D27" s="6" t="str">
        <x:v>https://books.apple.com/gr/book/mass-effect-incursion-inquisition/id1047054838</x:v>
      </x:c>
      <x:c r="E27" s="6" t="str">
        <x:v>Présentation des deux récits, Aria/Collectors/Omega et Bailey/Citadelle; fournisseur identifié Dark Horse Comics Inc.</x:v>
      </x:c>
      <x:c r="F27" s="6" t="str">
        <x:v>Consulté le 22 octobre 2026; les faits sont paraphrasés brièvement.</x:v>
      </x:c>
    </x:row>
    <x:row r="28" ht="54" customHeight="1">
      <x:c r="A28" s="6" t="str">
        <x:v>INQ-S-WIKI</x:v>
      </x:c>
      <x:c r="B28" s="6" t="str">
        <x:v>Mass Effect: Inquisition</x:v>
      </x:c>
      <x:c r="C28" s="6" t="str">
        <x:v>wiki — extrait indexé, à contrôler</x:v>
      </x:c>
      <x:c r="D28" s="6" t="str">
        <x:v>https://masseffect.fandom.com/wiki/Mass_Effect%3A_Inquisition</x:v>
      </x:c>
      <x:c r="E28" s="6" t="str">
        <x:v>Bailey, Udina, Pallin et ambiguïté des accusations.</x:v>
      </x:c>
      <x:c r="F28" s="6" t="str">
        <x:v>Contenu lu dans le résultat de recherche indexé; ouverture directe Fandom restreinte ou en erreur. Comparaison avec le comic autorisé requise.</x:v>
      </x:c>
    </x:row>
    <x:row r="29" ht="22" customHeight="1">
      <x:c r="A29" s="2"/>
      <x:c r="B29" s="2"/>
      <x:c r="C29" s="2"/>
      <x:c r="D29" s="2"/>
      <x:c r="E29" s="2"/>
      <x:c r="F29" s="2"/>
    </x:row>
    <x:row r="30" ht="22" customHeight="1">
      <x:c r="A30" s="2"/>
      <x:c r="B30" s="2"/>
      <x:c r="C30" s="2"/>
      <x:c r="D30" s="2"/>
      <x:c r="E30" s="2"/>
      <x:c r="F30" s="2"/>
    </x:row>
    <x:row r="31" ht="22" customHeight="1">
      <x:c r="A31" s="2"/>
      <x:c r="B31" s="2"/>
      <x:c r="C31" s="2"/>
      <x:c r="D31" s="2"/>
      <x:c r="E31" s="2"/>
      <x:c r="F31" s="2"/>
    </x:row>
    <x:row r="32" ht="34" customHeight="1">
      <x:c r="A32" s="28" t="str">
        <x:v>Domaine</x:v>
      </x:c>
      <x:c r="B32" s="29" t="str">
        <x:v>Couverture actuelle</x:v>
      </x:c>
      <x:c r="C32" s="30" t="str">
        <x:v>Travail restant</x:v>
      </x:c>
      <x:c r="D32" s="2"/>
      <x:c r="E32" s="2"/>
      <x:c r="F32" s="2"/>
    </x:row>
    <x:row r="33" ht="68" customHeight="1">
      <x:c r="A33" s="6" t="str">
        <x:v>characters</x:v>
      </x:c>
      <x:c r="B33" s="6" t="str">
        <x:v>2 fiche(s) : Armando-Owen Bailey; Exécuteur Venari Pallin</x:v>
      </x:c>
      <x:c r="C33" s="6" t="str">
        <x:v>Comparer les détails marqués À vérifier à une édition autorisée; les sources éditoriales n’attestent pas chaque détail graphique.</x:v>
      </x:c>
      <x:c r="D33" s="2"/>
      <x:c r="E33" s="2"/>
      <x:c r="F33" s="2"/>
    </x:row>
    <x:row r="34" ht="68" customHeight="1">
      <x:c r="A34" s="6" t="str">
        <x:v>npcs</x:v>
      </x:c>
      <x:c r="B34" s="6" t="str">
        <x:v>2 fiche(s) : Donnel Udina; Enfant de Bailey — interlocuteur distant</x:v>
      </x:c>
      <x:c r="C34" s="6" t="str">
        <x:v>Comparer les détails marqués À vérifier à une édition autorisée; les sources éditoriales n’attestent pas chaque détail graphique.</x:v>
      </x:c>
      <x:c r="D34" s="2"/>
      <x:c r="E34" s="2"/>
      <x:c r="F34" s="2"/>
    </x:row>
    <x:row r="35" ht="68" customHeight="1">
      <x:c r="A35" s="6" t="str">
        <x:v>lore</x:v>
      </x:c>
      <x:c r="B35" s="6" t="str">
        <x:v>6 fiche(s) : Bailey au centre de l’enquête; Accusation et doute; Conclusion de carrière; Recevoir les accusations</x:v>
      </x:c>
      <x:c r="C35" s="6" t="str">
        <x:v>Comparer les détails marqués À vérifier à une édition autorisée; les sources éditoriales n’attestent pas chaque détail graphique.</x:v>
      </x:c>
      <x:c r="D35" s="2"/>
      <x:c r="E35" s="2"/>
      <x:c r="F35" s="2"/>
    </x:row>
    <x:row r="36" ht="68" customHeight="1">
      <x:c r="A36" s="6" t="str">
        <x:v>worlds</x:v>
      </x:c>
      <x:c r="B36" s="6" t="str">
        <x:v>1 fiche(s) : Citadelle — enquête de Bailey</x:v>
      </x:c>
      <x:c r="C36" s="6" t="str">
        <x:v>Comparer les détails marqués À vérifier à une édition autorisée; les sources éditoriales n’attestent pas chaque détail graphique.</x:v>
      </x:c>
      <x:c r="D36" s="2"/>
      <x:c r="E36" s="2"/>
      <x:c r="F36" s="2"/>
    </x:row>
    <x:row r="37" ht="54" customHeight="1">
      <x:c r="A37" s="6" t="str">
        <x:v>zones</x:v>
      </x:c>
      <x:c r="B37" s="6" t="str">
        <x:v>1 fiche(s) : Citadelle — enquête de Bailey — espace jouable proposé</x:v>
      </x:c>
      <x:c r="C37" s="6" t="str">
        <x:v>Prototyper les règles proposées et exécuter les critères de recette; aucune fiche n’est déclarée intégrée ou validée.</x:v>
      </x:c>
      <x:c r="D37" s="2"/>
      <x:c r="E37" s="2"/>
      <x:c r="F37" s="2"/>
    </x:row>
    <x:row r="38" ht="54" customHeight="1">
      <x:c r="A38" s="6" t="str">
        <x:v>links</x:v>
      </x:c>
      <x:c r="B38" s="6" t="str">
        <x:v>1 fiche(s) : Citadelle — enquête de Bailey — accès et sortie</x:v>
      </x:c>
      <x:c r="C38" s="6" t="str">
        <x:v>Prototyper les règles proposées et exécuter les critères de recette; aucune fiche n’est déclarée intégrée ou validée.</x:v>
      </x:c>
      <x:c r="D38" s="2"/>
      <x:c r="E38" s="2"/>
      <x:c r="F38" s="2"/>
    </x:row>
    <x:row r="39" ht="54" customHeight="1">
      <x:c r="A39" s="6" t="str">
        <x:v>scenery</x:v>
      </x:c>
      <x:c r="B39" s="6" t="str">
        <x:v>1 fiche(s) : Citadelle — enquête de Bailey — décor et repère</x:v>
      </x:c>
      <x:c r="C39" s="6" t="str">
        <x:v>Produire les assets originaux puis vérifier en situation; ce catalogue ne livre ni image, ni son, ni animation.</x:v>
      </x:c>
      <x:c r="D39" s="2"/>
      <x:c r="E39" s="2"/>
      <x:c r="F39" s="2"/>
    </x:row>
    <x:row r="40" ht="54" customHeight="1">
      <x:c r="A40" s="6" t="str">
        <x:v>props</x:v>
      </x:c>
      <x:c r="B40" s="6" t="str">
        <x:v>3 fiche(s) : Dossier transmis; Datapad d’indice; Rapport à provenance</x:v>
      </x:c>
      <x:c r="C40" s="6" t="str">
        <x:v>Prototyper les règles proposées et exécuter les critères de recette; aucune fiche n’est déclarée intégrée ou validée.</x:v>
      </x:c>
      <x:c r="D40" s="2"/>
      <x:c r="E40" s="2"/>
      <x:c r="F40" s="2"/>
    </x:row>
    <x:row r="41" ht="54" customHeight="1">
      <x:c r="A41" s="6" t="str">
        <x:v>enemies</x:v>
      </x:c>
      <x:c r="B41" s="6" t="str">
        <x:v>1 fiche(s) : Pallin — confrontation de scène</x:v>
      </x:c>
      <x:c r="C41" s="6" t="str">
        <x:v>Prototyper les règles proposées et exécuter les critères de recette; aucune fiche n’est déclarée intégrée ou validée.</x:v>
      </x:c>
      <x:c r="D41" s="2"/>
      <x:c r="E41" s="2"/>
      <x:c r="F41" s="2"/>
    </x:row>
    <x:row r="42" ht="54" customHeight="1">
      <x:c r="A42" s="6" t="str">
        <x:v>main_quests</x:v>
      </x:c>
      <x:c r="B42" s="6" t="str">
        <x:v>3 fiche(s) : Recevoir les accusations — objectif jouable; Lieu d’enquête et confrontation — objectif jouable; Rendre un rapport incertain — objectif jouable</x:v>
      </x:c>
      <x:c r="C42" s="6" t="str">
        <x:v>Prototyper les règles proposées et exécuter les critères de recette; aucune fiche n’est déclarée intégrée ou validée.</x:v>
      </x:c>
      <x:c r="D42" s="2"/>
      <x:c r="E42" s="2"/>
      <x:c r="F42" s="2"/>
    </x:row>
    <x:row r="43" ht="54" customHeight="1">
      <x:c r="A43" s="6" t="str">
        <x:v>side_quests</x:v>
      </x:c>
      <x:c r="B43" s="6" t="str">
        <x:v>3 fiche(s) : Noter une question non résolue; Relever l’emplacement d’un indice; Conserver une note personnelle</x:v>
      </x:c>
      <x:c r="C43" s="6" t="str">
        <x:v>Prototyper les règles proposées et exécuter les critères de recette; aucune fiche n’est déclarée intégrée ou validée.</x:v>
      </x:c>
      <x:c r="D43" s="2"/>
      <x:c r="E43" s="2"/>
      <x:c r="F43" s="2"/>
    </x:row>
    <x:row r="44" ht="54" customHeight="1">
      <x:c r="A44" s="6" t="str">
        <x:v>choices</x:v>
      </x:c>
      <x:c r="B44" s="6" t="str">
        <x:v>3 fiche(s) : Recevoir les accusations — stratégie locale; Lieu d’enquête et confrontation — stratégie locale; Rendre un rapport incertain — stratégie locale</x:v>
      </x:c>
      <x:c r="C44" s="6" t="str">
        <x:v>Prototyper les règles proposées et exécuter les critères de recette; aucune fiche n’est déclarée intégrée ou validée.</x:v>
      </x:c>
      <x:c r="D44" s="2"/>
      <x:c r="E44" s="2"/>
      <x:c r="F44" s="2"/>
    </x:row>
    <x:row r="45" ht="68" customHeight="1">
      <x:c r="A45" s="6" t="str">
        <x:v>dialogues</x:v>
      </x:c>
      <x:c r="B45" s="6" t="str">
        <x:v>3 fiche(s) : Recevoir les accusations — intentions de conversation; Lieu d’enquête et confrontation — intentions de conversation; Rendre un rapport incertain — intentions de conversation</x:v>
      </x:c>
      <x:c r="C45" s="6" t="str">
        <x:v>Prototyper les règles proposées et exécuter les critères de recette; aucune fiche n’est déclarée intégrée ou validée.</x:v>
      </x:c>
      <x:c r="D45" s="2"/>
      <x:c r="E45" s="2"/>
      <x:c r="F45" s="2"/>
    </x:row>
    <x:row r="46" ht="54" customHeight="1">
      <x:c r="A46" s="6" t="str">
        <x:v>cinematics</x:v>
      </x:c>
      <x:c r="B46" s="6" t="str">
        <x:v>3 fiche(s) : Recevoir les accusations — raccord mis en scène; Lieu d’enquête et confrontation — raccord mis en scène; Rendre un rapport incertain — raccord mis en scène</x:v>
      </x:c>
      <x:c r="C46" s="6" t="str">
        <x:v>Prototyper les règles proposées et exécuter les critères de recette; aucune fiche n’est déclarée intégrée ou validée.</x:v>
      </x:c>
      <x:c r="D46" s="2"/>
      <x:c r="E46" s="2"/>
      <x:c r="F46" s="2"/>
    </x:row>
    <x:row r="47" ht="54" customHeight="1">
      <x:c r="A47" s="6" t="str">
        <x:v>weapons</x:v>
      </x:c>
      <x:c r="B47" s="6" t="str">
        <x:v>1 fiche(s) : Arme de service — profil proposé</x:v>
      </x:c>
      <x:c r="C47" s="6" t="str">
        <x:v>Prototyper les règles proposées et exécuter les critères de recette; aucune fiche n’est déclarée intégrée ou validée.</x:v>
      </x:c>
      <x:c r="D47" s="2"/>
      <x:c r="E47" s="2"/>
      <x:c r="F47" s="2"/>
    </x:row>
    <x:row r="48" ht="54" customHeight="1">
      <x:c r="A48" s="6" t="str">
        <x:v>equipment</x:v>
      </x:c>
      <x:c r="B48" s="6" t="str">
        <x:v>1 fiche(s) : Carnet de provenance</x:v>
      </x:c>
      <x:c r="C48" s="6" t="str">
        <x:v>Prototyper les règles proposées et exécuter les critères de recette; aucune fiche n’est déclarée intégrée ou validée.</x:v>
      </x:c>
      <x:c r="D48" s="2"/>
      <x:c r="E48" s="2"/>
      <x:c r="F48" s="2"/>
    </x:row>
    <x:row r="49" ht="54" customHeight="1">
      <x:c r="A49" s="6" t="str">
        <x:v>powers</x:v>
      </x:c>
      <x:c r="B49" s="6" t="str">
        <x:v>1 fiche(s) : Pouvoirs : aucun ajout biotique requis</x:v>
      </x:c>
      <x:c r="C49" s="6" t="str">
        <x:v>Prototyper les règles proposées et exécuter les critères de recette; aucune fiche n’est déclarée intégrée ou validée.</x:v>
      </x:c>
      <x:c r="D49" s="2"/>
      <x:c r="E49" s="2"/>
      <x:c r="F49" s="2"/>
    </x:row>
    <x:row r="50" ht="54" customHeight="1">
      <x:c r="A50" s="6" t="str">
        <x:v>ally_moves</x:v>
      </x:c>
      <x:c r="B50" s="6" t="str">
        <x:v>1 fiche(s) : Prendre du recul</x:v>
      </x:c>
      <x:c r="C50" s="6" t="str">
        <x:v>Prototyper les règles proposées et exécuter les critères de recette; aucune fiche n’est déclarée intégrée ou validée.</x:v>
      </x:c>
      <x:c r="D50" s="2"/>
      <x:c r="E50" s="2"/>
      <x:c r="F50" s="2"/>
    </x:row>
    <x:row r="51" ht="54" customHeight="1">
      <x:c r="A51" s="6" t="str">
        <x:v>enemy_moves</x:v>
      </x:c>
      <x:c r="B51" s="6" t="str">
        <x:v>2 fiche(s) : Mise en joue; Approche brusque</x:v>
      </x:c>
      <x:c r="C51" s="6" t="str">
        <x:v>Prototyper les règles proposées et exécuter les critères de recette; aucune fiche n’est déclarée intégrée ou validée.</x:v>
      </x:c>
      <x:c r="D51" s="2"/>
      <x:c r="E51" s="2"/>
      <x:c r="F51" s="2"/>
    </x:row>
    <x:row r="52" ht="54" customHeight="1">
      <x:c r="A52" s="6" t="str">
        <x:v>animations</x:v>
      </x:c>
      <x:c r="B52" s="6" t="str">
        <x:v>4 fiche(s) : Armando-Owen Bailey — jeu de poses; Donnel Udina — jeu de poses; Exécuteur Venari Pallin — jeu de poses; Enfant de Bailey — interlocuteur distant — jeu de poses</x:v>
      </x:c>
      <x:c r="C52" s="6" t="str">
        <x:v>Produire les assets originaux puis vérifier en situation; ce catalogue ne livre ni image, ni son, ni animation.</x:v>
      </x:c>
      <x:c r="D52" s="2"/>
      <x:c r="E52" s="2"/>
      <x:c r="F52" s="2"/>
    </x:row>
    <x:row r="53" ht="68" customHeight="1">
      <x:c r="A53" s="6" t="str">
        <x:v>sprites</x:v>
      </x:c>
      <x:c r="B53" s="6" t="str">
        <x:v>4 fiche(s) : Armando-Owen Bailey — planche de sprites; Donnel Udina — planche de sprites; Exécuteur Venari Pallin — planche de sprites; Enfant de Bailey — interlocuteur distant — planche de sprites</x:v>
      </x:c>
      <x:c r="C53" s="6" t="str">
        <x:v>Produire les assets originaux puis vérifier en situation; ce catalogue ne livre ni image, ni son, ni animation.</x:v>
      </x:c>
      <x:c r="D53" s="2"/>
      <x:c r="E53" s="2"/>
      <x:c r="F53" s="2"/>
    </x:row>
    <x:row r="54" ht="54" customHeight="1">
      <x:c r="A54" s="6" t="str">
        <x:v>vfx</x:v>
      </x:c>
      <x:c r="B54" s="6" t="str">
        <x:v>3 fiche(s) : Recevoir les accusations — signal visuel; Lieu d’enquête et confrontation — signal visuel; Rendre un rapport incertain — signal visuel</x:v>
      </x:c>
      <x:c r="C54" s="6" t="str">
        <x:v>Produire les assets originaux puis vérifier en situation; ce catalogue ne livre ni image, ni son, ni animation.</x:v>
      </x:c>
      <x:c r="D54" s="2"/>
      <x:c r="E54" s="2"/>
      <x:c r="F54" s="2"/>
    </x:row>
    <x:row r="55" ht="54" customHeight="1">
      <x:c r="A55" s="6" t="str">
        <x:v>audio</x:v>
      </x:c>
      <x:c r="B55" s="6" t="str">
        <x:v>1 fiche(s) : Citadelle — enquête de Bailey — paysage sonore</x:v>
      </x:c>
      <x:c r="C55" s="6" t="str">
        <x:v>Produire les assets originaux puis vérifier en situation; ce catalogue ne livre ni image, ni son, ni animation.</x:v>
      </x:c>
      <x:c r="D55" s="2"/>
      <x:c r="E55" s="2"/>
      <x:c r="F55" s="2"/>
    </x:row>
    <x:row r="56" ht="54" customHeight="1">
      <x:c r="A56" s="6" t="str">
        <x:v>systems</x:v>
      </x:c>
      <x:c r="B56" s="6" t="str">
        <x:v>4 fiche(s) : Journal à deux niveaux; Groupe propre au chapitre; Rythme ATB proposé; Sauvegarde des modules</x:v>
      </x:c>
      <x:c r="C56" s="6" t="str">
        <x:v>Prototyper les règles proposées et exécuter les critères de recette; aucune fiche n’est déclarée intégrée ou validée.</x:v>
      </x:c>
      <x:c r="D56" s="2"/>
      <x:c r="E56" s="2"/>
      <x:c r="F56" s="2"/>
    </x:row>
    <x:row r="57" ht="68" customHeight="1">
      <x:c r="A57" s="6" t="str">
        <x:v>qa</x:v>
      </x:c>
      <x:c r="B57" s="6" t="str">
        <x:v>6 fiche(s) : Recevoir les accusations — contrôle du parcours; Lieu d’enquête et confrontation — contrôle du parcours; Rendre un rapport incertain — contrôle du parcours; Vérification des références</x:v>
      </x:c>
      <x:c r="C57" s="6" t="str">
        <x:v>Prototyper les règles proposées et exécuter les critères de recette; aucune fiche n’est déclarée intégrée ou validée.</x:v>
      </x:c>
      <x:c r="D57" s="2"/>
      <x:c r="E57" s="2"/>
      <x:c r="F57" s="2"/>
    </x:row>
    <x:row r="58" ht="68" customHeight="1">
      <x:c r="A58" s="6" t="str">
        <x:v>continuity</x:v>
      </x:c>
      <x:c r="B58" s="6" t="str">
        <x:v>2 fiche(s) : Position dans l’univers; Contenus non attestés</x:v>
      </x:c>
      <x:c r="C58" s="6" t="str">
        <x:v>Comparer les détails marqués À vérifier à une édition autorisée; les sources éditoriales n’attestent pas chaque détail graphique.</x:v>
      </x:c>
      <x:c r="D58" s="2"/>
      <x:c r="E58" s="2"/>
      <x:c r="F58" s="2"/>
    </x:row>
    <x:row r="59" ht="96" customHeight="1">
      <x:c r="A59" s="6" t="str">
        <x:v>Complément lectures contextualisées</x:v>
      </x:c>
      <x:c r="B59" s="6" t="str">
        <x:v>2 références supplémentaires au stade Prototype dans 1 parcours de lecture (1 pages de paraphrases documentaires sourcées), limités à leurs segments exacts.</x:v>
      </x:c>
      <x:c r="C59" s="6" t="str">
        <x:v>Les faits, références, sources et réserves d’origine sont conservés. Ces lectures ne constituent ni un découpage intégral, ni une scène jouable, ni un recrutement ; modèles, voix et animations de l’œuvre ne sont pas produits.</x:v>
      </x:c>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sheetData>
  <x:pageMargins left="0.7" right="0.7" top="0.75" bottom="0.75" header="0.3" footer="0.3"/>
</x:worksheet>
</file>