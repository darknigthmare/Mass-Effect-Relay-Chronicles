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29d4a8c6e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323635b2f0e43f0"/>
    <x:sheet xmlns:r="http://schemas.openxmlformats.org/officeDocument/2006/relationships" name="Personnages" sheetId="2" r:id="R92c282aeeca34776"/>
    <x:sheet xmlns:r="http://schemas.openxmlformats.org/officeDocument/2006/relationships" name="PNJ" sheetId="3" r:id="R5480314dde464fbc"/>
    <x:sheet xmlns:r="http://schemas.openxmlformats.org/officeDocument/2006/relationships" name="Especes_factions" sheetId="4" r:id="R2007d8d5d1674954"/>
    <x:sheet xmlns:r="http://schemas.openxmlformats.org/officeDocument/2006/relationships" name="Mondes" sheetId="5" r:id="Rf8b247040b06475e"/>
    <x:sheet xmlns:r="http://schemas.openxmlformats.org/officeDocument/2006/relationships" name="Zones" sheetId="6" r:id="R498713b9e49c4db1"/>
    <x:sheet xmlns:r="http://schemas.openxmlformats.org/officeDocument/2006/relationships" name="Liaisons" sheetId="7" r:id="R865452f0bc1b40ad"/>
    <x:sheet xmlns:r="http://schemas.openxmlformats.org/officeDocument/2006/relationships" name="Decors" sheetId="8" r:id="Re5de69e1f5834b5f"/>
    <x:sheet xmlns:r="http://schemas.openxmlformats.org/officeDocument/2006/relationships" name="Props" sheetId="9" r:id="R1ee53f676a854b90"/>
    <x:sheet xmlns:r="http://schemas.openxmlformats.org/officeDocument/2006/relationships" name="Ennemis_boss" sheetId="10" r:id="R05b488e46cce426e"/>
    <x:sheet xmlns:r="http://schemas.openxmlformats.org/officeDocument/2006/relationships" name="Missions" sheetId="11" r:id="Rde2ebcaf2b6a41bf"/>
    <x:sheet xmlns:r="http://schemas.openxmlformats.org/officeDocument/2006/relationships" name="Secondaires_DLC" sheetId="12" r:id="Rb429db9e3324402c"/>
    <x:sheet xmlns:r="http://schemas.openxmlformats.org/officeDocument/2006/relationships" name="Choix_relations" sheetId="13" r:id="R3d7c52828d844d19"/>
    <x:sheet xmlns:r="http://schemas.openxmlformats.org/officeDocument/2006/relationships" name="Dialogues" sheetId="14" r:id="Rbc3b63023c304cec"/>
    <x:sheet xmlns:r="http://schemas.openxmlformats.org/officeDocument/2006/relationships" name="Cinematiques" sheetId="15" r:id="Re6ea022d393a4f6e"/>
    <x:sheet xmlns:r="http://schemas.openxmlformats.org/officeDocument/2006/relationships" name="Armes" sheetId="16" r:id="Rcab8a5370a904310"/>
    <x:sheet xmlns:r="http://schemas.openxmlformats.org/officeDocument/2006/relationships" name="Armures_equipement" sheetId="17" r:id="Rce101e5811414e29"/>
    <x:sheet xmlns:r="http://schemas.openxmlformats.org/officeDocument/2006/relationships" name="Pouvoirs" sheetId="18" r:id="Rd314c379bfd44b9f"/>
    <x:sheet xmlns:r="http://schemas.openxmlformats.org/officeDocument/2006/relationships" name="Movesets_allies" sheetId="19" r:id="R0986fbb09eee444f"/>
    <x:sheet xmlns:r="http://schemas.openxmlformats.org/officeDocument/2006/relationships" name="Movesets_ennemis" sheetId="20" r:id="Ra98403413ffa411f"/>
    <x:sheet xmlns:r="http://schemas.openxmlformats.org/officeDocument/2006/relationships" name="Animations" sheetId="21" r:id="R8b2c3725bdda415b"/>
    <x:sheet xmlns:r="http://schemas.openxmlformats.org/officeDocument/2006/relationships" name="Sprites" sheetId="22" r:id="Rc74ebbf6b1eb4dba"/>
    <x:sheet xmlns:r="http://schemas.openxmlformats.org/officeDocument/2006/relationships" name="VFX" sheetId="23" r:id="R9f1b2b0346ff4e65"/>
    <x:sheet xmlns:r="http://schemas.openxmlformats.org/officeDocument/2006/relationships" name="Audio" sheetId="24" r:id="R126f1c7984324adc"/>
    <x:sheet xmlns:r="http://schemas.openxmlformats.org/officeDocument/2006/relationships" name="UI_systemes" sheetId="25" r:id="R0fba732a399c41be"/>
    <x:sheet xmlns:r="http://schemas.openxmlformats.org/officeDocument/2006/relationships" name="QA" sheetId="26" r:id="Re0f4b2f62d4b4afb"/>
    <x:sheet xmlns:r="http://schemas.openxmlformats.org/officeDocument/2006/relationships" name="Continuite" sheetId="27" r:id="R86d0f2ae8f9a4c3d"/>
    <x:sheet xmlns:r="http://schemas.openxmlformats.org/officeDocument/2006/relationships" name="Guide" sheetId="28" r:id="R01d977108d98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ddb1766554cc8" /><Relationship Type="http://schemas.openxmlformats.org/officeDocument/2006/relationships/theme" Target="/xl/theme/theme1.xml" Id="R59ec2a261f804525" /><Relationship Type="http://schemas.openxmlformats.org/officeDocument/2006/relationships/sharedStrings" Target="/xl/sharedStrings.xml" Id="R70c4c671d51e4ad5" /><Relationship Type="http://schemas.openxmlformats.org/officeDocument/2006/relationships/worksheet" Target="/xl/worksheets/sheet1.xml" Id="Rd323635b2f0e43f0" /><Relationship Type="http://schemas.openxmlformats.org/officeDocument/2006/relationships/worksheet" Target="/xl/worksheets/sheet2.xml" Id="R92c282aeeca34776" /><Relationship Type="http://schemas.openxmlformats.org/officeDocument/2006/relationships/worksheet" Target="/xl/worksheets/sheet3.xml" Id="R5480314dde464fbc" /><Relationship Type="http://schemas.openxmlformats.org/officeDocument/2006/relationships/worksheet" Target="/xl/worksheets/sheet4.xml" Id="R2007d8d5d1674954" /><Relationship Type="http://schemas.openxmlformats.org/officeDocument/2006/relationships/worksheet" Target="/xl/worksheets/sheet5.xml" Id="Rf8b247040b06475e" /><Relationship Type="http://schemas.openxmlformats.org/officeDocument/2006/relationships/worksheet" Target="/xl/worksheets/sheet6.xml" Id="R498713b9e49c4db1" /><Relationship Type="http://schemas.openxmlformats.org/officeDocument/2006/relationships/worksheet" Target="/xl/worksheets/sheet7.xml" Id="R865452f0bc1b40ad" /><Relationship Type="http://schemas.openxmlformats.org/officeDocument/2006/relationships/worksheet" Target="/xl/worksheets/sheet8.xml" Id="Re5de69e1f5834b5f" /><Relationship Type="http://schemas.openxmlformats.org/officeDocument/2006/relationships/worksheet" Target="/xl/worksheets/sheet9.xml" Id="R1ee53f676a854b90" /><Relationship Type="http://schemas.openxmlformats.org/officeDocument/2006/relationships/worksheet" Target="/xl/worksheets/sheet10.xml" Id="R05b488e46cce426e" /><Relationship Type="http://schemas.openxmlformats.org/officeDocument/2006/relationships/worksheet" Target="/xl/worksheets/sheet11.xml" Id="Rde2ebcaf2b6a41bf" /><Relationship Type="http://schemas.openxmlformats.org/officeDocument/2006/relationships/worksheet" Target="/xl/worksheets/sheet12.xml" Id="Rb429db9e3324402c" /><Relationship Type="http://schemas.openxmlformats.org/officeDocument/2006/relationships/worksheet" Target="/xl/worksheets/sheet13.xml" Id="R3d7c52828d844d19" /><Relationship Type="http://schemas.openxmlformats.org/officeDocument/2006/relationships/worksheet" Target="/xl/worksheets/sheet14.xml" Id="Rbc3b63023c304cec" /><Relationship Type="http://schemas.openxmlformats.org/officeDocument/2006/relationships/worksheet" Target="/xl/worksheets/sheet15.xml" Id="Re6ea022d393a4f6e" /><Relationship Type="http://schemas.openxmlformats.org/officeDocument/2006/relationships/worksheet" Target="/xl/worksheets/sheet16.xml" Id="Rcab8a5370a904310" /><Relationship Type="http://schemas.openxmlformats.org/officeDocument/2006/relationships/worksheet" Target="/xl/worksheets/sheet17.xml" Id="Rce101e5811414e29" /><Relationship Type="http://schemas.openxmlformats.org/officeDocument/2006/relationships/worksheet" Target="/xl/worksheets/sheet18.xml" Id="Rd314c379bfd44b9f" /><Relationship Type="http://schemas.openxmlformats.org/officeDocument/2006/relationships/worksheet" Target="/xl/worksheets/sheet19.xml" Id="R0986fbb09eee444f" /><Relationship Type="http://schemas.openxmlformats.org/officeDocument/2006/relationships/worksheet" Target="/xl/worksheets/sheet20.xml" Id="Ra98403413ffa411f" /><Relationship Type="http://schemas.openxmlformats.org/officeDocument/2006/relationships/worksheet" Target="/xl/worksheets/sheet21.xml" Id="R8b2c3725bdda415b" /><Relationship Type="http://schemas.openxmlformats.org/officeDocument/2006/relationships/worksheet" Target="/xl/worksheets/sheet22.xml" Id="Rc74ebbf6b1eb4dba" /><Relationship Type="http://schemas.openxmlformats.org/officeDocument/2006/relationships/worksheet" Target="/xl/worksheets/sheet23.xml" Id="R9f1b2b0346ff4e65" /><Relationship Type="http://schemas.openxmlformats.org/officeDocument/2006/relationships/worksheet" Target="/xl/worksheets/sheet24.xml" Id="R126f1c7984324adc" /><Relationship Type="http://schemas.openxmlformats.org/officeDocument/2006/relationships/worksheet" Target="/xl/worksheets/sheet25.xml" Id="R0fba732a399c41be" /><Relationship Type="http://schemas.openxmlformats.org/officeDocument/2006/relationships/worksheet" Target="/xl/worksheets/sheet26.xml" Id="Re0f4b2f62d4b4afb" /><Relationship Type="http://schemas.openxmlformats.org/officeDocument/2006/relationships/worksheet" Target="/xl/worksheets/sheet27.xml" Id="R86d0f2ae8f9a4c3d" /><Relationship Type="http://schemas.openxmlformats.org/officeDocument/2006/relationships/worksheet" Target="/xl/worksheets/sheet28.xml" Id="R01d977108d984470" /></Relationships>
</file>

<file path=xl/tables/table1.xml><?xml version="1.0" encoding="utf-8"?>
<x:table xmlns:x="http://schemas.openxmlformats.org/spreadsheetml/2006/main" id="1" name="ME4_characters" displayName="ME4_character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4_npcs" displayName="ME4_npcs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4_lore" displayName="ME4_lore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4_worlds" displayName="ME4_world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4_zones" displayName="ME4_zone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4_links" displayName="ME4_link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4_scenery" displayName="ME4_scenery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4_props" displayName="ME4_prop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4_enemies" displayName="ME4_enemies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4_main_quests" displayName="ME4_main_quests" ref="A6:S17" headerRowCount="1" totalsRowCount="0" totalsRowShown="0">
  <x:autoFilter ref="A6:S1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E4_side_quests" displayName="ME4_side_quests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E4_choices" displayName="ME4_choic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4_dialogues" displayName="ME4_dialogu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E4_cinematics" displayName="ME4_cinematic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E4_weapons" displayName="ME4_weapon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E4_equipment" displayName="ME4_equipment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E4_powers" displayName="ME4_power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E4_ally_moves" displayName="ME4_ally_move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ME4_enemy_moves" displayName="ME4_enemy_moves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ME4_animations" displayName="ME4_animation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ME4_sprites" displayName="ME4_sprites" ref="A6:S24" headerRowCount="1" totalsRowCount="0" totalsRowShown="0">
  <x:autoFilter ref="A6:S2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ME4_vfx" displayName="ME4_vfx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ME4_audio" displayName="ME4_audio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ME4_systems" displayName="ME4_systems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ME4_qa" displayName="ME4_qa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ME4_continuity" displayName="ME4_continuity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920cb9553048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05c6dc6d3b43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f43d9ed50f43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0b967b366348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e0170c66264a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7dcd0004664b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1396b5a7d849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98704391b84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ffa0caae44644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fec1318e7f54f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5bfe5db383b49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724b1267efd493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b520028fafb94a1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44a2130b66e4cc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26a5cecf315422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6faa9491f004b9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424d7006dc2d4e0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72d6e26e97744a5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10947484f0ae4cc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a130885c9584bc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bb674ffdf43451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d72b4a1c1ba2480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80519dbaed924e7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7994baf5476b431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36c8b4bb28684a2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71aea6034f8e4895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 4 : extrapolation du projet annulé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3" t="n">
        <x:f>SUM(B10:B35)</x:f>
        <x:v>145</x:v>
      </x:c>
      <x:c r="C5" s="2"/>
      <x:c r="D5" s="2" t="str">
        <x:v>Intégrés</x:v>
      </x:c>
      <x:c r="E5" s="33" t="n">
        <x:f>SUM(E10:F35)</x:f>
        <x:v>0</x:v>
      </x:c>
      <x:c r="F5" s="2"/>
      <x:c r="G5" s="2" t="str">
        <x:v>À vérifier</x:v>
      </x:c>
      <x:c r="H5" s="33" t="n">
        <x:f>SUM(H10:H35)</x:f>
        <x:v>2</x:v>
      </x:c>
      <x:c r="I5" s="2"/>
      <x:c r="J5" s="2" t="str">
        <x:v>Extrapolations</x:v>
      </x:c>
      <x:c r="K5" s="33" t="n">
        <x:f>SUM(I10:I35)</x:f>
        <x:v>139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4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30" t="str">
        <x:v>Domaine</x:v>
      </x:c>
      <x:c r="B9" s="31" t="str">
        <x:v>Total</x:v>
      </x:c>
      <x:c r="C9" s="31" t="str">
        <x:v>Défini</x:v>
      </x:c>
      <x:c r="D9" s="31" t="str">
        <x:v>Prototype</x:v>
      </x:c>
      <x:c r="E9" s="31" t="str">
        <x:v>Intégré</x:v>
      </x:c>
      <x:c r="F9" s="31" t="str">
        <x:v>Validé</x:v>
      </x:c>
      <x:c r="G9" s="31" t="str">
        <x:v>Établi</x:v>
      </x:c>
      <x:c r="H9" s="31" t="str">
        <x:v>À vérifier</x:v>
      </x:c>
      <x:c r="I9" s="31" t="str">
        <x:v>Extrapolation</x:v>
      </x:c>
      <x:c r="J9" s="31" t="str">
        <x:v>Coupé attesté</x:v>
      </x:c>
      <x:c r="K9" s="31" t="str">
        <x:v>Concept abandonné</x:v>
      </x:c>
      <x:c r="L9" s="31" t="str">
        <x:v>Allégation écartée</x:v>
      </x:c>
      <x:c r="M9" s="32" t="str">
        <x:v>Priorité P0</x:v>
      </x:c>
    </x:row>
    <x:row r="10" ht="22" customHeight="1">
      <x:c r="A10" s="35" t="str">
        <x:v>Personnages</x:v>
      </x:c>
      <x:c r="B10" s="39" t="n">
        <x:f>COUNTA('Personnages'!$A$7:$A$12)</x:f>
        <x:v>6</x:v>
      </x:c>
      <x:c r="C10" s="39" t="n">
        <x:f>COUNTIFS('Personnages'!$C$7:$C$12,"Défini")</x:f>
        <x:v>6</x:v>
      </x:c>
      <x:c r="D10" s="39" t="n">
        <x:f>COUNTIFS('Personnages'!$C$7:$C$12,"Prototype")</x:f>
        <x:v>0</x:v>
      </x:c>
      <x:c r="E10" s="39" t="n">
        <x:f>COUNTIFS('Personnages'!$C$7:$C$12,"Intégré")</x:f>
        <x:v>0</x:v>
      </x:c>
      <x:c r="F10" s="39" t="n">
        <x:f>COUNTIFS('Personnages'!$C$7:$C$12,"Validé")</x:f>
        <x:v>0</x:v>
      </x:c>
      <x:c r="G10" s="39" t="n">
        <x:f>COUNTIFS('Personnages'!$D$7:$D$12,"Établi")</x:f>
        <x:v>0</x:v>
      </x:c>
      <x:c r="H10" s="39" t="n">
        <x:f>COUNTIFS('Personnages'!$D$7:$D$12,"À vérifier")</x:f>
        <x:v>0</x:v>
      </x:c>
      <x:c r="I10" s="39" t="n">
        <x:f>COUNTIFS('Personnages'!$D$7:$D$12,"Extrapolation")</x:f>
        <x:v>6</x:v>
      </x:c>
      <x:c r="J10" s="39" t="n">
        <x:f>COUNTIFS('Personnages'!$D$7:$D$12,"Coupé attesté")</x:f>
        <x:v>0</x:v>
      </x:c>
      <x:c r="K10" s="39" t="n">
        <x:f>COUNTIFS('Personnages'!$D$7:$D$12,"Concept abandonné")</x:f>
        <x:v>0</x:v>
      </x:c>
      <x:c r="L10" s="39" t="n">
        <x:f>COUNTIFS('Personnages'!$D$7:$D$12,"Allégation écartée")</x:f>
        <x:v>0</x:v>
      </x:c>
      <x:c r="M10" s="39" t="n">
        <x:f>COUNTIFS('Personnages'!$E$7:$E$12,"P0")</x:f>
        <x:v>0</x:v>
      </x:c>
    </x:row>
    <x:row r="11" ht="22" customHeight="1">
      <x:c r="A11" s="2" t="str">
        <x:v>PNJ</x:v>
      </x:c>
      <x:c r="B11" s="40" t="n">
        <x:f>COUNTA('PNJ'!$A$7:$A$11)</x:f>
        <x:v>5</x:v>
      </x:c>
      <x:c r="C11" s="40" t="n">
        <x:f>COUNTIFS('PNJ'!$C$7:$C$11,"Défini")</x:f>
        <x:v>5</x:v>
      </x:c>
      <x:c r="D11" s="40" t="n">
        <x:f>COUNTIFS('PNJ'!$C$7:$C$11,"Prototype")</x:f>
        <x:v>0</x:v>
      </x:c>
      <x:c r="E11" s="40" t="n">
        <x:f>COUNTIFS('PNJ'!$C$7:$C$11,"Intégré")</x:f>
        <x:v>0</x:v>
      </x:c>
      <x:c r="F11" s="40" t="n">
        <x:f>COUNTIFS('PNJ'!$C$7:$C$11,"Validé")</x:f>
        <x:v>0</x:v>
      </x:c>
      <x:c r="G11" s="40" t="n">
        <x:f>COUNTIFS('PNJ'!$D$7:$D$11,"Établi")</x:f>
        <x:v>0</x:v>
      </x:c>
      <x:c r="H11" s="40" t="n">
        <x:f>COUNTIFS('PNJ'!$D$7:$D$11,"À vérifier")</x:f>
        <x:v>0</x:v>
      </x:c>
      <x:c r="I11" s="40" t="n">
        <x:f>COUNTIFS('PNJ'!$D$7:$D$11,"Extrapolation")</x:f>
        <x:v>5</x:v>
      </x:c>
      <x:c r="J11" s="40" t="n">
        <x:f>COUNTIFS('PNJ'!$D$7:$D$11,"Coupé attesté")</x:f>
        <x:v>0</x:v>
      </x:c>
      <x:c r="K11" s="40" t="n">
        <x:f>COUNTIFS('PNJ'!$D$7:$D$11,"Concept abandonné")</x:f>
        <x:v>0</x:v>
      </x:c>
      <x:c r="L11" s="40" t="n">
        <x:f>COUNTIFS('PNJ'!$D$7:$D$11,"Allégation écartée")</x:f>
        <x:v>0</x:v>
      </x:c>
      <x:c r="M11" s="40" t="n">
        <x:f>COUNTIFS('PNJ'!$E$7:$E$11,"P0")</x:f>
        <x:v>0</x:v>
      </x:c>
    </x:row>
    <x:row r="12" ht="22" customHeight="1">
      <x:c r="A12" s="35" t="str">
        <x:v>Espèces et factions</x:v>
      </x:c>
      <x:c r="B12" s="39" t="n">
        <x:f>COUNTA('Especes_factions'!$A$7:$A$10)</x:f>
        <x:v>4</x:v>
      </x:c>
      <x:c r="C12" s="39" t="n">
        <x:f>COUNTIFS('Especes_factions'!$C$7:$C$10,"Défini")</x:f>
        <x:v>4</x:v>
      </x:c>
      <x:c r="D12" s="39" t="n">
        <x:f>COUNTIFS('Especes_factions'!$C$7:$C$10,"Prototype")</x:f>
        <x:v>0</x:v>
      </x:c>
      <x:c r="E12" s="39" t="n">
        <x:f>COUNTIFS('Especes_factions'!$C$7:$C$10,"Intégré")</x:f>
        <x:v>0</x:v>
      </x:c>
      <x:c r="F12" s="39" t="n">
        <x:f>COUNTIFS('Especes_factions'!$C$7:$C$10,"Validé")</x:f>
        <x:v>0</x:v>
      </x:c>
      <x:c r="G12" s="39" t="n">
        <x:f>COUNTIFS('Especes_factions'!$D$7:$D$10,"Établi")</x:f>
        <x:v>0</x:v>
      </x:c>
      <x:c r="H12" s="39" t="n">
        <x:f>COUNTIFS('Especes_factions'!$D$7:$D$10,"À vérifier")</x:f>
        <x:v>0</x:v>
      </x:c>
      <x:c r="I12" s="39" t="n">
        <x:f>COUNTIFS('Especes_factions'!$D$7:$D$10,"Extrapolation")</x:f>
        <x:v>4</x:v>
      </x:c>
      <x:c r="J12" s="39" t="n">
        <x:f>COUNTIFS('Especes_factions'!$D$7:$D$10,"Coupé attesté")</x:f>
        <x:v>0</x:v>
      </x:c>
      <x:c r="K12" s="39" t="n">
        <x:f>COUNTIFS('Especes_factions'!$D$7:$D$10,"Concept abandonné")</x:f>
        <x:v>0</x:v>
      </x:c>
      <x:c r="L12" s="39" t="n">
        <x:f>COUNTIFS('Especes_factions'!$D$7:$D$10,"Allégation écartée")</x:f>
        <x:v>0</x:v>
      </x:c>
      <x:c r="M12" s="39" t="n">
        <x:f>COUNTIFS('Especes_factions'!$E$7:$E$10,"P0")</x:f>
        <x:v>0</x:v>
      </x:c>
    </x:row>
    <x:row r="13" ht="22" customHeight="1">
      <x:c r="A13" s="2" t="str">
        <x:v>Mondes</x:v>
      </x:c>
      <x:c r="B13" s="40" t="n">
        <x:f>COUNTA('Mondes'!$A$7:$A$12)</x:f>
        <x:v>6</x:v>
      </x:c>
      <x:c r="C13" s="40" t="n">
        <x:f>COUNTIFS('Mondes'!$C$7:$C$12,"Défini")</x:f>
        <x:v>6</x:v>
      </x:c>
      <x:c r="D13" s="40" t="n">
        <x:f>COUNTIFS('Mondes'!$C$7:$C$12,"Prototype")</x:f>
        <x:v>0</x:v>
      </x:c>
      <x:c r="E13" s="40" t="n">
        <x:f>COUNTIFS('Mondes'!$C$7:$C$12,"Intégré")</x:f>
        <x:v>0</x:v>
      </x:c>
      <x:c r="F13" s="40" t="n">
        <x:f>COUNTIFS('Mondes'!$C$7:$C$12,"Validé")</x:f>
        <x:v>0</x:v>
      </x:c>
      <x:c r="G13" s="40" t="n">
        <x:f>COUNTIFS('Mondes'!$D$7:$D$12,"Établi")</x:f>
        <x:v>0</x:v>
      </x:c>
      <x:c r="H13" s="40" t="n">
        <x:f>COUNTIFS('Mondes'!$D$7:$D$12,"À vérifier")</x:f>
        <x:v>0</x:v>
      </x:c>
      <x:c r="I13" s="40" t="n">
        <x:f>COUNTIFS('Mondes'!$D$7:$D$12,"Extrapolation")</x:f>
        <x:v>6</x:v>
      </x:c>
      <x:c r="J13" s="40" t="n">
        <x:f>COUNTIFS('Mondes'!$D$7:$D$12,"Coupé attesté")</x:f>
        <x:v>0</x:v>
      </x:c>
      <x:c r="K13" s="40" t="n">
        <x:f>COUNTIFS('Mondes'!$D$7:$D$12,"Concept abandonné")</x:f>
        <x:v>0</x:v>
      </x:c>
      <x:c r="L13" s="40" t="n">
        <x:f>COUNTIFS('Mondes'!$D$7:$D$12,"Allégation écartée")</x:f>
        <x:v>0</x:v>
      </x:c>
      <x:c r="M13" s="40" t="n">
        <x:f>COUNTIFS('Mondes'!$E$7:$E$12,"P0")</x:f>
        <x:v>0</x:v>
      </x:c>
    </x:row>
    <x:row r="14" ht="22" customHeight="1">
      <x:c r="A14" s="35" t="str">
        <x:v>Zones</x:v>
      </x:c>
      <x:c r="B14" s="39" t="n">
        <x:f>COUNTA('Zones'!$A$7:$A$12)</x:f>
        <x:v>6</x:v>
      </x:c>
      <x:c r="C14" s="39" t="n">
        <x:f>COUNTIFS('Zones'!$C$7:$C$12,"Défini")</x:f>
        <x:v>6</x:v>
      </x:c>
      <x:c r="D14" s="39" t="n">
        <x:f>COUNTIFS('Zones'!$C$7:$C$12,"Prototype")</x:f>
        <x:v>0</x:v>
      </x:c>
      <x:c r="E14" s="39" t="n">
        <x:f>COUNTIFS('Zones'!$C$7:$C$12,"Intégré")</x:f>
        <x:v>0</x:v>
      </x:c>
      <x:c r="F14" s="39" t="n">
        <x:f>COUNTIFS('Zones'!$C$7:$C$12,"Validé")</x:f>
        <x:v>0</x:v>
      </x:c>
      <x:c r="G14" s="39" t="n">
        <x:f>COUNTIFS('Zones'!$D$7:$D$12,"Établi")</x:f>
        <x:v>0</x:v>
      </x:c>
      <x:c r="H14" s="39" t="n">
        <x:f>COUNTIFS('Zones'!$D$7:$D$12,"À vérifier")</x:f>
        <x:v>0</x:v>
      </x:c>
      <x:c r="I14" s="39" t="n">
        <x:f>COUNTIFS('Zones'!$D$7:$D$12,"Extrapolation")</x:f>
        <x:v>6</x:v>
      </x:c>
      <x:c r="J14" s="39" t="n">
        <x:f>COUNTIFS('Zones'!$D$7:$D$12,"Coupé attesté")</x:f>
        <x:v>0</x:v>
      </x:c>
      <x:c r="K14" s="39" t="n">
        <x:f>COUNTIFS('Zones'!$D$7:$D$12,"Concept abandonné")</x:f>
        <x:v>0</x:v>
      </x:c>
      <x:c r="L14" s="39" t="n">
        <x:f>COUNTIFS('Zones'!$D$7:$D$12,"Allégation écartée")</x:f>
        <x:v>0</x:v>
      </x:c>
      <x:c r="M14" s="39" t="n">
        <x:f>COUNTIFS('Zones'!$E$7:$E$12,"P0")</x:f>
        <x:v>0</x:v>
      </x:c>
    </x:row>
    <x:row r="15" ht="22" customHeight="1">
      <x:c r="A15" s="2" t="str">
        <x:v>Liaisons</x:v>
      </x:c>
      <x:c r="B15" s="40" t="n">
        <x:f>COUNTA('Liaisons'!$A$7:$A$9)</x:f>
        <x:v>3</x:v>
      </x:c>
      <x:c r="C15" s="40" t="n">
        <x:f>COUNTIFS('Liaisons'!$C$7:$C$9,"Défini")</x:f>
        <x:v>3</x:v>
      </x:c>
      <x:c r="D15" s="40" t="n">
        <x:f>COUNTIFS('Liaisons'!$C$7:$C$9,"Prototype")</x:f>
        <x:v>0</x:v>
      </x:c>
      <x:c r="E15" s="40" t="n">
        <x:f>COUNTIFS('Liaisons'!$C$7:$C$9,"Intégré")</x:f>
        <x:v>0</x:v>
      </x:c>
      <x:c r="F15" s="40" t="n">
        <x:f>COUNTIFS('Liaisons'!$C$7:$C$9,"Validé")</x:f>
        <x:v>0</x:v>
      </x:c>
      <x:c r="G15" s="40" t="n">
        <x:f>COUNTIFS('Liaisons'!$D$7:$D$9,"Établi")</x:f>
        <x:v>0</x:v>
      </x:c>
      <x:c r="H15" s="40" t="n">
        <x:f>COUNTIFS('Liaisons'!$D$7:$D$9,"À vérifier")</x:f>
        <x:v>0</x:v>
      </x:c>
      <x:c r="I15" s="40" t="n">
        <x:f>COUNTIFS('Liaisons'!$D$7:$D$9,"Extrapolation")</x:f>
        <x:v>3</x:v>
      </x:c>
      <x:c r="J15" s="40" t="n">
        <x:f>COUNTIFS('Liaisons'!$D$7:$D$9,"Coupé attesté")</x:f>
        <x:v>0</x:v>
      </x:c>
      <x:c r="K15" s="40" t="n">
        <x:f>COUNTIFS('Liaisons'!$D$7:$D$9,"Concept abandonné")</x:f>
        <x:v>0</x:v>
      </x:c>
      <x:c r="L15" s="40" t="n">
        <x:f>COUNTIFS('Liaisons'!$D$7:$D$9,"Allégation écartée")</x:f>
        <x:v>0</x:v>
      </x:c>
      <x:c r="M15" s="40" t="n">
        <x:f>COUNTIFS('Liaisons'!$E$7:$E$9,"P0")</x:f>
        <x:v>0</x:v>
      </x:c>
    </x:row>
    <x:row r="16" ht="22" customHeight="1">
      <x:c r="A16" s="35" t="str">
        <x:v>Décors</x:v>
      </x:c>
      <x:c r="B16" s="39" t="n">
        <x:f>COUNTA('Decors'!$A$7:$A$12)</x:f>
        <x:v>6</x:v>
      </x:c>
      <x:c r="C16" s="39" t="n">
        <x:f>COUNTIFS('Decors'!$C$7:$C$12,"Défini")</x:f>
        <x:v>6</x:v>
      </x:c>
      <x:c r="D16" s="39" t="n">
        <x:f>COUNTIFS('Decors'!$C$7:$C$12,"Prototype")</x:f>
        <x:v>0</x:v>
      </x:c>
      <x:c r="E16" s="39" t="n">
        <x:f>COUNTIFS('Decors'!$C$7:$C$12,"Intégré")</x:f>
        <x:v>0</x:v>
      </x:c>
      <x:c r="F16" s="39" t="n">
        <x:f>COUNTIFS('Decors'!$C$7:$C$12,"Validé")</x:f>
        <x:v>0</x:v>
      </x:c>
      <x:c r="G16" s="39" t="n">
        <x:f>COUNTIFS('Decors'!$D$7:$D$12,"Établi")</x:f>
        <x:v>0</x:v>
      </x:c>
      <x:c r="H16" s="39" t="n">
        <x:f>COUNTIFS('Decors'!$D$7:$D$12,"À vérifier")</x:f>
        <x:v>0</x:v>
      </x:c>
      <x:c r="I16" s="39" t="n">
        <x:f>COUNTIFS('Decors'!$D$7:$D$12,"Extrapolation")</x:f>
        <x:v>6</x:v>
      </x:c>
      <x:c r="J16" s="39" t="n">
        <x:f>COUNTIFS('Decors'!$D$7:$D$12,"Coupé attesté")</x:f>
        <x:v>0</x:v>
      </x:c>
      <x:c r="K16" s="39" t="n">
        <x:f>COUNTIFS('Decors'!$D$7:$D$12,"Concept abandonné")</x:f>
        <x:v>0</x:v>
      </x:c>
      <x:c r="L16" s="39" t="n">
        <x:f>COUNTIFS('Decors'!$D$7:$D$12,"Allégation écartée")</x:f>
        <x:v>0</x:v>
      </x:c>
      <x:c r="M16" s="39" t="n">
        <x:f>COUNTIFS('Decors'!$E$7:$E$12,"P0")</x:f>
        <x:v>0</x:v>
      </x:c>
    </x:row>
    <x:row r="17" ht="22" customHeight="1">
      <x:c r="A17" s="2" t="str">
        <x:v>Props</x:v>
      </x:c>
      <x:c r="B17" s="40" t="n">
        <x:f>COUNTA('Props'!$A$7:$A$10)</x:f>
        <x:v>4</x:v>
      </x:c>
      <x:c r="C17" s="40" t="n">
        <x:f>COUNTIFS('Props'!$C$7:$C$10,"Défini")</x:f>
        <x:v>4</x:v>
      </x:c>
      <x:c r="D17" s="40" t="n">
        <x:f>COUNTIFS('Props'!$C$7:$C$10,"Prototype")</x:f>
        <x:v>0</x:v>
      </x:c>
      <x:c r="E17" s="40" t="n">
        <x:f>COUNTIFS('Props'!$C$7:$C$10,"Intégré")</x:f>
        <x:v>0</x:v>
      </x:c>
      <x:c r="F17" s="40" t="n">
        <x:f>COUNTIFS('Props'!$C$7:$C$10,"Validé")</x:f>
        <x:v>0</x:v>
      </x:c>
      <x:c r="G17" s="40" t="n">
        <x:f>COUNTIFS('Props'!$D$7:$D$10,"Établi")</x:f>
        <x:v>0</x:v>
      </x:c>
      <x:c r="H17" s="40" t="n">
        <x:f>COUNTIFS('Props'!$D$7:$D$10,"À vérifier")</x:f>
        <x:v>0</x:v>
      </x:c>
      <x:c r="I17" s="40" t="n">
        <x:f>COUNTIFS('Props'!$D$7:$D$10,"Extrapolation")</x:f>
        <x:v>4</x:v>
      </x:c>
      <x:c r="J17" s="40" t="n">
        <x:f>COUNTIFS('Props'!$D$7:$D$10,"Coupé attesté")</x:f>
        <x:v>0</x:v>
      </x:c>
      <x:c r="K17" s="40" t="n">
        <x:f>COUNTIFS('Props'!$D$7:$D$10,"Concept abandonné")</x:f>
        <x:v>0</x:v>
      </x:c>
      <x:c r="L17" s="40" t="n">
        <x:f>COUNTIFS('Props'!$D$7:$D$10,"Allégation écartée")</x:f>
        <x:v>0</x:v>
      </x:c>
      <x:c r="M17" s="40" t="n">
        <x:f>COUNTIFS('Props'!$E$7:$E$10,"P0")</x:f>
        <x:v>0</x:v>
      </x:c>
    </x:row>
    <x:row r="18" ht="22" customHeight="1">
      <x:c r="A18" s="35" t="str">
        <x:v>Ennemis et boss</x:v>
      </x:c>
      <x:c r="B18" s="39" t="n">
        <x:f>COUNTA('Ennemis_boss'!$A$7:$A$13)</x:f>
        <x:v>7</x:v>
      </x:c>
      <x:c r="C18" s="39" t="n">
        <x:f>COUNTIFS('Ennemis_boss'!$C$7:$C$13,"Défini")</x:f>
        <x:v>7</x:v>
      </x:c>
      <x:c r="D18" s="39" t="n">
        <x:f>COUNTIFS('Ennemis_boss'!$C$7:$C$13,"Prototype")</x:f>
        <x:v>0</x:v>
      </x:c>
      <x:c r="E18" s="39" t="n">
        <x:f>COUNTIFS('Ennemis_boss'!$C$7:$C$13,"Intégré")</x:f>
        <x:v>0</x:v>
      </x:c>
      <x:c r="F18" s="39" t="n">
        <x:f>COUNTIFS('Ennemis_boss'!$C$7:$C$13,"Validé")</x:f>
        <x:v>0</x:v>
      </x:c>
      <x:c r="G18" s="39" t="n">
        <x:f>COUNTIFS('Ennemis_boss'!$D$7:$D$13,"Établi")</x:f>
        <x:v>0</x:v>
      </x:c>
      <x:c r="H18" s="39" t="n">
        <x:f>COUNTIFS('Ennemis_boss'!$D$7:$D$13,"À vérifier")</x:f>
        <x:v>0</x:v>
      </x:c>
      <x:c r="I18" s="39" t="n">
        <x:f>COUNTIFS('Ennemis_boss'!$D$7:$D$13,"Extrapolation")</x:f>
        <x:v>7</x:v>
      </x:c>
      <x:c r="J18" s="39" t="n">
        <x:f>COUNTIFS('Ennemis_boss'!$D$7:$D$13,"Coupé attesté")</x:f>
        <x:v>0</x:v>
      </x:c>
      <x:c r="K18" s="39" t="n">
        <x:f>COUNTIFS('Ennemis_boss'!$D$7:$D$13,"Concept abandonné")</x:f>
        <x:v>0</x:v>
      </x:c>
      <x:c r="L18" s="39" t="n">
        <x:f>COUNTIFS('Ennemis_boss'!$D$7:$D$13,"Allégation écartée")</x:f>
        <x:v>0</x:v>
      </x:c>
      <x:c r="M18" s="39" t="n">
        <x:f>COUNTIFS('Ennemis_boss'!$E$7:$E$13,"P0")</x:f>
        <x:v>0</x:v>
      </x:c>
    </x:row>
    <x:row r="19" ht="22" customHeight="1">
      <x:c r="A19" s="2" t="str">
        <x:v>Missions</x:v>
      </x:c>
      <x:c r="B19" s="40" t="n">
        <x:f>COUNTA('Missions'!$A$7:$A$17)</x:f>
        <x:v>11</x:v>
      </x:c>
      <x:c r="C19" s="40" t="n">
        <x:f>COUNTIFS('Missions'!$C$7:$C$17,"Défini")</x:f>
        <x:v>11</x:v>
      </x:c>
      <x:c r="D19" s="40" t="n">
        <x:f>COUNTIFS('Missions'!$C$7:$C$17,"Prototype")</x:f>
        <x:v>0</x:v>
      </x:c>
      <x:c r="E19" s="40" t="n">
        <x:f>COUNTIFS('Missions'!$C$7:$C$17,"Intégré")</x:f>
        <x:v>0</x:v>
      </x:c>
      <x:c r="F19" s="40" t="n">
        <x:f>COUNTIFS('Missions'!$C$7:$C$17,"Validé")</x:f>
        <x:v>0</x:v>
      </x:c>
      <x:c r="G19" s="40" t="n">
        <x:f>COUNTIFS('Missions'!$D$7:$D$17,"Établi")</x:f>
        <x:v>0</x:v>
      </x:c>
      <x:c r="H19" s="40" t="n">
        <x:f>COUNTIFS('Missions'!$D$7:$D$17,"À vérifier")</x:f>
        <x:v>0</x:v>
      </x:c>
      <x:c r="I19" s="40" t="n">
        <x:f>COUNTIFS('Missions'!$D$7:$D$17,"Extrapolation")</x:f>
        <x:v>11</x:v>
      </x:c>
      <x:c r="J19" s="40" t="n">
        <x:f>COUNTIFS('Missions'!$D$7:$D$17,"Coupé attesté")</x:f>
        <x:v>0</x:v>
      </x:c>
      <x:c r="K19" s="40" t="n">
        <x:f>COUNTIFS('Missions'!$D$7:$D$17,"Concept abandonné")</x:f>
        <x:v>0</x:v>
      </x:c>
      <x:c r="L19" s="40" t="n">
        <x:f>COUNTIFS('Missions'!$D$7:$D$17,"Allégation écartée")</x:f>
        <x:v>0</x:v>
      </x:c>
      <x:c r="M19" s="40" t="n">
        <x:f>COUNTIFS('Missions'!$E$7:$E$17,"P0")</x:f>
        <x:v>0</x:v>
      </x:c>
    </x:row>
    <x:row r="20" ht="22" customHeight="1">
      <x:c r="A20" s="35" t="str">
        <x:v>Secondaires et DLC</x:v>
      </x:c>
      <x:c r="B20" s="39" t="n">
        <x:f>COUNTA('Secondaires_DLC'!$A$7:$A$11)</x:f>
        <x:v>5</x:v>
      </x:c>
      <x:c r="C20" s="39" t="n">
        <x:f>COUNTIFS('Secondaires_DLC'!$C$7:$C$11,"Défini")</x:f>
        <x:v>5</x:v>
      </x:c>
      <x:c r="D20" s="39" t="n">
        <x:f>COUNTIFS('Secondaires_DLC'!$C$7:$C$11,"Prototype")</x:f>
        <x:v>0</x:v>
      </x:c>
      <x:c r="E20" s="39" t="n">
        <x:f>COUNTIFS('Secondaires_DLC'!$C$7:$C$11,"Intégré")</x:f>
        <x:v>0</x:v>
      </x:c>
      <x:c r="F20" s="39" t="n">
        <x:f>COUNTIFS('Secondaires_DLC'!$C$7:$C$11,"Validé")</x:f>
        <x:v>0</x:v>
      </x:c>
      <x:c r="G20" s="39" t="n">
        <x:f>COUNTIFS('Secondaires_DLC'!$D$7:$D$11,"Établi")</x:f>
        <x:v>0</x:v>
      </x:c>
      <x:c r="H20" s="39" t="n">
        <x:f>COUNTIFS('Secondaires_DLC'!$D$7:$D$11,"À vérifier")</x:f>
        <x:v>0</x:v>
      </x:c>
      <x:c r="I20" s="39" t="n">
        <x:f>COUNTIFS('Secondaires_DLC'!$D$7:$D$11,"Extrapolation")</x:f>
        <x:v>5</x:v>
      </x:c>
      <x:c r="J20" s="39" t="n">
        <x:f>COUNTIFS('Secondaires_DLC'!$D$7:$D$11,"Coupé attesté")</x:f>
        <x:v>0</x:v>
      </x:c>
      <x:c r="K20" s="39" t="n">
        <x:f>COUNTIFS('Secondaires_DLC'!$D$7:$D$11,"Concept abandonné")</x:f>
        <x:v>0</x:v>
      </x:c>
      <x:c r="L20" s="39" t="n">
        <x:f>COUNTIFS('Secondaires_DLC'!$D$7:$D$11,"Allégation écartée")</x:f>
        <x:v>0</x:v>
      </x:c>
      <x:c r="M20" s="39" t="n">
        <x:f>COUNTIFS('Secondaires_DLC'!$E$7:$E$11,"P0")</x:f>
        <x:v>0</x:v>
      </x:c>
    </x:row>
    <x:row r="21" ht="22" customHeight="1">
      <x:c r="A21" s="2" t="str">
        <x:v>Choix et relations</x:v>
      </x:c>
      <x:c r="B21" s="40" t="n">
        <x:f>COUNTA('Choix_relations'!$A$7:$A$10)</x:f>
        <x:v>4</x:v>
      </x:c>
      <x:c r="C21" s="40" t="n">
        <x:f>COUNTIFS('Choix_relations'!$C$7:$C$10,"Défini")</x:f>
        <x:v>4</x:v>
      </x:c>
      <x:c r="D21" s="40" t="n">
        <x:f>COUNTIFS('Choix_relations'!$C$7:$C$10,"Prototype")</x:f>
        <x:v>0</x:v>
      </x:c>
      <x:c r="E21" s="40" t="n">
        <x:f>COUNTIFS('Choix_relations'!$C$7:$C$10,"Intégré")</x:f>
        <x:v>0</x:v>
      </x:c>
      <x:c r="F21" s="40" t="n">
        <x:f>COUNTIFS('Choix_relations'!$C$7:$C$10,"Validé")</x:f>
        <x:v>0</x:v>
      </x:c>
      <x:c r="G21" s="40" t="n">
        <x:f>COUNTIFS('Choix_relations'!$D$7:$D$10,"Établi")</x:f>
        <x:v>0</x:v>
      </x:c>
      <x:c r="H21" s="40" t="n">
        <x:f>COUNTIFS('Choix_relations'!$D$7:$D$10,"À vérifier")</x:f>
        <x:v>0</x:v>
      </x:c>
      <x:c r="I21" s="40" t="n">
        <x:f>COUNTIFS('Choix_relations'!$D$7:$D$10,"Extrapolation")</x:f>
        <x:v>4</x:v>
      </x:c>
      <x:c r="J21" s="40" t="n">
        <x:f>COUNTIFS('Choix_relations'!$D$7:$D$10,"Coupé attesté")</x:f>
        <x:v>0</x:v>
      </x:c>
      <x:c r="K21" s="40" t="n">
        <x:f>COUNTIFS('Choix_relations'!$D$7:$D$10,"Concept abandonné")</x:f>
        <x:v>0</x:v>
      </x:c>
      <x:c r="L21" s="40" t="n">
        <x:f>COUNTIFS('Choix_relations'!$D$7:$D$10,"Allégation écartée")</x:f>
        <x:v>0</x:v>
      </x:c>
      <x:c r="M21" s="40" t="n">
        <x:f>COUNTIFS('Choix_relations'!$E$7:$E$10,"P0")</x:f>
        <x:v>0</x:v>
      </x:c>
    </x:row>
    <x:row r="22" ht="22" customHeight="1">
      <x:c r="A22" s="35" t="str">
        <x:v>Dialogues</x:v>
      </x:c>
      <x:c r="B22" s="39" t="n">
        <x:f>COUNTA('Dialogues'!$A$7:$A$9)</x:f>
        <x:v>3</x:v>
      </x:c>
      <x:c r="C22" s="39" t="n">
        <x:f>COUNTIFS('Dialogues'!$C$7:$C$9,"Défini")</x:f>
        <x:v>3</x:v>
      </x:c>
      <x:c r="D22" s="39" t="n">
        <x:f>COUNTIFS('Dialogues'!$C$7:$C$9,"Prototype")</x:f>
        <x:v>0</x:v>
      </x:c>
      <x:c r="E22" s="39" t="n">
        <x:f>COUNTIFS('Dialogues'!$C$7:$C$9,"Intégré")</x:f>
        <x:v>0</x:v>
      </x:c>
      <x:c r="F22" s="39" t="n">
        <x:f>COUNTIFS('Dialogues'!$C$7:$C$9,"Validé")</x:f>
        <x:v>0</x:v>
      </x:c>
      <x:c r="G22" s="39" t="n">
        <x:f>COUNTIFS('Dialogues'!$D$7:$D$9,"Établi")</x:f>
        <x:v>0</x:v>
      </x:c>
      <x:c r="H22" s="39" t="n">
        <x:f>COUNTIFS('Dialogues'!$D$7:$D$9,"À vérifier")</x:f>
        <x:v>0</x:v>
      </x:c>
      <x:c r="I22" s="39" t="n">
        <x:f>COUNTIFS('Dialogues'!$D$7:$D$9,"Extrapolation")</x:f>
        <x:v>3</x:v>
      </x:c>
      <x:c r="J22" s="39" t="n">
        <x:f>COUNTIFS('Dialogues'!$D$7:$D$9,"Coupé attesté")</x:f>
        <x:v>0</x:v>
      </x:c>
      <x:c r="K22" s="39" t="n">
        <x:f>COUNTIFS('Dialogues'!$D$7:$D$9,"Concept abandonné")</x:f>
        <x:v>0</x:v>
      </x:c>
      <x:c r="L22" s="39" t="n">
        <x:f>COUNTIFS('Dialogues'!$D$7:$D$9,"Allégation écartée")</x:f>
        <x:v>0</x:v>
      </x:c>
      <x:c r="M22" s="39" t="n">
        <x:f>COUNTIFS('Dialogues'!$E$7:$E$9,"P0")</x:f>
        <x:v>0</x:v>
      </x:c>
    </x:row>
    <x:row r="23" ht="22" customHeight="1">
      <x:c r="A23" s="2" t="str">
        <x:v>Cinématiques</x:v>
      </x:c>
      <x:c r="B23" s="40" t="n">
        <x:f>COUNTA('Cinematiques'!$A$7:$A$9)</x:f>
        <x:v>3</x:v>
      </x:c>
      <x:c r="C23" s="40" t="n">
        <x:f>COUNTIFS('Cinematiques'!$C$7:$C$9,"Défini")</x:f>
        <x:v>3</x:v>
      </x:c>
      <x:c r="D23" s="40" t="n">
        <x:f>COUNTIFS('Cinematiques'!$C$7:$C$9,"Prototype")</x:f>
        <x:v>0</x:v>
      </x:c>
      <x:c r="E23" s="40" t="n">
        <x:f>COUNTIFS('Cinematiques'!$C$7:$C$9,"Intégré")</x:f>
        <x:v>0</x:v>
      </x:c>
      <x:c r="F23" s="40" t="n">
        <x:f>COUNTIFS('Cinematiques'!$C$7:$C$9,"Validé")</x:f>
        <x:v>0</x:v>
      </x:c>
      <x:c r="G23" s="40" t="n">
        <x:f>COUNTIFS('Cinematiques'!$D$7:$D$9,"Établi")</x:f>
        <x:v>0</x:v>
      </x:c>
      <x:c r="H23" s="40" t="n">
        <x:f>COUNTIFS('Cinematiques'!$D$7:$D$9,"À vérifier")</x:f>
        <x:v>0</x:v>
      </x:c>
      <x:c r="I23" s="40" t="n">
        <x:f>COUNTIFS('Cinematiques'!$D$7:$D$9,"Extrapolation")</x:f>
        <x:v>3</x:v>
      </x:c>
      <x:c r="J23" s="40" t="n">
        <x:f>COUNTIFS('Cinematiques'!$D$7:$D$9,"Coupé attesté")</x:f>
        <x:v>0</x:v>
      </x:c>
      <x:c r="K23" s="40" t="n">
        <x:f>COUNTIFS('Cinematiques'!$D$7:$D$9,"Concept abandonné")</x:f>
        <x:v>0</x:v>
      </x:c>
      <x:c r="L23" s="40" t="n">
        <x:f>COUNTIFS('Cinematiques'!$D$7:$D$9,"Allégation écartée")</x:f>
        <x:v>0</x:v>
      </x:c>
      <x:c r="M23" s="40" t="n">
        <x:f>COUNTIFS('Cinematiques'!$E$7:$E$9,"P0")</x:f>
        <x:v>0</x:v>
      </x:c>
    </x:row>
    <x:row r="24" ht="22" customHeight="1">
      <x:c r="A24" s="35" t="str">
        <x:v>Armes</x:v>
      </x:c>
      <x:c r="B24" s="39" t="n">
        <x:f>COUNTA('Armes'!$A$7:$A$10)</x:f>
        <x:v>4</x:v>
      </x:c>
      <x:c r="C24" s="39" t="n">
        <x:f>COUNTIFS('Armes'!$C$7:$C$10,"Défini")</x:f>
        <x:v>4</x:v>
      </x:c>
      <x:c r="D24" s="39" t="n">
        <x:f>COUNTIFS('Armes'!$C$7:$C$10,"Prototype")</x:f>
        <x:v>0</x:v>
      </x:c>
      <x:c r="E24" s="39" t="n">
        <x:f>COUNTIFS('Armes'!$C$7:$C$10,"Intégré")</x:f>
        <x:v>0</x:v>
      </x:c>
      <x:c r="F24" s="39" t="n">
        <x:f>COUNTIFS('Armes'!$C$7:$C$10,"Validé")</x:f>
        <x:v>0</x:v>
      </x:c>
      <x:c r="G24" s="39" t="n">
        <x:f>COUNTIFS('Armes'!$D$7:$D$10,"Établi")</x:f>
        <x:v>0</x:v>
      </x:c>
      <x:c r="H24" s="39" t="n">
        <x:f>COUNTIFS('Armes'!$D$7:$D$10,"À vérifier")</x:f>
        <x:v>0</x:v>
      </x:c>
      <x:c r="I24" s="39" t="n">
        <x:f>COUNTIFS('Armes'!$D$7:$D$10,"Extrapolation")</x:f>
        <x:v>4</x:v>
      </x:c>
      <x:c r="J24" s="39" t="n">
        <x:f>COUNTIFS('Armes'!$D$7:$D$10,"Coupé attesté")</x:f>
        <x:v>0</x:v>
      </x:c>
      <x:c r="K24" s="39" t="n">
        <x:f>COUNTIFS('Armes'!$D$7:$D$10,"Concept abandonné")</x:f>
        <x:v>0</x:v>
      </x:c>
      <x:c r="L24" s="39" t="n">
        <x:f>COUNTIFS('Armes'!$D$7:$D$10,"Allégation écartée")</x:f>
        <x:v>0</x:v>
      </x:c>
      <x:c r="M24" s="39" t="n">
        <x:f>COUNTIFS('Armes'!$E$7:$E$10,"P0")</x:f>
        <x:v>0</x:v>
      </x:c>
    </x:row>
    <x:row r="25" ht="22" customHeight="1">
      <x:c r="A25" s="2" t="str">
        <x:v>Armures et équipement</x:v>
      </x:c>
      <x:c r="B25" s="40" t="n">
        <x:f>COUNTA('Armures_equipement'!$A$7:$A$10)</x:f>
        <x:v>4</x:v>
      </x:c>
      <x:c r="C25" s="40" t="n">
        <x:f>COUNTIFS('Armures_equipement'!$C$7:$C$10,"Défini")</x:f>
        <x:v>4</x:v>
      </x:c>
      <x:c r="D25" s="40" t="n">
        <x:f>COUNTIFS('Armures_equipement'!$C$7:$C$10,"Prototype")</x:f>
        <x:v>0</x:v>
      </x:c>
      <x:c r="E25" s="40" t="n">
        <x:f>COUNTIFS('Armures_equipement'!$C$7:$C$10,"Intégré")</x:f>
        <x:v>0</x:v>
      </x:c>
      <x:c r="F25" s="40" t="n">
        <x:f>COUNTIFS('Armures_equipement'!$C$7:$C$10,"Validé")</x:f>
        <x:v>0</x:v>
      </x:c>
      <x:c r="G25" s="40" t="n">
        <x:f>COUNTIFS('Armures_equipement'!$D$7:$D$10,"Établi")</x:f>
        <x:v>0</x:v>
      </x:c>
      <x:c r="H25" s="40" t="n">
        <x:f>COUNTIFS('Armures_equipement'!$D$7:$D$10,"À vérifier")</x:f>
        <x:v>0</x:v>
      </x:c>
      <x:c r="I25" s="40" t="n">
        <x:f>COUNTIFS('Armures_equipement'!$D$7:$D$10,"Extrapolation")</x:f>
        <x:v>4</x:v>
      </x:c>
      <x:c r="J25" s="40" t="n">
        <x:f>COUNTIFS('Armures_equipement'!$D$7:$D$10,"Coupé attesté")</x:f>
        <x:v>0</x:v>
      </x:c>
      <x:c r="K25" s="40" t="n">
        <x:f>COUNTIFS('Armures_equipement'!$D$7:$D$10,"Concept abandonné")</x:f>
        <x:v>0</x:v>
      </x:c>
      <x:c r="L25" s="40" t="n">
        <x:f>COUNTIFS('Armures_equipement'!$D$7:$D$10,"Allégation écartée")</x:f>
        <x:v>0</x:v>
      </x:c>
      <x:c r="M25" s="40" t="n">
        <x:f>COUNTIFS('Armures_equipement'!$E$7:$E$10,"P0")</x:f>
        <x:v>0</x:v>
      </x:c>
    </x:row>
    <x:row r="26" ht="22" customHeight="1">
      <x:c r="A26" s="35" t="str">
        <x:v>Pouvoirs</x:v>
      </x:c>
      <x:c r="B26" s="39" t="n">
        <x:f>COUNTA('Pouvoirs'!$A$7:$A$12)</x:f>
        <x:v>6</x:v>
      </x:c>
      <x:c r="C26" s="39" t="n">
        <x:f>COUNTIFS('Pouvoirs'!$C$7:$C$12,"Défini")</x:f>
        <x:v>6</x:v>
      </x:c>
      <x:c r="D26" s="39" t="n">
        <x:f>COUNTIFS('Pouvoirs'!$C$7:$C$12,"Prototype")</x:f>
        <x:v>0</x:v>
      </x:c>
      <x:c r="E26" s="39" t="n">
        <x:f>COUNTIFS('Pouvoirs'!$C$7:$C$12,"Intégré")</x:f>
        <x:v>0</x:v>
      </x:c>
      <x:c r="F26" s="39" t="n">
        <x:f>COUNTIFS('Pouvoirs'!$C$7:$C$12,"Validé")</x:f>
        <x:v>0</x:v>
      </x:c>
      <x:c r="G26" s="39" t="n">
        <x:f>COUNTIFS('Pouvoirs'!$D$7:$D$12,"Établi")</x:f>
        <x:v>0</x:v>
      </x:c>
      <x:c r="H26" s="39" t="n">
        <x:f>COUNTIFS('Pouvoirs'!$D$7:$D$12,"À vérifier")</x:f>
        <x:v>0</x:v>
      </x:c>
      <x:c r="I26" s="39" t="n">
        <x:f>COUNTIFS('Pouvoirs'!$D$7:$D$12,"Extrapolation")</x:f>
        <x:v>6</x:v>
      </x:c>
      <x:c r="J26" s="39" t="n">
        <x:f>COUNTIFS('Pouvoirs'!$D$7:$D$12,"Coupé attesté")</x:f>
        <x:v>0</x:v>
      </x:c>
      <x:c r="K26" s="39" t="n">
        <x:f>COUNTIFS('Pouvoirs'!$D$7:$D$12,"Concept abandonné")</x:f>
        <x:v>0</x:v>
      </x:c>
      <x:c r="L26" s="39" t="n">
        <x:f>COUNTIFS('Pouvoirs'!$D$7:$D$12,"Allégation écartée")</x:f>
        <x:v>0</x:v>
      </x:c>
      <x:c r="M26" s="39" t="n">
        <x:f>COUNTIFS('Pouvoirs'!$E$7:$E$12,"P0")</x:f>
        <x:v>0</x:v>
      </x:c>
    </x:row>
    <x:row r="27" ht="22" customHeight="1">
      <x:c r="A27" s="2" t="str">
        <x:v>Movesets alliés</x:v>
      </x:c>
      <x:c r="B27" s="40" t="n">
        <x:f>COUNTA('Movesets_allies'!$A$7:$A$12)</x:f>
        <x:v>6</x:v>
      </x:c>
      <x:c r="C27" s="40" t="n">
        <x:f>COUNTIFS('Movesets_allies'!$C$7:$C$12,"Défini")</x:f>
        <x:v>6</x:v>
      </x:c>
      <x:c r="D27" s="40" t="n">
        <x:f>COUNTIFS('Movesets_allies'!$C$7:$C$12,"Prototype")</x:f>
        <x:v>0</x:v>
      </x:c>
      <x:c r="E27" s="40" t="n">
        <x:f>COUNTIFS('Movesets_allies'!$C$7:$C$12,"Intégré")</x:f>
        <x:v>0</x:v>
      </x:c>
      <x:c r="F27" s="40" t="n">
        <x:f>COUNTIFS('Movesets_allies'!$C$7:$C$12,"Validé")</x:f>
        <x:v>0</x:v>
      </x:c>
      <x:c r="G27" s="40" t="n">
        <x:f>COUNTIFS('Movesets_allies'!$D$7:$D$12,"Établi")</x:f>
        <x:v>0</x:v>
      </x:c>
      <x:c r="H27" s="40" t="n">
        <x:f>COUNTIFS('Movesets_allies'!$D$7:$D$12,"À vérifier")</x:f>
        <x:v>0</x:v>
      </x:c>
      <x:c r="I27" s="40" t="n">
        <x:f>COUNTIFS('Movesets_allies'!$D$7:$D$12,"Extrapolation")</x:f>
        <x:v>6</x:v>
      </x:c>
      <x:c r="J27" s="40" t="n">
        <x:f>COUNTIFS('Movesets_allies'!$D$7:$D$12,"Coupé attesté")</x:f>
        <x:v>0</x:v>
      </x:c>
      <x:c r="K27" s="40" t="n">
        <x:f>COUNTIFS('Movesets_allies'!$D$7:$D$12,"Concept abandonné")</x:f>
        <x:v>0</x:v>
      </x:c>
      <x:c r="L27" s="40" t="n">
        <x:f>COUNTIFS('Movesets_allies'!$D$7:$D$12,"Allégation écartée")</x:f>
        <x:v>0</x:v>
      </x:c>
      <x:c r="M27" s="40" t="n">
        <x:f>COUNTIFS('Movesets_allies'!$E$7:$E$12,"P0")</x:f>
        <x:v>0</x:v>
      </x:c>
    </x:row>
    <x:row r="28" ht="22" customHeight="1">
      <x:c r="A28" s="35" t="str">
        <x:v>Movesets ennemis</x:v>
      </x:c>
      <x:c r="B28" s="39" t="n">
        <x:f>COUNTA('Movesets_ennemis'!$A$7:$A$13)</x:f>
        <x:v>7</x:v>
      </x:c>
      <x:c r="C28" s="39" t="n">
        <x:f>COUNTIFS('Movesets_ennemis'!$C$7:$C$13,"Défini")</x:f>
        <x:v>7</x:v>
      </x:c>
      <x:c r="D28" s="39" t="n">
        <x:f>COUNTIFS('Movesets_ennemis'!$C$7:$C$13,"Prototype")</x:f>
        <x:v>0</x:v>
      </x:c>
      <x:c r="E28" s="39" t="n">
        <x:f>COUNTIFS('Movesets_ennemis'!$C$7:$C$13,"Intégré")</x:f>
        <x:v>0</x:v>
      </x:c>
      <x:c r="F28" s="39" t="n">
        <x:f>COUNTIFS('Movesets_ennemis'!$C$7:$C$13,"Validé")</x:f>
        <x:v>0</x:v>
      </x:c>
      <x:c r="G28" s="39" t="n">
        <x:f>COUNTIFS('Movesets_ennemis'!$D$7:$D$13,"Établi")</x:f>
        <x:v>0</x:v>
      </x:c>
      <x:c r="H28" s="39" t="n">
        <x:f>COUNTIFS('Movesets_ennemis'!$D$7:$D$13,"À vérifier")</x:f>
        <x:v>0</x:v>
      </x:c>
      <x:c r="I28" s="39" t="n">
        <x:f>COUNTIFS('Movesets_ennemis'!$D$7:$D$13,"Extrapolation")</x:f>
        <x:v>7</x:v>
      </x:c>
      <x:c r="J28" s="39" t="n">
        <x:f>COUNTIFS('Movesets_ennemis'!$D$7:$D$13,"Coupé attesté")</x:f>
        <x:v>0</x:v>
      </x:c>
      <x:c r="K28" s="39" t="n">
        <x:f>COUNTIFS('Movesets_ennemis'!$D$7:$D$13,"Concept abandonné")</x:f>
        <x:v>0</x:v>
      </x:c>
      <x:c r="L28" s="39" t="n">
        <x:f>COUNTIFS('Movesets_ennemis'!$D$7:$D$13,"Allégation écartée")</x:f>
        <x:v>0</x:v>
      </x:c>
      <x:c r="M28" s="39" t="n">
        <x:f>COUNTIFS('Movesets_ennemis'!$E$7:$E$13,"P0")</x:f>
        <x:v>0</x:v>
      </x:c>
    </x:row>
    <x:row r="29" ht="22" customHeight="1">
      <x:c r="A29" s="2" t="str">
        <x:v>Animations</x:v>
      </x:c>
      <x:c r="B29" s="40" t="n">
        <x:f>COUNTA('Animations'!$A$7:$A$9)</x:f>
        <x:v>3</x:v>
      </x:c>
      <x:c r="C29" s="40" t="n">
        <x:f>COUNTIFS('Animations'!$C$7:$C$9,"Défini")</x:f>
        <x:v>3</x:v>
      </x:c>
      <x:c r="D29" s="40" t="n">
        <x:f>COUNTIFS('Animations'!$C$7:$C$9,"Prototype")</x:f>
        <x:v>0</x:v>
      </x:c>
      <x:c r="E29" s="40" t="n">
        <x:f>COUNTIFS('Animations'!$C$7:$C$9,"Intégré")</x:f>
        <x:v>0</x:v>
      </x:c>
      <x:c r="F29" s="40" t="n">
        <x:f>COUNTIFS('Animations'!$C$7:$C$9,"Validé")</x:f>
        <x:v>0</x:v>
      </x:c>
      <x:c r="G29" s="40" t="n">
        <x:f>COUNTIFS('Animations'!$D$7:$D$9,"Établi")</x:f>
        <x:v>0</x:v>
      </x:c>
      <x:c r="H29" s="40" t="n">
        <x:f>COUNTIFS('Animations'!$D$7:$D$9,"À vérifier")</x:f>
        <x:v>0</x:v>
      </x:c>
      <x:c r="I29" s="40" t="n">
        <x:f>COUNTIFS('Animations'!$D$7:$D$9,"Extrapolation")</x:f>
        <x:v>3</x:v>
      </x:c>
      <x:c r="J29" s="40" t="n">
        <x:f>COUNTIFS('Animations'!$D$7:$D$9,"Coupé attesté")</x:f>
        <x:v>0</x:v>
      </x:c>
      <x:c r="K29" s="40" t="n">
        <x:f>COUNTIFS('Animations'!$D$7:$D$9,"Concept abandonné")</x:f>
        <x:v>0</x:v>
      </x:c>
      <x:c r="L29" s="40" t="n">
        <x:f>COUNTIFS('Animations'!$D$7:$D$9,"Allégation écartée")</x:f>
        <x:v>0</x:v>
      </x:c>
      <x:c r="M29" s="40" t="n">
        <x:f>COUNTIFS('Animations'!$E$7:$E$9,"P0")</x:f>
        <x:v>0</x:v>
      </x:c>
    </x:row>
    <x:row r="30" ht="22" customHeight="1">
      <x:c r="A30" s="35" t="str">
        <x:v>Sprites</x:v>
      </x:c>
      <x:c r="B30" s="39" t="n">
        <x:f>COUNTA('Sprites'!$A$7:$A$24)</x:f>
        <x:v>18</x:v>
      </x:c>
      <x:c r="C30" s="39" t="n">
        <x:f>COUNTIFS('Sprites'!$C$7:$C$24,"Défini")</x:f>
        <x:v>18</x:v>
      </x:c>
      <x:c r="D30" s="39" t="n">
        <x:f>COUNTIFS('Sprites'!$C$7:$C$24,"Prototype")</x:f>
        <x:v>0</x:v>
      </x:c>
      <x:c r="E30" s="39" t="n">
        <x:f>COUNTIFS('Sprites'!$C$7:$C$24,"Intégré")</x:f>
        <x:v>0</x:v>
      </x:c>
      <x:c r="F30" s="39" t="n">
        <x:f>COUNTIFS('Sprites'!$C$7:$C$24,"Validé")</x:f>
        <x:v>0</x:v>
      </x:c>
      <x:c r="G30" s="39" t="n">
        <x:f>COUNTIFS('Sprites'!$D$7:$D$24,"Établi")</x:f>
        <x:v>0</x:v>
      </x:c>
      <x:c r="H30" s="39" t="n">
        <x:f>COUNTIFS('Sprites'!$D$7:$D$24,"À vérifier")</x:f>
        <x:v>0</x:v>
      </x:c>
      <x:c r="I30" s="39" t="n">
        <x:f>COUNTIFS('Sprites'!$D$7:$D$24,"Extrapolation")</x:f>
        <x:v>18</x:v>
      </x:c>
      <x:c r="J30" s="39" t="n">
        <x:f>COUNTIFS('Sprites'!$D$7:$D$24,"Coupé attesté")</x:f>
        <x:v>0</x:v>
      </x:c>
      <x:c r="K30" s="39" t="n">
        <x:f>COUNTIFS('Sprites'!$D$7:$D$24,"Concept abandonné")</x:f>
        <x:v>0</x:v>
      </x:c>
      <x:c r="L30" s="39" t="n">
        <x:f>COUNTIFS('Sprites'!$D$7:$D$24,"Allégation écartée")</x:f>
        <x:v>0</x:v>
      </x:c>
      <x:c r="M30" s="39" t="n">
        <x:f>COUNTIFS('Sprites'!$E$7:$E$24,"P0")</x:f>
        <x:v>0</x:v>
      </x:c>
    </x:row>
    <x:row r="31" ht="22" customHeight="1">
      <x:c r="A31" s="2" t="str">
        <x:v>VFX</x:v>
      </x:c>
      <x:c r="B31" s="40" t="n">
        <x:f>COUNTA('VFX'!$A$7:$A$9)</x:f>
        <x:v>3</x:v>
      </x:c>
      <x:c r="C31" s="40" t="n">
        <x:f>COUNTIFS('VFX'!$C$7:$C$9,"Défini")</x:f>
        <x:v>3</x:v>
      </x:c>
      <x:c r="D31" s="40" t="n">
        <x:f>COUNTIFS('VFX'!$C$7:$C$9,"Prototype")</x:f>
        <x:v>0</x:v>
      </x:c>
      <x:c r="E31" s="40" t="n">
        <x:f>COUNTIFS('VFX'!$C$7:$C$9,"Intégré")</x:f>
        <x:v>0</x:v>
      </x:c>
      <x:c r="F31" s="40" t="n">
        <x:f>COUNTIFS('VFX'!$C$7:$C$9,"Validé")</x:f>
        <x:v>0</x:v>
      </x:c>
      <x:c r="G31" s="40" t="n">
        <x:f>COUNTIFS('VFX'!$D$7:$D$9,"Établi")</x:f>
        <x:v>0</x:v>
      </x:c>
      <x:c r="H31" s="40" t="n">
        <x:f>COUNTIFS('VFX'!$D$7:$D$9,"À vérifier")</x:f>
        <x:v>0</x:v>
      </x:c>
      <x:c r="I31" s="40" t="n">
        <x:f>COUNTIFS('VFX'!$D$7:$D$9,"Extrapolation")</x:f>
        <x:v>3</x:v>
      </x:c>
      <x:c r="J31" s="40" t="n">
        <x:f>COUNTIFS('VFX'!$D$7:$D$9,"Coupé attesté")</x:f>
        <x:v>0</x:v>
      </x:c>
      <x:c r="K31" s="40" t="n">
        <x:f>COUNTIFS('VFX'!$D$7:$D$9,"Concept abandonné")</x:f>
        <x:v>0</x:v>
      </x:c>
      <x:c r="L31" s="40" t="n">
        <x:f>COUNTIFS('VFX'!$D$7:$D$9,"Allégation écartée")</x:f>
        <x:v>0</x:v>
      </x:c>
      <x:c r="M31" s="40" t="n">
        <x:f>COUNTIFS('VFX'!$E$7:$E$9,"P0")</x:f>
        <x:v>0</x:v>
      </x:c>
    </x:row>
    <x:row r="32" ht="22" customHeight="1">
      <x:c r="A32" s="35" t="str">
        <x:v>Audio</x:v>
      </x:c>
      <x:c r="B32" s="39" t="n">
        <x:f>COUNTA('Audio'!$A$7:$A$9)</x:f>
        <x:v>3</x:v>
      </x:c>
      <x:c r="C32" s="39" t="n">
        <x:f>COUNTIFS('Audio'!$C$7:$C$9,"Défini")</x:f>
        <x:v>3</x:v>
      </x:c>
      <x:c r="D32" s="39" t="n">
        <x:f>COUNTIFS('Audio'!$C$7:$C$9,"Prototype")</x:f>
        <x:v>0</x:v>
      </x:c>
      <x:c r="E32" s="39" t="n">
        <x:f>COUNTIFS('Audio'!$C$7:$C$9,"Intégré")</x:f>
        <x:v>0</x:v>
      </x:c>
      <x:c r="F32" s="39" t="n">
        <x:f>COUNTIFS('Audio'!$C$7:$C$9,"Validé")</x:f>
        <x:v>0</x:v>
      </x:c>
      <x:c r="G32" s="39" t="n">
        <x:f>COUNTIFS('Audio'!$D$7:$D$9,"Établi")</x:f>
        <x:v>0</x:v>
      </x:c>
      <x:c r="H32" s="39" t="n">
        <x:f>COUNTIFS('Audio'!$D$7:$D$9,"À vérifier")</x:f>
        <x:v>0</x:v>
      </x:c>
      <x:c r="I32" s="39" t="n">
        <x:f>COUNTIFS('Audio'!$D$7:$D$9,"Extrapolation")</x:f>
        <x:v>3</x:v>
      </x:c>
      <x:c r="J32" s="39" t="n">
        <x:f>COUNTIFS('Audio'!$D$7:$D$9,"Coupé attesté")</x:f>
        <x:v>0</x:v>
      </x:c>
      <x:c r="K32" s="39" t="n">
        <x:f>COUNTIFS('Audio'!$D$7:$D$9,"Concept abandonné")</x:f>
        <x:v>0</x:v>
      </x:c>
      <x:c r="L32" s="39" t="n">
        <x:f>COUNTIFS('Audio'!$D$7:$D$9,"Allégation écartée")</x:f>
        <x:v>0</x:v>
      </x:c>
      <x:c r="M32" s="39" t="n">
        <x:f>COUNTIFS('Audio'!$E$7:$E$9,"P0")</x:f>
        <x:v>0</x:v>
      </x:c>
    </x:row>
    <x:row r="33" ht="22" customHeight="1">
      <x:c r="A33" s="2" t="str">
        <x:v>Systèmes et UI</x:v>
      </x:c>
      <x:c r="B33" s="40" t="n">
        <x:f>COUNTA('UI_systemes'!$A$7:$A$11)</x:f>
        <x:v>5</x:v>
      </x:c>
      <x:c r="C33" s="40" t="n">
        <x:f>COUNTIFS('UI_systemes'!$C$7:$C$11,"Défini")</x:f>
        <x:v>5</x:v>
      </x:c>
      <x:c r="D33" s="40" t="n">
        <x:f>COUNTIFS('UI_systemes'!$C$7:$C$11,"Prototype")</x:f>
        <x:v>0</x:v>
      </x:c>
      <x:c r="E33" s="40" t="n">
        <x:f>COUNTIFS('UI_systemes'!$C$7:$C$11,"Intégré")</x:f>
        <x:v>0</x:v>
      </x:c>
      <x:c r="F33" s="40" t="n">
        <x:f>COUNTIFS('UI_systemes'!$C$7:$C$11,"Validé")</x:f>
        <x:v>0</x:v>
      </x:c>
      <x:c r="G33" s="40" t="n">
        <x:f>COUNTIFS('UI_systemes'!$D$7:$D$11,"Établi")</x:f>
        <x:v>0</x:v>
      </x:c>
      <x:c r="H33" s="40" t="n">
        <x:f>COUNTIFS('UI_systemes'!$D$7:$D$11,"À vérifier")</x:f>
        <x:v>0</x:v>
      </x:c>
      <x:c r="I33" s="40" t="n">
        <x:f>COUNTIFS('UI_systemes'!$D$7:$D$11,"Extrapolation")</x:f>
        <x:v>5</x:v>
      </x:c>
      <x:c r="J33" s="40" t="n">
        <x:f>COUNTIFS('UI_systemes'!$D$7:$D$11,"Coupé attesté")</x:f>
        <x:v>0</x:v>
      </x:c>
      <x:c r="K33" s="40" t="n">
        <x:f>COUNTIFS('UI_systemes'!$D$7:$D$11,"Concept abandonné")</x:f>
        <x:v>0</x:v>
      </x:c>
      <x:c r="L33" s="40" t="n">
        <x:f>COUNTIFS('UI_systemes'!$D$7:$D$11,"Allégation écartée")</x:f>
        <x:v>0</x:v>
      </x:c>
      <x:c r="M33" s="40" t="n">
        <x:f>COUNTIFS('UI_systemes'!$E$7:$E$11,"P0")</x:f>
        <x:v>0</x:v>
      </x:c>
    </x:row>
    <x:row r="34" ht="22" customHeight="1">
      <x:c r="A34" s="35" t="str">
        <x:v>QA</x:v>
      </x:c>
      <x:c r="B34" s="39" t="n">
        <x:f>COUNTA('QA'!$A$7:$A$11)</x:f>
        <x:v>5</x:v>
      </x:c>
      <x:c r="C34" s="39" t="n">
        <x:f>COUNTIFS('QA'!$C$7:$C$11,"Défini")</x:f>
        <x:v>5</x:v>
      </x:c>
      <x:c r="D34" s="39" t="n">
        <x:f>COUNTIFS('QA'!$C$7:$C$11,"Prototype")</x:f>
        <x:v>0</x:v>
      </x:c>
      <x:c r="E34" s="39" t="n">
        <x:f>COUNTIFS('QA'!$C$7:$C$11,"Intégré")</x:f>
        <x:v>0</x:v>
      </x:c>
      <x:c r="F34" s="39" t="n">
        <x:f>COUNTIFS('QA'!$C$7:$C$11,"Validé")</x:f>
        <x:v>0</x:v>
      </x:c>
      <x:c r="G34" s="39" t="n">
        <x:f>COUNTIFS('QA'!$D$7:$D$11,"Établi")</x:f>
        <x:v>0</x:v>
      </x:c>
      <x:c r="H34" s="39" t="n">
        <x:f>COUNTIFS('QA'!$D$7:$D$11,"À vérifier")</x:f>
        <x:v>0</x:v>
      </x:c>
      <x:c r="I34" s="39" t="n">
        <x:f>COUNTIFS('QA'!$D$7:$D$11,"Extrapolation")</x:f>
        <x:v>5</x:v>
      </x:c>
      <x:c r="J34" s="39" t="n">
        <x:f>COUNTIFS('QA'!$D$7:$D$11,"Coupé attesté")</x:f>
        <x:v>0</x:v>
      </x:c>
      <x:c r="K34" s="39" t="n">
        <x:f>COUNTIFS('QA'!$D$7:$D$11,"Concept abandonné")</x:f>
        <x:v>0</x:v>
      </x:c>
      <x:c r="L34" s="39" t="n">
        <x:f>COUNTIFS('QA'!$D$7:$D$11,"Allégation écartée")</x:f>
        <x:v>0</x:v>
      </x:c>
      <x:c r="M34" s="39" t="n">
        <x:f>COUNTIFS('QA'!$E$7:$E$11,"P0")</x:f>
        <x:v>0</x:v>
      </x:c>
    </x:row>
    <x:row r="35" ht="22" customHeight="1">
      <x:c r="A35" s="2" t="str">
        <x:v>Continuité</x:v>
      </x:c>
      <x:c r="B35" s="40" t="n">
        <x:f>COUNTA('Continuite'!$A$7:$A$14)</x:f>
        <x:v>8</x:v>
      </x:c>
      <x:c r="C35" s="40" t="n">
        <x:f>COUNTIFS('Continuite'!$C$7:$C$14,"Défini")</x:f>
        <x:v>8</x:v>
      </x:c>
      <x:c r="D35" s="40" t="n">
        <x:f>COUNTIFS('Continuite'!$C$7:$C$14,"Prototype")</x:f>
        <x:v>0</x:v>
      </x:c>
      <x:c r="E35" s="40" t="n">
        <x:f>COUNTIFS('Continuite'!$C$7:$C$14,"Intégré")</x:f>
        <x:v>0</x:v>
      </x:c>
      <x:c r="F35" s="40" t="n">
        <x:f>COUNTIFS('Continuite'!$C$7:$C$14,"Validé")</x:f>
        <x:v>0</x:v>
      </x:c>
      <x:c r="G35" s="40" t="n">
        <x:f>COUNTIFS('Continuite'!$D$7:$D$14,"Établi")</x:f>
        <x:v>4</x:v>
      </x:c>
      <x:c r="H35" s="40" t="n">
        <x:f>COUNTIFS('Continuite'!$D$7:$D$14,"À vérifier")</x:f>
        <x:v>2</x:v>
      </x:c>
      <x:c r="I35" s="40" t="n">
        <x:f>COUNTIFS('Continuite'!$D$7:$D$14,"Extrapolation")</x:f>
        <x:v>2</x:v>
      </x:c>
      <x:c r="J35" s="40" t="n">
        <x:f>COUNTIFS('Continuite'!$D$7:$D$14,"Coupé attesté")</x:f>
        <x:v>0</x:v>
      </x:c>
      <x:c r="K35" s="40" t="n">
        <x:f>COUNTIFS('Continuite'!$D$7:$D$14,"Concept abandonné")</x:f>
        <x:v>0</x:v>
      </x:c>
      <x:c r="L35" s="40" t="n">
        <x:f>COUNTIFS('Continuite'!$D$7:$D$14,"Allégation écartée")</x:f>
        <x:v>0</x:v>
      </x:c>
      <x:c r="M35" s="40" t="n">
        <x:f>COUNTIFS('Continuite'!$E$7:$E$14,"P0")</x:f>
        <x:v>1</x:v>
      </x:c>
    </x:row>
    <x:row r="36" ht="22" customHeight="1">
      <x:c r="A36" s="2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</x:row>
    <x:row r="37" ht="28" customHeight="1">
      <x:c r="A37" s="23" t="str">
        <x:v>TOTAL</x:v>
      </x:c>
      <x:c r="B37" s="41" t="n">
        <x:f>SUM(B10:B35)</x:f>
        <x:v>145</x:v>
      </x:c>
      <x:c r="C37" s="41" t="n">
        <x:f>SUM(C10:C35)</x:f>
        <x:v>145</x:v>
      </x:c>
      <x:c r="D37" s="41" t="n">
        <x:f>SUM(D10:D35)</x:f>
        <x:v>0</x:v>
      </x:c>
      <x:c r="E37" s="41" t="n">
        <x:f>SUM(E10:E35)</x:f>
        <x:v>0</x:v>
      </x:c>
      <x:c r="F37" s="41" t="n">
        <x:f>SUM(F10:F35)</x:f>
        <x:v>0</x:v>
      </x:c>
      <x:c r="G37" s="41" t="n">
        <x:f>SUM(G10:G35)</x:f>
        <x:v>4</x:v>
      </x:c>
      <x:c r="H37" s="41" t="n">
        <x:f>SUM(H10:H35)</x:f>
        <x:v>2</x:v>
      </x:c>
      <x:c r="I37" s="41" t="n">
        <x:f>SUM(I10:I35)</x:f>
        <x:v>139</x:v>
      </x:c>
      <x:c r="J37" s="41" t="n">
        <x:f>SUM(J10:J35)</x:f>
        <x:v>0</x:v>
      </x:c>
      <x:c r="K37" s="41" t="n">
        <x:f>SUM(K10:K35)</x:f>
        <x:v>0</x:v>
      </x:c>
      <x:c r="L37" s="41" t="n">
        <x:f>SUM(L10:L35)</x:f>
        <x:v>0</x:v>
      </x:c>
      <x:c r="M37" s="41" t="n">
        <x:f>SUM(M10:M35)</x:f>
        <x:v>1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1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ME4-CHR-ROOK</x:v>
      </x:c>
      <x:c r="B7" s="9" t="str">
        <x:v>Rook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Protagoniste créé pour le fan game.</x:v>
      </x:c>
      <x:c r="G7" s="9" t="str">
        <x:v>Commandant·e personnalisable, spécialiste des opérations de relais.</x:v>
      </x:c>
      <x:c r="H7" s="9" t="str">
        <x:v>Rôle et règles ATB définis dans les movesets associés.</x:v>
      </x:c>
      <x:c r="I7" s="9" t="str">
        <x:v>Manteau court asymétrique proposé, armure charbon, repères blancs et lampe orange. Ne pas identifier au personnage du teaser.</x:v>
      </x:c>
      <x:c r="J7" s="9" t="str"/>
      <x:c r="K7" s="9" t="str"/>
      <x:c r="L7" s="9" t="str"/>
      <x:c r="M7" s="9" t="str"/>
      <x:c r="N7" s="9" t="str">
        <x:v>Le rôle, le costume et les expressions restent cohérents avec la fiche modèle interne approuvée.</x:v>
      </x:c>
      <x:c r="O7" s="9" t="str"/>
      <x:c r="P7" s="9" t="str">
        <x:v>Les Routes du silence, conception originale</x:v>
      </x:c>
      <x:c r="Q7" s="9" t="str"/>
      <x:c r="R7" s="20" t="str"/>
      <x:c r="S7" s="20" t="str">
        <x:v>Créer puis valider une fiche modèle interne : silhouette, costume, palette et expressions. Personnage original de ce fan game.</x:v>
      </x:c>
    </x:row>
    <x:row r="8" ht="44" customHeight="1">
      <x:c r="A8" s="19" t="str">
        <x:v>ME4-CHR-VEYRA</x:v>
      </x:c>
      <x:c r="B8" s="7" t="str">
        <x:v>Veyra Sen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Asari originale, cartographe.</x:v>
      </x:c>
      <x:c r="G8" s="7" t="str">
        <x:v>Contrôle biotique et lecture des anomalies.</x:v>
      </x:c>
      <x:c r="H8" s="7" t="str">
        <x:v>Rôle et règles ATB définis dans les movesets associés.</x:v>
      </x:c>
      <x:c r="I8" s="7" t="str">
        <x:v>Silhouette haute, tunique technique bleu pétrole, instruments de mesure suspendus.</x:v>
      </x:c>
      <x:c r="J8" s="7" t="str"/>
      <x:c r="K8" s="7" t="str"/>
      <x:c r="L8" s="7" t="str"/>
      <x:c r="M8" s="7" t="str"/>
      <x:c r="N8" s="7" t="str">
        <x:v>Le rôle, le costume et les expressions restent cohérents avec la fiche modèle interne approuvée.</x:v>
      </x:c>
      <x:c r="O8" s="7" t="str"/>
      <x:c r="P8" s="7" t="str">
        <x:v>Les Routes du silence, conception originale</x:v>
      </x:c>
      <x:c r="Q8" s="7" t="str"/>
      <x:c r="R8" s="21" t="str"/>
      <x:c r="S8" s="21" t="str">
        <x:v>Créer puis valider une fiche modèle interne : silhouette, costume, palette et expressions. Personnage original de ce fan game.</x:v>
      </x:c>
    </x:row>
    <x:row r="9" ht="44" customHeight="1">
      <x:c r="A9" s="18" t="str">
        <x:v>ME4-CHR-TARIK</x:v>
      </x:c>
      <x:c r="B9" s="9" t="str">
        <x:v>Tarik Venn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Turien original, ingénieur de pont.</x:v>
      </x:c>
      <x:c r="G9" s="9" t="str">
        <x:v>Déploiement de couvert et interruption technologique.</x:v>
      </x:c>
      <x:c r="H9" s="9" t="str">
        <x:v>Rôle et règles ATB définis dans les movesets associés.</x:v>
      </x:c>
      <x:c r="I9" s="9" t="str">
        <x:v>Crête fine, plaques cuivrées, sac de relais dorsal.</x:v>
      </x:c>
      <x:c r="J9" s="9" t="str"/>
      <x:c r="K9" s="9" t="str"/>
      <x:c r="L9" s="9" t="str"/>
      <x:c r="M9" s="9" t="str"/>
      <x:c r="N9" s="9" t="str">
        <x:v>Le rôle, le costume et les expressions restent cohérents avec la fiche modèle interne approuvée.</x:v>
      </x:c>
      <x:c r="O9" s="9" t="str"/>
      <x:c r="P9" s="9" t="str">
        <x:v>Les Routes du silence, conception originale</x:v>
      </x:c>
      <x:c r="Q9" s="9" t="str"/>
      <x:c r="R9" s="20" t="str"/>
      <x:c r="S9" s="20" t="str">
        <x:v>Créer puis valider une fiche modèle interne : silhouette, costume, palette et expressions. Personnage original de ce fan game.</x:v>
      </x:c>
    </x:row>
    <x:row r="10" ht="44" customHeight="1">
      <x:c r="A10" s="19" t="str">
        <x:v>ME4-CHR-KHELA</x:v>
      </x:c>
      <x:c r="B10" s="7" t="str">
        <x:v>Khela vas Rannoch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Quarienne originale, archiviste.</x:v>
      </x:c>
      <x:c r="G10" s="7" t="str">
        <x:v>Analyse des signaux et drones de reconnaissance.</x:v>
      </x:c>
      <x:c r="H10" s="7" t="str">
        <x:v>Rôle et règles ATB définis dans les movesets associés.</x:v>
      </x:c>
      <x:c r="I10" s="7" t="str">
        <x:v>Combinaison graphite, voile sable, motifs fins propres au personnage.</x:v>
      </x:c>
      <x:c r="J10" s="7" t="str"/>
      <x:c r="K10" s="7" t="str"/>
      <x:c r="L10" s="7" t="str"/>
      <x:c r="M10" s="7" t="str"/>
      <x:c r="N10" s="7" t="str">
        <x:v>Le rôle, le costume et les expressions restent cohérents avec la fiche modèle interne approuvée.</x:v>
      </x:c>
      <x:c r="O10" s="7" t="str"/>
      <x:c r="P10" s="7" t="str">
        <x:v>Les Routes du silence, conception originale</x:v>
      </x:c>
      <x:c r="Q10" s="7" t="str"/>
      <x:c r="R10" s="21" t="str"/>
      <x:c r="S10" s="21" t="str">
        <x:v>Créer puis valider une fiche modèle interne : silhouette, costume, palette et expressions. Personnage original de ce fan game.</x:v>
      </x:c>
    </x:row>
    <x:row r="11" ht="44" customHeight="1">
      <x:c r="A11" s="18" t="str">
        <x:v>ME4-CHR-DORN</x:v>
      </x:c>
      <x:c r="B11" s="9" t="str">
        <x:v>Urdnot Dorn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Krogan original, médiateur.</x:v>
      </x:c>
      <x:c r="G11" s="9" t="str">
        <x:v>Protection de l’équipe et négociation de passage.</x:v>
      </x:c>
      <x:c r="H11" s="9" t="str">
        <x:v>Rôle et règles ATB définis dans les movesets associés.</x:v>
      </x:c>
      <x:c r="I11" s="9" t="str">
        <x:v>Armure vert sombre, épaulière usée, outils civils autant que militaires.</x:v>
      </x:c>
      <x:c r="J11" s="9" t="str"/>
      <x:c r="K11" s="9" t="str"/>
      <x:c r="L11" s="9" t="str"/>
      <x:c r="M11" s="9" t="str"/>
      <x:c r="N11" s="9" t="str">
        <x:v>Le rôle, le costume et les expressions restent cohérents avec la fiche modèle interne approuvée.</x:v>
      </x:c>
      <x:c r="O11" s="9" t="str"/>
      <x:c r="P11" s="9" t="str">
        <x:v>Les Routes du silence, conception originale</x:v>
      </x:c>
      <x:c r="Q11" s="9" t="str"/>
      <x:c r="R11" s="20" t="str"/>
      <x:c r="S11" s="20" t="str">
        <x:v>Créer puis valider une fiche modèle interne : silhouette, costume, palette et expressions. Personnage original de ce fan game.</x:v>
      </x:c>
    </x:row>
    <x:row r="12" ht="44" customHeight="1">
      <x:c r="A12" s="19" t="str">
        <x:v>ME4-CHR-SIRIN</x:v>
      </x:c>
      <x:c r="B12" s="7" t="str">
        <x:v>Sirin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Salarien original, logistien.</x:v>
      </x:c>
      <x:c r="G12" s="7" t="str">
        <x:v>Gestion des consommables et leurres tactiques.</x:v>
      </x:c>
      <x:c r="H12" s="7" t="str">
        <x:v>Rôle et règles ATB définis dans les movesets associés.</x:v>
      </x:c>
      <x:c r="I12" s="7" t="str">
        <x:v>Veste claire à poches, lunettes de travail, couleurs ocre et gris.</x:v>
      </x:c>
      <x:c r="J12" s="7" t="str"/>
      <x:c r="K12" s="7" t="str"/>
      <x:c r="L12" s="7" t="str"/>
      <x:c r="M12" s="7" t="str"/>
      <x:c r="N12" s="7" t="str">
        <x:v>Le rôle, le costume et les expressions restent cohérents avec la fiche modèle interne approuvée.</x:v>
      </x:c>
      <x:c r="O12" s="7" t="str"/>
      <x:c r="P12" s="7" t="str">
        <x:v>Les Routes du silence, conception originale</x:v>
      </x:c>
      <x:c r="Q12" s="7" t="str"/>
      <x:c r="R12" s="21" t="str"/>
      <x:c r="S12" s="21" t="str">
        <x:v>Créer puis valider une fiche modèle interne : silhouette, costume, palette et expressions. Personnage original de ce fan game.</x:v>
      </x:c>
    </x:row>
  </x:sheetData>
  <x:conditionalFormatting sqref="D7:D12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12">
    <x:cfRule type="cellIs" dxfId="2" priority="3" operator="equal">
      <x:formula>"Validé"</x:formula>
    </x:cfRule>
  </x:conditionalFormatting>
  <x:conditionalFormatting sqref="E7:E12">
    <x:cfRule type="cellIs" dxfId="3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920cb9553048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ME4-NPC-ANJA</x:v>
      </x:c>
      <x:c r="B7" s="9" t="str">
        <x:v>Anja Vale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Personnage original.</x:v>
      </x:c>
      <x:c r="G7" s="9" t="str">
        <x:v>Responsable d’une communauté qui dépend des convois.</x:v>
      </x:c>
      <x:c r="H7" s="9" t="str">
        <x:v>Échanges fondés sur preuves, ressources et engagements tenus.</x:v>
      </x:c>
      <x:c r="I7" s="9" t="str">
        <x:v>Tenue civile renforcée, tablette de distribution.</x:v>
      </x:c>
      <x:c r="J7" s="9" t="str"/>
      <x:c r="K7" s="9" t="str"/>
      <x:c r="L7" s="9" t="str"/>
      <x:c r="M7" s="9" t="str"/>
      <x:c r="N7" s="9" t="str">
        <x:v>La biographie et les dialogues portent la mention adaptation.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ME4-NPC-KEST</x:v>
      </x:c>
      <x:c r="B8" s="7" t="str">
        <x:v>Kest Ralos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Personnage original.</x:v>
      </x:c>
      <x:c r="G8" s="7" t="str">
        <x:v>Capitaine indépendant qui vend des routes de passage.</x:v>
      </x:c>
      <x:c r="H8" s="7" t="str">
        <x:v>Échanges fondés sur preuves, ressources et engagements tenus.</x:v>
      </x:c>
      <x:c r="I8" s="7" t="str">
        <x:v>Manteau de bord, harnais et cicatrices dessinées originales.</x:v>
      </x:c>
      <x:c r="J8" s="7" t="str"/>
      <x:c r="K8" s="7" t="str"/>
      <x:c r="L8" s="7" t="str"/>
      <x:c r="M8" s="7" t="str"/>
      <x:c r="N8" s="7" t="str">
        <x:v>La biographie et les dialogues portent la mention adaptation.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ME4-NPC-CURATOR</x:v>
      </x:c>
      <x:c r="B9" s="9" t="str">
        <x:v>Le Conservateur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Personnage original.</x:v>
      </x:c>
      <x:c r="G9" s="9" t="str">
        <x:v>Interface d’une archive autonome créée pour l’intrigue.</x:v>
      </x:c>
      <x:c r="H9" s="9" t="str">
        <x:v>Échanges fondés sur preuves, ressources et engagements tenus.</x:v>
      </x:c>
      <x:c r="I9" s="9" t="str">
        <x:v>Visage abstrait fait de rectangles de mémoire, jamais un Moissonneur supposé.</x:v>
      </x:c>
      <x:c r="J9" s="9" t="str"/>
      <x:c r="K9" s="9" t="str"/>
      <x:c r="L9" s="9" t="str"/>
      <x:c r="M9" s="9" t="str"/>
      <x:c r="N9" s="9" t="str">
        <x:v>La biographie et les dialogues portent la mention adaptation.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ME4-NPC-NEME</x:v>
      </x:c>
      <x:c r="B10" s="7" t="str">
        <x:v>Neme Raal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Personnage original.</x:v>
      </x:c>
      <x:c r="G10" s="7" t="str">
        <x:v>Négociatrice batarienne à la tête d’une coalition locale.</x:v>
      </x:c>
      <x:c r="H10" s="7" t="str">
        <x:v>Échanges fondés sur preuves, ressources et engagements tenus.</x:v>
      </x:c>
      <x:c r="I10" s="7" t="str">
        <x:v>Tenue de travail soignée, palette bleu acier et cuivre.</x:v>
      </x:c>
      <x:c r="J10" s="7" t="str"/>
      <x:c r="K10" s="7" t="str"/>
      <x:c r="L10" s="7" t="str"/>
      <x:c r="M10" s="7" t="str"/>
      <x:c r="N10" s="7" t="str">
        <x:v>La biographie et les dialogues portent la mention adaptation.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  <x:row r="11" ht="44" customHeight="1">
      <x:c r="A11" s="18" t="str">
        <x:v>ME4-NPC-ARCHIVIST</x:v>
      </x:c>
      <x:c r="B11" s="9" t="str">
        <x:v>Émissaire de l’Ombre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Personnage original.</x:v>
      </x:c>
      <x:c r="G11" s="9" t="str">
        <x:v>Contact original servant d’accès à des archives.</x:v>
      </x:c>
      <x:c r="H11" s="9" t="str">
        <x:v>Échanges fondés sur preuves, ressources et engagements tenus.</x:v>
      </x:c>
      <x:c r="I11" s="9" t="str">
        <x:v>Portrait volontairement anonyme ; aucun retour de personnage annoncé comme officiel.</x:v>
      </x:c>
      <x:c r="J11" s="9" t="str"/>
      <x:c r="K11" s="9" t="str"/>
      <x:c r="L11" s="9" t="str"/>
      <x:c r="M11" s="9" t="str"/>
      <x:c r="N11" s="9" t="str">
        <x:v>La biographie et les dialogues portent la mention adaptation.</x:v>
      </x:c>
      <x:c r="O11" s="9" t="str"/>
      <x:c r="P11" s="9" t="str">
        <x:v>Les Routes du silence, conception originale</x:v>
      </x:c>
      <x:c r="Q11" s="9" t="str"/>
      <x:c r="R11" s="20" t="str"/>
      <x:c r="S11" s="20" t="str"/>
    </x:row>
  </x:sheetData>
  <x:conditionalFormatting sqref="D7:D11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11">
    <x:cfRule type="cellIs" dxfId="6" priority="3" operator="equal">
      <x:formula>"Validé"</x:formula>
    </x:cfRule>
  </x:conditionalFormatting>
  <x:conditionalFormatting sqref="E7:E11">
    <x:cfRule type="cellIs" dxfId="7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5c6dc6d3b437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ME4-LOR-COALITION</x:v>
      </x:c>
      <x:c r="B7" s="9" t="str">
        <x:v>Coalition des Routes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Faction originale.</x:v>
      </x:c>
      <x:c r="G7" s="9" t="str">
        <x:v>Communautés unies par un besoin logistique commun.</x:v>
      </x:c>
      <x:c r="H7" s="9" t="str">
        <x:v>Chaque accord exige une contrepartie locale vérifiable.</x:v>
      </x:c>
      <x:c r="I7" s="9" t="str">
        <x:v>Symboles de nœuds reliés, palette cuivre.</x:v>
      </x:c>
      <x:c r="J7" s="9" t="str"/>
      <x:c r="K7" s="9" t="str"/>
      <x:c r="L7" s="9" t="str"/>
      <x:c r="M7" s="9" t="str"/>
      <x:c r="N7" s="9" t="str">
        <x:v>Le codex ne confond pas coalition fan et Conseil officiel.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ME4-LOR-SIGNAL</x:v>
      </x:c>
      <x:c r="B8" s="7" t="str">
        <x:v>Copies de voix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Hypothèse de science-fiction originale.</x:v>
      </x:c>
      <x:c r="G8" s="7" t="str">
        <x:v>Une archive assemble des enregistrements pour simuler des appels.</x:v>
      </x:c>
      <x:c r="H8" s="7" t="str">
        <x:v>Preuves techniques imparfaites et témoignages humains distincts.</x:v>
      </x:c>
      <x:c r="I8" s="7" t="str">
        <x:v>Ondes avec segments manquants.</x:v>
      </x:c>
      <x:c r="J8" s="7" t="str"/>
      <x:c r="K8" s="7" t="str"/>
      <x:c r="L8" s="7" t="str"/>
      <x:c r="M8" s="7" t="str"/>
      <x:c r="N8" s="7" t="str">
        <x:v>Aucune copie n’est présentée comme une résurrection prouvée.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ME4-LOR-REBUILD</x:v>
      </x:c>
      <x:c r="B9" s="9" t="str">
        <x:v>Reconstruction des routes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Cadre original compatible avec plusieurs états de galaxie.</x:v>
      </x:c>
      <x:c r="G9" s="9" t="str">
        <x:v>Limiter le récit à une région et à ses routes locales.</x:v>
      </x:c>
      <x:c r="H9" s="9" t="str">
        <x:v>Les différences de fin de ME3 modifient contexte et dialogues, pas une vérité officielle imposée.</x:v>
      </x:c>
      <x:c r="I9" s="9" t="str">
        <x:v>Cartes fragmentaires.</x:v>
      </x:c>
      <x:c r="J9" s="9" t="str"/>
      <x:c r="K9" s="9" t="str"/>
      <x:c r="L9" s="9" t="str"/>
      <x:c r="M9" s="9" t="str"/>
      <x:c r="N9" s="9" t="str">
        <x:v>Le journal indique explicitement le profil de continuité sélectionné.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ME4-LOR-N7</x:v>
      </x:c>
      <x:c r="B10" s="7" t="str">
        <x:v>Héritage N7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Usage de référence dans une histoire fan.</x:v>
      </x:c>
      <x:c r="G10" s="7" t="str">
        <x:v>Rook peut avoir une qualification choisie, sans être Shepard.</x:v>
      </x:c>
      <x:c r="H10" s="7" t="str">
        <x:v>Profil militaire à définir au départ.</x:v>
      </x:c>
      <x:c r="I10" s="7" t="str">
        <x:v>Insigne séparé du visage et de la classe.</x:v>
      </x:c>
      <x:c r="J10" s="7" t="str"/>
      <x:c r="K10" s="7" t="str"/>
      <x:c r="L10" s="7" t="str"/>
      <x:c r="M10" s="7" t="str"/>
      <x:c r="N10" s="7" t="str">
        <x:v>Aucune identité du teaser n’est révélée par le catalogue.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</x:sheetData>
  <x:conditionalFormatting sqref="D7:D10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10">
    <x:cfRule type="cellIs" dxfId="10" priority="3" operator="equal">
      <x:formula>"Validé"</x:formula>
    </x:cfRule>
  </x:conditionalFormatting>
  <x:conditionalFormatting sqref="E7:E10">
    <x:cfRule type="cellIs" dxfId="11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f43d9ed50f43f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ME4-LOC-WAYFARER</x:v>
      </x:c>
      <x:c r="B7" s="9" t="str">
        <x:v>Wayfarer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Vaisseau original de l’équipe.</x:v>
      </x:c>
      <x:c r="G7" s="9" t="str">
        <x:v>Destination de la campagne adaptée.</x:v>
      </x:c>
      <x:c r="H7" s="9" t="str">
        <x:v>Une amélioration visible correspond à chaque investissement, sans changer les collisions du passage.</x:v>
      </x:c>
      <x:c r="I7" s="9" t="str">
        <x:v>Coque de récupération, lumière ambre, surfaces métalliques réparées.</x:v>
      </x:c>
      <x:c r="J7" s="9" t="str"/>
      <x:c r="K7" s="9" t="str"/>
      <x:c r="L7" s="9" t="str"/>
      <x:c r="M7" s="9" t="str"/>
      <x:c r="N7" s="9" t="str">
        <x:v>La destination se distingue de ses sous-zones et possède une référence.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ME4-LOC-MERCY</x:v>
      </x:c>
      <x:c r="B8" s="7" t="str">
        <x:v>Port Miséricorde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Habitat orbital original.</x:v>
      </x:c>
      <x:c r="G8" s="7" t="str">
        <x:v>Destination de la campagne adaptée.</x:v>
      </x:c>
      <x:c r="H8" s="7" t="str">
        <x:v>Trafic de civils ; les combats restent sur des quais séparés.</x:v>
      </x:c>
      <x:c r="I8" s="7" t="str">
        <x:v>Blanc jauni, jardins hydroponiques, bâches turquoise et hublots étroits.</x:v>
      </x:c>
      <x:c r="J8" s="7" t="str"/>
      <x:c r="K8" s="7" t="str"/>
      <x:c r="L8" s="7" t="str"/>
      <x:c r="M8" s="7" t="str"/>
      <x:c r="N8" s="7" t="str">
        <x:v>La destination se distingue de ses sous-zones et possède une référence.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ME4-LOC-GLASS</x:v>
      </x:c>
      <x:c r="B9" s="9" t="str">
        <x:v>Mer de verre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Monde original à surface vitrifiée.</x:v>
      </x:c>
      <x:c r="G9" s="9" t="str">
        <x:v>Destination de la campagne adaptée.</x:v>
      </x:c>
      <x:c r="H9" s="9" t="str">
        <x:v>Reflets désactivables et abris contre les balayages énergétiques.</x:v>
      </x:c>
      <x:c r="I9" s="9" t="str">
        <x:v>Verre noir, poussière rose, ciel pâle, panneaux solaires brisés.</x:v>
      </x:c>
      <x:c r="J9" s="9" t="str"/>
      <x:c r="K9" s="9" t="str"/>
      <x:c r="L9" s="9" t="str"/>
      <x:c r="M9" s="9" t="str"/>
      <x:c r="N9" s="9" t="str">
        <x:v>La destination se distingue de ses sous-zones et possède une référence.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ME4-LOC-KNOT</x:v>
      </x:c>
      <x:c r="B10" s="7" t="str">
        <x:v>Nœud 17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Chantier de relais original.</x:v>
      </x:c>
      <x:c r="G10" s="7" t="str">
        <x:v>Destination de la campagne adaptée.</x:v>
      </x:c>
      <x:c r="H10" s="7" t="str">
        <x:v>Faible gravité contrôlée par séquences, sans modifier arbitrairement les déplacements.</x:v>
      </x:c>
      <x:c r="I10" s="7" t="str">
        <x:v>Échelle monumentale, nacelles blanches, rails jaunes et vide spatial.</x:v>
      </x:c>
      <x:c r="J10" s="7" t="str"/>
      <x:c r="K10" s="7" t="str"/>
      <x:c r="L10" s="7" t="str"/>
      <x:c r="M10" s="7" t="str"/>
      <x:c r="N10" s="7" t="str">
        <x:v>La destination se distingue de ses sous-zones et possède une référence.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  <x:row r="11" ht="44" customHeight="1">
      <x:c r="A11" s="18" t="str">
        <x:v>ME4-LOC-MEMORY</x:v>
      </x:c>
      <x:c r="B11" s="9" t="str">
        <x:v>Archive des voix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Installation originale.</x:v>
      </x:c>
      <x:c r="G11" s="9" t="str">
        <x:v>Destination de la campagne adaptée.</x:v>
      </x:c>
      <x:c r="H11" s="9" t="str">
        <x:v>Fausses portes signalées par contradiction d’indices, jamais par hasard.</x:v>
      </x:c>
      <x:c r="I11" s="9" t="str">
        <x:v>Basalte synthétique, fins volumes de lumière, reflets mats.</x:v>
      </x:c>
      <x:c r="J11" s="9" t="str"/>
      <x:c r="K11" s="9" t="str"/>
      <x:c r="L11" s="9" t="str"/>
      <x:c r="M11" s="9" t="str"/>
      <x:c r="N11" s="9" t="str">
        <x:v>La destination se distingue de ses sous-zones et possède une référence.</x:v>
      </x:c>
      <x:c r="O11" s="9" t="str"/>
      <x:c r="P11" s="9" t="str">
        <x:v>Les Routes du silence, conception originale</x:v>
      </x:c>
      <x:c r="Q11" s="9" t="str"/>
      <x:c r="R11" s="20" t="str"/>
      <x:c r="S11" s="20" t="str"/>
    </x:row>
    <x:row r="12" ht="44" customHeight="1">
      <x:c r="A12" s="19" t="str">
        <x:v>ME4-LOC-TIDE</x:v>
      </x:c>
      <x:c r="B12" s="7" t="str">
        <x:v>Chantier de la Marée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Colonie industrielle originale.</x:v>
      </x:c>
      <x:c r="G12" s="7" t="str">
        <x:v>Destination de la campagne adaptée.</x:v>
      </x:c>
      <x:c r="H12" s="7" t="str">
        <x:v>Niveau de l’eau prévisible lié à deux vannes accessibles.</x:v>
      </x:c>
      <x:c r="I12" s="7" t="str">
        <x:v>Béton salin, eau sombre, grues basses et drapeaux de convois.</x:v>
      </x:c>
      <x:c r="J12" s="7" t="str"/>
      <x:c r="K12" s="7" t="str"/>
      <x:c r="L12" s="7" t="str"/>
      <x:c r="M12" s="7" t="str"/>
      <x:c r="N12" s="7" t="str">
        <x:v>La destination se distingue de ses sous-zones et possède une référence.</x:v>
      </x:c>
      <x:c r="O12" s="7" t="str"/>
      <x:c r="P12" s="7" t="str">
        <x:v>Les Routes du silence, conception originale</x:v>
      </x:c>
      <x:c r="Q12" s="7" t="str"/>
      <x:c r="R12" s="21" t="str"/>
      <x:c r="S12" s="21" t="str"/>
    </x:row>
  </x:sheetData>
  <x:conditionalFormatting sqref="D7:D12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12">
    <x:cfRule type="cellIs" dxfId="14" priority="3" operator="equal">
      <x:formula>"Validé"</x:formula>
    </x:cfRule>
  </x:conditionalFormatting>
  <x:conditionalFormatting sqref="E7:E12">
    <x:cfRule type="cellIs" dxfId="15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0b967b3663486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ME4-MAP-WAYFARER</x:v>
      </x:c>
      <x:c r="B7" s="9" t="str">
        <x:v>Plan jouable : Wayfarer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Plan original à construire.</x:v>
      </x:c>
      <x:c r="G7" s="9" t="str">
        <x:v>Pont, salon commun, atelier, infirmerie et soute reliés par coursive centrale.</x:v>
      </x:c>
      <x:c r="H7" s="9" t="str">
        <x:v>Une amélioration visible correspond à chaque investissement, sans changer les collisions du passage.</x:v>
      </x:c>
      <x:c r="I7" s="9" t="str">
        <x:v>Coque de récupération, lumière ambre, surfaces métalliques réparées.</x:v>
      </x:c>
      <x:c r="J7" s="9" t="str"/>
      <x:c r="K7" s="9" t="str"/>
      <x:c r="L7" s="9" t="str">
        <x:v>Graphe de navigation, colliders 3D, ancres de caméra fixe, déclencheurs et spawn séparés.</x:v>
      </x:c>
      <x:c r="M7" s="9" t="str">
        <x:v>Dimensions et distribution originales. Vérifier le blockout contre le plan interne approuvé, puis tester navigation et cadrages.</x:v>
      </x:c>
      <x:c r="N7" s="9" t="str">
        <x:v>Chaque objectif et sortie est atteignable. Aucun changement de caméra ne masque une interaction.</x:v>
      </x:c>
      <x:c r="O7" s="9" t="str">
        <x:v>ME4-LOC-WAYFARER</x:v>
      </x:c>
      <x:c r="P7" s="9" t="str">
        <x:v>Les Routes du silence, conception originale</x:v>
      </x:c>
      <x:c r="Q7" s="9" t="str"/>
      <x:c r="R7" s="20" t="str"/>
      <x:c r="S7" s="20" t="str"/>
    </x:row>
    <x:row r="8" ht="54" customHeight="1">
      <x:c r="A8" s="19" t="str">
        <x:v>ME4-MAP-MERCY</x:v>
      </x:c>
      <x:c r="B8" s="7" t="str">
        <x:v>Plan jouable : Port Miséricorde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Plan original à construire.</x:v>
      </x:c>
      <x:c r="G8" s="7" t="str">
        <x:v>Anneau public, quai de fret, niveau agricole et atelier de route.</x:v>
      </x:c>
      <x:c r="H8" s="7" t="str">
        <x:v>Trafic de civils ; les combats restent sur des quais séparés.</x:v>
      </x:c>
      <x:c r="I8" s="7" t="str">
        <x:v>Blanc jauni, jardins hydroponiques, bâches turquoise et hublots étroits.</x:v>
      </x:c>
      <x:c r="J8" s="7" t="str"/>
      <x:c r="K8" s="7" t="str"/>
      <x:c r="L8" s="7" t="str">
        <x:v>Graphe de navigation, colliders 3D, ancres de caméra fixe, déclencheurs et spawn séparés.</x:v>
      </x:c>
      <x:c r="M8" s="7" t="str">
        <x:v>Dimensions et distribution originales. Vérifier le blockout contre le plan interne approuvé, puis tester navigation et cadrages.</x:v>
      </x:c>
      <x:c r="N8" s="7" t="str">
        <x:v>Chaque objectif et sortie est atteignable. Aucun changement de caméra ne masque une interaction.</x:v>
      </x:c>
      <x:c r="O8" s="7" t="str">
        <x:v>ME4-LOC-MERCY</x:v>
      </x:c>
      <x:c r="P8" s="7" t="str">
        <x:v>Les Routes du silence, conception originale</x:v>
      </x:c>
      <x:c r="Q8" s="7" t="str"/>
      <x:c r="R8" s="21" t="str"/>
      <x:c r="S8" s="21" t="str"/>
    </x:row>
    <x:row r="9" ht="54" customHeight="1">
      <x:c r="A9" s="18" t="str">
        <x:v>ME4-MAP-GLASS</x:v>
      </x:c>
      <x:c r="B9" s="9" t="str">
        <x:v>Plan jouable : Mer de verre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Plan original à construire.</x:v>
      </x:c>
      <x:c r="G9" s="9" t="str">
        <x:v>Plateau d’arrivée, canyon réfléchissant, station enfouie et refuge.</x:v>
      </x:c>
      <x:c r="H9" s="9" t="str">
        <x:v>Reflets désactivables et abris contre les balayages énergétiques.</x:v>
      </x:c>
      <x:c r="I9" s="9" t="str">
        <x:v>Verre noir, poussière rose, ciel pâle, panneaux solaires brisés.</x:v>
      </x:c>
      <x:c r="J9" s="9" t="str"/>
      <x:c r="K9" s="9" t="str"/>
      <x:c r="L9" s="9" t="str">
        <x:v>Graphe de navigation, colliders 3D, ancres de caméra fixe, déclencheurs et spawn séparés.</x:v>
      </x:c>
      <x:c r="M9" s="9" t="str">
        <x:v>Dimensions et distribution originales. Vérifier le blockout contre le plan interne approuvé, puis tester navigation et cadrages.</x:v>
      </x:c>
      <x:c r="N9" s="9" t="str">
        <x:v>Chaque objectif et sortie est atteignable. Aucun changement de caméra ne masque une interaction.</x:v>
      </x:c>
      <x:c r="O9" s="9" t="str">
        <x:v>ME4-LOC-GLASS</x:v>
      </x:c>
      <x:c r="P9" s="9" t="str">
        <x:v>Les Routes du silence, conception originale</x:v>
      </x:c>
      <x:c r="Q9" s="9" t="str"/>
      <x:c r="R9" s="20" t="str"/>
      <x:c r="S9" s="20" t="str"/>
    </x:row>
    <x:row r="10" ht="54" customHeight="1">
      <x:c r="A10" s="19" t="str">
        <x:v>ME4-MAP-KNOT</x:v>
      </x:c>
      <x:c r="B10" s="7" t="str">
        <x:v>Plan jouable : Nœud 17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Plan original à construire.</x:v>
      </x:c>
      <x:c r="G10" s="7" t="str">
        <x:v>Docks, ossature annulaire, capsules de maintenance et chambre de commande.</x:v>
      </x:c>
      <x:c r="H10" s="7" t="str">
        <x:v>Faible gravité contrôlée par séquences, sans modifier arbitrairement les déplacements.</x:v>
      </x:c>
      <x:c r="I10" s="7" t="str">
        <x:v>Échelle monumentale, nacelles blanches, rails jaunes et vide spatial.</x:v>
      </x:c>
      <x:c r="J10" s="7" t="str"/>
      <x:c r="K10" s="7" t="str"/>
      <x:c r="L10" s="7" t="str">
        <x:v>Graphe de navigation, colliders 3D, ancres de caméra fixe, déclencheurs et spawn séparés.</x:v>
      </x:c>
      <x:c r="M10" s="7" t="str">
        <x:v>Dimensions et distribution originales. Vérifier le blockout contre le plan interne approuvé, puis tester navigation et cadrages.</x:v>
      </x:c>
      <x:c r="N10" s="7" t="str">
        <x:v>Chaque objectif et sortie est atteignable. Aucun changement de caméra ne masque une interaction.</x:v>
      </x:c>
      <x:c r="O10" s="7" t="str">
        <x:v>ME4-LOC-KNOT</x:v>
      </x:c>
      <x:c r="P10" s="7" t="str">
        <x:v>Les Routes du silence, conception originale</x:v>
      </x:c>
      <x:c r="Q10" s="7" t="str"/>
      <x:c r="R10" s="21" t="str"/>
      <x:c r="S10" s="21" t="str"/>
    </x:row>
    <x:row r="11" ht="54" customHeight="1">
      <x:c r="A11" s="18" t="str">
        <x:v>ME4-MAP-MEMORY</x:v>
      </x:c>
      <x:c r="B11" s="9" t="str">
        <x:v>Plan jouable : Archive des voix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Plan original à construire.</x:v>
      </x:c>
      <x:c r="G11" s="9" t="str">
        <x:v>Vestibule, chambres d’archives, salle des copies et cœur de stockage.</x:v>
      </x:c>
      <x:c r="H11" s="9" t="str">
        <x:v>Fausses portes signalées par contradiction d’indices, jamais par hasard.</x:v>
      </x:c>
      <x:c r="I11" s="9" t="str">
        <x:v>Basalte synthétique, fins volumes de lumière, reflets mats.</x:v>
      </x:c>
      <x:c r="J11" s="9" t="str"/>
      <x:c r="K11" s="9" t="str"/>
      <x:c r="L11" s="9" t="str">
        <x:v>Graphe de navigation, colliders 3D, ancres de caméra fixe, déclencheurs et spawn séparés.</x:v>
      </x:c>
      <x:c r="M11" s="9" t="str">
        <x:v>Dimensions et distribution originales. Vérifier le blockout contre le plan interne approuvé, puis tester navigation et cadrages.</x:v>
      </x:c>
      <x:c r="N11" s="9" t="str">
        <x:v>Chaque objectif et sortie est atteignable. Aucun changement de caméra ne masque une interaction.</x:v>
      </x:c>
      <x:c r="O11" s="9" t="str">
        <x:v>ME4-LOC-MEMORY</x:v>
      </x:c>
      <x:c r="P11" s="9" t="str">
        <x:v>Les Routes du silence, conception originale</x:v>
      </x:c>
      <x:c r="Q11" s="9" t="str"/>
      <x:c r="R11" s="20" t="str"/>
      <x:c r="S11" s="20" t="str"/>
    </x:row>
    <x:row r="12" ht="54" customHeight="1">
      <x:c r="A12" s="19" t="str">
        <x:v>ME4-MAP-TIDE</x:v>
      </x:c>
      <x:c r="B12" s="7" t="str">
        <x:v>Plan jouable : Chantier de la Marée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Plan original à construire.</x:v>
      </x:c>
      <x:c r="G12" s="7" t="str">
        <x:v>Digue, pompes, quartier surélevé et tour de négociation.</x:v>
      </x:c>
      <x:c r="H12" s="7" t="str">
        <x:v>Niveau de l’eau prévisible lié à deux vannes accessibles.</x:v>
      </x:c>
      <x:c r="I12" s="7" t="str">
        <x:v>Béton salin, eau sombre, grues basses et drapeaux de convois.</x:v>
      </x:c>
      <x:c r="J12" s="7" t="str"/>
      <x:c r="K12" s="7" t="str"/>
      <x:c r="L12" s="7" t="str">
        <x:v>Graphe de navigation, colliders 3D, ancres de caméra fixe, déclencheurs et spawn séparés.</x:v>
      </x:c>
      <x:c r="M12" s="7" t="str">
        <x:v>Dimensions et distribution originales. Vérifier le blockout contre le plan interne approuvé, puis tester navigation et cadrages.</x:v>
      </x:c>
      <x:c r="N12" s="7" t="str">
        <x:v>Chaque objectif et sortie est atteignable. Aucun changement de caméra ne masque une interaction.</x:v>
      </x:c>
      <x:c r="O12" s="7" t="str">
        <x:v>ME4-LOC-TIDE</x:v>
      </x:c>
      <x:c r="P12" s="7" t="str">
        <x:v>Les Routes du silence, conception originale</x:v>
      </x:c>
      <x:c r="Q12" s="7" t="str"/>
      <x:c r="R12" s="21" t="str"/>
      <x:c r="S12" s="21" t="str"/>
    </x:row>
  </x:sheetData>
  <x:conditionalFormatting sqref="D7:D12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12">
    <x:cfRule type="cellIs" dxfId="18" priority="3" operator="equal">
      <x:formula>"Validé"</x:formula>
    </x:cfRule>
  </x:conditionalFormatting>
  <x:conditionalFormatting sqref="E7:E12">
    <x:cfRule type="cellIs" dxfId="19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e0170c66264a1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ME4-LNK-LOCAL</x:v>
      </x:c>
      <x:c r="B7" s="9" t="str">
        <x:v>Réseau régional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Topologie originale.</x:v>
      </x:c>
      <x:c r="G7" s="9" t="str">
        <x:v>Wayfarer vers Port Miséricorde ; trois routes locales déverrouillées par le chantier.</x:v>
      </x:c>
      <x:c r="H7" s="9" t="str">
        <x:v>Prévoir retour depuis chaque destination avant le final.</x:v>
      </x:c>
      <x:c r="I7" s="9" t="str">
        <x:v>Carte de nœuds avec état de service.</x:v>
      </x:c>
      <x:c r="J7" s="9" t="str"/>
      <x:c r="K7" s="9" t="str"/>
      <x:c r="L7" s="9" t="str"/>
      <x:c r="M7" s="9" t="str"/>
      <x:c r="N7" s="9" t="str">
        <x:v>Aucune route ne dépend d’un relais supposé officiel du jeu annulé.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ME4-LNK-ARCHIVE</x:v>
      </x:c>
      <x:c r="B8" s="7" t="str">
        <x:v>Accès aux archives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Transition originale.</x:v>
      </x:c>
      <x:c r="G8" s="7" t="str">
        <x:v>Deux chemins : accord logistique ou réparation du pont.</x:v>
      </x:c>
      <x:c r="H8" s="7" t="str">
        <x:v>Les chemins rejoignent le même vestibule avec des réactions différentes.</x:v>
      </x:c>
      <x:c r="I8" s="7" t="str">
        <x:v>Portes distinctes mais repères identiques à l’intérieur.</x:v>
      </x:c>
      <x:c r="J8" s="7" t="str"/>
      <x:c r="K8" s="7" t="str"/>
      <x:c r="L8" s="7" t="str"/>
      <x:c r="M8" s="7" t="str"/>
      <x:c r="N8" s="7" t="str">
        <x:v>L’entrée alternative ne contourne pas l’explication du système de copies.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ME4-LNK-FINAL</x:v>
      </x:c>
      <x:c r="B9" s="9" t="str">
        <x:v>Point de non-retour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Règle de progression.</x:v>
      </x:c>
      <x:c r="G9" s="9" t="str">
        <x:v>Vérifier quêtes de personnages et afficher les demandes non résolues avant le siège.</x:v>
      </x:c>
      <x:c r="H9" s="9" t="str">
        <x:v>Sauvegarde dédiée et retour au hub possible avant confirmation.</x:v>
      </x:c>
      <x:c r="I9" s="9" t="str">
        <x:v>Écran de préparation sobre.</x:v>
      </x:c>
      <x:c r="J9" s="9" t="str"/>
      <x:c r="K9" s="9" t="str"/>
      <x:c r="L9" s="9" t="str"/>
      <x:c r="M9" s="9" t="str"/>
      <x:c r="N9" s="9" t="str">
        <x:v>Le final ne démarre pas en ouvrant simplement la carte.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</x:sheetData>
  <x:conditionalFormatting sqref="D7:D9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9">
    <x:cfRule type="cellIs" dxfId="22" priority="3" operator="equal">
      <x:formula>"Validé"</x:formula>
    </x:cfRule>
  </x:conditionalFormatting>
  <x:conditionalFormatting sqref="E7:E9">
    <x:cfRule type="cellIs" dxfId="2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7dcd0004664b3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ME4-SET-WAYFARER</x:v>
      </x:c>
      <x:c r="B7" s="9" t="str">
        <x:v>Décor 3D : Wayfarer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Direction artistique proposée à partir du lieu.</x:v>
      </x:c>
      <x:c r="G7" s="9" t="str">
        <x:v>Coque de récupération, lumière ambre, surfaces métalliques réparées.</x:v>
      </x:c>
      <x:c r="H7" s="9" t="str">
        <x:v>Obstacles solides en 3D, personnages et accessoires animés en billboards 2D.</x:v>
      </x:c>
      <x:c r="I7" s="9" t="str">
        <x:v>Palette de travail : Coque de récupération, lumière ambre, surfaces métalliques réparées.</x:v>
      </x:c>
      <x:c r="J7" s="9" t="str">
        <x:v>Animer seulement les éléments environnementaux nécessaires à la lecture du lieu.</x:v>
      </x:c>
      <x:c r="K7" s="9" t="str">
        <x:v>Ambiance originale située dans Wayfarer, sources proches distinctes du fond, boucle sans coupure.</x:v>
      </x:c>
      <x:c r="L7" s="9" t="str">
        <x:v>Meshes modulaires, matériaux PBR sobres, lumière indirecte et masque d’occlusion pour sprites.</x:v>
      </x:c>
      <x:c r="M7" s="9" t="str"/>
      <x:c r="N7" s="9" t="str">
        <x:v>Pas de scintillement des transparences. Les ombres des sprites suivent le sol et les passerelles.</x:v>
      </x:c>
      <x:c r="O7" s="9" t="str">
        <x:v>ME4-MAP-WAYFARER</x:v>
      </x:c>
      <x:c r="P7" s="9" t="str">
        <x:v>Les Routes du silence, conception originale</x:v>
      </x:c>
      <x:c r="Q7" s="9" t="str"/>
      <x:c r="R7" s="20" t="str"/>
      <x:c r="S7" s="20" t="str"/>
    </x:row>
    <x:row r="8" ht="54" customHeight="1">
      <x:c r="A8" s="19" t="str">
        <x:v>ME4-SET-MERCY</x:v>
      </x:c>
      <x:c r="B8" s="7" t="str">
        <x:v>Décor 3D : Port Miséricorde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Direction artistique proposée à partir du lieu.</x:v>
      </x:c>
      <x:c r="G8" s="7" t="str">
        <x:v>Blanc jauni, jardins hydroponiques, bâches turquoise et hublots étroits.</x:v>
      </x:c>
      <x:c r="H8" s="7" t="str">
        <x:v>Obstacles solides en 3D, personnages et accessoires animés en billboards 2D.</x:v>
      </x:c>
      <x:c r="I8" s="7" t="str">
        <x:v>Palette de travail : Blanc jauni, jardins hydroponiques, bâches turquoise et hublots étroits.</x:v>
      </x:c>
      <x:c r="J8" s="7" t="str">
        <x:v>Animer seulement les éléments environnementaux nécessaires à la lecture du lieu.</x:v>
      </x:c>
      <x:c r="K8" s="7" t="str">
        <x:v>Ambiance originale située dans Port Miséricorde, sources proches distinctes du fond, boucle sans coupure.</x:v>
      </x:c>
      <x:c r="L8" s="7" t="str">
        <x:v>Meshes modulaires, matériaux PBR sobres, lumière indirecte et masque d’occlusion pour sprites.</x:v>
      </x:c>
      <x:c r="M8" s="7" t="str"/>
      <x:c r="N8" s="7" t="str">
        <x:v>Pas de scintillement des transparences. Les ombres des sprites suivent le sol et les passerelles.</x:v>
      </x:c>
      <x:c r="O8" s="7" t="str">
        <x:v>ME4-MAP-MERCY</x:v>
      </x:c>
      <x:c r="P8" s="7" t="str">
        <x:v>Les Routes du silence, conception originale</x:v>
      </x:c>
      <x:c r="Q8" s="7" t="str"/>
      <x:c r="R8" s="21" t="str"/>
      <x:c r="S8" s="21" t="str"/>
    </x:row>
    <x:row r="9" ht="54" customHeight="1">
      <x:c r="A9" s="18" t="str">
        <x:v>ME4-SET-GLASS</x:v>
      </x:c>
      <x:c r="B9" s="9" t="str">
        <x:v>Décor 3D : Mer de verre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Direction artistique proposée à partir du lieu.</x:v>
      </x:c>
      <x:c r="G9" s="9" t="str">
        <x:v>Verre noir, poussière rose, ciel pâle, panneaux solaires brisés.</x:v>
      </x:c>
      <x:c r="H9" s="9" t="str">
        <x:v>Obstacles solides en 3D, personnages et accessoires animés en billboards 2D.</x:v>
      </x:c>
      <x:c r="I9" s="9" t="str">
        <x:v>Palette de travail : Verre noir, poussière rose, ciel pâle, panneaux solaires brisés.</x:v>
      </x:c>
      <x:c r="J9" s="9" t="str">
        <x:v>Animer seulement les éléments environnementaux nécessaires à la lecture du lieu.</x:v>
      </x:c>
      <x:c r="K9" s="9" t="str">
        <x:v>Ambiance originale située dans Mer de verre, sources proches distinctes du fond, boucle sans coupure.</x:v>
      </x:c>
      <x:c r="L9" s="9" t="str">
        <x:v>Meshes modulaires, matériaux PBR sobres, lumière indirecte et masque d’occlusion pour sprites.</x:v>
      </x:c>
      <x:c r="M9" s="9" t="str"/>
      <x:c r="N9" s="9" t="str">
        <x:v>Pas de scintillement des transparences. Les ombres des sprites suivent le sol et les passerelles.</x:v>
      </x:c>
      <x:c r="O9" s="9" t="str">
        <x:v>ME4-MAP-GLASS</x:v>
      </x:c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ME4-SET-KNOT</x:v>
      </x:c>
      <x:c r="B10" s="7" t="str">
        <x:v>Décor 3D : Nœud 17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Direction artistique proposée à partir du lieu.</x:v>
      </x:c>
      <x:c r="G10" s="7" t="str">
        <x:v>Échelle monumentale, nacelles blanches, rails jaunes et vide spatial.</x:v>
      </x:c>
      <x:c r="H10" s="7" t="str">
        <x:v>Obstacles solides en 3D, personnages et accessoires animés en billboards 2D.</x:v>
      </x:c>
      <x:c r="I10" s="7" t="str">
        <x:v>Palette de travail : Échelle monumentale, nacelles blanches, rails jaunes et vide spatial.</x:v>
      </x:c>
      <x:c r="J10" s="7" t="str">
        <x:v>Animer seulement les éléments environnementaux nécessaires à la lecture du lieu.</x:v>
      </x:c>
      <x:c r="K10" s="7" t="str">
        <x:v>Ambiance originale située dans Nœud 17, sources proches distinctes du fond, boucle sans coupure.</x:v>
      </x:c>
      <x:c r="L10" s="7" t="str">
        <x:v>Meshes modulaires, matériaux PBR sobres, lumière indirecte et masque d’occlusion pour sprites.</x:v>
      </x:c>
      <x:c r="M10" s="7" t="str"/>
      <x:c r="N10" s="7" t="str">
        <x:v>Pas de scintillement des transparences. Les ombres des sprites suivent le sol et les passerelles.</x:v>
      </x:c>
      <x:c r="O10" s="7" t="str">
        <x:v>ME4-MAP-KNOT</x:v>
      </x:c>
      <x:c r="P10" s="7" t="str">
        <x:v>Les Routes du silence, conception originale</x:v>
      </x:c>
      <x:c r="Q10" s="7" t="str"/>
      <x:c r="R10" s="21" t="str"/>
      <x:c r="S10" s="21" t="str"/>
    </x:row>
    <x:row r="11" ht="54" customHeight="1">
      <x:c r="A11" s="18" t="str">
        <x:v>ME4-SET-MEMORY</x:v>
      </x:c>
      <x:c r="B11" s="9" t="str">
        <x:v>Décor 3D : Archive des voix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Direction artistique proposée à partir du lieu.</x:v>
      </x:c>
      <x:c r="G11" s="9" t="str">
        <x:v>Basalte synthétique, fins volumes de lumière, reflets mats.</x:v>
      </x:c>
      <x:c r="H11" s="9" t="str">
        <x:v>Obstacles solides en 3D, personnages et accessoires animés en billboards 2D.</x:v>
      </x:c>
      <x:c r="I11" s="9" t="str">
        <x:v>Palette de travail : Basalte synthétique, fins volumes de lumière, reflets mats.</x:v>
      </x:c>
      <x:c r="J11" s="9" t="str">
        <x:v>Animer seulement les éléments environnementaux nécessaires à la lecture du lieu.</x:v>
      </x:c>
      <x:c r="K11" s="9" t="str">
        <x:v>Ambiance originale située dans Archive des voix, sources proches distinctes du fond, boucle sans coupure.</x:v>
      </x:c>
      <x:c r="L11" s="9" t="str">
        <x:v>Meshes modulaires, matériaux PBR sobres, lumière indirecte et masque d’occlusion pour sprites.</x:v>
      </x:c>
      <x:c r="M11" s="9" t="str"/>
      <x:c r="N11" s="9" t="str">
        <x:v>Pas de scintillement des transparences. Les ombres des sprites suivent le sol et les passerelles.</x:v>
      </x:c>
      <x:c r="O11" s="9" t="str">
        <x:v>ME4-MAP-MEMORY</x:v>
      </x:c>
      <x:c r="P11" s="9" t="str">
        <x:v>Les Routes du silence, conception originale</x:v>
      </x:c>
      <x:c r="Q11" s="9" t="str"/>
      <x:c r="R11" s="20" t="str"/>
      <x:c r="S11" s="20" t="str"/>
    </x:row>
    <x:row r="12" ht="54" customHeight="1">
      <x:c r="A12" s="19" t="str">
        <x:v>ME4-SET-TIDE</x:v>
      </x:c>
      <x:c r="B12" s="7" t="str">
        <x:v>Décor 3D : Chantier de la Marée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Direction artistique proposée à partir du lieu.</x:v>
      </x:c>
      <x:c r="G12" s="7" t="str">
        <x:v>Béton salin, eau sombre, grues basses et drapeaux de convois.</x:v>
      </x:c>
      <x:c r="H12" s="7" t="str">
        <x:v>Obstacles solides en 3D, personnages et accessoires animés en billboards 2D.</x:v>
      </x:c>
      <x:c r="I12" s="7" t="str">
        <x:v>Palette de travail : Béton salin, eau sombre, grues basses et drapeaux de convois.</x:v>
      </x:c>
      <x:c r="J12" s="7" t="str">
        <x:v>Animer seulement les éléments environnementaux nécessaires à la lecture du lieu.</x:v>
      </x:c>
      <x:c r="K12" s="7" t="str">
        <x:v>Ambiance originale située dans Chantier de la Marée, sources proches distinctes du fond, boucle sans coupure.</x:v>
      </x:c>
      <x:c r="L12" s="7" t="str">
        <x:v>Meshes modulaires, matériaux PBR sobres, lumière indirecte et masque d’occlusion pour sprites.</x:v>
      </x:c>
      <x:c r="M12" s="7" t="str"/>
      <x:c r="N12" s="7" t="str">
        <x:v>Pas de scintillement des transparences. Les ombres des sprites suivent le sol et les passerelles.</x:v>
      </x:c>
      <x:c r="O12" s="7" t="str">
        <x:v>ME4-MAP-TIDE</x:v>
      </x:c>
      <x:c r="P12" s="7" t="str">
        <x:v>Les Routes du silence, conception originale</x:v>
      </x:c>
      <x:c r="Q12" s="7" t="str"/>
      <x:c r="R12" s="21" t="str"/>
      <x:c r="S12" s="21" t="str"/>
    </x:row>
  </x:sheetData>
  <x:conditionalFormatting sqref="D7:D12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12">
    <x:cfRule type="cellIs" dxfId="26" priority="3" operator="equal">
      <x:formula>"Validé"</x:formula>
    </x:cfRule>
  </x:conditionalFormatting>
  <x:conditionalFormatting sqref="E7:E12">
    <x:cfRule type="cellIs" dxfId="27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1396b5a7d8491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ME4-PRP-BEACON</x:v>
      </x:c>
      <x:c r="B7" s="9" t="str">
        <x:v>Balise de convoi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Objet original.</x:v>
      </x:c>
      <x:c r="G7" s="9" t="str">
        <x:v>Support 3D et halo 2D, manipulable en exploration.</x:v>
      </x:c>
      <x:c r="H7" s="9" t="str">
        <x:v>État actif lié à la route ouverte.</x:v>
      </x:c>
      <x:c r="I7" s="9" t="str">
        <x:v>Boîtier blanc, orange et acier.</x:v>
      </x:c>
      <x:c r="J7" s="9" t="str"/>
      <x:c r="K7" s="9" t="str"/>
      <x:c r="L7" s="9" t="str"/>
      <x:c r="M7" s="9" t="str"/>
      <x:c r="N7" s="9" t="str">
        <x:v>Balise et carte partagent le même état de service.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ME4-PRP-VALVE</x:v>
      </x:c>
      <x:c r="B8" s="7" t="str">
        <x:v>Vanne de digue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Objet original.</x:v>
      </x:c>
      <x:c r="G8" s="7" t="str">
        <x:v>Volant mécanique lisible avec repère de sens.</x:v>
      </x:c>
      <x:c r="H8" s="7" t="str">
        <x:v>Changer le niveau d’eau une seule fois par résolution.</x:v>
      </x:c>
      <x:c r="I8" s="7" t="str">
        <x:v>Peinture écaillée et axe central.</x:v>
      </x:c>
      <x:c r="J8" s="7" t="str"/>
      <x:c r="K8" s="7" t="str"/>
      <x:c r="L8" s="7" t="str"/>
      <x:c r="M8" s="7" t="str"/>
      <x:c r="N8" s="7" t="str">
        <x:v>La position visuelle suit l’état de collision de l’eau.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ME4-PRP-RECORD</x:v>
      </x:c>
      <x:c r="B9" s="9" t="str">
        <x:v>Bobine de mémoire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Objet original.</x:v>
      </x:c>
      <x:c r="G9" s="9" t="str">
        <x:v>Capsule d’archive avec prévisualisation textuelle.</x:v>
      </x:c>
      <x:c r="H9" s="9" t="str">
        <x:v>Une copie peut être consultée sans être importée dans le journal principal.</x:v>
      </x:c>
      <x:c r="I9" s="9" t="str">
        <x:v>Verre mat et repère lumineux.</x:v>
      </x:c>
      <x:c r="J9" s="9" t="str"/>
      <x:c r="K9" s="9" t="str"/>
      <x:c r="L9" s="9" t="str"/>
      <x:c r="M9" s="9" t="str"/>
      <x:c r="N9" s="9" t="str">
        <x:v>Chaque consultation indique l’origine réelle ou simulée du message.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ME4-PRP-SKIFF</x:v>
      </x:c>
      <x:c r="B10" s="7" t="str">
        <x:v>Skiff de maintenance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Véhicule original.</x:v>
      </x:c>
      <x:c r="G10" s="7" t="str">
        <x:v>Navette courte sur rail de maintenance.</x:v>
      </x:c>
      <x:c r="H10" s="7" t="str">
        <x:v>Séquence de déplacement dirigée entre deux plateformes.</x:v>
      </x:c>
      <x:c r="I10" s="7" t="str">
        <x:v>Cabine ouverte, harnais, moteur dorsal.</x:v>
      </x:c>
      <x:c r="J10" s="7" t="str"/>
      <x:c r="K10" s="7" t="str"/>
      <x:c r="L10" s="7" t="str"/>
      <x:c r="M10" s="7" t="str"/>
      <x:c r="N10" s="7" t="str">
        <x:v>Le joueur garde une possibilité de reprendre après une chute.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</x:sheetData>
  <x:conditionalFormatting sqref="D7:D10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10">
    <x:cfRule type="cellIs" dxfId="30" priority="3" operator="equal">
      <x:formula>"Validé"</x:formula>
    </x:cfRule>
  </x:conditionalFormatting>
  <x:conditionalFormatting sqref="E7:E10">
    <x:cfRule type="cellIs" dxfId="31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98704391b84d2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ME4-ENM-SCAV</x:v>
      </x:c>
      <x:c r="B7" s="9" t="str">
        <x:v>Récupérateur armé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Adversaire original.</x:v>
      </x:c>
      <x:c r="G7" s="9" t="str">
        <x:v>Archétype ATB : Tir opportuniste puis déplacement vers une ressource.</x:v>
      </x:c>
      <x:c r="H7" s="9" t="str">
        <x:v>Proposition : Tir opportuniste puis déplacement vers une ressource. Réponse : Prendre le contrôle de la ressource ou négocier avant le combat.</x:v>
      </x:c>
      <x:c r="I7" s="9" t="str">
        <x:v>Armure bricolée, sac de récupérateur.</x:v>
      </x:c>
      <x:c r="J7" s="9" t="str"/>
      <x:c r="K7" s="9" t="str"/>
      <x:c r="L7" s="9" t="str"/>
      <x:c r="M7" s="9" t="str"/>
      <x:c r="N7" s="9" t="str">
        <x:v>L’adversaire peut être identifié avant son premier coup et possède une réponse accessible.</x:v>
      </x:c>
      <x:c r="O7" s="9" t="str"/>
      <x:c r="P7" s="9" t="str">
        <x:v>Les Routes du silence, conception originale</x:v>
      </x:c>
      <x:c r="Q7" s="9" t="str"/>
      <x:c r="R7" s="20" t="str"/>
      <x:c r="S7" s="20" t="str">
        <x:v>PV, dégâts, cadence et nombre d’unités à équilibrer pour le fan game.</x:v>
      </x:c>
    </x:row>
    <x:row r="8" ht="54" customHeight="1">
      <x:c r="A8" s="19" t="str">
        <x:v>ME4-ENM-JAMMER</x:v>
      </x:c>
      <x:c r="B8" s="7" t="str">
        <x:v>Brouilleur de route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Drone original.</x:v>
      </x:c>
      <x:c r="G8" s="7" t="str">
        <x:v>Archétype ATB : Retarde les pouvoirs techniques dans un rayon visible.</x:v>
      </x:c>
      <x:c r="H8" s="7" t="str">
        <x:v>Proposition : Retarde les pouvoirs techniques dans un rayon visible. Réponse : Briser l’antenne ou sortir du rayon.</x:v>
      </x:c>
      <x:c r="I8" s="7" t="str">
        <x:v>Anneau tournant et trois antennes.</x:v>
      </x:c>
      <x:c r="J8" s="7" t="str"/>
      <x:c r="K8" s="7" t="str"/>
      <x:c r="L8" s="7" t="str"/>
      <x:c r="M8" s="7" t="str"/>
      <x:c r="N8" s="7" t="str">
        <x:v>L’adversaire peut être identifié avant son premier coup et possède une réponse accessible.</x:v>
      </x:c>
      <x:c r="O8" s="7" t="str"/>
      <x:c r="P8" s="7" t="str">
        <x:v>Les Routes du silence, conception originale</x:v>
      </x:c>
      <x:c r="Q8" s="7" t="str"/>
      <x:c r="R8" s="21" t="str"/>
      <x:c r="S8" s="21" t="str">
        <x:v>PV, dégâts, cadence et nombre d’unités à équilibrer pour le fan game.</x:v>
      </x:c>
    </x:row>
    <x:row r="9" ht="54" customHeight="1">
      <x:c r="A9" s="18" t="str">
        <x:v>ME4-ENM-ANCHOR</x:v>
      </x:c>
      <x:c r="B9" s="9" t="str">
        <x:v>Garde d’ancrage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Automate original.</x:v>
      </x:c>
      <x:c r="G9" s="9" t="str">
        <x:v>Archétype ATB : Protège un point fixe et accumule de l’énergie.</x:v>
      </x:c>
      <x:c r="H9" s="9" t="str">
        <x:v>Proposition : Protège un point fixe et accumule de l’énergie. Réponse : Détruire les câbles externes pendant la charge.</x:v>
      </x:c>
      <x:c r="I9" s="9" t="str">
        <x:v>Jambes larges et cœur en forme de verrou.</x:v>
      </x:c>
      <x:c r="J9" s="9" t="str"/>
      <x:c r="K9" s="9" t="str"/>
      <x:c r="L9" s="9" t="str"/>
      <x:c r="M9" s="9" t="str"/>
      <x:c r="N9" s="9" t="str">
        <x:v>L’adversaire peut être identifié avant son premier coup et possède une réponse accessible.</x:v>
      </x:c>
      <x:c r="O9" s="9" t="str"/>
      <x:c r="P9" s="9" t="str">
        <x:v>Les Routes du silence, conception originale</x:v>
      </x:c>
      <x:c r="Q9" s="9" t="str"/>
      <x:c r="R9" s="20" t="str"/>
      <x:c r="S9" s="20" t="str">
        <x:v>PV, dégâts, cadence et nombre d’unités à équilibrer pour le fan game.</x:v>
      </x:c>
    </x:row>
    <x:row r="10" ht="54" customHeight="1">
      <x:c r="A10" s="19" t="str">
        <x:v>ME4-ENM-ECHO</x:v>
      </x:c>
      <x:c r="B10" s="7" t="str">
        <x:v>Projection Écho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Simulation originale.</x:v>
      </x:c>
      <x:c r="G10" s="7" t="str">
        <x:v>Archétype ATB : Imite la dernière attaque du joueur avec un retard.</x:v>
      </x:c>
      <x:c r="H10" s="7" t="str">
        <x:v>Proposition : Imite la dernière attaque du joueur avec un retard. Réponse : Utiliser une garde ou une attaque faible pour changer le motif.</x:v>
      </x:c>
      <x:c r="I10" s="7" t="str">
        <x:v>Silhouette à double contour et fragments transparents.</x:v>
      </x:c>
      <x:c r="J10" s="7" t="str"/>
      <x:c r="K10" s="7" t="str"/>
      <x:c r="L10" s="7" t="str"/>
      <x:c r="M10" s="7" t="str"/>
      <x:c r="N10" s="7" t="str">
        <x:v>L’adversaire peut être identifié avant son premier coup et possède une réponse accessible.</x:v>
      </x:c>
      <x:c r="O10" s="7" t="str"/>
      <x:c r="P10" s="7" t="str">
        <x:v>Les Routes du silence, conception originale</x:v>
      </x:c>
      <x:c r="Q10" s="7" t="str"/>
      <x:c r="R10" s="21" t="str"/>
      <x:c r="S10" s="21" t="str">
        <x:v>PV, dégâts, cadence et nombre d’unités à équilibrer pour le fan game.</x:v>
      </x:c>
    </x:row>
    <x:row r="11" ht="54" customHeight="1">
      <x:c r="A11" s="18" t="str">
        <x:v>ME4-ENM-SENTINEL</x:v>
      </x:c>
      <x:c r="B11" s="9" t="str">
        <x:v>Sentinelle du Nœud 17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Boss original.</x:v>
      </x:c>
      <x:c r="G11" s="9" t="str">
        <x:v>Archétype ATB : Trois bras protègent successivement un régulateur central.</x:v>
      </x:c>
      <x:c r="H11" s="9" t="str">
        <x:v>Proposition : Trois bras protègent successivement un régulateur central. Réponse : Désactiver les bras dans un ordre choisi, avec danger restant explicite.</x:v>
      </x:c>
      <x:c r="I11" s="9" t="str">
        <x:v>Structure en anneaux, bras très distincts.</x:v>
      </x:c>
      <x:c r="J11" s="9" t="str"/>
      <x:c r="K11" s="9" t="str"/>
      <x:c r="L11" s="9" t="str"/>
      <x:c r="M11" s="9" t="str"/>
      <x:c r="N11" s="9" t="str">
        <x:v>L’adversaire peut être identifié avant son premier coup et possède une réponse accessible.</x:v>
      </x:c>
      <x:c r="O11" s="9" t="str"/>
      <x:c r="P11" s="9" t="str">
        <x:v>Les Routes du silence, conception originale</x:v>
      </x:c>
      <x:c r="Q11" s="9" t="str"/>
      <x:c r="R11" s="20" t="str"/>
      <x:c r="S11" s="20" t="str">
        <x:v>PV, dégâts, cadence et nombre d’unités à équilibrer pour le fan game.</x:v>
      </x:c>
    </x:row>
    <x:row r="12" ht="54" customHeight="1">
      <x:c r="A12" s="19" t="str">
        <x:v>ME4-ENM-WARDEN</x:v>
      </x:c>
      <x:c r="B12" s="7" t="str">
        <x:v>Gardien de la digue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Boss original.</x:v>
      </x:c>
      <x:c r="G12" s="7" t="str">
        <x:v>Archétype ATB : Déclenche des vagues à travers les vannes de l’arène.</x:v>
      </x:c>
      <x:c r="H12" s="7" t="str">
        <x:v>Proposition : Déclenche des vagues à travers les vannes de l’arène. Réponse : Changer de hauteur et ouvrir une vanne opposée.</x:v>
      </x:c>
      <x:c r="I12" s="7" t="str">
        <x:v>Châssis amphibie bas, bouclier frontal.</x:v>
      </x:c>
      <x:c r="J12" s="7" t="str"/>
      <x:c r="K12" s="7" t="str"/>
      <x:c r="L12" s="7" t="str"/>
      <x:c r="M12" s="7" t="str"/>
      <x:c r="N12" s="7" t="str">
        <x:v>L’adversaire peut être identifié avant son premier coup et possède une réponse accessible.</x:v>
      </x:c>
      <x:c r="O12" s="7" t="str"/>
      <x:c r="P12" s="7" t="str">
        <x:v>Les Routes du silence, conception originale</x:v>
      </x:c>
      <x:c r="Q12" s="7" t="str"/>
      <x:c r="R12" s="21" t="str"/>
      <x:c r="S12" s="21" t="str">
        <x:v>PV, dégâts, cadence et nombre d’unités à équilibrer pour le fan game.</x:v>
      </x:c>
    </x:row>
    <x:row r="13" ht="54" customHeight="1">
      <x:c r="A13" s="18" t="str">
        <x:v>ME4-ENM-ARCHON</x:v>
      </x:c>
      <x:c r="B13" s="9" t="str">
        <x:v>Mandataire du Conservateur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Boss final original, sans lien avec l’Archonte kett.</x:v>
      </x:c>
      <x:c r="G13" s="9" t="str">
        <x:v>Archétype ATB : Alterne copie, verrouillage de commandes et exposition du cœur.</x:v>
      </x:c>
      <x:c r="H13" s="9" t="str">
        <x:v>Proposition : Alterne copie, verrouillage de commandes et exposition du cœur. Réponse : Sauvegarder une commande de rupture pendant la phase copie.</x:v>
      </x:c>
      <x:c r="I13" s="9" t="str">
        <x:v>Volume fait de panneaux d’archive et d’un noyau sombre.</x:v>
      </x:c>
      <x:c r="J13" s="9" t="str"/>
      <x:c r="K13" s="9" t="str"/>
      <x:c r="L13" s="9" t="str"/>
      <x:c r="M13" s="9" t="str"/>
      <x:c r="N13" s="9" t="str">
        <x:v>L’adversaire peut être identifié avant son premier coup et possède une réponse accessible.</x:v>
      </x:c>
      <x:c r="O13" s="9" t="str"/>
      <x:c r="P13" s="9" t="str">
        <x:v>Les Routes du silence, conception originale</x:v>
      </x:c>
      <x:c r="Q13" s="9" t="str"/>
      <x:c r="R13" s="20" t="str"/>
      <x:c r="S13" s="20" t="str">
        <x:v>PV, dégâts, cadence et nombre d’unités à équilibrer pour le fan game.</x:v>
      </x:c>
    </x:row>
  </x:sheetData>
  <x:conditionalFormatting sqref="D7:D13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13">
    <x:cfRule type="cellIs" dxfId="34" priority="3" operator="equal">
      <x:formula>"Validé"</x:formula>
    </x:cfRule>
  </x:conditionalFormatting>
  <x:conditionalFormatting sqref="E7:E13">
    <x:cfRule type="cellIs" dxfId="35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fa0caae44644a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10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ME4-MIS-01</x:v>
      </x:c>
      <x:c r="B7" s="9" t="str">
        <x:v>01. Le convoi muet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Chapitre original.</x:v>
      </x:c>
      <x:c r="G7" s="9" t="str">
        <x:v>Secourir un transport immobilisé et découvrir un signal contradictoire.</x:v>
      </x:c>
      <x:c r="H7" s="9" t="str">
        <x:v>Objectif proposé : Secourir un transport immobilisé et découvrir un signal contradictoire. Échec : retour au point de contrôle sans duplication des récompenses.</x:v>
      </x:c>
      <x:c r="I7" s="9" t="str">
        <x:v>Petit quai, deux voies de sauvetage et refuge.</x:v>
      </x:c>
      <x:c r="J7" s="9" t="str"/>
      <x:c r="K7" s="9" t="str"/>
      <x:c r="L7" s="9" t="str">
        <x:v>État de mission prévu me4_01 : disponible, active, résolue.</x:v>
      </x:c>
      <x:c r="M7" s="9" t="str">
        <x:v>Ouverture indépendante de la fin choisie de ME3.</x:v>
      </x:c>
      <x:c r="N7" s="9" t="str">
        <x:v>Objectif, progression, sortie et sauvegarde fonctionnent après chargement intermédiaire.</x:v>
      </x:c>
      <x:c r="O7" s="9" t="str"/>
      <x:c r="P7" s="9" t="str">
        <x:v>Les Routes du silence, conception originale</x:v>
      </x:c>
      <x:c r="Q7" s="9" t="str"/>
      <x:c r="R7" s="20" t="str"/>
      <x:c r="S7" s="20" t="str">
        <x:v>Nom, ordre, objectifs et agencement du chapitre créés pour Les Routes du silence ; validation dans le scénario interne.</x:v>
      </x:c>
    </x:row>
    <x:row r="8" ht="54" customHeight="1">
      <x:c r="A8" s="19" t="str">
        <x:v>ME4-MIS-02</x:v>
      </x:c>
      <x:c r="B8" s="7" t="str">
        <x:v>02. Une route à payer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Chapitre original.</x:v>
      </x:c>
      <x:c r="G8" s="7" t="str">
        <x:v>Obtenir un accès au chantier du relais par négociation ou réparation.</x:v>
      </x:c>
      <x:c r="H8" s="7" t="str">
        <x:v>Objectif proposé : Obtenir un accès au chantier du relais par négociation ou réparation. Échec : retour au point de contrôle sans duplication des récompenses.</x:v>
      </x:c>
      <x:c r="I8" s="7" t="str">
        <x:v>Hub Port Miséricorde puis atelier.</x:v>
      </x:c>
      <x:c r="J8" s="7" t="str"/>
      <x:c r="K8" s="7" t="str"/>
      <x:c r="L8" s="7" t="str">
        <x:v>État de mission prévu me4_02 : disponible, active, résolue.</x:v>
      </x:c>
      <x:c r="M8" s="7" t="str">
        <x:v>Convoi secouru.</x:v>
      </x:c>
      <x:c r="N8" s="7" t="str">
        <x:v>Objectif, progression, sortie et sauvegarde fonctionnent après chargement intermédiaire.</x:v>
      </x:c>
      <x:c r="O8" s="7" t="str">
        <x:v>ME4-MIS-01</x:v>
      </x:c>
      <x:c r="P8" s="7" t="str">
        <x:v>Les Routes du silence, conception originale</x:v>
      </x:c>
      <x:c r="Q8" s="7" t="str"/>
      <x:c r="R8" s="21" t="str"/>
      <x:c r="S8" s="21" t="str">
        <x:v>Nom, ordre, objectifs et agencement du chapitre créés pour Les Routes du silence ; validation dans le scénario interne.</x:v>
      </x:c>
    </x:row>
    <x:row r="9" ht="54" customHeight="1">
      <x:c r="A9" s="18" t="str">
        <x:v>ME4-MIS-03</x:v>
      </x:c>
      <x:c r="B9" s="9" t="str">
        <x:v>03. Sous le verre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Chapitre original.</x:v>
      </x:c>
      <x:c r="G9" s="9" t="str">
        <x:v>Récupérer un étalon de synchronisation dans la station ensevelie.</x:v>
      </x:c>
      <x:c r="H9" s="9" t="str">
        <x:v>Objectif proposé : Récupérer un étalon de synchronisation dans la station ensevelie. Échec : retour au point de contrôle sans duplication des récompenses.</x:v>
      </x:c>
      <x:c r="I9" s="9" t="str">
        <x:v>Canyon avec soleil rasant et accès inférieur.</x:v>
      </x:c>
      <x:c r="J9" s="9" t="str"/>
      <x:c r="K9" s="9" t="str"/>
      <x:c r="L9" s="9" t="str">
        <x:v>État de mission prévu me4_03 : disponible, active, résolue.</x:v>
      </x:c>
      <x:c r="M9" s="9" t="str">
        <x:v>Accès au chantier accepté.</x:v>
      </x:c>
      <x:c r="N9" s="9" t="str">
        <x:v>Objectif, progression, sortie et sauvegarde fonctionnent après chargement intermédiaire.</x:v>
      </x:c>
      <x:c r="O9" s="9" t="str">
        <x:v>ME4-MIS-02</x:v>
      </x:c>
      <x:c r="P9" s="9" t="str">
        <x:v>Les Routes du silence, conception originale</x:v>
      </x:c>
      <x:c r="Q9" s="9" t="str"/>
      <x:c r="R9" s="20" t="str"/>
      <x:c r="S9" s="20" t="str">
        <x:v>Nom, ordre, objectifs et agencement du chapitre créés pour Les Routes du silence ; validation dans le scénario interne.</x:v>
      </x:c>
    </x:row>
    <x:row r="10" ht="54" customHeight="1">
      <x:c r="A10" s="19" t="str">
        <x:v>ME4-MIS-04</x:v>
      </x:c>
      <x:c r="B10" s="7" t="str">
        <x:v>04. Les gardiens du nœud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Chapitre original.</x:v>
      </x:c>
      <x:c r="G10" s="7" t="str">
        <x:v>Désactiver une défense automatique sans détruire la structure.</x:v>
      </x:c>
      <x:c r="H10" s="7" t="str">
        <x:v>Objectif proposé : Désactiver une défense automatique sans détruire la structure. Échec : retour au point de contrôle sans duplication des récompenses.</x:v>
      </x:c>
      <x:c r="I10" s="7" t="str">
        <x:v>Trois nacelles autour du Nœud 17.</x:v>
      </x:c>
      <x:c r="J10" s="7" t="str"/>
      <x:c r="K10" s="7" t="str"/>
      <x:c r="L10" s="7" t="str">
        <x:v>État de mission prévu me4_04 : disponible, active, résolue.</x:v>
      </x:c>
      <x:c r="M10" s="7" t="str">
        <x:v>Étalon récupéré.</x:v>
      </x:c>
      <x:c r="N10" s="7" t="str">
        <x:v>Objectif, progression, sortie et sauvegarde fonctionnent après chargement intermédiaire.</x:v>
      </x:c>
      <x:c r="O10" s="7" t="str">
        <x:v>ME4-MIS-03</x:v>
      </x:c>
      <x:c r="P10" s="7" t="str">
        <x:v>Les Routes du silence, conception originale</x:v>
      </x:c>
      <x:c r="Q10" s="7" t="str"/>
      <x:c r="R10" s="21" t="str"/>
      <x:c r="S10" s="21" t="str">
        <x:v>Nom, ordre, objectifs et agencement du chapitre créés pour Les Routes du silence ; validation dans le scénario interne.</x:v>
      </x:c>
    </x:row>
    <x:row r="11" ht="54" customHeight="1">
      <x:c r="A11" s="18" t="str">
        <x:v>ME4-MIS-05</x:v>
      </x:c>
      <x:c r="B11" s="9" t="str">
        <x:v>05. Deux demandes de secours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Chapitre original.</x:v>
      </x:c>
      <x:c r="G11" s="9" t="str">
        <x:v>Départager une transmission réelle et une copie fabriquée.</x:v>
      </x:c>
      <x:c r="H11" s="9" t="str">
        <x:v>Objectif proposé : Départager une transmission réelle et une copie fabriquée. Échec : retour au point de contrôle sans duplication des récompenses.</x:v>
      </x:c>
      <x:c r="I11" s="9" t="str">
        <x:v>Enquête dans le vaisseau puis deux points d’approche.</x:v>
      </x:c>
      <x:c r="J11" s="9" t="str"/>
      <x:c r="K11" s="9" t="str"/>
      <x:c r="L11" s="9" t="str">
        <x:v>État de mission prévu me4_05 : disponible, active, résolue.</x:v>
      </x:c>
      <x:c r="M11" s="9" t="str">
        <x:v>Premier relais local réactivé.</x:v>
      </x:c>
      <x:c r="N11" s="9" t="str">
        <x:v>Objectif, progression, sortie et sauvegarde fonctionnent après chargement intermédiaire.</x:v>
      </x:c>
      <x:c r="O11" s="9" t="str">
        <x:v>ME4-MIS-04</x:v>
      </x:c>
      <x:c r="P11" s="9" t="str">
        <x:v>Les Routes du silence, conception originale</x:v>
      </x:c>
      <x:c r="Q11" s="9" t="str"/>
      <x:c r="R11" s="20" t="str"/>
      <x:c r="S11" s="20" t="str">
        <x:v>Nom, ordre, objectifs et agencement du chapitre créés pour Les Routes du silence ; validation dans le scénario interne.</x:v>
      </x:c>
    </x:row>
    <x:row r="12" ht="54" customHeight="1">
      <x:c r="A12" s="19" t="str">
        <x:v>ME4-MIS-06</x:v>
      </x:c>
      <x:c r="B12" s="7" t="str">
        <x:v>06. La Marée monte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Chapitre original.</x:v>
      </x:c>
      <x:c r="G12" s="7" t="str">
        <x:v>Stabiliser les pompes et négocier une évacuation.</x:v>
      </x:c>
      <x:c r="H12" s="7" t="str">
        <x:v>Objectif proposé : Stabiliser les pompes et négocier une évacuation. Échec : retour au point de contrôle sans duplication des récompenses.</x:v>
      </x:c>
      <x:c r="I12" s="7" t="str">
        <x:v>Digue avec deux hauteurs et tour civile.</x:v>
      </x:c>
      <x:c r="J12" s="7" t="str"/>
      <x:c r="K12" s="7" t="str"/>
      <x:c r="L12" s="7" t="str">
        <x:v>État de mission prévu me4_06 : disponible, active, résolue.</x:v>
      </x:c>
      <x:c r="M12" s="7" t="str">
        <x:v>Source du véritable appel identifiée.</x:v>
      </x:c>
      <x:c r="N12" s="7" t="str">
        <x:v>Objectif, progression, sortie et sauvegarde fonctionnent après chargement intermédiaire.</x:v>
      </x:c>
      <x:c r="O12" s="7" t="str">
        <x:v>ME4-MIS-05</x:v>
      </x:c>
      <x:c r="P12" s="7" t="str">
        <x:v>Les Routes du silence, conception originale</x:v>
      </x:c>
      <x:c r="Q12" s="7" t="str"/>
      <x:c r="R12" s="21" t="str"/>
      <x:c r="S12" s="21" t="str">
        <x:v>Nom, ordre, objectifs et agencement du chapitre créés pour Les Routes du silence ; validation dans le scénario interne.</x:v>
      </x:c>
    </x:row>
    <x:row r="13" ht="54" customHeight="1">
      <x:c r="A13" s="18" t="str">
        <x:v>ME4-MIS-07</x:v>
      </x:c>
      <x:c r="B13" s="9" t="str">
        <x:v>07. Le prix des archives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Chapitre original.</x:v>
      </x:c>
      <x:c r="G13" s="9" t="str">
        <x:v>Accéder aux données et découvrir la fonction du Conservateur.</x:v>
      </x:c>
      <x:c r="H13" s="9" t="str">
        <x:v>Objectif proposé : Accéder aux données et découvrir la fonction du Conservateur. Échec : retour au point de contrôle sans duplication des récompenses.</x:v>
      </x:c>
      <x:c r="I13" s="9" t="str">
        <x:v>Salles de mémoire avec chemins alternatifs.</x:v>
      </x:c>
      <x:c r="J13" s="9" t="str"/>
      <x:c r="K13" s="9" t="str"/>
      <x:c r="L13" s="9" t="str">
        <x:v>État de mission prévu me4_07 : disponible, active, résolue.</x:v>
      </x:c>
      <x:c r="M13" s="9" t="str">
        <x:v>Accord ou aide de la coalition.</x:v>
      </x:c>
      <x:c r="N13" s="9" t="str">
        <x:v>Objectif, progression, sortie et sauvegarde fonctionnent après chargement intermédiaire.</x:v>
      </x:c>
      <x:c r="O13" s="9" t="str">
        <x:v>ME4-MIS-06</x:v>
      </x:c>
      <x:c r="P13" s="9" t="str">
        <x:v>Les Routes du silence, conception originale</x:v>
      </x:c>
      <x:c r="Q13" s="9" t="str"/>
      <x:c r="R13" s="20" t="str"/>
      <x:c r="S13" s="20" t="str">
        <x:v>Nom, ordre, objectifs et agencement du chapitre créés pour Les Routes du silence ; validation dans le scénario interne.</x:v>
      </x:c>
    </x:row>
    <x:row r="14" ht="54" customHeight="1">
      <x:c r="A14" s="19" t="str">
        <x:v>ME4-MIS-08</x:v>
      </x:c>
      <x:c r="B14" s="7" t="str">
        <x:v>08. Les passagers du signal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Chapitre original.</x:v>
      </x:c>
      <x:c r="G14" s="7" t="str">
        <x:v>Identifier les copies de voix sans les confondre avec leurs personnes d’origine.</x:v>
      </x:c>
      <x:c r="H14" s="7" t="str">
        <x:v>Objectif proposé : Identifier les copies de voix sans les confondre avec leurs personnes d’origine. Échec : retour au point de contrôle sans duplication des récompenses.</x:v>
      </x:c>
      <x:c r="I14" s="7" t="str">
        <x:v>Exploration sociale et consoles d’analyse.</x:v>
      </x:c>
      <x:c r="J14" s="7" t="str"/>
      <x:c r="K14" s="7" t="str"/>
      <x:c r="L14" s="7" t="str">
        <x:v>État de mission prévu me4_08 : disponible, active, résolue.</x:v>
      </x:c>
      <x:c r="M14" s="7" t="str">
        <x:v>Archive ouverte.</x:v>
      </x:c>
      <x:c r="N14" s="7" t="str">
        <x:v>Objectif, progression, sortie et sauvegarde fonctionnent après chargement intermédiaire.</x:v>
      </x:c>
      <x:c r="O14" s="7" t="str">
        <x:v>ME4-MIS-07</x:v>
      </x:c>
      <x:c r="P14" s="7" t="str">
        <x:v>Les Routes du silence, conception originale</x:v>
      </x:c>
      <x:c r="Q14" s="7" t="str"/>
      <x:c r="R14" s="21" t="str"/>
      <x:c r="S14" s="21" t="str">
        <x:v>Nom, ordre, objectifs et agencement du chapitre créés pour Les Routes du silence ; validation dans le scénario interne.</x:v>
      </x:c>
    </x:row>
    <x:row r="15" ht="54" customHeight="1">
      <x:c r="A15" s="18" t="str">
        <x:v>ME4-MIS-09</x:v>
      </x:c>
      <x:c r="B15" s="9" t="str">
        <x:v>09. Le relais assiégé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Chapitre original.</x:v>
      </x:c>
      <x:c r="G15" s="9" t="str">
        <x:v>Protéger le chantier pendant une tentative de prise de contrôle.</x:v>
      </x:c>
      <x:c r="H15" s="9" t="str">
        <x:v>Objectif proposé : Protéger le chantier pendant une tentative de prise de contrôle. Échec : retour au point de contrôle sans duplication des récompenses.</x:v>
      </x:c>
      <x:c r="I15" s="9" t="str">
        <x:v>Arènes reliées avec priorités de secours.</x:v>
      </x:c>
      <x:c r="J15" s="9" t="str"/>
      <x:c r="K15" s="9" t="str"/>
      <x:c r="L15" s="9" t="str">
        <x:v>État de mission prévu me4_09 : disponible, active, résolue.</x:v>
      </x:c>
      <x:c r="M15" s="9" t="str">
        <x:v>Origine du signal comprise.</x:v>
      </x:c>
      <x:c r="N15" s="9" t="str">
        <x:v>Objectif, progression, sortie et sauvegarde fonctionnent après chargement intermédiaire.</x:v>
      </x:c>
      <x:c r="O15" s="9" t="str">
        <x:v>ME4-MIS-08</x:v>
      </x:c>
      <x:c r="P15" s="9" t="str">
        <x:v>Les Routes du silence, conception originale</x:v>
      </x:c>
      <x:c r="Q15" s="9" t="str"/>
      <x:c r="R15" s="20" t="str"/>
      <x:c r="S15" s="20" t="str">
        <x:v>Nom, ordre, objectifs et agencement du chapitre créés pour Les Routes du silence ; validation dans le scénario interne.</x:v>
      </x:c>
    </x:row>
    <x:row r="16" ht="54" customHeight="1">
      <x:c r="A16" s="19" t="str">
        <x:v>ME4-MIS-10</x:v>
      </x:c>
      <x:c r="B16" s="7" t="str">
        <x:v>10. Le droit de passage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Chapitre original.</x:v>
      </x:c>
      <x:c r="G16" s="7" t="str">
        <x:v>Choisir un mode de gouvernance des routes et désamorcer le cœur de contrôle.</x:v>
      </x:c>
      <x:c r="H16" s="7" t="str">
        <x:v>Objectif proposé : Choisir un mode de gouvernance des routes et désamorcer le cœur de contrôle. Échec : retour au point de contrôle sans duplication des récompenses.</x:v>
      </x:c>
      <x:c r="I16" s="7" t="str">
        <x:v>Salle de négociation puis arène de régulation.</x:v>
      </x:c>
      <x:c r="J16" s="7" t="str"/>
      <x:c r="K16" s="7" t="str"/>
      <x:c r="L16" s="7" t="str">
        <x:v>État de mission prévu me4_10 : disponible, active, résolue.</x:v>
      </x:c>
      <x:c r="M16" s="7" t="str">
        <x:v>Siège résolu.</x:v>
      </x:c>
      <x:c r="N16" s="7" t="str">
        <x:v>Objectif, progression, sortie et sauvegarde fonctionnent après chargement intermédiaire.</x:v>
      </x:c>
      <x:c r="O16" s="7" t="str">
        <x:v>ME4-MIS-09</x:v>
      </x:c>
      <x:c r="P16" s="7" t="str">
        <x:v>Les Routes du silence, conception originale</x:v>
      </x:c>
      <x:c r="Q16" s="7" t="str"/>
      <x:c r="R16" s="21" t="str"/>
      <x:c r="S16" s="21" t="str">
        <x:v>Nom, ordre, objectifs et agencement du chapitre créés pour Les Routes du silence ; validation dans le scénario interne.</x:v>
      </x:c>
    </x:row>
    <x:row r="17" ht="54" customHeight="1">
      <x:c r="A17" s="18" t="str">
        <x:v>ME4-MIS-11</x:v>
      </x:c>
      <x:c r="B17" s="9" t="str">
        <x:v>11. Une voix dans le silence</x:v>
      </x:c>
      <x:c r="C17" s="15" t="str">
        <x:v>Défini</x:v>
      </x:c>
      <x:c r="D17" s="16" t="str">
        <x:v>Extrapolation</x:v>
      </x:c>
      <x:c r="E17" s="16" t="str">
        <x:v>P1</x:v>
      </x:c>
      <x:c r="F17" s="9" t="str">
        <x:v>Chapitre original.</x:v>
      </x:c>
      <x:c r="G17" s="9" t="str">
        <x:v>Conclure selon les engagements tenus et ouvrir un épilogue local.</x:v>
      </x:c>
      <x:c r="H17" s="9" t="str">
        <x:v>Objectif proposé : Conclure selon les engagements tenus et ouvrir un épilogue local. Échec : retour au point de contrôle sans duplication des récompenses.</x:v>
      </x:c>
      <x:c r="I17" s="9" t="str">
        <x:v>Vaisseau, vues des communautés puis générique.</x:v>
      </x:c>
      <x:c r="J17" s="9" t="str"/>
      <x:c r="K17" s="9" t="str"/>
      <x:c r="L17" s="9" t="str">
        <x:v>État de mission prévu me4_11 : disponible, active, résolue.</x:v>
      </x:c>
      <x:c r="M17" s="9" t="str">
        <x:v>Décision de gouvernance appliquée.</x:v>
      </x:c>
      <x:c r="N17" s="9" t="str">
        <x:v>Objectif, progression, sortie et sauvegarde fonctionnent après chargement intermédiaire.</x:v>
      </x:c>
      <x:c r="O17" s="9" t="str">
        <x:v>ME4-MIS-10</x:v>
      </x:c>
      <x:c r="P17" s="9" t="str">
        <x:v>Les Routes du silence, conception originale</x:v>
      </x:c>
      <x:c r="Q17" s="9" t="str"/>
      <x:c r="R17" s="20" t="str"/>
      <x:c r="S17" s="20" t="str">
        <x:v>Nom, ordre, objectifs et agencement du chapitre créés pour Les Routes du silence ; validation dans le scénario interne.</x:v>
      </x:c>
    </x:row>
  </x:sheetData>
  <x:conditionalFormatting sqref="D7:D17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17">
    <x:cfRule type="cellIs" dxfId="38" priority="3" operator="equal">
      <x:formula>"Validé"</x:formula>
    </x:cfRule>
  </x:conditionalFormatting>
  <x:conditionalFormatting sqref="E7:E17">
    <x:cfRule type="cellIs" dxfId="39" priority="4" operator="equal">
      <x:formula>"P0"</x:formula>
    </x:cfRule>
  </x:conditionalFormatting>
  <x:dataValidations count="3">
    <x:dataValidation type="list" sqref="C7:C17">
      <x:formula1>"Défini,Prototype,Intégré,Validé"</x:formula1>
    </x:dataValidation>
    <x:dataValidation type="list" sqref="D7:D17">
      <x:formula1>"Établi,À vérifier,Extrapolation,Coupé attesté,Concept abandonné,Allégation écartée"</x:formula1>
    </x:dataValidation>
    <x:dataValidation type="list" sqref="E7:E1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ec1318e7f54f5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ME4-SIDE-VEYRA</x:v>
      </x:c>
      <x:c r="B7" s="9" t="str">
        <x:v>Les mesures manquantes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Mission de personnage originale.</x:v>
      </x:c>
      <x:c r="G7" s="9" t="str">
        <x:v>Aider Veyra à corriger une carte qui a mis un convoi en danger.</x:v>
      </x:c>
      <x:c r="H7" s="9" t="str">
        <x:v>Comparer trois relevés et assumer publiquement la correction.</x:v>
      </x:c>
      <x:c r="I7" s="9" t="str">
        <x:v>Observatoire à ciel ouvert sur la Mer de verre.</x:v>
      </x:c>
      <x:c r="J7" s="9" t="str"/>
      <x:c r="K7" s="9" t="str"/>
      <x:c r="L7" s="9" t="str"/>
      <x:c r="M7" s="9" t="str"/>
      <x:c r="N7" s="9" t="str">
        <x:v>La résolution repose sur les indices réunis, pas sur une stat invisible.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ME4-SIDE-TARIK</x:v>
      </x:c>
      <x:c r="B8" s="7" t="str">
        <x:v>Un pont pour tous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Mission de personnage originale.</x:v>
      </x:c>
      <x:c r="G8" s="7" t="str">
        <x:v>Tarik doit choisir entre réparer vite ou rendre le passage accessible à des charges lourdes.</x:v>
      </x:c>
      <x:c r="H8" s="7" t="str">
        <x:v>Deux itinéraires, ressources et résultat visibles.</x:v>
      </x:c>
      <x:c r="I8" s="7" t="str">
        <x:v>Passerelle en treillis avec zones de sécurité.</x:v>
      </x:c>
      <x:c r="J8" s="7" t="str"/>
      <x:c r="K8" s="7" t="str"/>
      <x:c r="L8" s="7" t="str"/>
      <x:c r="M8" s="7" t="str"/>
      <x:c r="N8" s="7" t="str">
        <x:v>Les deux solutions restent traversables après chargement.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ME4-SIDE-KHELA</x:v>
      </x:c>
      <x:c r="B9" s="9" t="str">
        <x:v>Noms sans visages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Mission de personnage originale.</x:v>
      </x:c>
      <x:c r="G9" s="9" t="str">
        <x:v>Khela classe des messages que l’archive attribue à tort.</x:v>
      </x:c>
      <x:c r="H9" s="9" t="str">
        <x:v>Comparer métadonnées et témoignages.</x:v>
      </x:c>
      <x:c r="I9" s="9" t="str">
        <x:v>Chambre de consultation avec portraits anonymisés.</x:v>
      </x:c>
      <x:c r="J9" s="9" t="str"/>
      <x:c r="K9" s="9" t="str"/>
      <x:c r="L9" s="9" t="str"/>
      <x:c r="M9" s="9" t="str"/>
      <x:c r="N9" s="9" t="str">
        <x:v>Le journal ne traite pas une voix imitée comme témoignage réel.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ME4-SIDE-DORN</x:v>
      </x:c>
      <x:c r="B10" s="7" t="str">
        <x:v>La table commune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Mission de personnage originale.</x:v>
      </x:c>
      <x:c r="G10" s="7" t="str">
        <x:v>Dorn organise une négociation entre transporteurs rivaux.</x:v>
      </x:c>
      <x:c r="H10" s="7" t="str">
        <x:v>Invitations, preuve de bonne foi et médiation ; combat facultatif évitable.</x:v>
      </x:c>
      <x:c r="I10" s="7" t="str">
        <x:v>Cantine du port.</x:v>
      </x:c>
      <x:c r="J10" s="7" t="str"/>
      <x:c r="K10" s="7" t="str"/>
      <x:c r="L10" s="7" t="str"/>
      <x:c r="M10" s="7" t="str"/>
      <x:c r="N10" s="7" t="str">
        <x:v>Le succès diplomatique procure une issue complète.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  <x:row r="11" ht="44" customHeight="1">
      <x:c r="A11" s="18" t="str">
        <x:v>ME4-SIDE-SIRIN</x:v>
      </x:c>
      <x:c r="B11" s="9" t="str">
        <x:v>Dernière caisse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Mission de personnage originale.</x:v>
      </x:c>
      <x:c r="G11" s="9" t="str">
        <x:v>Sirin suit la disparition d’une cargaison de soins.</x:v>
      </x:c>
      <x:c r="H11" s="9" t="str">
        <x:v>Piste de stock, enquête et réallocation sans vol récompensé par erreur.</x:v>
      </x:c>
      <x:c r="I11" s="9" t="str">
        <x:v>Dépôts à casiers et balances.</x:v>
      </x:c>
      <x:c r="J11" s="9" t="str"/>
      <x:c r="K11" s="9" t="str"/>
      <x:c r="L11" s="9" t="str"/>
      <x:c r="M11" s="9" t="str"/>
      <x:c r="N11" s="9" t="str">
        <x:v>Les quantités du journal restent cohérentes dans toutes les branches.</x:v>
      </x:c>
      <x:c r="O11" s="9" t="str"/>
      <x:c r="P11" s="9" t="str">
        <x:v>Les Routes du silence, conception originale</x:v>
      </x:c>
      <x:c r="Q11" s="9" t="str"/>
      <x:c r="R11" s="20" t="str"/>
      <x:c r="S11" s="20" t="str"/>
    </x:row>
  </x:sheetData>
  <x:conditionalFormatting sqref="D7:D11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11">
    <x:cfRule type="cellIs" dxfId="42" priority="3" operator="equal">
      <x:formula>"Validé"</x:formula>
    </x:cfRule>
  </x:conditionalFormatting>
  <x:conditionalFormatting sqref="E7:E11">
    <x:cfRule type="cellIs" dxfId="43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bfe5db383b494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ME4-CHO-CONVOY</x:v>
      </x:c>
      <x:c r="B7" s="9" t="str">
        <x:v>Répartir l’escorte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Choix original.</x:v>
      </x:c>
      <x:c r="G7" s="9" t="str">
        <x:v>Affecter deux spécialistes aux vivres ou au personnel technique.</x:v>
      </x:c>
      <x:c r="H7" s="9" t="str">
        <x:v>Conséquence locale visible, personnes protégées selon le résultat du combat.</x:v>
      </x:c>
      <x:c r="I7" s="9" t="str">
        <x:v>Carte du convoi avec distances lisibles.</x:v>
      </x:c>
      <x:c r="J7" s="9" t="str"/>
      <x:c r="K7" s="9" t="str"/>
      <x:c r="L7" s="9" t="str"/>
      <x:c r="M7" s="9" t="str"/>
      <x:c r="N7" s="9" t="str">
        <x:v>La conséquence annoncée correspond au choix, sans mort hors champ arbitraire.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ME4-CHO-ARCHIVE</x:v>
      </x:c>
      <x:c r="B8" s="7" t="str">
        <x:v>Conserver les copies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Choix original.</x:v>
      </x:c>
      <x:c r="G8" s="7" t="str">
        <x:v>Désactiver les appels automatiques tout en conservant, isolant ou effaçant l’archive.</x:v>
      </x:c>
      <x:c r="H8" s="7" t="str">
        <x:v>Trois états incompatibles, journal et épilogue dédiés.</x:v>
      </x:c>
      <x:c r="I8" s="7" t="str">
        <x:v>Console avec aperçu de ce qui sera perdu.</x:v>
      </x:c>
      <x:c r="J8" s="7" t="str"/>
      <x:c r="K8" s="7" t="str"/>
      <x:c r="L8" s="7" t="str"/>
      <x:c r="M8" s="7" t="str"/>
      <x:c r="N8" s="7" t="str">
        <x:v>Une confirmation décrit l’effet concret et ne se répète pas après validation.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ME4-CHO-ROUTES</x:v>
      </x:c>
      <x:c r="B9" s="9" t="str">
        <x:v>Gouvernance des routes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Choix final original.</x:v>
      </x:c>
      <x:c r="G9" s="9" t="str">
        <x:v>Réseau partagé, délégation locale ou accès limité.</x:v>
      </x:c>
      <x:c r="H9" s="9" t="str">
        <x:v>Conséquences sur convois, sécurité et autonomie, sans fin parfaite cachée.</x:v>
      </x:c>
      <x:c r="I9" s="9" t="str">
        <x:v>Trois cartes du réseau comparables.</x:v>
      </x:c>
      <x:c r="J9" s="9" t="str"/>
      <x:c r="K9" s="9" t="str"/>
      <x:c r="L9" s="9" t="str"/>
      <x:c r="M9" s="9" t="str"/>
      <x:c r="N9" s="9" t="str">
        <x:v>Chaque issue possède une scène de résultat et un état de sauvegarde distinct.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ME4-CHO-IMPORT</x:v>
      </x:c>
      <x:c r="B10" s="7" t="str">
        <x:v>Profil de galaxie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Choix de continuité fan.</x:v>
      </x:c>
      <x:c r="G10" s="7" t="str">
        <x:v>Importer une fin ME3 connue ou sélectionner un contexte neutre explicite.</x:v>
      </x:c>
      <x:c r="H10" s="7" t="str">
        <x:v>Ne pas annoncer une fin officielle pour le projet annulé.</x:v>
      </x:c>
      <x:c r="I10" s="7" t="str">
        <x:v>Menu textuel avant campagne.</x:v>
      </x:c>
      <x:c r="J10" s="7" t="str"/>
      <x:c r="K10" s="7" t="str"/>
      <x:c r="L10" s="7" t="str"/>
      <x:c r="M10" s="7" t="str"/>
      <x:c r="N10" s="7" t="str">
        <x:v>Le profil est rappelé dans le journal et reste modifiable uniquement avant une nouvelle campagne.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</x:sheetData>
  <x:conditionalFormatting sqref="D7:D10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10">
    <x:cfRule type="cellIs" dxfId="46" priority="3" operator="equal">
      <x:formula>"Validé"</x:formula>
    </x:cfRule>
  </x:conditionalFormatting>
  <x:conditionalFormatting sqref="E7:E10">
    <x:cfRule type="cellIs" dxfId="47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24b1267efd493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ME4-DIA-COUNCIL</x:v>
      </x:c>
      <x:c r="B7" s="9" t="str">
        <x:v>Conseil des transporteurs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Scène originale.</x:v>
      </x:c>
      <x:c r="G7" s="9" t="str">
        <x:v>Comparer besoins de nourriture, accès et sécurité avec réponses reformulées.</x:v>
      </x:c>
      <x:c r="H7" s="9" t="str">
        <x:v>Les répliques dépendent des engagements réellement tenus.</x:v>
      </x:c>
      <x:c r="I7" s="9" t="str">
        <x:v>Table holographique et trois portraits.</x:v>
      </x:c>
      <x:c r="J7" s="9" t="str"/>
      <x:c r="K7" s="9" t="str"/>
      <x:c r="L7" s="9" t="str"/>
      <x:c r="M7" s="9" t="str"/>
      <x:c r="N7" s="9" t="str">
        <x:v>Aucun participant ne félicite un engagement rompu.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ME4-DIA-VOICE</x:v>
      </x:c>
      <x:c r="B8" s="7" t="str">
        <x:v>Une voix familière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Scène originale.</x:v>
      </x:c>
      <x:c r="G8" s="7" t="str">
        <x:v>Proposer un doute, puis une vérification ; ne pas identifier un ancien personnage sans preuve.</x:v>
      </x:c>
      <x:c r="H8" s="7" t="str">
        <x:v>Le joueur peut différer la réponse et consulter les données.</x:v>
      </x:c>
      <x:c r="I8" s="7" t="str">
        <x:v>Onde et transcription partielle.</x:v>
      </x:c>
      <x:c r="J8" s="7" t="str"/>
      <x:c r="K8" s="7" t="str"/>
      <x:c r="L8" s="7" t="str"/>
      <x:c r="M8" s="7" t="str"/>
      <x:c r="N8" s="7" t="str">
        <x:v>La scène conserve sa force sans reprendre une voix d’acteur existant.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ME4-DIA-CREW</x:v>
      </x:c>
      <x:c r="B9" s="9" t="str">
        <x:v>Désaccord de l’équipe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Scène originale.</x:v>
      </x:c>
      <x:c r="G9" s="9" t="str">
        <x:v>Chaque équipier défend une conséquence concrète du choix des routes.</x:v>
      </x:c>
      <x:c r="H9" s="9" t="str">
        <x:v>Pas de perte automatique d’un compagnon pour un simple désaccord.</x:v>
      </x:c>
      <x:c r="I9" s="9" t="str">
        <x:v>Positions autour du salon du Wayfarer.</x:v>
      </x:c>
      <x:c r="J9" s="9" t="str"/>
      <x:c r="K9" s="9" t="str"/>
      <x:c r="L9" s="9" t="str"/>
      <x:c r="M9" s="9" t="str"/>
      <x:c r="N9" s="9" t="str">
        <x:v>Les avis reflètent les événements vus par chaque personnage.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</x:sheetData>
  <x:conditionalFormatting sqref="D7:D9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9">
    <x:cfRule type="cellIs" dxfId="50" priority="3" operator="equal">
      <x:formula>"Validé"</x:formula>
    </x:cfRule>
  </x:conditionalFormatting>
  <x:conditionalFormatting sqref="E7:E9">
    <x:cfRule type="cellIs" dxfId="5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20028fafb94a1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ME4-CIN-OPEN</x:v>
      </x:c>
      <x:c r="B7" s="9" t="str">
        <x:v>Approche du convoi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Séquence originale.</x:v>
      </x:c>
      <x:c r="G7" s="9" t="str">
        <x:v>Vue du Wayfarer, transmission brisée, premier abordage.</x:v>
      </x:c>
      <x:c r="H7" s="9" t="str">
        <x:v>Pas de promesse d’identité liée aux teasers officiels.</x:v>
      </x:c>
      <x:c r="I7" s="9" t="str">
        <x:v>Vaisseau 3D lointain, équipage en sprites.</x:v>
      </x:c>
      <x:c r="J7" s="9" t="str"/>
      <x:c r="K7" s="9" t="str"/>
      <x:c r="L7" s="9" t="str"/>
      <x:c r="M7" s="9" t="str"/>
      <x:c r="N7" s="9" t="str">
        <x:v>L’objectif du premier chapitre est clair après trente secondes proposées.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ME4-CIN-RELAY</x:v>
      </x:c>
      <x:c r="B8" s="7" t="str">
        <x:v>Réveil du nœud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Séquence originale.</x:v>
      </x:c>
      <x:c r="G8" s="7" t="str">
        <x:v>Montrer d’abord le changement de lumière, puis les nacelles et la route ouverte.</x:v>
      </x:c>
      <x:c r="H8" s="7" t="str">
        <x:v>La géométrie animée garde des zones sûres.</x:v>
      </x:c>
      <x:c r="I8" s="7" t="str">
        <x:v>Anneaux lents, lignes de champ fines.</x:v>
      </x:c>
      <x:c r="J8" s="7" t="str"/>
      <x:c r="K8" s="7" t="str"/>
      <x:c r="L8" s="7" t="str"/>
      <x:c r="M8" s="7" t="str"/>
      <x:c r="N8" s="7" t="str">
        <x:v>La séquence ne provoque ni flash excessif ni collision tardive.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ME4-CIN-END</x:v>
      </x:c>
      <x:c r="B9" s="9" t="str">
        <x:v>Épilogues régionaux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Séquences originales.</x:v>
      </x:c>
      <x:c r="G9" s="9" t="str">
        <x:v>Présenter les communautés affectées, puis la vie à bord.</x:v>
      </x:c>
      <x:c r="H9" s="9" t="str">
        <x:v>Une variante par état de gouvernance et par mission de compagnon résolue.</x:v>
      </x:c>
      <x:c r="I9" s="9" t="str">
        <x:v>Plans réutilisés avec changements visibles.</x:v>
      </x:c>
      <x:c r="J9" s="9" t="str"/>
      <x:c r="K9" s="9" t="str"/>
      <x:c r="L9" s="9" t="str"/>
      <x:c r="M9" s="9" t="str"/>
      <x:c r="N9" s="9" t="str">
        <x:v>Les légendes décrivent des conséquences spécifiques plutôt qu’une note morale globale.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</x:sheetData>
  <x:conditionalFormatting sqref="D7:D9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9">
    <x:cfRule type="cellIs" dxfId="54" priority="3" operator="equal">
      <x:formula>"Validé"</x:formula>
    </x:cfRule>
  </x:conditionalFormatting>
  <x:conditionalFormatting sqref="E7:E9">
    <x:cfRule type="cellIs" dxfId="55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4a2130b66e4cc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ME4-WPN-CARBINE</x:v>
      </x:c>
      <x:c r="B7" s="9" t="str">
        <x:v>Carabine de convoi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Arme originale.</x:v>
      </x:c>
      <x:c r="G7" s="9" t="str">
        <x:v>Tir fiable sur une cible ; surchauffe proposée après trois tirs consécutifs.</x:v>
      </x:c>
      <x:c r="H7" s="9" t="str">
        <x:v>Valeurs de départ proposées : Tir fiable sur une cible ; surchauffe proposée après trois tirs consécutifs.</x:v>
      </x:c>
      <x:c r="I7" s="9" t="str">
        <x:v>Canon court avec pièces de rechange apparentes.</x:v>
      </x:c>
      <x:c r="J7" s="9" t="str"/>
      <x:c r="K7" s="9" t="str"/>
      <x:c r="L7" s="9" t="str"/>
      <x:c r="M7" s="9" t="str"/>
      <x:c r="N7" s="9" t="str">
        <x:v>Aucun nom de modèle officiel n’est utilisé pour prétendre une existence canonique.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54" customHeight="1">
      <x:c r="A8" s="19" t="str">
        <x:v>ME4-WPN-ARC</x:v>
      </x:c>
      <x:c r="B8" s="7" t="str">
        <x:v>Projecteur d’arc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Arme originale.</x:v>
      </x:c>
      <x:c r="G8" s="7" t="str">
        <x:v>Dégâts technologiques proposés sur deux cibles reliées ; faible efficacité sur l’armure.</x:v>
      </x:c>
      <x:c r="H8" s="7" t="str">
        <x:v>Valeurs de départ proposées : Dégâts technologiques proposés sur deux cibles reliées ; faible efficacité sur l’armure.</x:v>
      </x:c>
      <x:c r="I8" s="7" t="str">
        <x:v>Crosse isolée et deux électrodes.</x:v>
      </x:c>
      <x:c r="J8" s="7" t="str"/>
      <x:c r="K8" s="7" t="str"/>
      <x:c r="L8" s="7" t="str"/>
      <x:c r="M8" s="7" t="str"/>
      <x:c r="N8" s="7" t="str">
        <x:v>Aucun nom de modèle officiel n’est utilisé pour prétendre une existence canonique.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ME4-WPN-BREACH</x:v>
      </x:c>
      <x:c r="B9" s="9" t="str">
        <x:v>Fusil de brèche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Arme originale.</x:v>
      </x:c>
      <x:c r="G9" s="9" t="str">
        <x:v>Frappe rapprochée qui ouvre une faiblesse d’armure pendant un tour.</x:v>
      </x:c>
      <x:c r="H9" s="9" t="str">
        <x:v>Valeurs de départ proposées : Frappe rapprochée qui ouvre une faiblesse d’armure pendant un tour.</x:v>
      </x:c>
      <x:c r="I9" s="9" t="str">
        <x:v>Corps large, chargeur visible et poignée renforcée.</x:v>
      </x:c>
      <x:c r="J9" s="9" t="str"/>
      <x:c r="K9" s="9" t="str"/>
      <x:c r="L9" s="9" t="str"/>
      <x:c r="M9" s="9" t="str"/>
      <x:c r="N9" s="9" t="str">
        <x:v>Aucun nom de modèle officiel n’est utilisé pour prétendre une existence canonique.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ME4-WPN-MARK</x:v>
      </x:c>
      <x:c r="B10" s="7" t="str">
        <x:v>Fusil de cartographe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Arme originale.</x:v>
      </x:c>
      <x:c r="G10" s="7" t="str">
        <x:v>Visée longue qui marque une faiblesse si le tireur reste immobile.</x:v>
      </x:c>
      <x:c r="H10" s="7" t="str">
        <x:v>Valeurs de départ proposées : Visée longue qui marque une faiblesse si le tireur reste immobile.</x:v>
      </x:c>
      <x:c r="I10" s="7" t="str">
        <x:v>Lunette double et peinture bleu pétrole.</x:v>
      </x:c>
      <x:c r="J10" s="7" t="str"/>
      <x:c r="K10" s="7" t="str"/>
      <x:c r="L10" s="7" t="str"/>
      <x:c r="M10" s="7" t="str"/>
      <x:c r="N10" s="7" t="str">
        <x:v>Aucun nom de modèle officiel n’est utilisé pour prétendre une existence canonique.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</x:sheetData>
  <x:conditionalFormatting sqref="D7:D10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10">
    <x:cfRule type="cellIs" dxfId="58" priority="3" operator="equal">
      <x:formula>"Validé"</x:formula>
    </x:cfRule>
  </x:conditionalFormatting>
  <x:conditionalFormatting sqref="E7:E10">
    <x:cfRule type="cellIs" dxfId="59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6a5cecf3154229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ME4-EQ-ANCHOR</x:v>
      </x:c>
      <x:c r="B7" s="9" t="str">
        <x:v>Module d’ancrage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Équipement original.</x:v>
      </x:c>
      <x:c r="G7" s="9" t="str">
        <x:v>Empêcher un déplacement forcé au prix d’une vitesse ATB réduite.</x:v>
      </x:c>
      <x:c r="H7" s="9" t="str">
        <x:v>Réglage proposé : une charge par rencontre.</x:v>
      </x:c>
      <x:c r="I7" s="9" t="str">
        <x:v>Semelles et témoin d’état.</x:v>
      </x:c>
      <x:c r="J7" s="9" t="str"/>
      <x:c r="K7" s="9" t="str"/>
      <x:c r="L7" s="9" t="str"/>
      <x:c r="M7" s="9" t="str"/>
      <x:c r="N7" s="9" t="str">
        <x:v>Une fois consommé, le module ne se recharge pas par changement d’équipement.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ME4-EQ-ECHO</x:v>
      </x:c>
      <x:c r="B8" s="7" t="str">
        <x:v>Filtre Écho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Équipement original.</x:v>
      </x:c>
      <x:c r="G8" s="7" t="str">
        <x:v>Révéler la cible d’une prochaine imitation.</x:v>
      </x:c>
      <x:c r="H8" s="7" t="str">
        <x:v>Réglage proposé : choix entre renseignement et protection brute.</x:v>
      </x:c>
      <x:c r="I8" s="7" t="str">
        <x:v>Verre sombre parcouru d’une ligne claire.</x:v>
      </x:c>
      <x:c r="J8" s="7" t="str"/>
      <x:c r="K8" s="7" t="str"/>
      <x:c r="L8" s="7" t="str"/>
      <x:c r="M8" s="7" t="str"/>
      <x:c r="N8" s="7" t="str">
        <x:v>L’information révélée est exacte même après chargement.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ME4-EQ-DRONE</x:v>
      </x:c>
      <x:c r="B9" s="9" t="str">
        <x:v>Drone de balisage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Équipement original.</x:v>
      </x:c>
      <x:c r="G9" s="9" t="str">
        <x:v>Poser une balise de déplacement ou une cible de diversion.</x:v>
      </x:c>
      <x:c r="H9" s="9" t="str">
        <x:v>Réglage proposé : une balise active par équipier.</x:v>
      </x:c>
      <x:c r="I9" s="9" t="str">
        <x:v>Coque claire et lumière orange.</x:v>
      </x:c>
      <x:c r="J9" s="9" t="str"/>
      <x:c r="K9" s="9" t="str"/>
      <x:c r="L9" s="9" t="str"/>
      <x:c r="M9" s="9" t="str"/>
      <x:c r="N9" s="9" t="str">
        <x:v>Créer une seconde balise retire la première sans doublon.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ME4-EQ-SUIT</x:v>
      </x:c>
      <x:c r="B10" s="7" t="str">
        <x:v>Combinaison de maintenance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Équipement original.</x:v>
      </x:c>
      <x:c r="G10" s="7" t="str">
        <x:v>Protéger dans le vide lors des séquences du chantier.</x:v>
      </x:c>
      <x:c r="H10" s="7" t="str">
        <x:v>Les séquences dangereuses possèdent un retour sûr.</x:v>
      </x:c>
      <x:c r="I10" s="7" t="str">
        <x:v>Harnais et casque cohérents en huit directions.</x:v>
      </x:c>
      <x:c r="J10" s="7" t="str"/>
      <x:c r="K10" s="7" t="str"/>
      <x:c r="L10" s="7" t="str"/>
      <x:c r="M10" s="7" t="str"/>
      <x:c r="N10" s="7" t="str">
        <x:v>Aucune scène de vide n’utilise la variante sans casque.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</x:sheetData>
  <x:conditionalFormatting sqref="D7:D10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10">
    <x:cfRule type="cellIs" dxfId="62" priority="3" operator="equal">
      <x:formula>"Validé"</x:formula>
    </x:cfRule>
  </x:conditionalFormatting>
  <x:conditionalFormatting sqref="E7:E10">
    <x:cfRule type="cellIs" dxfId="63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faa9491f004b9a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ME4-PWR-ROOK</x:v>
      </x:c>
      <x:c r="B7" s="9" t="str">
        <x:v>Coordination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Pouvoir original.</x:v>
      </x:c>
      <x:c r="G7" s="9" t="str">
        <x:v>Transférer une fraction de jauge à un allié dont la jauge est incomplète.</x:v>
      </x:c>
      <x:c r="H7" s="9" t="str">
        <x:v>Transférer une fraction de jauge à un allié dont la jauge est incomplète. Débiter la jauge de Rook avant le transfert ; plafonner la cible à une jauge pleine. Aucun transfert ne crée de charge supplémentaire.</x:v>
      </x:c>
      <x:c r="I7" s="9" t="str">
        <x:v>Symbole propre à la fonction, couleur et nom simultanés.</x:v>
      </x:c>
      <x:c r="J7" s="9" t="str"/>
      <x:c r="K7" s="9" t="str"/>
      <x:c r="L7" s="9" t="str"/>
      <x:c r="M7" s="9" t="str"/>
      <x:c r="N7" s="9" t="str">
        <x:v>Le coût est prévisualisé et retiré une seule fois.</x:v>
      </x:c>
      <x:c r="O7" s="9" t="str">
        <x:v>ME4-CHR-ROOK</x:v>
      </x:c>
      <x:c r="P7" s="9" t="str">
        <x:v>Les Routes du silence, conception originale</x:v>
      </x:c>
      <x:c r="Q7" s="9" t="str"/>
      <x:c r="R7" s="20" t="str"/>
      <x:c r="S7" s="20" t="str"/>
    </x:row>
    <x:row r="8" ht="54" customHeight="1">
      <x:c r="A8" s="19" t="str">
        <x:v>ME4-PWR-VEYRA</x:v>
      </x:c>
      <x:c r="B8" s="7" t="str">
        <x:v>Courbe de masse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Pouvoir original.</x:v>
      </x:c>
      <x:c r="G8" s="7" t="str">
        <x:v>Déplacer une zone de danger d’un emplacement annoncé.</x:v>
      </x:c>
      <x:c r="H8" s="7" t="str">
        <x:v>Déplacer une zone de danger d’un emplacement annoncé. Coût proposé : une jauge complète et une recharge de deux tours.</x:v>
      </x:c>
      <x:c r="I8" s="7" t="str">
        <x:v>Symbole propre à la fonction, couleur et nom simultanés.</x:v>
      </x:c>
      <x:c r="J8" s="7" t="str"/>
      <x:c r="K8" s="7" t="str"/>
      <x:c r="L8" s="7" t="str"/>
      <x:c r="M8" s="7" t="str"/>
      <x:c r="N8" s="7" t="str">
        <x:v>Le coût est prévisualisé et retiré une seule fois.</x:v>
      </x:c>
      <x:c r="O8" s="7" t="str">
        <x:v>ME4-CHR-VEYRA</x:v>
      </x:c>
      <x:c r="P8" s="7" t="str">
        <x:v>Les Routes du silence, conception originale</x:v>
      </x:c>
      <x:c r="Q8" s="7" t="str"/>
      <x:c r="R8" s="21" t="str"/>
      <x:c r="S8" s="21" t="str"/>
    </x:row>
    <x:row r="9" ht="54" customHeight="1">
      <x:c r="A9" s="18" t="str">
        <x:v>ME4-PWR-TARIK</x:v>
      </x:c>
      <x:c r="B9" s="9" t="str">
        <x:v>Pont de phase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Pouvoir original.</x:v>
      </x:c>
      <x:c r="G9" s="9" t="str">
        <x:v>Poser un couvert temporaire entre le groupe et un tireur.</x:v>
      </x:c>
      <x:c r="H9" s="9" t="str">
        <x:v>Poser un couvert temporaire entre le groupe et un tireur. Durée proposée : deux actions hostiles ; pas de blocage de sortie.</x:v>
      </x:c>
      <x:c r="I9" s="9" t="str">
        <x:v>Symbole propre à la fonction, couleur et nom simultanés.</x:v>
      </x:c>
      <x:c r="J9" s="9" t="str"/>
      <x:c r="K9" s="9" t="str"/>
      <x:c r="L9" s="9" t="str"/>
      <x:c r="M9" s="9" t="str"/>
      <x:c r="N9" s="9" t="str">
        <x:v>Le coût est prévisualisé et retiré une seule fois.</x:v>
      </x:c>
      <x:c r="O9" s="9" t="str">
        <x:v>ME4-CHR-TARIK</x:v>
      </x:c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ME4-PWR-KHELA</x:v>
      </x:c>
      <x:c r="B10" s="7" t="str">
        <x:v>Lecture d’empreinte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Pouvoir original.</x:v>
      </x:c>
      <x:c r="G10" s="7" t="str">
        <x:v>Révéler le prochain motif d’une projection Écho.</x:v>
      </x:c>
      <x:c r="H10" s="7" t="str">
        <x:v>Révéler le prochain motif d’une projection Écho. Ne fonctionne pas sur un adversaire organique sans signal.</x:v>
      </x:c>
      <x:c r="I10" s="7" t="str">
        <x:v>Symbole propre à la fonction, couleur et nom simultanés.</x:v>
      </x:c>
      <x:c r="J10" s="7" t="str"/>
      <x:c r="K10" s="7" t="str"/>
      <x:c r="L10" s="7" t="str"/>
      <x:c r="M10" s="7" t="str"/>
      <x:c r="N10" s="7" t="str">
        <x:v>Le coût est prévisualisé et retiré une seule fois.</x:v>
      </x:c>
      <x:c r="O10" s="7" t="str">
        <x:v>ME4-CHR-KHELA</x:v>
      </x:c>
      <x:c r="P10" s="7" t="str">
        <x:v>Les Routes du silence, conception originale</x:v>
      </x:c>
      <x:c r="Q10" s="7" t="str"/>
      <x:c r="R10" s="21" t="str"/>
      <x:c r="S10" s="21" t="str"/>
    </x:row>
    <x:row r="11" ht="54" customHeight="1">
      <x:c r="A11" s="18" t="str">
        <x:v>ME4-PWR-DORN</x:v>
      </x:c>
      <x:c r="B11" s="9" t="str">
        <x:v>Tenir le passage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Pouvoir original.</x:v>
      </x:c>
      <x:c r="G11" s="9" t="str">
        <x:v>Intercepter une attaque dirigée vers un allié proche.</x:v>
      </x:c>
      <x:c r="H11" s="9" t="str">
        <x:v>Intercepter une attaque dirigée vers un allié proche. Dorn subit l’impact et ne peut agir pendant l’interception.</x:v>
      </x:c>
      <x:c r="I11" s="9" t="str">
        <x:v>Symbole propre à la fonction, couleur et nom simultanés.</x:v>
      </x:c>
      <x:c r="J11" s="9" t="str"/>
      <x:c r="K11" s="9" t="str"/>
      <x:c r="L11" s="9" t="str"/>
      <x:c r="M11" s="9" t="str"/>
      <x:c r="N11" s="9" t="str">
        <x:v>Le coût est prévisualisé et retiré une seule fois.</x:v>
      </x:c>
      <x:c r="O11" s="9" t="str">
        <x:v>ME4-CHR-DORN</x:v>
      </x:c>
      <x:c r="P11" s="9" t="str">
        <x:v>Les Routes du silence, conception originale</x:v>
      </x:c>
      <x:c r="Q11" s="9" t="str"/>
      <x:c r="R11" s="20" t="str"/>
      <x:c r="S11" s="20" t="str"/>
    </x:row>
    <x:row r="12" ht="54" customHeight="1">
      <x:c r="A12" s="19" t="str">
        <x:v>ME4-PWR-SIRIN</x:v>
      </x:c>
      <x:c r="B12" s="7" t="str">
        <x:v>Leurre logistique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Pouvoir original.</x:v>
      </x:c>
      <x:c r="G12" s="7" t="str">
        <x:v>Attirer un récupérateur vers une fausse ressource.</x:v>
      </x:c>
      <x:c r="H12" s="7" t="str">
        <x:v>Attirer un récupérateur vers une fausse ressource. L’ennemi découvre le leurre après une action ; immunité temporaire ensuite.</x:v>
      </x:c>
      <x:c r="I12" s="7" t="str">
        <x:v>Symbole propre à la fonction, couleur et nom simultanés.</x:v>
      </x:c>
      <x:c r="J12" s="7" t="str"/>
      <x:c r="K12" s="7" t="str"/>
      <x:c r="L12" s="7" t="str"/>
      <x:c r="M12" s="7" t="str"/>
      <x:c r="N12" s="7" t="str">
        <x:v>Le coût est prévisualisé et retiré une seule fois.</x:v>
      </x:c>
      <x:c r="O12" s="7" t="str">
        <x:v>ME4-CHR-SIRIN</x:v>
      </x:c>
      <x:c r="P12" s="7" t="str">
        <x:v>Les Routes du silence, conception originale</x:v>
      </x:c>
      <x:c r="Q12" s="7" t="str"/>
      <x:c r="R12" s="21" t="str"/>
      <x:c r="S12" s="21" t="str"/>
    </x:row>
  </x:sheetData>
  <x:conditionalFormatting sqref="D7:D12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12">
    <x:cfRule type="cellIs" dxfId="66" priority="3" operator="equal">
      <x:formula>"Validé"</x:formula>
    </x:cfRule>
  </x:conditionalFormatting>
  <x:conditionalFormatting sqref="E7:E12">
    <x:cfRule type="cellIs" dxfId="67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4d7006dc2d4e0d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ME4-MOV-ROOK</x:v>
      </x:c>
      <x:c r="B7" s="9" t="str">
        <x:v>Coordination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Action proposée pour ROOK.</x:v>
      </x:c>
      <x:c r="G7" s="9" t="str">
        <x:v>Transférer une fraction de jauge à un allié dont la jauge est incomplète.</x:v>
      </x:c>
      <x:c r="H7" s="9" t="str">
        <x:v>Transférer une fraction de jauge à un allié dont la jauge est incomplète. Contrepartie : Débiter la jauge de Rook avant le transfert ; plafonner la cible à une jauge pleine. Aucun transfert ne crée de charge supplémentaire.</x:v>
      </x:c>
      <x:c r="I7" s="9" t="str">
        <x:v>Pose de préparation propre au personnage. Effet dirigé vers la cible.</x:v>
      </x:c>
      <x:c r="J7" s="9" t="str">
        <x:v>Anticipation lisible, pose de libération, récupération. Pose de préparation propre au personnage. Effet dirigé vers la cible.</x:v>
      </x:c>
      <x:c r="K7" s="9" t="str">
        <x:v>Signal d’activation distinct du signal de disponibilité. Sous-titre des alertes.</x:v>
      </x:c>
      <x:c r="L7" s="9" t="str">
        <x:v>Action de données me4_rook. Coût retiré une seule fois.</x:v>
      </x:c>
      <x:c r="M7" s="9" t="str">
        <x:v>Aucun coût numérique ne décrit une statistique officielle.</x:v>
      </x:c>
      <x:c r="N7" s="9" t="str">
        <x:v>La commande expose cible, coût et résultat avant confirmation.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54" customHeight="1">
      <x:c r="A8" s="19" t="str">
        <x:v>ME4-MOV-VEYRA</x:v>
      </x:c>
      <x:c r="B8" s="7" t="str">
        <x:v>Courbe de masse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Action proposée pour VEYRA.</x:v>
      </x:c>
      <x:c r="G8" s="7" t="str">
        <x:v>Déplacer une zone de danger d’un emplacement annoncé.</x:v>
      </x:c>
      <x:c r="H8" s="7" t="str">
        <x:v>Déplacer une zone de danger d’un emplacement annoncé. Contrepartie : Coût proposé : une jauge complète et une recharge de deux tours.</x:v>
      </x:c>
      <x:c r="I8" s="7" t="str">
        <x:v>Pose de préparation propre au personnage. Effet dirigé vers la cible.</x:v>
      </x:c>
      <x:c r="J8" s="7" t="str">
        <x:v>Anticipation lisible, pose de libération, récupération. Pose de préparation propre au personnage. Effet dirigé vers la cible.</x:v>
      </x:c>
      <x:c r="K8" s="7" t="str">
        <x:v>Signal d’activation distinct du signal de disponibilité. Sous-titre des alertes.</x:v>
      </x:c>
      <x:c r="L8" s="7" t="str">
        <x:v>Action de données me4_veyra. Coût retiré une seule fois.</x:v>
      </x:c>
      <x:c r="M8" s="7" t="str">
        <x:v>Aucun coût numérique ne décrit une statistique officielle.</x:v>
      </x:c>
      <x:c r="N8" s="7" t="str">
        <x:v>La commande expose cible, coût et résultat avant confirmation.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54" customHeight="1">
      <x:c r="A9" s="18" t="str">
        <x:v>ME4-MOV-TARIK</x:v>
      </x:c>
      <x:c r="B9" s="9" t="str">
        <x:v>Pont de phase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Action proposée pour TARIK.</x:v>
      </x:c>
      <x:c r="G9" s="9" t="str">
        <x:v>Poser un couvert temporaire entre le groupe et un tireur.</x:v>
      </x:c>
      <x:c r="H9" s="9" t="str">
        <x:v>Poser un couvert temporaire entre le groupe et un tireur. Contrepartie : Durée proposée : deux actions hostiles ; pas de blocage de sortie.</x:v>
      </x:c>
      <x:c r="I9" s="9" t="str">
        <x:v>Pose de préparation propre au personnage. Effet dirigé vers la cible.</x:v>
      </x:c>
      <x:c r="J9" s="9" t="str">
        <x:v>Anticipation lisible, pose de libération, récupération. Pose de préparation propre au personnage. Effet dirigé vers la cible.</x:v>
      </x:c>
      <x:c r="K9" s="9" t="str">
        <x:v>Signal d’activation distinct du signal de disponibilité. Sous-titre des alertes.</x:v>
      </x:c>
      <x:c r="L9" s="9" t="str">
        <x:v>Action de données me4_tarik. Coût retiré une seule fois.</x:v>
      </x:c>
      <x:c r="M9" s="9" t="str">
        <x:v>Aucun coût numérique ne décrit une statistique officielle.</x:v>
      </x:c>
      <x:c r="N9" s="9" t="str">
        <x:v>La commande expose cible, coût et résultat avant confirmation.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54" customHeight="1">
      <x:c r="A10" s="19" t="str">
        <x:v>ME4-MOV-KHELA</x:v>
      </x:c>
      <x:c r="B10" s="7" t="str">
        <x:v>Lecture d’empreinte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Action proposée pour KHELA.</x:v>
      </x:c>
      <x:c r="G10" s="7" t="str">
        <x:v>Révéler le prochain motif d’une projection Écho.</x:v>
      </x:c>
      <x:c r="H10" s="7" t="str">
        <x:v>Révéler le prochain motif d’une projection Écho. Contrepartie : Ne fonctionne pas sur un adversaire organique sans signal.</x:v>
      </x:c>
      <x:c r="I10" s="7" t="str">
        <x:v>Pose de préparation propre au personnage. Effet dirigé vers la cible.</x:v>
      </x:c>
      <x:c r="J10" s="7" t="str">
        <x:v>Anticipation lisible, pose de libération, récupération. Pose de préparation propre au personnage. Effet dirigé vers la cible.</x:v>
      </x:c>
      <x:c r="K10" s="7" t="str">
        <x:v>Signal d’activation distinct du signal de disponibilité. Sous-titre des alertes.</x:v>
      </x:c>
      <x:c r="L10" s="7" t="str">
        <x:v>Action de données me4_khela. Coût retiré une seule fois.</x:v>
      </x:c>
      <x:c r="M10" s="7" t="str">
        <x:v>Aucun coût numérique ne décrit une statistique officielle.</x:v>
      </x:c>
      <x:c r="N10" s="7" t="str">
        <x:v>La commande expose cible, coût et résultat avant confirmation.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  <x:row r="11" ht="54" customHeight="1">
      <x:c r="A11" s="18" t="str">
        <x:v>ME4-MOV-DORN</x:v>
      </x:c>
      <x:c r="B11" s="9" t="str">
        <x:v>Tenir le passage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Action proposée pour DORN.</x:v>
      </x:c>
      <x:c r="G11" s="9" t="str">
        <x:v>Intercepter une attaque dirigée vers un allié proche.</x:v>
      </x:c>
      <x:c r="H11" s="9" t="str">
        <x:v>Intercepter une attaque dirigée vers un allié proche. Contrepartie : Dorn subit l’impact et ne peut agir pendant l’interception.</x:v>
      </x:c>
      <x:c r="I11" s="9" t="str">
        <x:v>Pose de préparation propre au personnage. Effet dirigé vers la cible.</x:v>
      </x:c>
      <x:c r="J11" s="9" t="str">
        <x:v>Anticipation lisible, pose de libération, récupération. Pose de préparation propre au personnage. Effet dirigé vers la cible.</x:v>
      </x:c>
      <x:c r="K11" s="9" t="str">
        <x:v>Signal d’activation distinct du signal de disponibilité. Sous-titre des alertes.</x:v>
      </x:c>
      <x:c r="L11" s="9" t="str">
        <x:v>Action de données me4_dorn. Coût retiré une seule fois.</x:v>
      </x:c>
      <x:c r="M11" s="9" t="str">
        <x:v>Aucun coût numérique ne décrit une statistique officielle.</x:v>
      </x:c>
      <x:c r="N11" s="9" t="str">
        <x:v>La commande expose cible, coût et résultat avant confirmation.</x:v>
      </x:c>
      <x:c r="O11" s="9" t="str"/>
      <x:c r="P11" s="9" t="str">
        <x:v>Les Routes du silence, conception originale</x:v>
      </x:c>
      <x:c r="Q11" s="9" t="str"/>
      <x:c r="R11" s="20" t="str"/>
      <x:c r="S11" s="20" t="str"/>
    </x:row>
    <x:row r="12" ht="54" customHeight="1">
      <x:c r="A12" s="19" t="str">
        <x:v>ME4-MOV-SIRIN</x:v>
      </x:c>
      <x:c r="B12" s="7" t="str">
        <x:v>Leurre logistique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Action proposée pour SIRIN.</x:v>
      </x:c>
      <x:c r="G12" s="7" t="str">
        <x:v>Attirer un récupérateur vers une fausse ressource.</x:v>
      </x:c>
      <x:c r="H12" s="7" t="str">
        <x:v>Attirer un récupérateur vers une fausse ressource. Contrepartie : L’ennemi découvre le leurre après une action ; immunité temporaire ensuite.</x:v>
      </x:c>
      <x:c r="I12" s="7" t="str">
        <x:v>Pose de préparation propre au personnage. Effet dirigé vers la cible.</x:v>
      </x:c>
      <x:c r="J12" s="7" t="str">
        <x:v>Anticipation lisible, pose de libération, récupération. Pose de préparation propre au personnage. Effet dirigé vers la cible.</x:v>
      </x:c>
      <x:c r="K12" s="7" t="str">
        <x:v>Signal d’activation distinct du signal de disponibilité. Sous-titre des alertes.</x:v>
      </x:c>
      <x:c r="L12" s="7" t="str">
        <x:v>Action de données me4_sirin. Coût retiré une seule fois.</x:v>
      </x:c>
      <x:c r="M12" s="7" t="str">
        <x:v>Aucun coût numérique ne décrit une statistique officielle.</x:v>
      </x:c>
      <x:c r="N12" s="7" t="str">
        <x:v>La commande expose cible, coût et résultat avant confirmation.</x:v>
      </x:c>
      <x:c r="O12" s="7" t="str"/>
      <x:c r="P12" s="7" t="str">
        <x:v>Les Routes du silence, conception originale</x:v>
      </x:c>
      <x:c r="Q12" s="7" t="str"/>
      <x:c r="R12" s="21" t="str"/>
      <x:c r="S12" s="21" t="str"/>
    </x:row>
  </x:sheetData>
  <x:conditionalFormatting sqref="D7:D12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12">
    <x:cfRule type="cellIs" dxfId="70" priority="3" operator="equal">
      <x:formula>"Validé"</x:formula>
    </x:cfRule>
  </x:conditionalFormatting>
  <x:conditionalFormatting sqref="E7:E12">
    <x:cfRule type="cellIs" dxfId="71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d6e26e97744a54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ME4-EMV-SCAV</x:v>
      </x:c>
      <x:c r="B7" s="9" t="str">
        <x:v>Récupérateur armé : boucle de combat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IA et télégraphes originaux.</x:v>
      </x:c>
      <x:c r="G7" s="9" t="str">
        <x:v>Tir opportuniste puis déplacement vers une ressource.</x:v>
      </x:c>
      <x:c r="H7" s="9" t="str">
        <x:v>Priorité IA : cible valide, anticipation, résolution, temps de récupération. Prendre le contrôle de la ressource ou négocier avant le combat.</x:v>
      </x:c>
      <x:c r="I7" s="9" t="str">
        <x:v>Armure bricolée, sac de récupérateur.</x:v>
      </x:c>
      <x:c r="J7" s="9" t="str">
        <x:v>Anticipation propre à Récupérateur armé, attaque et état de rupture distincts.</x:v>
      </x:c>
      <x:c r="K7" s="9" t="str">
        <x:v>Avertissement sonore doublé par forme et texte, sans dépendance exclusive à la couleur.</x:v>
      </x:c>
      <x:c r="L7" s="9" t="str"/>
      <x:c r="M7" s="9" t="str"/>
      <x:c r="N7" s="9" t="str">
        <x:v>Une action interrompue ne s’exécute pas après la mort. Le télégraphe précède toujours les dégâts.</x:v>
      </x:c>
      <x:c r="O7" s="9" t="str">
        <x:v>ME4-ENM-SCAV</x:v>
      </x:c>
      <x:c r="P7" s="9" t="str">
        <x:v>Les Routes du silence, conception originale</x:v>
      </x:c>
      <x:c r="Q7" s="9" t="str"/>
      <x:c r="R7" s="20" t="str"/>
      <x:c r="S7" s="20" t="str"/>
    </x:row>
    <x:row r="8" ht="54" customHeight="1">
      <x:c r="A8" s="19" t="str">
        <x:v>ME4-EMV-JAMMER</x:v>
      </x:c>
      <x:c r="B8" s="7" t="str">
        <x:v>Brouilleur de route : boucle de combat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IA et télégraphes originaux.</x:v>
      </x:c>
      <x:c r="G8" s="7" t="str">
        <x:v>Retarde les pouvoirs techniques dans un rayon visible.</x:v>
      </x:c>
      <x:c r="H8" s="7" t="str">
        <x:v>Priorité IA : cible valide, anticipation, résolution, temps de récupération. Briser l’antenne ou sortir du rayon.</x:v>
      </x:c>
      <x:c r="I8" s="7" t="str">
        <x:v>Anneau tournant et trois antennes.</x:v>
      </x:c>
      <x:c r="J8" s="7" t="str">
        <x:v>Anticipation propre à Brouilleur de route, attaque et état de rupture distincts.</x:v>
      </x:c>
      <x:c r="K8" s="7" t="str">
        <x:v>Avertissement sonore doublé par forme et texte, sans dépendance exclusive à la couleur.</x:v>
      </x:c>
      <x:c r="L8" s="7" t="str"/>
      <x:c r="M8" s="7" t="str"/>
      <x:c r="N8" s="7" t="str">
        <x:v>Une action interrompue ne s’exécute pas après la mort. Le télégraphe précède toujours les dégâts.</x:v>
      </x:c>
      <x:c r="O8" s="7" t="str">
        <x:v>ME4-ENM-JAMMER</x:v>
      </x:c>
      <x:c r="P8" s="7" t="str">
        <x:v>Les Routes du silence, conception originale</x:v>
      </x:c>
      <x:c r="Q8" s="7" t="str"/>
      <x:c r="R8" s="21" t="str"/>
      <x:c r="S8" s="21" t="str"/>
    </x:row>
    <x:row r="9" ht="54" customHeight="1">
      <x:c r="A9" s="18" t="str">
        <x:v>ME4-EMV-ANCHOR</x:v>
      </x:c>
      <x:c r="B9" s="9" t="str">
        <x:v>Garde d’ancrage : boucle de combat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IA et télégraphes originaux.</x:v>
      </x:c>
      <x:c r="G9" s="9" t="str">
        <x:v>Protège un point fixe et accumule de l’énergie.</x:v>
      </x:c>
      <x:c r="H9" s="9" t="str">
        <x:v>Priorité IA : cible valide, anticipation, résolution, temps de récupération. Détruire les câbles externes pendant la charge.</x:v>
      </x:c>
      <x:c r="I9" s="9" t="str">
        <x:v>Jambes larges et cœur en forme de verrou.</x:v>
      </x:c>
      <x:c r="J9" s="9" t="str">
        <x:v>Anticipation propre à Garde d’ancrage, attaque et état de rupture distincts.</x:v>
      </x:c>
      <x:c r="K9" s="9" t="str">
        <x:v>Avertissement sonore doublé par forme et texte, sans dépendance exclusive à la couleur.</x:v>
      </x:c>
      <x:c r="L9" s="9" t="str"/>
      <x:c r="M9" s="9" t="str"/>
      <x:c r="N9" s="9" t="str">
        <x:v>Une action interrompue ne s’exécute pas après la mort. Le télégraphe précède toujours les dégâts.</x:v>
      </x:c>
      <x:c r="O9" s="9" t="str">
        <x:v>ME4-ENM-ANCHOR</x:v>
      </x:c>
      <x:c r="P9" s="9" t="str">
        <x:v>Les Routes du silence, conception originale</x:v>
      </x:c>
      <x:c r="Q9" s="9" t="str"/>
      <x:c r="R9" s="20" t="str"/>
      <x:c r="S9" s="20" t="str"/>
    </x:row>
    <x:row r="10" ht="54" customHeight="1">
      <x:c r="A10" s="19" t="str">
        <x:v>ME4-EMV-ECHO</x:v>
      </x:c>
      <x:c r="B10" s="7" t="str">
        <x:v>Projection Écho : boucle de combat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IA et télégraphes originaux.</x:v>
      </x:c>
      <x:c r="G10" s="7" t="str">
        <x:v>Imite la dernière attaque du joueur avec un retard.</x:v>
      </x:c>
      <x:c r="H10" s="7" t="str">
        <x:v>Priorité IA : cible valide, anticipation, résolution, temps de récupération. Utiliser une garde ou une attaque faible pour changer le motif.</x:v>
      </x:c>
      <x:c r="I10" s="7" t="str">
        <x:v>Silhouette à double contour et fragments transparents.</x:v>
      </x:c>
      <x:c r="J10" s="7" t="str">
        <x:v>Anticipation propre à Projection Écho, attaque et état de rupture distincts.</x:v>
      </x:c>
      <x:c r="K10" s="7" t="str">
        <x:v>Avertissement sonore doublé par forme et texte, sans dépendance exclusive à la couleur.</x:v>
      </x:c>
      <x:c r="L10" s="7" t="str"/>
      <x:c r="M10" s="7" t="str"/>
      <x:c r="N10" s="7" t="str">
        <x:v>Une action interrompue ne s’exécute pas après la mort. Le télégraphe précède toujours les dégâts.</x:v>
      </x:c>
      <x:c r="O10" s="7" t="str">
        <x:v>ME4-ENM-ECHO</x:v>
      </x:c>
      <x:c r="P10" s="7" t="str">
        <x:v>Les Routes du silence, conception originale</x:v>
      </x:c>
      <x:c r="Q10" s="7" t="str"/>
      <x:c r="R10" s="21" t="str"/>
      <x:c r="S10" s="21" t="str"/>
    </x:row>
    <x:row r="11" ht="54" customHeight="1">
      <x:c r="A11" s="18" t="str">
        <x:v>ME4-EMV-SENTINEL</x:v>
      </x:c>
      <x:c r="B11" s="9" t="str">
        <x:v>Sentinelle du Nœud 17 : boucle de combat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IA et télégraphes originaux.</x:v>
      </x:c>
      <x:c r="G11" s="9" t="str">
        <x:v>Trois bras protègent successivement un régulateur central.</x:v>
      </x:c>
      <x:c r="H11" s="9" t="str">
        <x:v>Priorité IA : cible valide, anticipation, résolution, temps de récupération. Désactiver les bras dans un ordre choisi, avec danger restant explicite.</x:v>
      </x:c>
      <x:c r="I11" s="9" t="str">
        <x:v>Structure en anneaux, bras très distincts.</x:v>
      </x:c>
      <x:c r="J11" s="9" t="str">
        <x:v>Anticipation propre à Sentinelle du Nœud 17, attaque et état de rupture distincts.</x:v>
      </x:c>
      <x:c r="K11" s="9" t="str">
        <x:v>Avertissement sonore doublé par forme et texte, sans dépendance exclusive à la couleur.</x:v>
      </x:c>
      <x:c r="L11" s="9" t="str"/>
      <x:c r="M11" s="9" t="str"/>
      <x:c r="N11" s="9" t="str">
        <x:v>Une action interrompue ne s’exécute pas après la mort. Le télégraphe précède toujours les dégâts.</x:v>
      </x:c>
      <x:c r="O11" s="9" t="str">
        <x:v>ME4-ENM-SENTINEL</x:v>
      </x:c>
      <x:c r="P11" s="9" t="str">
        <x:v>Les Routes du silence, conception originale</x:v>
      </x:c>
      <x:c r="Q11" s="9" t="str"/>
      <x:c r="R11" s="20" t="str"/>
      <x:c r="S11" s="20" t="str"/>
    </x:row>
    <x:row r="12" ht="54" customHeight="1">
      <x:c r="A12" s="19" t="str">
        <x:v>ME4-EMV-WARDEN</x:v>
      </x:c>
      <x:c r="B12" s="7" t="str">
        <x:v>Gardien de la digue : boucle de combat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IA et télégraphes originaux.</x:v>
      </x:c>
      <x:c r="G12" s="7" t="str">
        <x:v>Déclenche des vagues à travers les vannes de l’arène.</x:v>
      </x:c>
      <x:c r="H12" s="7" t="str">
        <x:v>Priorité IA : cible valide, anticipation, résolution, temps de récupération. Changer de hauteur et ouvrir une vanne opposée.</x:v>
      </x:c>
      <x:c r="I12" s="7" t="str">
        <x:v>Châssis amphibie bas, bouclier frontal.</x:v>
      </x:c>
      <x:c r="J12" s="7" t="str">
        <x:v>Anticipation propre à Gardien de la digue, attaque et état de rupture distincts.</x:v>
      </x:c>
      <x:c r="K12" s="7" t="str">
        <x:v>Avertissement sonore doublé par forme et texte, sans dépendance exclusive à la couleur.</x:v>
      </x:c>
      <x:c r="L12" s="7" t="str"/>
      <x:c r="M12" s="7" t="str"/>
      <x:c r="N12" s="7" t="str">
        <x:v>Une action interrompue ne s’exécute pas après la mort. Le télégraphe précède toujours les dégâts.</x:v>
      </x:c>
      <x:c r="O12" s="7" t="str">
        <x:v>ME4-ENM-WARDEN</x:v>
      </x:c>
      <x:c r="P12" s="7" t="str">
        <x:v>Les Routes du silence, conception originale</x:v>
      </x:c>
      <x:c r="Q12" s="7" t="str"/>
      <x:c r="R12" s="21" t="str"/>
      <x:c r="S12" s="21" t="str"/>
    </x:row>
    <x:row r="13" ht="54" customHeight="1">
      <x:c r="A13" s="18" t="str">
        <x:v>ME4-EMV-ARCHON</x:v>
      </x:c>
      <x:c r="B13" s="9" t="str">
        <x:v>Mandataire du Conservateur : boucle de combat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IA et télégraphes originaux.</x:v>
      </x:c>
      <x:c r="G13" s="9" t="str">
        <x:v>Alterne copie, verrouillage de commandes et exposition du cœur.</x:v>
      </x:c>
      <x:c r="H13" s="9" t="str">
        <x:v>Priorité IA : cible valide, anticipation, résolution, temps de récupération. Sauvegarder une commande de rupture pendant la phase copie.</x:v>
      </x:c>
      <x:c r="I13" s="9" t="str">
        <x:v>Volume fait de panneaux d’archive et d’un noyau sombre.</x:v>
      </x:c>
      <x:c r="J13" s="9" t="str">
        <x:v>Anticipation propre à Mandataire du Conservateur, attaque et état de rupture distincts.</x:v>
      </x:c>
      <x:c r="K13" s="9" t="str">
        <x:v>Avertissement sonore doublé par forme et texte, sans dépendance exclusive à la couleur.</x:v>
      </x:c>
      <x:c r="L13" s="9" t="str"/>
      <x:c r="M13" s="9" t="str"/>
      <x:c r="N13" s="9" t="str">
        <x:v>Une action interrompue ne s’exécute pas après la mort. Le télégraphe précède toujours les dégâts.</x:v>
      </x:c>
      <x:c r="O13" s="9" t="str">
        <x:v>ME4-ENM-ARCHON</x:v>
      </x:c>
      <x:c r="P13" s="9" t="str">
        <x:v>Les Routes du silence, conception originale</x:v>
      </x:c>
      <x:c r="Q13" s="9" t="str"/>
      <x:c r="R13" s="20" t="str"/>
      <x:c r="S13" s="20" t="str"/>
    </x:row>
  </x:sheetData>
  <x:conditionalFormatting sqref="D7:D13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13">
    <x:cfRule type="cellIs" dxfId="74" priority="3" operator="equal">
      <x:formula>"Validé"</x:formula>
    </x:cfRule>
  </x:conditionalFormatting>
  <x:conditionalFormatting sqref="E7:E13">
    <x:cfRule type="cellIs" dxfId="75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947484f0ae4cc1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ME4-ANM-COAT</x:v>
      </x:c>
      <x:c r="B7" s="9" t="str">
        <x:v>Manteau de Rook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Pack d’animation original.</x:v>
      </x:c>
      <x:c r="G7" s="9" t="str">
        <x:v>Deux silhouettes de volume selon la direction, sans simulation textile complète.</x:v>
      </x:c>
      <x:c r="H7" s="9" t="str">
        <x:v>Limiter les variations au cycle de course et aux arrêts.</x:v>
      </x:c>
      <x:c r="I7" s="9" t="str">
        <x:v>Pans courts compatibles avec accroupissement.</x:v>
      </x:c>
      <x:c r="J7" s="9" t="str"/>
      <x:c r="K7" s="9" t="str"/>
      <x:c r="L7" s="9" t="str"/>
      <x:c r="M7" s="9" t="str"/>
      <x:c r="N7" s="9" t="str">
        <x:v>Aucune traversée de jambes ou d’arme dans les poses clés.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ME4-ANM-INTERCEPT</x:v>
      </x:c>
      <x:c r="B8" s="7" t="str">
        <x:v>Interception de Dorn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Pack d’animation original.</x:v>
      </x:c>
      <x:c r="G8" s="7" t="str">
        <x:v>Départ, déplacement court, garde, impact et retour.</x:v>
      </x:c>
      <x:c r="H8" s="7" t="str">
        <x:v>Annuler proprement si la cible n’est plus menacée.</x:v>
      </x:c>
      <x:c r="I8" s="7" t="str">
        <x:v>Masse et appuis lisibles.</x:v>
      </x:c>
      <x:c r="J8" s="7" t="str"/>
      <x:c r="K8" s="7" t="str"/>
      <x:c r="L8" s="7" t="str"/>
      <x:c r="M8" s="7" t="str"/>
      <x:c r="N8" s="7" t="str">
        <x:v>Le retour au point d’origine ne traverse pas les autres sprites.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ME4-ANM-ECHO</x:v>
      </x:c>
      <x:c r="B9" s="9" t="str">
        <x:v>Copie différée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Animation originale de projection.</x:v>
      </x:c>
      <x:c r="G9" s="9" t="str">
        <x:v>Rejouer le geste enregistré avec retard visible et contours fragmentés.</x:v>
      </x:c>
      <x:c r="H9" s="9" t="str">
        <x:v>Mettre en cache une pose autorisée sans copier des animations absentes.</x:v>
      </x:c>
      <x:c r="I9" s="9" t="str">
        <x:v>Géométrie légèrement décalée.</x:v>
      </x:c>
      <x:c r="J9" s="9" t="str"/>
      <x:c r="K9" s="9" t="str"/>
      <x:c r="L9" s="9" t="str"/>
      <x:c r="M9" s="9" t="str"/>
      <x:c r="N9" s="9" t="str">
        <x:v>La copie ne devient jamais invisible quand le personnage source meurt.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</x:sheetData>
  <x:conditionalFormatting sqref="D7:D9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9">
    <x:cfRule type="cellIs" dxfId="78" priority="3" operator="equal">
      <x:formula>"Validé"</x:formula>
    </x:cfRule>
  </x:conditionalFormatting>
  <x:conditionalFormatting sqref="E7:E9">
    <x:cfRule type="cellIs" dxfId="79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130885c9584bcd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ME4-SPR-ROOK</x:v>
      </x:c>
      <x:c r="B7" s="9" t="str">
        <x:v>Sprite et portrait de Rook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Livrable 2D proposé.</x:v>
      </x:c>
      <x:c r="G7" s="9" t="str">
        <x:v>Créer un atlas de déplacement et un portrait de dialogue pour Rook.</x:v>
      </x:c>
      <x:c r="H7" s="9" t="str">
        <x:v>Réglage proposé : 8 directions, 6 poses de marche par direction, pivot aux pieds.</x:v>
      </x:c>
      <x:c r="I7" s="9" t="str">
        <x:v>Manteau court asymétrique proposé, armure charbon, repères blancs et lampe orange. Ne pas identifier au personnage du teaser.</x:v>
      </x:c>
      <x:c r="J7" s="9" t="str">
        <x:v>8 directions, commande de groupe de la main libre, tir et raccord manteau sans traversée.</x:v>
      </x:c>
      <x:c r="K7" s="9" t="str"/>
      <x:c r="L7" s="9" t="str">
        <x:v>Asset prévu : me4/sprites/rook.png et atlas JSON. Aucun fichier livré par cette fiche.</x:v>
      </x:c>
      <x:c r="M7" s="9" t="str">
        <x:v>Référence costume et palette validée avant déclinaisons.</x:v>
      </x:c>
      <x:c r="N7" s="9" t="str">
        <x:v>Aucun membre tronqué, même taille apparente dans chaque direction, silhouette lisible à 96 px.</x:v>
      </x:c>
      <x:c r="O7" s="9" t="str">
        <x:v>ME4-CHR-ROOK</x:v>
      </x:c>
      <x:c r="P7" s="9" t="str">
        <x:v>Les Routes du silence, conception originale</x:v>
      </x:c>
      <x:c r="Q7" s="9" t="str"/>
      <x:c r="R7" s="20" t="str"/>
      <x:c r="S7" s="20" t="str">
        <x:v>Référence de production interne à créer. Aucun modèle officiel du projet annulé disponible pour cet élément.</x:v>
      </x:c>
    </x:row>
    <x:row r="8" ht="44" customHeight="1">
      <x:c r="A8" s="19" t="str">
        <x:v>ME4-SPR-VEYRA</x:v>
      </x:c>
      <x:c r="B8" s="7" t="str">
        <x:v>Sprite et portrait de Veyra Sen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Livrable 2D proposé.</x:v>
      </x:c>
      <x:c r="G8" s="7" t="str">
        <x:v>Créer un atlas de déplacement et un portrait de dialogue pour Veyra Sen.</x:v>
      </x:c>
      <x:c r="H8" s="7" t="str">
        <x:v>Réglage proposé : 8 directions, 6 poses de marche par direction, pivot aux pieds.</x:v>
      </x:c>
      <x:c r="I8" s="7" t="str">
        <x:v>Silhouette haute, tunique technique bleu pétrole, instruments de mesure suspendus.</x:v>
      </x:c>
      <x:c r="J8" s="7" t="str">
        <x:v>Main qui trace un arc, posture d’écoute, recul lors d’une surcharge.</x:v>
      </x:c>
      <x:c r="K8" s="7" t="str"/>
      <x:c r="L8" s="7" t="str">
        <x:v>Asset prévu : me4/sprites/veyra.png et atlas JSON. Aucun fichier livré par cette fiche.</x:v>
      </x:c>
      <x:c r="M8" s="7" t="str">
        <x:v>Référence costume et palette validée avant déclinaisons.</x:v>
      </x:c>
      <x:c r="N8" s="7" t="str">
        <x:v>Aucun membre tronqué, même taille apparente dans chaque direction, silhouette lisible à 96 px.</x:v>
      </x:c>
      <x:c r="O8" s="7" t="str">
        <x:v>ME4-CHR-VEYRA</x:v>
      </x:c>
      <x:c r="P8" s="7" t="str">
        <x:v>Les Routes du silence, conception originale</x:v>
      </x:c>
      <x:c r="Q8" s="7" t="str"/>
      <x:c r="R8" s="21" t="str"/>
      <x:c r="S8" s="21" t="str">
        <x:v>Référence de production interne à créer. Aucun modèle officiel du projet annulé disponible pour cet élément.</x:v>
      </x:c>
    </x:row>
    <x:row r="9" ht="44" customHeight="1">
      <x:c r="A9" s="18" t="str">
        <x:v>ME4-SPR-TARIK</x:v>
      </x:c>
      <x:c r="B9" s="9" t="str">
        <x:v>Sprite et portrait de Tarik Venn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Livrable 2D proposé.</x:v>
      </x:c>
      <x:c r="G9" s="9" t="str">
        <x:v>Créer un atlas de déplacement et un portrait de dialogue pour Tarik Venn.</x:v>
      </x:c>
      <x:c r="H9" s="9" t="str">
        <x:v>Réglage proposé : 8 directions, 6 poses de marche par direction, pivot aux pieds.</x:v>
      </x:c>
      <x:c r="I9" s="9" t="str">
        <x:v>Crête fine, plaques cuivrées, sac de relais dorsal.</x:v>
      </x:c>
      <x:c r="J9" s="9" t="str">
        <x:v>Pose agenouillée, outil à deux bras, tir stable et marche digitigrade.</x:v>
      </x:c>
      <x:c r="K9" s="9" t="str"/>
      <x:c r="L9" s="9" t="str">
        <x:v>Asset prévu : me4/sprites/tarik.png et atlas JSON. Aucun fichier livré par cette fiche.</x:v>
      </x:c>
      <x:c r="M9" s="9" t="str">
        <x:v>Référence costume et palette validée avant déclinaisons.</x:v>
      </x:c>
      <x:c r="N9" s="9" t="str">
        <x:v>Aucun membre tronqué, même taille apparente dans chaque direction, silhouette lisible à 96 px.</x:v>
      </x:c>
      <x:c r="O9" s="9" t="str">
        <x:v>ME4-CHR-TARIK</x:v>
      </x:c>
      <x:c r="P9" s="9" t="str">
        <x:v>Les Routes du silence, conception originale</x:v>
      </x:c>
      <x:c r="Q9" s="9" t="str"/>
      <x:c r="R9" s="20" t="str"/>
      <x:c r="S9" s="20" t="str">
        <x:v>Référence de production interne à créer. Aucun modèle officiel du projet annulé disponible pour cet élément.</x:v>
      </x:c>
    </x:row>
    <x:row r="10" ht="44" customHeight="1">
      <x:c r="A10" s="19" t="str">
        <x:v>ME4-SPR-KHELA</x:v>
      </x:c>
      <x:c r="B10" s="7" t="str">
        <x:v>Sprite et portrait de Khela vas Rannoch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Livrable 2D proposé.</x:v>
      </x:c>
      <x:c r="G10" s="7" t="str">
        <x:v>Créer un atlas de déplacement et un portrait de dialogue pour Khela vas Rannoch.</x:v>
      </x:c>
      <x:c r="H10" s="7" t="str">
        <x:v>Réglage proposé : 8 directions, 6 poses de marche par direction, pivot aux pieds.</x:v>
      </x:c>
      <x:c r="I10" s="7" t="str">
        <x:v>Combinaison graphite, voile sable, motifs fins propres au personnage.</x:v>
      </x:c>
      <x:c r="J10" s="7" t="str">
        <x:v>Projection de carte, déploiement de drone, marche prudente.</x:v>
      </x:c>
      <x:c r="K10" s="7" t="str"/>
      <x:c r="L10" s="7" t="str">
        <x:v>Asset prévu : me4/sprites/khela.png et atlas JSON. Aucun fichier livré par cette fiche.</x:v>
      </x:c>
      <x:c r="M10" s="7" t="str">
        <x:v>Référence costume et palette validée avant déclinaisons.</x:v>
      </x:c>
      <x:c r="N10" s="7" t="str">
        <x:v>Aucun membre tronqué, même taille apparente dans chaque direction, silhouette lisible à 96 px.</x:v>
      </x:c>
      <x:c r="O10" s="7" t="str">
        <x:v>ME4-CHR-KHELA</x:v>
      </x:c>
      <x:c r="P10" s="7" t="str">
        <x:v>Les Routes du silence, conception originale</x:v>
      </x:c>
      <x:c r="Q10" s="7" t="str"/>
      <x:c r="R10" s="21" t="str"/>
      <x:c r="S10" s="21" t="str">
        <x:v>Référence de production interne à créer. Aucun modèle officiel du projet annulé disponible pour cet élément.</x:v>
      </x:c>
    </x:row>
    <x:row r="11" ht="44" customHeight="1">
      <x:c r="A11" s="18" t="str">
        <x:v>ME4-SPR-DORN</x:v>
      </x:c>
      <x:c r="B11" s="9" t="str">
        <x:v>Sprite et portrait de Urdnot Dorn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Livrable 2D proposé.</x:v>
      </x:c>
      <x:c r="G11" s="9" t="str">
        <x:v>Créer un atlas de déplacement et un portrait de dialogue pour Urdnot Dorn.</x:v>
      </x:c>
      <x:c r="H11" s="9" t="str">
        <x:v>Réglage proposé : 8 directions, 6 poses de marche par direction, pivot aux pieds.</x:v>
      </x:c>
      <x:c r="I11" s="9" t="str">
        <x:v>Armure vert sombre, épaulière usée, outils civils autant que militaires.</x:v>
      </x:c>
      <x:c r="J11" s="9" t="str">
        <x:v>Prise d’appui large, garde frontale, levée d’un obstacle.</x:v>
      </x:c>
      <x:c r="K11" s="9" t="str"/>
      <x:c r="L11" s="9" t="str">
        <x:v>Asset prévu : me4/sprites/dorn.png et atlas JSON. Aucun fichier livré par cette fiche.</x:v>
      </x:c>
      <x:c r="M11" s="9" t="str">
        <x:v>Référence costume et palette validée avant déclinaisons.</x:v>
      </x:c>
      <x:c r="N11" s="9" t="str">
        <x:v>Aucun membre tronqué, même taille apparente dans chaque direction, silhouette lisible à 96 px.</x:v>
      </x:c>
      <x:c r="O11" s="9" t="str">
        <x:v>ME4-CHR-DORN</x:v>
      </x:c>
      <x:c r="P11" s="9" t="str">
        <x:v>Les Routes du silence, conception originale</x:v>
      </x:c>
      <x:c r="Q11" s="9" t="str"/>
      <x:c r="R11" s="20" t="str"/>
      <x:c r="S11" s="20" t="str">
        <x:v>Référence de production interne à créer. Aucun modèle officiel du projet annulé disponible pour cet élément.</x:v>
      </x:c>
    </x:row>
    <x:row r="12" ht="44" customHeight="1">
      <x:c r="A12" s="19" t="str">
        <x:v>ME4-SPR-SIRIN</x:v>
      </x:c>
      <x:c r="B12" s="7" t="str">
        <x:v>Sprite et portrait de Sirin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Livrable 2D proposé.</x:v>
      </x:c>
      <x:c r="G12" s="7" t="str">
        <x:v>Créer un atlas de déplacement et un portrait de dialogue pour Sirin.</x:v>
      </x:c>
      <x:c r="H12" s="7" t="str">
        <x:v>Réglage proposé : 8 directions, 6 poses de marche par direction, pivot aux pieds.</x:v>
      </x:c>
      <x:c r="I12" s="7" t="str">
        <x:v>Veste claire à poches, lunettes de travail, couleurs ocre et gris.</x:v>
      </x:c>
      <x:c r="J12" s="7" t="str">
        <x:v>Gestes précis, rythme rapide, rechargement de dispositif.</x:v>
      </x:c>
      <x:c r="K12" s="7" t="str"/>
      <x:c r="L12" s="7" t="str">
        <x:v>Asset prévu : me4/sprites/sirin.png et atlas JSON. Aucun fichier livré par cette fiche.</x:v>
      </x:c>
      <x:c r="M12" s="7" t="str">
        <x:v>Référence costume et palette validée avant déclinaisons.</x:v>
      </x:c>
      <x:c r="N12" s="7" t="str">
        <x:v>Aucun membre tronqué, même taille apparente dans chaque direction, silhouette lisible à 96 px.</x:v>
      </x:c>
      <x:c r="O12" s="7" t="str">
        <x:v>ME4-CHR-SIRIN</x:v>
      </x:c>
      <x:c r="P12" s="7" t="str">
        <x:v>Les Routes du silence, conception originale</x:v>
      </x:c>
      <x:c r="Q12" s="7" t="str"/>
      <x:c r="R12" s="21" t="str"/>
      <x:c r="S12" s="21" t="str">
        <x:v>Référence de production interne à créer. Aucun modèle officiel du projet annulé disponible pour cet élément.</x:v>
      </x:c>
    </x:row>
    <x:row r="13" ht="44" customHeight="1">
      <x:c r="A13" s="18" t="str">
        <x:v>ME4-ASSET-NPC-ANJA</x:v>
      </x:c>
      <x:c r="B13" s="9" t="str">
        <x:v>Portraits : Anja Vale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Livrable graphique proposé.</x:v>
      </x:c>
      <x:c r="G13" s="9" t="str">
        <x:v>Dessiner Anja Vale en face et trois-quarts avec expressions liées à ses échanges.</x:v>
      </x:c>
      <x:c r="H13" s="9" t="str">
        <x:v>Proposition : neutre, désaccord, alerte et conclusion. Ne pas fabriquer une réaction absente du scénario.</x:v>
      </x:c>
      <x:c r="I13" s="9" t="str">
        <x:v>Tenue civile renforcée, tablette de distribution.</x:v>
      </x:c>
      <x:c r="J13" s="9" t="str">
        <x:v>Transitions discrètes entre expressions ; pas de déplacement du cadre.</x:v>
      </x:c>
      <x:c r="K13" s="9" t="str"/>
      <x:c r="L13" s="9" t="str">
        <x:v>Livrable prévu : atlas me4_npc-anja, métadonnées des pivots et fichier de référence visuelle.</x:v>
      </x:c>
      <x:c r="M13" s="9" t="str">
        <x:v>Référence visuelle validée avant les variantes. Les cases manquantes sont suivies explicitement.</x:v>
      </x:c>
      <x:c r="N13" s="9" t="str">
        <x:v>Le nom Anja Vale reste identifiable à petite taille et les expressions ne modifient pas les traits.</x:v>
      </x:c>
      <x:c r="O13" s="9" t="str">
        <x:v>ME4-NPC-ANJA</x:v>
      </x:c>
      <x:c r="P13" s="9" t="str">
        <x:v>Conception du fan game</x:v>
      </x:c>
      <x:c r="Q13" s="9" t="str"/>
      <x:c r="R13" s="20" t="str"/>
      <x:c r="S13" s="20" t="str">
        <x:v>Fiche de production uniquement. Aucun sprite supplémentaire n’a été généré par ce classeur.</x:v>
      </x:c>
    </x:row>
    <x:row r="14" ht="44" customHeight="1">
      <x:c r="A14" s="19" t="str">
        <x:v>ME4-ASSET-NPC-KEST</x:v>
      </x:c>
      <x:c r="B14" s="7" t="str">
        <x:v>Portraits : Kest Ralos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Livrable graphique proposé.</x:v>
      </x:c>
      <x:c r="G14" s="7" t="str">
        <x:v>Dessiner Kest Ralos en face et trois-quarts avec expressions liées à ses échanges.</x:v>
      </x:c>
      <x:c r="H14" s="7" t="str">
        <x:v>Proposition : neutre, désaccord, alerte et conclusion. Ne pas fabriquer une réaction absente du scénario.</x:v>
      </x:c>
      <x:c r="I14" s="7" t="str">
        <x:v>Manteau de bord, harnais et cicatrices dessinées originales.</x:v>
      </x:c>
      <x:c r="J14" s="7" t="str">
        <x:v>Transitions discrètes entre expressions ; pas de déplacement du cadre.</x:v>
      </x:c>
      <x:c r="K14" s="7" t="str"/>
      <x:c r="L14" s="7" t="str">
        <x:v>Livrable prévu : atlas me4_npc-kest, métadonnées des pivots et fichier de référence visuelle.</x:v>
      </x:c>
      <x:c r="M14" s="7" t="str">
        <x:v>Référence visuelle validée avant les variantes. Les cases manquantes sont suivies explicitement.</x:v>
      </x:c>
      <x:c r="N14" s="7" t="str">
        <x:v>Le nom Kest Ralos reste identifiable à petite taille et les expressions ne modifient pas les traits.</x:v>
      </x:c>
      <x:c r="O14" s="7" t="str">
        <x:v>ME4-NPC-KEST</x:v>
      </x:c>
      <x:c r="P14" s="7" t="str">
        <x:v>Conception du fan game</x:v>
      </x:c>
      <x:c r="Q14" s="7" t="str"/>
      <x:c r="R14" s="21" t="str"/>
      <x:c r="S14" s="21" t="str">
        <x:v>Fiche de production uniquement. Aucun sprite supplémentaire n’a été généré par ce classeur.</x:v>
      </x:c>
    </x:row>
    <x:row r="15" ht="44" customHeight="1">
      <x:c r="A15" s="18" t="str">
        <x:v>ME4-ASSET-NPC-CURATOR</x:v>
      </x:c>
      <x:c r="B15" s="9" t="str">
        <x:v>Portraits : Le Conservateur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Livrable graphique proposé.</x:v>
      </x:c>
      <x:c r="G15" s="9" t="str">
        <x:v>Dessiner Le Conservateur en face et trois-quarts avec expressions liées à ses échanges.</x:v>
      </x:c>
      <x:c r="H15" s="9" t="str">
        <x:v>Proposition : neutre, désaccord, alerte et conclusion. Ne pas fabriquer une réaction absente du scénario.</x:v>
      </x:c>
      <x:c r="I15" s="9" t="str">
        <x:v>Visage abstrait fait de rectangles de mémoire, jamais un Moissonneur supposé.</x:v>
      </x:c>
      <x:c r="J15" s="9" t="str">
        <x:v>Transitions discrètes entre expressions ; pas de déplacement du cadre.</x:v>
      </x:c>
      <x:c r="K15" s="9" t="str"/>
      <x:c r="L15" s="9" t="str">
        <x:v>Livrable prévu : atlas me4_npc-curator, métadonnées des pivots et fichier de référence visuelle.</x:v>
      </x:c>
      <x:c r="M15" s="9" t="str">
        <x:v>Référence visuelle validée avant les variantes. Les cases manquantes sont suivies explicitement.</x:v>
      </x:c>
      <x:c r="N15" s="9" t="str">
        <x:v>Le nom Le Conservateur reste identifiable à petite taille et les expressions ne modifient pas les traits.</x:v>
      </x:c>
      <x:c r="O15" s="9" t="str">
        <x:v>ME4-NPC-CURATOR</x:v>
      </x:c>
      <x:c r="P15" s="9" t="str">
        <x:v>Conception du fan game</x:v>
      </x:c>
      <x:c r="Q15" s="9" t="str"/>
      <x:c r="R15" s="20" t="str"/>
      <x:c r="S15" s="20" t="str">
        <x:v>Fiche de production uniquement. Aucun sprite supplémentaire n’a été généré par ce classeur.</x:v>
      </x:c>
    </x:row>
    <x:row r="16" ht="44" customHeight="1">
      <x:c r="A16" s="19" t="str">
        <x:v>ME4-ASSET-NPC-NEME</x:v>
      </x:c>
      <x:c r="B16" s="7" t="str">
        <x:v>Portraits : Neme Raal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Livrable graphique proposé.</x:v>
      </x:c>
      <x:c r="G16" s="7" t="str">
        <x:v>Dessiner Neme Raal en face et trois-quarts avec expressions liées à ses échanges.</x:v>
      </x:c>
      <x:c r="H16" s="7" t="str">
        <x:v>Proposition : neutre, désaccord, alerte et conclusion. Ne pas fabriquer une réaction absente du scénario.</x:v>
      </x:c>
      <x:c r="I16" s="7" t="str">
        <x:v>Tenue de travail soignée, palette bleu acier et cuivre.</x:v>
      </x:c>
      <x:c r="J16" s="7" t="str">
        <x:v>Transitions discrètes entre expressions ; pas de déplacement du cadre.</x:v>
      </x:c>
      <x:c r="K16" s="7" t="str"/>
      <x:c r="L16" s="7" t="str">
        <x:v>Livrable prévu : atlas me4_npc-neme, métadonnées des pivots et fichier de référence visuelle.</x:v>
      </x:c>
      <x:c r="M16" s="7" t="str">
        <x:v>Référence visuelle validée avant les variantes. Les cases manquantes sont suivies explicitement.</x:v>
      </x:c>
      <x:c r="N16" s="7" t="str">
        <x:v>Le nom Neme Raal reste identifiable à petite taille et les expressions ne modifient pas les traits.</x:v>
      </x:c>
      <x:c r="O16" s="7" t="str">
        <x:v>ME4-NPC-NEME</x:v>
      </x:c>
      <x:c r="P16" s="7" t="str">
        <x:v>Conception du fan game</x:v>
      </x:c>
      <x:c r="Q16" s="7" t="str"/>
      <x:c r="R16" s="21" t="str"/>
      <x:c r="S16" s="21" t="str">
        <x:v>Fiche de production uniquement. Aucun sprite supplémentaire n’a été généré par ce classeur.</x:v>
      </x:c>
    </x:row>
    <x:row r="17" ht="44" customHeight="1">
      <x:c r="A17" s="18" t="str">
        <x:v>ME4-ASSET-NPC-ARCHIVIST</x:v>
      </x:c>
      <x:c r="B17" s="9" t="str">
        <x:v>Portraits : Émissaire de l’Ombre</x:v>
      </x:c>
      <x:c r="C17" s="15" t="str">
        <x:v>Défini</x:v>
      </x:c>
      <x:c r="D17" s="16" t="str">
        <x:v>Extrapolation</x:v>
      </x:c>
      <x:c r="E17" s="16" t="str">
        <x:v>P1</x:v>
      </x:c>
      <x:c r="F17" s="9" t="str">
        <x:v>Livrable graphique proposé.</x:v>
      </x:c>
      <x:c r="G17" s="9" t="str">
        <x:v>Dessiner Émissaire de l’Ombre en face et trois-quarts avec expressions liées à ses échanges.</x:v>
      </x:c>
      <x:c r="H17" s="9" t="str">
        <x:v>Proposition : neutre, désaccord, alerte et conclusion. Ne pas fabriquer une réaction absente du scénario.</x:v>
      </x:c>
      <x:c r="I17" s="9" t="str">
        <x:v>Portrait volontairement anonyme ; aucun retour de personnage annoncé comme officiel.</x:v>
      </x:c>
      <x:c r="J17" s="9" t="str">
        <x:v>Transitions discrètes entre expressions ; pas de déplacement du cadre.</x:v>
      </x:c>
      <x:c r="K17" s="9" t="str"/>
      <x:c r="L17" s="9" t="str">
        <x:v>Livrable prévu : atlas me4_npc-archivist, métadonnées des pivots et fichier de référence visuelle.</x:v>
      </x:c>
      <x:c r="M17" s="9" t="str">
        <x:v>Référence visuelle validée avant les variantes. Les cases manquantes sont suivies explicitement.</x:v>
      </x:c>
      <x:c r="N17" s="9" t="str">
        <x:v>Le nom Émissaire de l’Ombre reste identifiable à petite taille et les expressions ne modifient pas les traits.</x:v>
      </x:c>
      <x:c r="O17" s="9" t="str">
        <x:v>ME4-NPC-ARCHIVIST</x:v>
      </x:c>
      <x:c r="P17" s="9" t="str">
        <x:v>Conception du fan game</x:v>
      </x:c>
      <x:c r="Q17" s="9" t="str"/>
      <x:c r="R17" s="20" t="str"/>
      <x:c r="S17" s="20" t="str">
        <x:v>Fiche de production uniquement. Aucun sprite supplémentaire n’a été généré par ce classeur.</x:v>
      </x:c>
    </x:row>
    <x:row r="18" ht="82" customHeight="1">
      <x:c r="A18" s="19" t="str">
        <x:v>ME4-ASSET-ENM-SCAV</x:v>
      </x:c>
      <x:c r="B18" s="7" t="str">
        <x:v>Atlas de combat : Récupérateur armé</x:v>
      </x:c>
      <x:c r="C18" s="15" t="str">
        <x:v>Défini</x:v>
      </x:c>
      <x:c r="D18" s="17" t="str">
        <x:v>Extrapolation</x:v>
      </x:c>
      <x:c r="E18" s="17" t="str">
        <x:v>P1</x:v>
      </x:c>
      <x:c r="F18" s="7" t="str">
        <x:v>Livrable graphique proposé.</x:v>
      </x:c>
      <x:c r="G18" s="7" t="str">
        <x:v>Construire les poses de Récupérateur armé nécessaires à sa boucle de combat.</x:v>
      </x:c>
      <x:c r="H18" s="7" t="str">
        <x:v>Proposition : attente, anticipation, attaque, impact, rupture et sortie. La boucle à rendre lisible est : Proposition : Tir opportuniste puis déplacement vers une ressource. Réponse : Prendre le contrôle de la ressource ou négocier avant le combat.</x:v>
      </x:c>
      <x:c r="I18" s="7" t="str">
        <x:v>Armure bricolée, sac de récupérateur.</x:v>
      </x:c>
      <x:c r="J18" s="7" t="str">
        <x:v>Huit directions pour les unités mobiles ; vue fixe possible pour un boss ancré. Événements d’impact séparés des poses.</x:v>
      </x:c>
      <x:c r="K18" s="7" t="str"/>
      <x:c r="L18" s="7" t="str">
        <x:v>Livrable prévu : atlas me4_enm-scav, métadonnées des pivots et fichier de référence visuelle.</x:v>
      </x:c>
      <x:c r="M18" s="7" t="str">
        <x:v>Référence visuelle validée avant les variantes. Les cases manquantes sont suivies explicitement.</x:v>
      </x:c>
      <x:c r="N18" s="7" t="str">
        <x:v>Le télégraphe de Récupérateur armé reste identifiable en silhouette ; aucune pose ne change le pivot aux pieds.</x:v>
      </x:c>
      <x:c r="O18" s="7" t="str">
        <x:v>ME4-ENM-SCAV</x:v>
      </x:c>
      <x:c r="P18" s="7" t="str">
        <x:v>Conception du fan game</x:v>
      </x:c>
      <x:c r="Q18" s="7" t="str"/>
      <x:c r="R18" s="21" t="str"/>
      <x:c r="S18" s="21" t="str">
        <x:v>Fiche de production uniquement. Aucun sprite supplémentaire n’a été généré par ce classeur.</x:v>
      </x:c>
    </x:row>
    <x:row r="19" ht="82" customHeight="1">
      <x:c r="A19" s="18" t="str">
        <x:v>ME4-ASSET-ENM-JAMMER</x:v>
      </x:c>
      <x:c r="B19" s="9" t="str">
        <x:v>Atlas de combat : Brouilleur de route</x:v>
      </x:c>
      <x:c r="C19" s="15" t="str">
        <x:v>Défini</x:v>
      </x:c>
      <x:c r="D19" s="16" t="str">
        <x:v>Extrapolation</x:v>
      </x:c>
      <x:c r="E19" s="16" t="str">
        <x:v>P1</x:v>
      </x:c>
      <x:c r="F19" s="9" t="str">
        <x:v>Livrable graphique proposé.</x:v>
      </x:c>
      <x:c r="G19" s="9" t="str">
        <x:v>Construire les poses de Brouilleur de route nécessaires à sa boucle de combat.</x:v>
      </x:c>
      <x:c r="H19" s="9" t="str">
        <x:v>Proposition : attente, anticipation, attaque, impact, rupture et sortie. La boucle à rendre lisible est : Proposition : Retarde les pouvoirs techniques dans un rayon visible. Réponse : Briser l’antenne ou sortir du rayon.</x:v>
      </x:c>
      <x:c r="I19" s="9" t="str">
        <x:v>Anneau tournant et trois antennes.</x:v>
      </x:c>
      <x:c r="J19" s="9" t="str">
        <x:v>Huit directions pour les unités mobiles ; vue fixe possible pour un boss ancré. Événements d’impact séparés des poses.</x:v>
      </x:c>
      <x:c r="K19" s="9" t="str"/>
      <x:c r="L19" s="9" t="str">
        <x:v>Livrable prévu : atlas me4_enm-jammer, métadonnées des pivots et fichier de référence visuelle.</x:v>
      </x:c>
      <x:c r="M19" s="9" t="str">
        <x:v>Référence visuelle validée avant les variantes. Les cases manquantes sont suivies explicitement.</x:v>
      </x:c>
      <x:c r="N19" s="9" t="str">
        <x:v>Le télégraphe de Brouilleur de route reste identifiable en silhouette ; aucune pose ne change le pivot aux pieds.</x:v>
      </x:c>
      <x:c r="O19" s="9" t="str">
        <x:v>ME4-ENM-JAMMER</x:v>
      </x:c>
      <x:c r="P19" s="9" t="str">
        <x:v>Conception du fan game</x:v>
      </x:c>
      <x:c r="Q19" s="9" t="str"/>
      <x:c r="R19" s="20" t="str"/>
      <x:c r="S19" s="20" t="str">
        <x:v>Fiche de production uniquement. Aucun sprite supplémentaire n’a été généré par ce classeur.</x:v>
      </x:c>
    </x:row>
    <x:row r="20" ht="82" customHeight="1">
      <x:c r="A20" s="19" t="str">
        <x:v>ME4-ASSET-ENM-ANCHOR</x:v>
      </x:c>
      <x:c r="B20" s="7" t="str">
        <x:v>Atlas de combat : Garde d’ancrage</x:v>
      </x:c>
      <x:c r="C20" s="15" t="str">
        <x:v>Défini</x:v>
      </x:c>
      <x:c r="D20" s="17" t="str">
        <x:v>Extrapolation</x:v>
      </x:c>
      <x:c r="E20" s="17" t="str">
        <x:v>P1</x:v>
      </x:c>
      <x:c r="F20" s="7" t="str">
        <x:v>Livrable graphique proposé.</x:v>
      </x:c>
      <x:c r="G20" s="7" t="str">
        <x:v>Construire les poses de Garde d’ancrage nécessaires à sa boucle de combat.</x:v>
      </x:c>
      <x:c r="H20" s="7" t="str">
        <x:v>Proposition : attente, anticipation, attaque, impact, rupture et sortie. La boucle à rendre lisible est : Proposition : Protège un point fixe et accumule de l’énergie. Réponse : Détruire les câbles externes pendant la charge.</x:v>
      </x:c>
      <x:c r="I20" s="7" t="str">
        <x:v>Jambes larges et cœur en forme de verrou.</x:v>
      </x:c>
      <x:c r="J20" s="7" t="str">
        <x:v>Huit directions pour les unités mobiles ; vue fixe possible pour un boss ancré. Événements d’impact séparés des poses.</x:v>
      </x:c>
      <x:c r="K20" s="7" t="str"/>
      <x:c r="L20" s="7" t="str">
        <x:v>Livrable prévu : atlas me4_enm-anchor, métadonnées des pivots et fichier de référence visuelle.</x:v>
      </x:c>
      <x:c r="M20" s="7" t="str">
        <x:v>Référence visuelle validée avant les variantes. Les cases manquantes sont suivies explicitement.</x:v>
      </x:c>
      <x:c r="N20" s="7" t="str">
        <x:v>Le télégraphe de Garde d’ancrage reste identifiable en silhouette ; aucune pose ne change le pivot aux pieds.</x:v>
      </x:c>
      <x:c r="O20" s="7" t="str">
        <x:v>ME4-ENM-ANCHOR</x:v>
      </x:c>
      <x:c r="P20" s="7" t="str">
        <x:v>Conception du fan game</x:v>
      </x:c>
      <x:c r="Q20" s="7" t="str"/>
      <x:c r="R20" s="21" t="str"/>
      <x:c r="S20" s="21" t="str">
        <x:v>Fiche de production uniquement. Aucun sprite supplémentaire n’a été généré par ce classeur.</x:v>
      </x:c>
    </x:row>
    <x:row r="21" ht="82" customHeight="1">
      <x:c r="A21" s="18" t="str">
        <x:v>ME4-ASSET-ENM-ECHO</x:v>
      </x:c>
      <x:c r="B21" s="9" t="str">
        <x:v>Atlas de combat : Projection Écho</x:v>
      </x:c>
      <x:c r="C21" s="15" t="str">
        <x:v>Défini</x:v>
      </x:c>
      <x:c r="D21" s="16" t="str">
        <x:v>Extrapolation</x:v>
      </x:c>
      <x:c r="E21" s="16" t="str">
        <x:v>P1</x:v>
      </x:c>
      <x:c r="F21" s="9" t="str">
        <x:v>Livrable graphique proposé.</x:v>
      </x:c>
      <x:c r="G21" s="9" t="str">
        <x:v>Construire les poses de Projection Écho nécessaires à sa boucle de combat.</x:v>
      </x:c>
      <x:c r="H21" s="9" t="str">
        <x:v>Proposition : attente, anticipation, attaque, impact, rupture et sortie. La boucle à rendre lisible est : Proposition : Imite la dernière attaque du joueur avec un retard. Réponse : Utiliser une garde ou une attaque faible pour changer le motif.</x:v>
      </x:c>
      <x:c r="I21" s="9" t="str">
        <x:v>Silhouette à double contour et fragments transparents.</x:v>
      </x:c>
      <x:c r="J21" s="9" t="str">
        <x:v>Huit directions pour les unités mobiles ; vue fixe possible pour un boss ancré. Événements d’impact séparés des poses.</x:v>
      </x:c>
      <x:c r="K21" s="9" t="str"/>
      <x:c r="L21" s="9" t="str">
        <x:v>Livrable prévu : atlas me4_enm-echo, métadonnées des pivots et fichier de référence visuelle.</x:v>
      </x:c>
      <x:c r="M21" s="9" t="str">
        <x:v>Référence visuelle validée avant les variantes. Les cases manquantes sont suivies explicitement.</x:v>
      </x:c>
      <x:c r="N21" s="9" t="str">
        <x:v>Le télégraphe de Projection Écho reste identifiable en silhouette ; aucune pose ne change le pivot aux pieds.</x:v>
      </x:c>
      <x:c r="O21" s="9" t="str">
        <x:v>ME4-ENM-ECHO</x:v>
      </x:c>
      <x:c r="P21" s="9" t="str">
        <x:v>Conception du fan game</x:v>
      </x:c>
      <x:c r="Q21" s="9" t="str"/>
      <x:c r="R21" s="20" t="str"/>
      <x:c r="S21" s="20" t="str">
        <x:v>Fiche de production uniquement. Aucun sprite supplémentaire n’a été généré par ce classeur.</x:v>
      </x:c>
    </x:row>
    <x:row r="22" ht="82" customHeight="1">
      <x:c r="A22" s="19" t="str">
        <x:v>ME4-ASSET-ENM-SENTINEL</x:v>
      </x:c>
      <x:c r="B22" s="7" t="str">
        <x:v>Atlas de combat : Sentinelle du Nœud 17</x:v>
      </x:c>
      <x:c r="C22" s="15" t="str">
        <x:v>Défini</x:v>
      </x:c>
      <x:c r="D22" s="17" t="str">
        <x:v>Extrapolation</x:v>
      </x:c>
      <x:c r="E22" s="17" t="str">
        <x:v>P1</x:v>
      </x:c>
      <x:c r="F22" s="7" t="str">
        <x:v>Livrable graphique proposé.</x:v>
      </x:c>
      <x:c r="G22" s="7" t="str">
        <x:v>Construire les poses de Sentinelle du Nœud 17 nécessaires à sa boucle de combat.</x:v>
      </x:c>
      <x:c r="H22" s="7" t="str">
        <x:v>Proposition : attente, anticipation, attaque, impact, rupture et sortie. La boucle à rendre lisible est : Proposition : Trois bras protègent successivement un régulateur central. Réponse : Désactiver les bras dans un ordre choisi, avec danger restant explicite.</x:v>
      </x:c>
      <x:c r="I22" s="7" t="str">
        <x:v>Structure en anneaux, bras très distincts.</x:v>
      </x:c>
      <x:c r="J22" s="7" t="str">
        <x:v>Huit directions pour les unités mobiles ; vue fixe possible pour un boss ancré. Événements d’impact séparés des poses.</x:v>
      </x:c>
      <x:c r="K22" s="7" t="str"/>
      <x:c r="L22" s="7" t="str">
        <x:v>Livrable prévu : atlas me4_enm-sentinel, métadonnées des pivots et fichier de référence visuelle.</x:v>
      </x:c>
      <x:c r="M22" s="7" t="str">
        <x:v>Référence visuelle validée avant les variantes. Les cases manquantes sont suivies explicitement.</x:v>
      </x:c>
      <x:c r="N22" s="7" t="str">
        <x:v>Le télégraphe de Sentinelle du Nœud 17 reste identifiable en silhouette ; aucune pose ne change le pivot aux pieds.</x:v>
      </x:c>
      <x:c r="O22" s="7" t="str">
        <x:v>ME4-ENM-SENTINEL</x:v>
      </x:c>
      <x:c r="P22" s="7" t="str">
        <x:v>Conception du fan game</x:v>
      </x:c>
      <x:c r="Q22" s="7" t="str"/>
      <x:c r="R22" s="21" t="str"/>
      <x:c r="S22" s="21" t="str">
        <x:v>Fiche de production uniquement. Aucun sprite supplémentaire n’a été généré par ce classeur.</x:v>
      </x:c>
    </x:row>
    <x:row r="23" ht="82" customHeight="1">
      <x:c r="A23" s="18" t="str">
        <x:v>ME4-ASSET-ENM-WARDEN</x:v>
      </x:c>
      <x:c r="B23" s="9" t="str">
        <x:v>Atlas de combat : Gardien de la digue</x:v>
      </x:c>
      <x:c r="C23" s="15" t="str">
        <x:v>Défini</x:v>
      </x:c>
      <x:c r="D23" s="16" t="str">
        <x:v>Extrapolation</x:v>
      </x:c>
      <x:c r="E23" s="16" t="str">
        <x:v>P1</x:v>
      </x:c>
      <x:c r="F23" s="9" t="str">
        <x:v>Livrable graphique proposé.</x:v>
      </x:c>
      <x:c r="G23" s="9" t="str">
        <x:v>Construire les poses de Gardien de la digue nécessaires à sa boucle de combat.</x:v>
      </x:c>
      <x:c r="H23" s="9" t="str">
        <x:v>Proposition : attente, anticipation, attaque, impact, rupture et sortie. La boucle à rendre lisible est : Proposition : Déclenche des vagues à travers les vannes de l’arène. Réponse : Changer de hauteur et ouvrir une vanne opposée.</x:v>
      </x:c>
      <x:c r="I23" s="9" t="str">
        <x:v>Châssis amphibie bas, bouclier frontal.</x:v>
      </x:c>
      <x:c r="J23" s="9" t="str">
        <x:v>Huit directions pour les unités mobiles ; vue fixe possible pour un boss ancré. Événements d’impact séparés des poses.</x:v>
      </x:c>
      <x:c r="K23" s="9" t="str"/>
      <x:c r="L23" s="9" t="str">
        <x:v>Livrable prévu : atlas me4_enm-warden, métadonnées des pivots et fichier de référence visuelle.</x:v>
      </x:c>
      <x:c r="M23" s="9" t="str">
        <x:v>Référence visuelle validée avant les variantes. Les cases manquantes sont suivies explicitement.</x:v>
      </x:c>
      <x:c r="N23" s="9" t="str">
        <x:v>Le télégraphe de Gardien de la digue reste identifiable en silhouette ; aucune pose ne change le pivot aux pieds.</x:v>
      </x:c>
      <x:c r="O23" s="9" t="str">
        <x:v>ME4-ENM-WARDEN</x:v>
      </x:c>
      <x:c r="P23" s="9" t="str">
        <x:v>Conception du fan game</x:v>
      </x:c>
      <x:c r="Q23" s="9" t="str"/>
      <x:c r="R23" s="20" t="str"/>
      <x:c r="S23" s="20" t="str">
        <x:v>Fiche de production uniquement. Aucun sprite supplémentaire n’a été généré par ce classeur.</x:v>
      </x:c>
    </x:row>
    <x:row r="24" ht="82" customHeight="1">
      <x:c r="A24" s="19" t="str">
        <x:v>ME4-ASSET-ENM-ARCHON</x:v>
      </x:c>
      <x:c r="B24" s="7" t="str">
        <x:v>Atlas de combat : Mandataire du Conservateur</x:v>
      </x:c>
      <x:c r="C24" s="15" t="str">
        <x:v>Défini</x:v>
      </x:c>
      <x:c r="D24" s="17" t="str">
        <x:v>Extrapolation</x:v>
      </x:c>
      <x:c r="E24" s="17" t="str">
        <x:v>P1</x:v>
      </x:c>
      <x:c r="F24" s="7" t="str">
        <x:v>Livrable graphique proposé.</x:v>
      </x:c>
      <x:c r="G24" s="7" t="str">
        <x:v>Construire les poses de Mandataire du Conservateur nécessaires à sa boucle de combat.</x:v>
      </x:c>
      <x:c r="H24" s="7" t="str">
        <x:v>Proposition : attente, anticipation, attaque, impact, rupture et sortie. La boucle à rendre lisible est : Proposition : Alterne copie, verrouillage de commandes et exposition du cœur. Réponse : Sauvegarder une commande de rupture pendant la phase copie.</x:v>
      </x:c>
      <x:c r="I24" s="7" t="str">
        <x:v>Volume fait de panneaux d’archive et d’un noyau sombre.</x:v>
      </x:c>
      <x:c r="J24" s="7" t="str">
        <x:v>Huit directions pour les unités mobiles ; vue fixe possible pour un boss ancré. Événements d’impact séparés des poses.</x:v>
      </x:c>
      <x:c r="K24" s="7" t="str"/>
      <x:c r="L24" s="7" t="str">
        <x:v>Livrable prévu : atlas me4_enm-archon, métadonnées des pivots et fichier de référence visuelle.</x:v>
      </x:c>
      <x:c r="M24" s="7" t="str">
        <x:v>Référence visuelle validée avant les variantes. Les cases manquantes sont suivies explicitement.</x:v>
      </x:c>
      <x:c r="N24" s="7" t="str">
        <x:v>Le télégraphe de Mandataire du Conservateur reste identifiable en silhouette ; aucune pose ne change le pivot aux pieds.</x:v>
      </x:c>
      <x:c r="O24" s="7" t="str">
        <x:v>ME4-ENM-ARCHON</x:v>
      </x:c>
      <x:c r="P24" s="7" t="str">
        <x:v>Conception du fan game</x:v>
      </x:c>
      <x:c r="Q24" s="7" t="str"/>
      <x:c r="R24" s="21" t="str"/>
      <x:c r="S24" s="21" t="str">
        <x:v>Fiche de production uniquement. Aucun sprite supplémentaire n’a été généré par ce classeur.</x:v>
      </x:c>
    </x:row>
  </x:sheetData>
  <x:conditionalFormatting sqref="D7:D24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24">
    <x:cfRule type="cellIs" dxfId="82" priority="3" operator="equal">
      <x:formula>"Validé"</x:formula>
    </x:cfRule>
  </x:conditionalFormatting>
  <x:conditionalFormatting sqref="E7:E24">
    <x:cfRule type="cellIs" dxfId="83" priority="4" operator="equal">
      <x:formula>"P0"</x:formula>
    </x:cfRule>
  </x:conditionalFormatting>
  <x:dataValidations count="3">
    <x:dataValidation type="list" sqref="C7:C24">
      <x:formula1>"Défini,Prototype,Intégré,Validé"</x:formula1>
    </x:dataValidation>
    <x:dataValidation type="list" sqref="D7:D24">
      <x:formula1>"Établi,À vérifier,Extrapolation,Coupé attesté,Concept abandonné,Allégation écartée"</x:formula1>
    </x:dataValidation>
    <x:dataValidation type="list" sqref="E7:E2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b674ffdf434516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ME4-VFX-ROUTE</x:v>
      </x:c>
      <x:c r="B7" s="9" t="str">
        <x:v>Champ de route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Effet original.</x:v>
      </x:c>
      <x:c r="G7" s="9" t="str">
        <x:v>Lignes courbes reliant les nœuds activés.</x:v>
      </x:c>
      <x:c r="H7" s="9" t="str">
        <x:v>Luminosité plafonnée et désactivation des flashes.</x:v>
      </x:c>
      <x:c r="I7" s="9" t="str">
        <x:v>Blanc bleuté à accents ambre.</x:v>
      </x:c>
      <x:c r="J7" s="9" t="str"/>
      <x:c r="K7" s="9" t="str"/>
      <x:c r="L7" s="9" t="str"/>
      <x:c r="M7" s="9" t="str"/>
      <x:c r="N7" s="9" t="str">
        <x:v>La route reste compréhensible en mode effets réduits.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ME4-VFX-ECHO</x:v>
      </x:c>
      <x:c r="B8" s="7" t="str">
        <x:v>Signal imité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Effet original.</x:v>
      </x:c>
      <x:c r="G8" s="7" t="str">
        <x:v>Décaler deux formes d’onde sans clignotement rapide.</x:v>
      </x:c>
      <x:c r="H8" s="7" t="str">
        <x:v>La légende explique ce que montre le décalage.</x:v>
      </x:c>
      <x:c r="I8" s="7" t="str">
        <x:v>Cyan et contour pointillé.</x:v>
      </x:c>
      <x:c r="J8" s="7" t="str"/>
      <x:c r="K8" s="7" t="str"/>
      <x:c r="L8" s="7" t="str"/>
      <x:c r="M8" s="7" t="str"/>
      <x:c r="N8" s="7" t="str">
        <x:v>Ne pas présenter un effet visuel comme preuve suffisante de vérité.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ME4-VFX-WATER</x:v>
      </x:c>
      <x:c r="B9" s="9" t="str">
        <x:v>Montée de l’eau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Effet original.</x:v>
      </x:c>
      <x:c r="G9" s="9" t="str">
        <x:v>Surface 3D simple, mousse en sprites et repère de hauteur.</x:v>
      </x:c>
      <x:c r="H9" s="9" t="str">
        <x:v>Synchroniser collision, son et accès.</x:v>
      </x:c>
      <x:c r="I9" s="9" t="str">
        <x:v>Eau sombre sans miroir instable.</x:v>
      </x:c>
      <x:c r="J9" s="9" t="str"/>
      <x:c r="K9" s="9" t="str"/>
      <x:c r="L9" s="9" t="str"/>
      <x:c r="M9" s="9" t="str"/>
      <x:c r="N9" s="9" t="str">
        <x:v>Le changement de niveau reste visible à toutes les caméras.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</x:sheetData>
  <x:conditionalFormatting sqref="D7:D9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9">
    <x:cfRule type="cellIs" dxfId="86" priority="3" operator="equal">
      <x:formula>"Validé"</x:formula>
    </x:cfRule>
  </x:conditionalFormatting>
  <x:conditionalFormatting sqref="E7:E9">
    <x:cfRule type="cellIs" dxfId="8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2b4a1c1ba2480e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ME4-AUD-WAYFARER</x:v>
      </x:c>
      <x:c r="B7" s="9" t="str">
        <x:v>Vie du Wayfarer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Composition et ambiance originales.</x:v>
      </x:c>
      <x:c r="G7" s="9" t="str">
        <x:v>Ventilation irrégulière, communications courtes, musique chaleureuse au salon.</x:v>
      </x:c>
      <x:c r="H7" s="9" t="str">
        <x:v>Évolution sonore selon réparations terminées.</x:v>
      </x:c>
      <x:c r="I7" s="9" t="str"/>
      <x:c r="J7" s="9" t="str"/>
      <x:c r="K7" s="9" t="str"/>
      <x:c r="L7" s="9" t="str"/>
      <x:c r="M7" s="9" t="str"/>
      <x:c r="N7" s="9" t="str">
        <x:v>La progression du vaisseau s’entend sans augmenter le volume global.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44" customHeight="1">
      <x:c r="A8" s="19" t="str">
        <x:v>ME4-AUD-SIGNAL</x:v>
      </x:c>
      <x:c r="B8" s="7" t="str">
        <x:v>Voix reconstruites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audio originale.</x:v>
      </x:c>
      <x:c r="G8" s="7" t="str">
        <x:v>Acteurs ou voix autorisées avec traitement léger et sous-titres.</x:v>
      </x:c>
      <x:c r="H8" s="7" t="str">
        <x:v>Ne pas cloner ni attribuer la voix d’un acteur de Mass Effect.</x:v>
      </x:c>
      <x:c r="I8" s="7" t="str"/>
      <x:c r="J8" s="7" t="str"/>
      <x:c r="K8" s="7" t="str"/>
      <x:c r="L8" s="7" t="str"/>
      <x:c r="M8" s="7" t="str"/>
      <x:c r="N8" s="7" t="str">
        <x:v>L’interface indique quand une transmission est simulée.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ME4-AUD-NODE</x:v>
      </x:c>
      <x:c r="B9" s="9" t="str">
        <x:v>Le chant du chantier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Paysage sonore original.</x:v>
      </x:c>
      <x:c r="G9" s="9" t="str">
        <x:v>Vibration grave, métaux et pulses espacés.</x:v>
      </x:c>
      <x:c r="H9" s="9" t="str">
        <x:v>Couper la basse continue dans le mode fatigue auditive.</x:v>
      </x:c>
      <x:c r="I9" s="9" t="str"/>
      <x:c r="J9" s="9" t="str"/>
      <x:c r="K9" s="9" t="str"/>
      <x:c r="L9" s="9" t="str"/>
      <x:c r="M9" s="9" t="str"/>
      <x:c r="N9" s="9" t="str">
        <x:v>Les alertes de sécurité restent distinctes du fond.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</x:sheetData>
  <x:conditionalFormatting sqref="D7:D9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9">
    <x:cfRule type="cellIs" dxfId="90" priority="3" operator="equal">
      <x:formula>"Validé"</x:formula>
    </x:cfRule>
  </x:conditionalFormatting>
  <x:conditionalFormatting sqref="E7:E9">
    <x:cfRule type="cellIs" dxfId="9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519dbaed924e7f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ME4-SYS-ATB</x:v>
      </x:c>
      <x:c r="B7" s="9" t="str">
        <x:v>ATB avec pause des commandes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Système original du fan game.</x:v>
      </x:c>
      <x:c r="G7" s="9" t="str">
        <x:v>Garder une jauge par acteur, la chronologie des attaques et un mode Attente.</x:v>
      </x:c>
      <x:c r="H7" s="9" t="str">
        <x:v>Réglage proposé : une commande consomme une jauge pleine. Une anticipation ennemie engagée reste visible.</x:v>
      </x:c>
      <x:c r="I7" s="9" t="str">
        <x:v>Barre bleu acier pour attente, icône et libellé pour interruption.</x:v>
      </x:c>
      <x:c r="J7" s="9" t="str"/>
      <x:c r="K7" s="9" t="str"/>
      <x:c r="L7" s="9" t="str"/>
      <x:c r="M7" s="9" t="str"/>
      <x:c r="N7" s="9" t="str">
        <x:v>Changer de mode ne crée ni double tour ni perte de commande.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54" customHeight="1">
      <x:c r="A8" s="19" t="str">
        <x:v>ME4-SYS-SAVE</x:v>
      </x:c>
      <x:c r="B8" s="7" t="str">
        <x:v>Sauvegarde de campagne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Schéma de sauvegarde proposé.</x:v>
      </x:c>
      <x:c r="G8" s="7" t="str">
        <x:v>Conserver gouvernance des routes, intégrité de l’archive, communautés aidées, missions d’équipiers et profil de continuité choisi.</x:v>
      </x:c>
      <x:c r="H8" s="7" t="str">
        <x:v>Versionner les états de mission, l’inventaire, les choix et le point de retour.</x:v>
      </x:c>
      <x:c r="I8" s="7" t="str">
        <x:v>Menu à trois emplacements avec chapitre et objectif.</x:v>
      </x:c>
      <x:c r="J8" s="7" t="str"/>
      <x:c r="K8" s="7" t="str"/>
      <x:c r="L8" s="7" t="str"/>
      <x:c r="M8" s="7" t="str"/>
      <x:c r="N8" s="7" t="str">
        <x:v>Charger avant et après un embranchement restitue le même état.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ME4-SYS-CAMERA</x:v>
      </x:c>
      <x:c r="B9" s="9" t="str">
        <x:v>Caméras fixes et sprites dans le décor 3D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Règle de présentation proposée.</x:v>
      </x:c>
      <x:c r="G9" s="9" t="str">
        <x:v>Conserver la mise en scène propre à Les Routes du silence.</x:v>
      </x:c>
      <x:c r="H9" s="9" t="str">
        <x:v>Calculer la direction du sprite dans le repère caméra. Conserver les axes de déplacement lors des raccords.</x:v>
      </x:c>
      <x:c r="I9" s="9" t="str">
        <x:v>Perspective douce, contours lisibles, profondeur et ombres de contact.</x:v>
      </x:c>
      <x:c r="J9" s="9" t="str"/>
      <x:c r="K9" s="9" t="str"/>
      <x:c r="L9" s="9" t="str"/>
      <x:c r="M9" s="9" t="str"/>
      <x:c r="N9" s="9" t="str">
        <x:v>Un personnage derrière un pilier disparaît proprement sans passer devant le sol.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ME4-SYS-ACCESS</x:v>
      </x:c>
      <x:c r="B10" s="7" t="str">
        <x:v>Commandes et lisibilité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Spécification d’accès au jeu.</x:v>
      </x:c>
      <x:c r="G10" s="7" t="str">
        <x:v>Clavier, manette et interface tactile facultative.</x:v>
      </x:c>
      <x:c r="H10" s="7" t="str">
        <x:v>Reconfigurer les touches, accélérer les animations, afficher les résistances par texte.</x:v>
      </x:c>
      <x:c r="I10" s="7" t="str">
        <x:v>Contraste des textes, taille réglable, réduction du flash et du mouvement.</x:v>
      </x:c>
      <x:c r="J10" s="7" t="str"/>
      <x:c r="K10" s="7" t="str"/>
      <x:c r="L10" s="7" t="str"/>
      <x:c r="M10" s="7" t="str"/>
      <x:c r="N10" s="7" t="str">
        <x:v>Toutes les commandes et le journal restent utilisables sans souris.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  <x:row r="11" ht="44" customHeight="1">
      <x:c r="A11" s="18" t="str">
        <x:v>ME4-SYS-SOURCES</x:v>
      </x:c>
      <x:c r="B11" s="9" t="str">
        <x:v>Registre de références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Suivi de production.</x:v>
      </x:c>
      <x:c r="G11" s="9" t="str">
        <x:v>Conserver les références visuelles et leur provenance par asset.</x:v>
      </x:c>
      <x:c r="H11" s="9" t="str">
        <x:v>Un élément change de statut uniquement après contrôle documenté.</x:v>
      </x:c>
      <x:c r="I11" s="9" t="str">
        <x:v>Guide lisible avec source et limite de couverture.</x:v>
      </x:c>
      <x:c r="J11" s="9" t="str"/>
      <x:c r="K11" s="9" t="str"/>
      <x:c r="L11" s="9" t="str"/>
      <x:c r="M11" s="9" t="str"/>
      <x:c r="N11" s="9" t="str">
        <x:v>Aucune fiche de conception n’est automatiquement marquée Intégré.</x:v>
      </x:c>
      <x:c r="O11" s="9" t="str"/>
      <x:c r="P11" s="9" t="str">
        <x:v>Les Routes du silence, conception originale</x:v>
      </x:c>
      <x:c r="Q11" s="9" t="str"/>
      <x:c r="R11" s="20" t="str"/>
      <x:c r="S11" s="20" t="str"/>
    </x:row>
  </x:sheetData>
  <x:conditionalFormatting sqref="D7:D11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1">
    <x:cfRule type="cellIs" dxfId="94" priority="3" operator="equal">
      <x:formula>"Validé"</x:formula>
    </x:cfRule>
  </x:conditionalFormatting>
  <x:conditionalFormatting sqref="E7:E11">
    <x:cfRule type="cellIs" dxfId="95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94baf5476b431a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ME4-QA-PATH</x:v>
      </x:c>
      <x:c r="B7" s="9" t="str">
        <x:v>Parcours de bout en bout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Scénario de recette proposé.</x:v>
      </x:c>
      <x:c r="G7" s="9" t="str">
        <x:v>Exécuter le parcours prévu de Les Routes du silence.</x:v>
      </x:c>
      <x:c r="H7" s="9" t="str">
        <x:v>Tester une victoire, une défaite puis un rechargement dans chaque chapitre.</x:v>
      </x:c>
      <x:c r="I7" s="9" t="str"/>
      <x:c r="J7" s="9" t="str"/>
      <x:c r="K7" s="9" t="str"/>
      <x:c r="L7" s="9" t="str"/>
      <x:c r="M7" s="9" t="str"/>
      <x:c r="N7" s="9" t="str">
        <x:v>Chaque objectif peut se terminer sans commande de débogage.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54" customHeight="1">
      <x:c r="A8" s="19" t="str">
        <x:v>ME4-QA-BRANCH</x:v>
      </x:c>
      <x:c r="B8" s="7" t="str">
        <x:v>Choix et états persistants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Recette des embranchements.</x:v>
      </x:c>
      <x:c r="G8" s="7" t="str">
        <x:v>Conserver gouvernance des routes, intégrité de l’archive, communautés aidées, missions d’équipiers et profil de continuité choisi.</x:v>
      </x:c>
      <x:c r="H8" s="7" t="str">
        <x:v>Tester chaque condition vraie/fausse, ainsi que l’absence de donnée dans une vieille sauvegarde.</x:v>
      </x:c>
      <x:c r="I8" s="7" t="str"/>
      <x:c r="J8" s="7" t="str"/>
      <x:c r="K8" s="7" t="str"/>
      <x:c r="L8" s="7" t="str"/>
      <x:c r="M8" s="7" t="str"/>
      <x:c r="N8" s="7" t="str">
        <x:v>Les choix ne s’écrasent pas et le journal explique les objectifs indisponibles.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ME4-QA-VISUAL</x:v>
      </x:c>
      <x:c r="B9" s="9" t="str">
        <x:v>Contrôle de référence et de lisibilité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Recette artistique avant validation.</x:v>
      </x:c>
      <x:c r="G9" s="9" t="str">
        <x:v>Comparer silhouette, tenue, palette et décor de Les Routes du silence aux références détenues.</x:v>
      </x:c>
      <x:c r="H9" s="9" t="str">
        <x:v>Capturer les mêmes poses et angles. Séparer écart voulu et erreur.</x:v>
      </x:c>
      <x:c r="I9" s="9" t="str"/>
      <x:c r="J9" s="9" t="str"/>
      <x:c r="K9" s="9" t="str"/>
      <x:c r="L9" s="9" t="str"/>
      <x:c r="M9" s="9" t="str"/>
      <x:c r="N9" s="9" t="str">
        <x:v>Chaque écart est corrigé ou signalé dans la fiche de l’asset.</x:v>
      </x:c>
      <x:c r="O9" s="9" t="str"/>
      <x:c r="P9" s="9" t="str">
        <x:v>Les Routes du silence, conception originale</x:v>
      </x:c>
      <x:c r="Q9" s="9" t="str"/>
      <x:c r="R9" s="20" t="str"/>
      <x:c r="S9" s="20" t="str"/>
    </x:row>
    <x:row r="10" ht="44" customHeight="1">
      <x:c r="A10" s="19" t="str">
        <x:v>ME4-QA-BALANCE</x:v>
      </x:c>
      <x:c r="B10" s="7" t="str">
        <x:v>Coûts, immunités et boss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Recette des règles proposées.</x:v>
      </x:c>
      <x:c r="G10" s="7" t="str">
        <x:v>Vérifier les coûts avant et après interruption et la lecture des résistances.</x:v>
      </x:c>
      <x:c r="H10" s="7" t="str">
        <x:v>Tester une cible morte, immunisée, hors champ et dépourvue de protection.</x:v>
      </x:c>
      <x:c r="I10" s="7" t="str"/>
      <x:c r="J10" s="7" t="str"/>
      <x:c r="K10" s="7" t="str"/>
      <x:c r="L10" s="7" t="str"/>
      <x:c r="M10" s="7" t="str"/>
      <x:c r="N10" s="7" t="str">
        <x:v>Aucun combat ne dépend d’une faiblesse non annoncée.</x:v>
      </x:c>
      <x:c r="O10" s="7" t="str"/>
      <x:c r="P10" s="7" t="str">
        <x:v>Les Routes du silence, conception originale</x:v>
      </x:c>
      <x:c r="Q10" s="7" t="str"/>
      <x:c r="R10" s="21" t="str"/>
      <x:c r="S10" s="21" t="str"/>
    </x:row>
    <x:row r="11" ht="68" customHeight="1">
      <x:c r="A11" s="18" t="str">
        <x:v>ME4-QA-SCOPE</x:v>
      </x:c>
      <x:c r="B11" s="9" t="str">
        <x:v>Limites de fidélité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Contrôle de publication.</x:v>
      </x:c>
      <x:c r="G11" s="9" t="str">
        <x:v>Aucun retour de Shepard, date, fin de ME3 ou pont vers Andromeda n’est posé comme canon officiel du projet annulé. Les personnages nommés ici sont des créations de fan game.</x:v>
      </x:c>
      <x:c r="H11" s="9" t="str">
        <x:v>Vérifier les mentions Établi, À vérifier et Extrapolation à chaque export.</x:v>
      </x:c>
      <x:c r="I11" s="9" t="str"/>
      <x:c r="J11" s="9" t="str"/>
      <x:c r="K11" s="9" t="str"/>
      <x:c r="L11" s="9" t="str"/>
      <x:c r="M11" s="9" t="str"/>
      <x:c r="N11" s="9" t="str">
        <x:v>Aucune scène créée ne devient un fait officiel dans le journal ou les crédits.</x:v>
      </x:c>
      <x:c r="O11" s="9" t="str"/>
      <x:c r="P11" s="9" t="str">
        <x:v>Les Routes du silence, conception originale</x:v>
      </x:c>
      <x:c r="Q11" s="9" t="str"/>
      <x:c r="R11" s="20" t="str"/>
      <x:c r="S11" s="20" t="str"/>
    </x:row>
  </x:sheetData>
  <x:conditionalFormatting sqref="D7:D11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1">
    <x:cfRule type="cellIs" dxfId="98" priority="3" operator="equal">
      <x:formula>"Validé"</x:formula>
    </x:cfRule>
  </x:conditionalFormatting>
  <x:conditionalFormatting sqref="E7:E11">
    <x:cfRule type="cellIs" dxfId="99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c8b4bb28684a26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6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4 : extrapolation du projet annulé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ME4-CNT-FLAGS</x:v>
      </x:c>
      <x:c r="B7" s="9" t="str">
        <x:v>Transfert de progression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Contrat de continuité proposé.</x:v>
      </x:c>
      <x:c r="G7" s="9" t="str">
        <x:v>Conserver gouvernance des routes, intégrité de l’archive, communautés aidées, missions d’équipiers et profil de continuité choisi.</x:v>
      </x:c>
      <x:c r="H7" s="9" t="str">
        <x:v>Importer uniquement les clés explicitement déclarées ; ignorer les valeurs inconnues avec message.</x:v>
      </x:c>
      <x:c r="I7" s="9" t="str"/>
      <x:c r="J7" s="9" t="str"/>
      <x:c r="K7" s="9" t="str"/>
      <x:c r="L7" s="9" t="str"/>
      <x:c r="M7" s="9" t="str"/>
      <x:c r="N7" s="9" t="str">
        <x:v>Le jeu de base peut démarrer sans ce module.</x:v>
      </x:c>
      <x:c r="O7" s="9" t="str"/>
      <x:c r="P7" s="9" t="str">
        <x:v>Les Routes du silence, conception originale</x:v>
      </x:c>
      <x:c r="Q7" s="9" t="str"/>
      <x:c r="R7" s="20" t="str"/>
      <x:c r="S7" s="20" t="str"/>
    </x:row>
    <x:row r="8" ht="68" customHeight="1">
      <x:c r="A8" s="19" t="str">
        <x:v>ME4-CNT-SCOPE</x:v>
      </x:c>
      <x:c r="B8" s="7" t="str">
        <x:v>Périmètre et variantes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Règle de continuité du catalogue.</x:v>
      </x:c>
      <x:c r="G8" s="7" t="str">
        <x:v>Aucun retour de Shepard, date, fin de ME3 ou pont vers Andromeda n’est posé comme canon officiel du projet annulé. Les personnages nommés ici sont des créations de fan game.</x:v>
      </x:c>
      <x:c r="H8" s="7" t="str">
        <x:v>Conserver une campagne source et un profil d’adaptation séparés.</x:v>
      </x:c>
      <x:c r="I8" s="7" t="str"/>
      <x:c r="J8" s="7" t="str"/>
      <x:c r="K8" s="7" t="str"/>
      <x:c r="L8" s="7" t="str"/>
      <x:c r="M8" s="7" t="str"/>
      <x:c r="N8" s="7" t="str">
        <x:v>Le joueur sait quelle version de l’histoire est sélectionnée.</x:v>
      </x:c>
      <x:c r="O8" s="7" t="str"/>
      <x:c r="P8" s="7" t="str">
        <x:v>Les Routes du silence, conception originale</x:v>
      </x:c>
      <x:c r="Q8" s="7" t="str"/>
      <x:c r="R8" s="21" t="str"/>
      <x:c r="S8" s="21" t="str"/>
    </x:row>
    <x:row r="9" ht="44" customHeight="1">
      <x:c r="A9" s="18" t="str">
        <x:v>ME4-REF-STOP</x:v>
      </x:c>
      <x:c r="B9" s="9" t="str">
        <x:v>Arrêt du développement le 21 octobre 2026</x:v>
      </x:c>
      <x:c r="C9" s="15" t="str">
        <x:v>Défini</x:v>
      </x:c>
      <x:c r="D9" s="16" t="str">
        <x:v>Établi</x:v>
      </x:c>
      <x:c r="E9" s="16" t="str">
        <x:v>P0</x:v>
      </x:c>
      <x:c r="F9" s="9" t="str">
        <x:v>EA annonce ne pas poursuivre le prochain Mass Effect ; BioWare confirme l’arrêt.</x:v>
      </x:c>
      <x:c r="G9" s="9" t="str">
        <x:v>Conserver le dossier comme extrapolation datée.</x:v>
      </x:c>
      <x:c r="H9" s="9" t="str"/>
      <x:c r="I9" s="9" t="str"/>
      <x:c r="J9" s="9" t="str"/>
      <x:c r="K9" s="9" t="str"/>
      <x:c r="L9" s="9" t="str"/>
      <x:c r="M9" s="9" t="str"/>
      <x:c r="N9" s="9" t="str">
        <x:v>Le titre et le guide ne le présentent pas comme une sortie officielle future.</x:v>
      </x:c>
      <x:c r="O9" s="9" t="str"/>
      <x:c r="P9" s="9" t="str">
        <x:v>Annonces du 21/10/2026</x:v>
      </x:c>
      <x:c r="Q9" s="9" t="str">
        <x:v>ME4-STOP, ME4-BIO</x:v>
      </x:c>
      <x:c r="R9" s="20" t="str">
        <x:v>https://www.ea.com/news/building-eas-next-chapter
https://blog.bioware.com/2026/10/21/bioware-update/</x:v>
      </x:c>
      <x:c r="S9" s="20" t="str"/>
    </x:row>
    <x:row r="10" ht="44" customHeight="1">
      <x:c r="A10" s="19" t="str">
        <x:v>ME4-REF-2020</x:v>
      </x:c>
      <x:c r="B10" s="7" t="str">
        <x:v>Annonce du nouveau chapitre en 2020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Une équipe expérimentée travaillait à un nouveau chapitre, encore précoce.</x:v>
      </x:c>
      <x:c r="G10" s="7" t="str">
        <x:v>Archiver ce jalon comme historique du projet.</x:v>
      </x:c>
      <x:c r="H10" s="7" t="str"/>
      <x:c r="I10" s="7" t="str"/>
      <x:c r="J10" s="7" t="str"/>
      <x:c r="K10" s="7" t="str"/>
      <x:c r="L10" s="7" t="str"/>
      <x:c r="M10" s="7" t="str"/>
      <x:c r="N10" s="7" t="str">
        <x:v>Ne pas le lire comme une confirmation de personnages ou de scénario.</x:v>
      </x:c>
      <x:c r="O10" s="7" t="str"/>
      <x:c r="P10" s="7" t="str">
        <x:v>N7 Day 2020</x:v>
      </x:c>
      <x:c r="Q10" s="7" t="str">
        <x:v>ME4-2020</x:v>
      </x:c>
      <x:c r="R10" s="21" t="str">
        <x:v>https://blog.bioware.com/2020/11/07/happy-n7-day-4/</x:v>
      </x:c>
      <x:c r="S10" s="21" t="str"/>
    </x:row>
    <x:row r="11" ht="44" customHeight="1">
      <x:c r="A11" s="18" t="str">
        <x:v>ME4-REF-2022</x:v>
      </x:c>
      <x:c r="B11" s="9" t="str">
        <x:v>Préproduction et images en 2022</x:v>
      </x:c>
      <x:c r="C11" s="15" t="str">
        <x:v>Défini</x:v>
      </x:c>
      <x:c r="D11" s="16" t="str">
        <x:v>Établi</x:v>
      </x:c>
      <x:c r="E11" s="16" t="str">
        <x:v>P1</x:v>
      </x:c>
      <x:c r="F11" s="9" t="str">
        <x:v>BioWare décrivait une préproduction et diffusait un extrait de surveillance.</x:v>
      </x:c>
      <x:c r="G11" s="9" t="str">
        <x:v>Établir une fiche de référence par visuel avant toute reproduction.</x:v>
      </x:c>
      <x:c r="H11" s="9" t="str"/>
      <x:c r="I11" s="9" t="str"/>
      <x:c r="J11" s="9" t="str"/>
      <x:c r="K11" s="9" t="str"/>
      <x:c r="L11" s="9" t="str"/>
      <x:c r="M11" s="9" t="str"/>
      <x:c r="N11" s="9" t="str">
        <x:v>Les hypothèses sur les images restent distinctes de leur description.</x:v>
      </x:c>
      <x:c r="O11" s="9" t="str"/>
      <x:c r="P11" s="9" t="str">
        <x:v>N7 Day 2022</x:v>
      </x:c>
      <x:c r="Q11" s="9" t="str">
        <x:v>ME4-2022</x:v>
      </x:c>
      <x:c r="R11" s="20" t="str">
        <x:v>https://blog.bioware.com/2022/11/07/n7-day-2022/</x:v>
      </x:c>
      <x:c r="S11" s="20" t="str"/>
    </x:row>
    <x:row r="12" ht="54" customHeight="1">
      <x:c r="A12" s="19" t="str">
        <x:v>ME4-REF-2023</x:v>
      </x:c>
      <x:c r="B12" s="7" t="str">
        <x:v>Questions de continuité en 2023</x:v>
      </x:c>
      <x:c r="C12" s="15" t="str">
        <x:v>Défini</x:v>
      </x:c>
      <x:c r="D12" s="17" t="str">
        <x:v>Établi</x:v>
      </x:c>
      <x:c r="E12" s="17" t="str">
        <x:v>P1</x:v>
      </x:c>
      <x:c r="F12" s="7" t="str">
        <x:v>Le message de Mike Gamble évoquait les personnages, les galaxies et les fins sans donner un scénario complet.</x:v>
      </x:c>
      <x:c r="G12" s="7" t="str">
        <x:v>Garder un registre des questions ouvertes.</x:v>
      </x:c>
      <x:c r="H12" s="7" t="str"/>
      <x:c r="I12" s="7" t="str"/>
      <x:c r="J12" s="7" t="str"/>
      <x:c r="K12" s="7" t="str"/>
      <x:c r="L12" s="7" t="str"/>
      <x:c r="M12" s="7" t="str"/>
      <x:c r="N12" s="7" t="str">
        <x:v>Aucune question promotionnelle n’est transformée en réponse officielle.</x:v>
      </x:c>
      <x:c r="O12" s="7" t="str"/>
      <x:c r="P12" s="7" t="str">
        <x:v>N7 Day 2023</x:v>
      </x:c>
      <x:c r="Q12" s="7" t="str">
        <x:v>ME4-2023</x:v>
      </x:c>
      <x:c r="R12" s="21" t="str">
        <x:v>https://www.ea.com/games/mass-effect/mass-effect-legendary-edition/news/n7-day-2023</x:v>
      </x:c>
      <x:c r="S12" s="21" t="str"/>
    </x:row>
    <x:row r="13" ht="44" customHeight="1">
      <x:c r="A13" s="18" t="str">
        <x:v>ME4-REF-IDENTITY</x:v>
      </x:c>
      <x:c r="B13" s="9" t="str">
        <x:v>Identité du protagoniste du teaser</x:v>
      </x:c>
      <x:c r="C13" s="15" t="str">
        <x:v>Défini</x:v>
      </x:c>
      <x:c r="D13" s="16" t="str">
        <x:v>À vérifier</x:v>
      </x:c>
      <x:c r="E13" s="16" t="str">
        <x:v>P1</x:v>
      </x:c>
      <x:c r="F13" s="9" t="str">
        <x:v>Identité non établie dans le corpus consulté.</x:v>
      </x:c>
      <x:c r="G13" s="9" t="str">
        <x:v>Rook est une création indépendante de cette silhouette.</x:v>
      </x:c>
      <x:c r="H13" s="9" t="str"/>
      <x:c r="I13" s="9" t="str"/>
      <x:c r="J13" s="9" t="str"/>
      <x:c r="K13" s="9" t="str"/>
      <x:c r="L13" s="9" t="str"/>
      <x:c r="M13" s="9" t="str"/>
      <x:c r="N13" s="9" t="str">
        <x:v>Aucune fiche ne conclut que la silhouette est Shepard ou Liara.</x:v>
      </x:c>
      <x:c r="O13" s="9" t="str"/>
      <x:c r="P13" s="9" t="str">
        <x:v>Teasers</x:v>
      </x:c>
      <x:c r="Q13" s="9" t="str">
        <x:v>ME4-2023, ME4-PORTAL</x:v>
      </x:c>
      <x:c r="R13" s="20" t="str">
        <x:v>https://www.ea.com/games/mass-effect/mass-effect-legendary-edition/news/n7-day-2023
https://www.ea.com/games/mass-effect</x:v>
      </x:c>
      <x:c r="S13" s="20" t="str"/>
    </x:row>
    <x:row r="14" ht="44" customHeight="1">
      <x:c r="A14" s="19" t="str">
        <x:v>ME4-REF-TITLE</x:v>
      </x:c>
      <x:c r="B14" s="7" t="str">
        <x:v>Titre et numérotation</x:v>
      </x:c>
      <x:c r="C14" s="15" t="str">
        <x:v>Défini</x:v>
      </x:c>
      <x:c r="D14" s="17" t="str">
        <x:v>À vérifier</x:v>
      </x:c>
      <x:c r="E14" s="17" t="str">
        <x:v>P1</x:v>
      </x:c>
      <x:c r="F14" s="7" t="str">
        <x:v>Mass Effect 4 est le nom de travail demandé pour ce dossier.</x:v>
      </x:c>
      <x:c r="G14" s="7" t="str">
        <x:v>Afficher Extrapolation dans le titre du classeur.</x:v>
      </x:c>
      <x:c r="H14" s="7" t="str"/>
      <x:c r="I14" s="7" t="str"/>
      <x:c r="J14" s="7" t="str"/>
      <x:c r="K14" s="7" t="str"/>
      <x:c r="L14" s="7" t="str"/>
      <x:c r="M14" s="7" t="str"/>
      <x:c r="N14" s="7" t="str">
        <x:v>Ne pas confondre ce nom avec un titre commercial confirmé.</x:v>
      </x:c>
      <x:c r="O14" s="7" t="str"/>
      <x:c r="P14" s="7" t="str">
        <x:v>Périmètre du dossier</x:v>
      </x:c>
      <x:c r="Q14" s="7" t="str">
        <x:v>ME4-PORTAL</x:v>
      </x:c>
      <x:c r="R14" s="21" t="str">
        <x:v>https://www.ea.com/games/mass-effect</x:v>
      </x:c>
      <x:c r="S14" s="21" t="str"/>
    </x:row>
  </x:sheetData>
  <x:conditionalFormatting sqref="D7:D14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14">
    <x:cfRule type="cellIs" dxfId="102" priority="3" operator="equal">
      <x:formula>"Validé"</x:formula>
    </x:cfRule>
  </x:conditionalFormatting>
  <x:conditionalFormatting sqref="E7:E14">
    <x:cfRule type="cellIs" dxfId="103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aea6034f8e4895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 4 : extrapolation du projet annulé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30" t="str">
        <x:v>Champ</x:v>
      </x:c>
      <x:c r="B6" s="32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 4 : extrapolation du projet annulé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Projet annulé et campagne fan originale</x:v>
      </x:c>
      <x:c r="C8" s="2"/>
      <x:c r="D8" s="2"/>
      <x:c r="E8" s="2"/>
      <x:c r="F8" s="2"/>
    </x:row>
    <x:row r="9" ht="40" customHeight="1">
      <x:c r="A9" s="7" t="str">
        <x:v>Périmètre</x:v>
      </x:c>
      <x:c r="B9" s="7" t="str">
        <x:v>Registre des annonces publiques puis proposition complète de module intitulé Les Routes du silence.</x:v>
      </x:c>
      <x:c r="C9" s="2"/>
      <x:c r="D9" s="2"/>
      <x:c r="E9" s="2"/>
      <x:c r="F9" s="2"/>
    </x:row>
    <x:row r="10" ht="54" customHeight="1">
      <x:c r="A10" s="7" t="str">
        <x:v>Projet</x:v>
      </x:c>
      <x:c r="B10" s="7" t="str">
        <x:v>Une équipe rétablit des liaisons entre communautés isolées et enquête sur un signal qui imite des messages anciens. Le conflit porte sur le contrôle de ce réseau.</x:v>
      </x:c>
      <x:c r="C10" s="2"/>
      <x:c r="D10" s="2"/>
      <x:c r="E10" s="2"/>
      <x:c r="F10" s="2"/>
    </x:row>
    <x:row r="11" ht="82" customHeight="1">
      <x:c r="A11" s="7" t="str">
        <x:v>Références et limites</x:v>
      </x:c>
      <x:c r="B11" s="7" t="str">
        <x:v>Mass Effect 4 est ici un nom de travail. EA et BioWare ont annoncé l’arrêt du projet le 21/10/2026. Aucun scénario officiel complet n’a été consulté. Le casting, les lieux nouveaux, les missions, les boss et les fins ci-dessous sont des créations pour Relay Chronicles.</x:v>
      </x:c>
      <x:c r="C11" s="2"/>
      <x:c r="D11" s="2"/>
      <x:c r="E11" s="2"/>
      <x:c r="F11" s="2"/>
    </x:row>
    <x:row r="12" ht="40" customHeight="1">
      <x:c r="A12" s="7" t="str">
        <x:v>Date de référence</x:v>
      </x:c>
      <x:c r="B12" s="44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30" t="str">
        <x:v>Source</x:v>
      </x:c>
      <x:c r="B26" s="31" t="str">
        <x:v>Titre</x:v>
      </x:c>
      <x:c r="C26" s="31" t="str">
        <x:v>Type</x:v>
      </x:c>
      <x:c r="D26" s="31" t="str">
        <x:v>URL</x:v>
      </x:c>
      <x:c r="E26" s="31" t="str">
        <x:v>Périmètre</x:v>
      </x:c>
      <x:c r="F26" s="32" t="str">
        <x:v>Accès et limites</x:v>
      </x:c>
    </x:row>
    <x:row r="27" ht="54" customHeight="1">
      <x:c r="A27" s="6" t="str">
        <x:v>ME4-STOP</x:v>
      </x:c>
      <x:c r="B27" s="6" t="str">
        <x:v>EA : Building EA’s Next Chapter</x:v>
      </x:c>
      <x:c r="C27" s="6" t="str">
        <x:v>Source officielle</x:v>
      </x:c>
      <x:c r="D27" s="6" t="str">
        <x:v>https://www.ea.com/news/building-eas-next-chapter</x:v>
      </x:c>
      <x:c r="E27" s="6" t="str">
        <x:v>Annonce du 21/10/2026 : arrêt du développement précoce du prochain Mass Effect.</x:v>
      </x:c>
      <x:c r="F27" s="6" t="str">
        <x:v>Consulté le 22/10/2026.</x:v>
      </x:c>
    </x:row>
    <x:row r="28" ht="42" customHeight="1">
      <x:c r="A28" s="6" t="str">
        <x:v>ME4-BIO</x:v>
      </x:c>
      <x:c r="B28" s="6" t="str">
        <x:v>BioWare Update</x:v>
      </x:c>
      <x:c r="C28" s="6" t="str">
        <x:v>Source officielle</x:v>
      </x:c>
      <x:c r="D28" s="6" t="str">
        <x:v>https://blog.bioware.com/2026/10/21/bioware-update/</x:v>
      </x:c>
      <x:c r="E28" s="6" t="str">
        <x:v>Confirmation de l’arrêt du projet et de la fermeture du studio.</x:v>
      </x:c>
      <x:c r="F28" s="6" t="str">
        <x:v>Consulté le 22/10/2026.</x:v>
      </x:c>
    </x:row>
    <x:row r="29" ht="42" customHeight="1">
      <x:c r="A29" s="6" t="str">
        <x:v>ME4-2020</x:v>
      </x:c>
      <x:c r="B29" s="6" t="str">
        <x:v>Happy N7 Day 2020</x:v>
      </x:c>
      <x:c r="C29" s="6" t="str">
        <x:v>Source officielle</x:v>
      </x:c>
      <x:c r="D29" s="6" t="str">
        <x:v>https://blog.bioware.com/2020/11/07/happy-n7-day-4/</x:v>
      </x:c>
      <x:c r="E29" s="6" t="str">
        <x:v>Annonce d’un nouveau chapitre en phase précoce.</x:v>
      </x:c>
      <x:c r="F29" s="6" t="str">
        <x:v>Consulté le 22/10/2026.</x:v>
      </x:c>
    </x:row>
    <x:row r="30" ht="42" customHeight="1">
      <x:c r="A30" s="6" t="str">
        <x:v>ME4-2022</x:v>
      </x:c>
      <x:c r="B30" s="6" t="str">
        <x:v>N7 Day 2022</x:v>
      </x:c>
      <x:c r="C30" s="6" t="str">
        <x:v>Source officielle</x:v>
      </x:c>
      <x:c r="D30" s="6" t="str">
        <x:v>https://blog.bioware.com/2022/11/07/n7-day-2022/</x:v>
      </x:c>
      <x:c r="E30" s="6" t="str">
        <x:v>Préproduction et diffusion de séquences de station de surveillance.</x:v>
      </x:c>
      <x:c r="F30" s="6" t="str">
        <x:v>Consulté le 22/10/2026.</x:v>
      </x:c>
    </x:row>
    <x:row r="31" ht="42" customHeight="1">
      <x:c r="A31" s="6" t="str">
        <x:v>ME4-2023</x:v>
      </x:c>
      <x:c r="B31" s="6" t="str">
        <x:v>N7 Day 2023</x:v>
      </x:c>
      <x:c r="C31" s="6" t="str">
        <x:v>Source officielle</x:v>
      </x:c>
      <x:c r="D31" s="6" t="str">
        <x:v>https://www.ea.com/games/mass-effect/mass-effect-legendary-edition/news/n7-day-2023</x:v>
      </x:c>
      <x:c r="E31" s="6" t="str">
        <x:v>Questions de continuité évoquées par Mike Gamble, visuels promotionnels.</x:v>
      </x:c>
      <x:c r="F31" s="6" t="str">
        <x:v>Consulté le 22/10/2026.</x:v>
      </x:c>
    </x:row>
    <x:row r="32" ht="42" customHeight="1">
      <x:c r="A32" s="6" t="str">
        <x:v>ME4-PORTAL</x:v>
      </x:c>
      <x:c r="B32" s="6" t="str">
        <x:v>Portail officiel Mass Effect</x:v>
      </x:c>
      <x:c r="C32" s="6" t="str">
        <x:v>Source officielle</x:v>
      </x:c>
      <x:c r="D32" s="6" t="str">
        <x:v>https://www.ea.com/games/mass-effect</x:v>
      </x:c>
      <x:c r="E32" s="6" t="str">
        <x:v>Accès au teaser du prochain chapitre.</x:v>
      </x:c>
      <x:c r="F32" s="6" t="str">
        <x:v>La présence d’un ancien teaser sur le portail ne remplace pas l’annonce d’arrêt du 21/10/2026.</x:v>
      </x:c>
    </x:row>
    <x:row r="33" ht="22" customHeight="1">
      <x:c r="A33" s="2"/>
      <x:c r="B33" s="2"/>
      <x:c r="C33" s="2"/>
      <x:c r="D33" s="2"/>
      <x:c r="E33" s="2"/>
      <x:c r="F33" s="2"/>
    </x:row>
    <x:row r="34" ht="22" customHeight="1">
      <x:c r="A34" s="2"/>
      <x:c r="B34" s="2"/>
      <x:c r="C34" s="2"/>
      <x:c r="D34" s="2"/>
      <x:c r="E34" s="2"/>
      <x:c r="F34" s="2"/>
    </x:row>
    <x:row r="35" ht="22" customHeight="1">
      <x:c r="A35" s="2"/>
      <x:c r="B35" s="2"/>
      <x:c r="C35" s="2"/>
      <x:c r="D35" s="2"/>
      <x:c r="E35" s="2"/>
      <x:c r="F35" s="2"/>
    </x:row>
    <x:row r="36" ht="34" customHeight="1">
      <x:c r="A36" s="30" t="str">
        <x:v>Domaine</x:v>
      </x:c>
      <x:c r="B36" s="31" t="str">
        <x:v>Couverture actuelle</x:v>
      </x:c>
      <x:c r="C36" s="32" t="str">
        <x:v>Travail restant</x:v>
      </x:c>
      <x:c r="D36" s="2"/>
      <x:c r="E36" s="2"/>
      <x:c r="F36" s="2"/>
    </x:row>
    <x:row r="37" ht="68" customHeight="1">
      <x:c r="A37" s="6" t="str">
        <x:v>characters</x:v>
      </x:c>
      <x:c r="B37" s="6" t="str">
        <x:v>Design original du module Les Routes du silence dans ce domaine.</x:v>
      </x:c>
      <x:c r="C37" s="6" t="str">
        <x:v>Ce contenu ne peut pas être certifié 1:1 avec un jeu annulé dont le scénario complet n’a pas été publié dans les sources consultées. Production et tests à réaliser.</x:v>
      </x:c>
      <x:c r="D37" s="2"/>
      <x:c r="E37" s="2"/>
      <x:c r="F37" s="2"/>
    </x:row>
    <x:row r="38" ht="68" customHeight="1">
      <x:c r="A38" s="6" t="str">
        <x:v>npcs</x:v>
      </x:c>
      <x:c r="B38" s="6" t="str">
        <x:v>Design original du module Les Routes du silence dans ce domaine.</x:v>
      </x:c>
      <x:c r="C38" s="6" t="str">
        <x:v>Ce contenu ne peut pas être certifié 1:1 avec un jeu annulé dont le scénario complet n’a pas été publié dans les sources consultées. Production et tests à réaliser.</x:v>
      </x:c>
      <x:c r="D38" s="2"/>
      <x:c r="E38" s="2"/>
      <x:c r="F38" s="2"/>
    </x:row>
    <x:row r="39" ht="68" customHeight="1">
      <x:c r="A39" s="6" t="str">
        <x:v>lore</x:v>
      </x:c>
      <x:c r="B39" s="6" t="str">
        <x:v>Design original du module Les Routes du silence dans ce domaine.</x:v>
      </x:c>
      <x:c r="C39" s="6" t="str">
        <x:v>Ce contenu ne peut pas être certifié 1:1 avec un jeu annulé dont le scénario complet n’a pas été publié dans les sources consultées. Production et tests à réaliser.</x:v>
      </x:c>
      <x:c r="D39" s="2"/>
      <x:c r="E39" s="2"/>
      <x:c r="F39" s="2"/>
    </x:row>
    <x:row r="40" ht="68" customHeight="1">
      <x:c r="A40" s="6" t="str">
        <x:v>worlds</x:v>
      </x:c>
      <x:c r="B40" s="6" t="str">
        <x:v>Design original du module Les Routes du silence dans ce domaine.</x:v>
      </x:c>
      <x:c r="C40" s="6" t="str">
        <x:v>Ce contenu ne peut pas être certifié 1:1 avec un jeu annulé dont le scénario complet n’a pas été publié dans les sources consultées. Production et tests à réaliser.</x:v>
      </x:c>
      <x:c r="D40" s="2"/>
      <x:c r="E40" s="2"/>
      <x:c r="F40" s="2"/>
    </x:row>
    <x:row r="41" ht="68" customHeight="1">
      <x:c r="A41" s="6" t="str">
        <x:v>zones</x:v>
      </x:c>
      <x:c r="B41" s="6" t="str">
        <x:v>Design original du module Les Routes du silence dans ce domaine.</x:v>
      </x:c>
      <x:c r="C41" s="6" t="str">
        <x:v>Ce contenu ne peut pas être certifié 1:1 avec un jeu annulé dont le scénario complet n’a pas été publié dans les sources consultées. Production et tests à réaliser.</x:v>
      </x:c>
      <x:c r="D41" s="2"/>
      <x:c r="E41" s="2"/>
      <x:c r="F41" s="2"/>
    </x:row>
    <x:row r="42" ht="68" customHeight="1">
      <x:c r="A42" s="6" t="str">
        <x:v>links</x:v>
      </x:c>
      <x:c r="B42" s="6" t="str">
        <x:v>Design original du module Les Routes du silence dans ce domaine.</x:v>
      </x:c>
      <x:c r="C42" s="6" t="str">
        <x:v>Ce contenu ne peut pas être certifié 1:1 avec un jeu annulé dont le scénario complet n’a pas été publié dans les sources consultées. Production et tests à réaliser.</x:v>
      </x:c>
      <x:c r="D42" s="2"/>
      <x:c r="E42" s="2"/>
      <x:c r="F42" s="2"/>
    </x:row>
    <x:row r="43" ht="68" customHeight="1">
      <x:c r="A43" s="6" t="str">
        <x:v>scenery</x:v>
      </x:c>
      <x:c r="B43" s="6" t="str">
        <x:v>Design original du module Les Routes du silence dans ce domaine.</x:v>
      </x:c>
      <x:c r="C43" s="6" t="str">
        <x:v>Ce contenu ne peut pas être certifié 1:1 avec un jeu annulé dont le scénario complet n’a pas été publié dans les sources consultées. Production et tests à réaliser.</x:v>
      </x:c>
      <x:c r="D43" s="2"/>
      <x:c r="E43" s="2"/>
      <x:c r="F43" s="2"/>
    </x:row>
    <x:row r="44" ht="68" customHeight="1">
      <x:c r="A44" s="6" t="str">
        <x:v>props</x:v>
      </x:c>
      <x:c r="B44" s="6" t="str">
        <x:v>Design original du module Les Routes du silence dans ce domaine.</x:v>
      </x:c>
      <x:c r="C44" s="6" t="str">
        <x:v>Ce contenu ne peut pas être certifié 1:1 avec un jeu annulé dont le scénario complet n’a pas été publié dans les sources consultées. Production et tests à réaliser.</x:v>
      </x:c>
      <x:c r="D44" s="2"/>
      <x:c r="E44" s="2"/>
      <x:c r="F44" s="2"/>
    </x:row>
    <x:row r="45" ht="68" customHeight="1">
      <x:c r="A45" s="6" t="str">
        <x:v>enemies</x:v>
      </x:c>
      <x:c r="B45" s="6" t="str">
        <x:v>Design original du module Les Routes du silence dans ce domaine.</x:v>
      </x:c>
      <x:c r="C45" s="6" t="str">
        <x:v>Ce contenu ne peut pas être certifié 1:1 avec un jeu annulé dont le scénario complet n’a pas été publié dans les sources consultées. Production et tests à réaliser.</x:v>
      </x:c>
      <x:c r="D45" s="2"/>
      <x:c r="E45" s="2"/>
      <x:c r="F45" s="2"/>
    </x:row>
    <x:row r="46" ht="68" customHeight="1">
      <x:c r="A46" s="6" t="str">
        <x:v>main_quests</x:v>
      </x:c>
      <x:c r="B46" s="6" t="str">
        <x:v>Design original du module Les Routes du silence dans ce domaine.</x:v>
      </x:c>
      <x:c r="C46" s="6" t="str">
        <x:v>Ce contenu ne peut pas être certifié 1:1 avec un jeu annulé dont le scénario complet n’a pas été publié dans les sources consultées. Production et tests à réaliser.</x:v>
      </x:c>
      <x:c r="D46" s="2"/>
      <x:c r="E46" s="2"/>
      <x:c r="F46" s="2"/>
    </x:row>
    <x:row r="47" ht="68" customHeight="1">
      <x:c r="A47" s="6" t="str">
        <x:v>side_quests</x:v>
      </x:c>
      <x:c r="B47" s="6" t="str">
        <x:v>Design original du module Les Routes du silence dans ce domaine.</x:v>
      </x:c>
      <x:c r="C47" s="6" t="str">
        <x:v>Ce contenu ne peut pas être certifié 1:1 avec un jeu annulé dont le scénario complet n’a pas été publié dans les sources consultées. Production et tests à réaliser.</x:v>
      </x:c>
      <x:c r="D47" s="2"/>
      <x:c r="E47" s="2"/>
      <x:c r="F47" s="2"/>
    </x:row>
    <x:row r="48" ht="68" customHeight="1">
      <x:c r="A48" s="6" t="str">
        <x:v>choices</x:v>
      </x:c>
      <x:c r="B48" s="6" t="str">
        <x:v>Design original du module Les Routes du silence dans ce domaine.</x:v>
      </x:c>
      <x:c r="C48" s="6" t="str">
        <x:v>Ce contenu ne peut pas être certifié 1:1 avec un jeu annulé dont le scénario complet n’a pas été publié dans les sources consultées. Production et tests à réaliser.</x:v>
      </x:c>
      <x:c r="D48" s="2"/>
      <x:c r="E48" s="2"/>
      <x:c r="F48" s="2"/>
    </x:row>
    <x:row r="49" ht="68" customHeight="1">
      <x:c r="A49" s="6" t="str">
        <x:v>dialogues</x:v>
      </x:c>
      <x:c r="B49" s="6" t="str">
        <x:v>Design original du module Les Routes du silence dans ce domaine.</x:v>
      </x:c>
      <x:c r="C49" s="6" t="str">
        <x:v>Ce contenu ne peut pas être certifié 1:1 avec un jeu annulé dont le scénario complet n’a pas été publié dans les sources consultées. Production et tests à réaliser.</x:v>
      </x:c>
      <x:c r="D49" s="2"/>
      <x:c r="E49" s="2"/>
      <x:c r="F49" s="2"/>
    </x:row>
    <x:row r="50" ht="68" customHeight="1">
      <x:c r="A50" s="6" t="str">
        <x:v>cinematics</x:v>
      </x:c>
      <x:c r="B50" s="6" t="str">
        <x:v>Design original du module Les Routes du silence dans ce domaine.</x:v>
      </x:c>
      <x:c r="C50" s="6" t="str">
        <x:v>Ce contenu ne peut pas être certifié 1:1 avec un jeu annulé dont le scénario complet n’a pas été publié dans les sources consultées. Production et tests à réaliser.</x:v>
      </x:c>
      <x:c r="D50" s="2"/>
      <x:c r="E50" s="2"/>
      <x:c r="F50" s="2"/>
    </x:row>
    <x:row r="51" ht="68" customHeight="1">
      <x:c r="A51" s="6" t="str">
        <x:v>weapons</x:v>
      </x:c>
      <x:c r="B51" s="6" t="str">
        <x:v>Design original du module Les Routes du silence dans ce domaine.</x:v>
      </x:c>
      <x:c r="C51" s="6" t="str">
        <x:v>Ce contenu ne peut pas être certifié 1:1 avec un jeu annulé dont le scénario complet n’a pas été publié dans les sources consultées. Production et tests à réaliser.</x:v>
      </x:c>
      <x:c r="D51" s="2"/>
      <x:c r="E51" s="2"/>
      <x:c r="F51" s="2"/>
    </x:row>
    <x:row r="52" ht="68" customHeight="1">
      <x:c r="A52" s="6" t="str">
        <x:v>equipment</x:v>
      </x:c>
      <x:c r="B52" s="6" t="str">
        <x:v>Design original du module Les Routes du silence dans ce domaine.</x:v>
      </x:c>
      <x:c r="C52" s="6" t="str">
        <x:v>Ce contenu ne peut pas être certifié 1:1 avec un jeu annulé dont le scénario complet n’a pas été publié dans les sources consultées. Production et tests à réaliser.</x:v>
      </x:c>
      <x:c r="D52" s="2"/>
      <x:c r="E52" s="2"/>
      <x:c r="F52" s="2"/>
    </x:row>
    <x:row r="53" ht="68" customHeight="1">
      <x:c r="A53" s="6" t="str">
        <x:v>powers</x:v>
      </x:c>
      <x:c r="B53" s="6" t="str">
        <x:v>Design original du module Les Routes du silence dans ce domaine.</x:v>
      </x:c>
      <x:c r="C53" s="6" t="str">
        <x:v>Ce contenu ne peut pas être certifié 1:1 avec un jeu annulé dont le scénario complet n’a pas été publié dans les sources consultées. Production et tests à réaliser.</x:v>
      </x:c>
      <x:c r="D53" s="2"/>
      <x:c r="E53" s="2"/>
      <x:c r="F53" s="2"/>
    </x:row>
    <x:row r="54" ht="68" customHeight="1">
      <x:c r="A54" s="6" t="str">
        <x:v>ally_moves</x:v>
      </x:c>
      <x:c r="B54" s="6" t="str">
        <x:v>Design original du module Les Routes du silence dans ce domaine.</x:v>
      </x:c>
      <x:c r="C54" s="6" t="str">
        <x:v>Ce contenu ne peut pas être certifié 1:1 avec un jeu annulé dont le scénario complet n’a pas été publié dans les sources consultées. Production et tests à réaliser.</x:v>
      </x:c>
      <x:c r="D54" s="2"/>
      <x:c r="E54" s="2"/>
      <x:c r="F54" s="2"/>
    </x:row>
    <x:row r="55" ht="68" customHeight="1">
      <x:c r="A55" s="6" t="str">
        <x:v>enemy_moves</x:v>
      </x:c>
      <x:c r="B55" s="6" t="str">
        <x:v>Design original du module Les Routes du silence dans ce domaine.</x:v>
      </x:c>
      <x:c r="C55" s="6" t="str">
        <x:v>Ce contenu ne peut pas être certifié 1:1 avec un jeu annulé dont le scénario complet n’a pas été publié dans les sources consultées. Production et tests à réaliser.</x:v>
      </x:c>
      <x:c r="D55" s="2"/>
      <x:c r="E55" s="2"/>
      <x:c r="F55" s="2"/>
    </x:row>
    <x:row r="56" ht="68" customHeight="1">
      <x:c r="A56" s="6" t="str">
        <x:v>animations</x:v>
      </x:c>
      <x:c r="B56" s="6" t="str">
        <x:v>Design original du module Les Routes du silence dans ce domaine.</x:v>
      </x:c>
      <x:c r="C56" s="6" t="str">
        <x:v>Ce contenu ne peut pas être certifié 1:1 avec un jeu annulé dont le scénario complet n’a pas été publié dans les sources consultées. Production et tests à réaliser.</x:v>
      </x:c>
      <x:c r="D56" s="2"/>
      <x:c r="E56" s="2"/>
      <x:c r="F56" s="2"/>
    </x:row>
    <x:row r="57" ht="68" customHeight="1">
      <x:c r="A57" s="6" t="str">
        <x:v>sprites</x:v>
      </x:c>
      <x:c r="B57" s="6" t="str">
        <x:v>Design original du module Les Routes du silence dans ce domaine.</x:v>
      </x:c>
      <x:c r="C57" s="6" t="str">
        <x:v>Ce contenu ne peut pas être certifié 1:1 avec un jeu annulé dont le scénario complet n’a pas été publié dans les sources consultées. Production et tests à réaliser.</x:v>
      </x:c>
      <x:c r="D57" s="2"/>
      <x:c r="E57" s="2"/>
      <x:c r="F57" s="2"/>
    </x:row>
    <x:row r="58" ht="68" customHeight="1">
      <x:c r="A58" s="6" t="str">
        <x:v>vfx</x:v>
      </x:c>
      <x:c r="B58" s="6" t="str">
        <x:v>Design original du module Les Routes du silence dans ce domaine.</x:v>
      </x:c>
      <x:c r="C58" s="6" t="str">
        <x:v>Ce contenu ne peut pas être certifié 1:1 avec un jeu annulé dont le scénario complet n’a pas été publié dans les sources consultées. Production et tests à réaliser.</x:v>
      </x:c>
      <x:c r="D58" s="2"/>
      <x:c r="E58" s="2"/>
      <x:c r="F58" s="2"/>
    </x:row>
    <x:row r="59" ht="68" customHeight="1">
      <x:c r="A59" s="6" t="str">
        <x:v>audio</x:v>
      </x:c>
      <x:c r="B59" s="6" t="str">
        <x:v>Design original du module Les Routes du silence dans ce domaine.</x:v>
      </x:c>
      <x:c r="C59" s="6" t="str">
        <x:v>Ce contenu ne peut pas être certifié 1:1 avec un jeu annulé dont le scénario complet n’a pas été publié dans les sources consultées. Production et tests à réaliser.</x:v>
      </x:c>
      <x:c r="D59" s="2"/>
      <x:c r="E59" s="2"/>
      <x:c r="F59" s="2"/>
    </x:row>
    <x:row r="60" ht="68" customHeight="1">
      <x:c r="A60" s="6" t="str">
        <x:v>systems</x:v>
      </x:c>
      <x:c r="B60" s="6" t="str">
        <x:v>Design original du module Les Routes du silence dans ce domaine.</x:v>
      </x:c>
      <x:c r="C60" s="6" t="str">
        <x:v>Ce contenu ne peut pas être certifié 1:1 avec un jeu annulé dont le scénario complet n’a pas été publié dans les sources consultées. Production et tests à réaliser.</x:v>
      </x:c>
      <x:c r="D60" s="2"/>
      <x:c r="E60" s="2"/>
      <x:c r="F60" s="2"/>
    </x:row>
    <x:row r="61" ht="68" customHeight="1">
      <x:c r="A61" s="6" t="str">
        <x:v>qa</x:v>
      </x:c>
      <x:c r="B61" s="6" t="str">
        <x:v>Design original du module Les Routes du silence dans ce domaine.</x:v>
      </x:c>
      <x:c r="C61" s="6" t="str">
        <x:v>Ce contenu ne peut pas être certifié 1:1 avec un jeu annulé dont le scénario complet n’a pas été publié dans les sources consultées. Production et tests à réaliser.</x:v>
      </x:c>
      <x:c r="D61" s="2"/>
      <x:c r="E61" s="2"/>
      <x:c r="F61" s="2"/>
    </x:row>
    <x:row r="62" ht="68" customHeight="1">
      <x:c r="A62" s="6" t="str">
        <x:v>continuity</x:v>
      </x:c>
      <x:c r="B62" s="6" t="str">
        <x:v>Jalons publics 2020–2026, arrêt officiel et hypothèses explicitement séparées.</x:v>
      </x:c>
      <x:c r="C62" s="6" t="str">
        <x:v>Ce contenu ne peut pas être certifié 1:1 avec un jeu annulé dont le scénario complet n’a pas été publié dans les sources consultées. Production et tests à réaliser.</x:v>
      </x:c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  <x:row r="116" ht="22" customHeight="1">
      <x:c r="A116" s="2"/>
      <x:c r="B116" s="2"/>
      <x:c r="C116" s="2"/>
      <x:c r="D116" s="2"/>
      <x:c r="E116" s="2"/>
      <x:c r="F116" s="2"/>
    </x:row>
    <x:row r="117" ht="22" customHeight="1">
      <x:c r="A117" s="2"/>
      <x:c r="B117" s="2"/>
      <x:c r="C117" s="2"/>
      <x:c r="D117" s="2"/>
      <x:c r="E117" s="2"/>
      <x:c r="F117" s="2"/>
    </x:row>
    <x:row r="118" ht="22" customHeight="1">
      <x:c r="A118" s="2"/>
      <x:c r="B118" s="2"/>
      <x:c r="C118" s="2"/>
      <x:c r="D118" s="2"/>
      <x:c r="E118" s="2"/>
      <x:c r="F118" s="2"/>
    </x:row>
    <x:row r="119" ht="22" customHeight="1">
      <x:c r="A119" s="2"/>
      <x:c r="B119" s="2"/>
      <x:c r="C119" s="2"/>
      <x:c r="D119" s="2"/>
      <x:c r="E119" s="2"/>
      <x:c r="F119" s="2"/>
    </x:row>
    <x:row r="120" ht="22" customHeight="1">
      <x:c r="A120" s="2"/>
      <x:c r="B120" s="2"/>
      <x:c r="C120" s="2"/>
      <x:c r="D120" s="2"/>
      <x:c r="E120" s="2"/>
      <x:c r="F120" s="2"/>
    </x:row>
    <x:row r="121" ht="22" customHeight="1">
      <x:c r="A121" s="2"/>
      <x:c r="B121" s="2"/>
      <x:c r="C121" s="2"/>
      <x:c r="D121" s="2"/>
      <x:c r="E121" s="2"/>
      <x:c r="F121" s="2"/>
    </x:row>
    <x:row r="122" ht="22" customHeight="1">
      <x:c r="A122" s="2"/>
      <x:c r="B122" s="2"/>
      <x:c r="C122" s="2"/>
      <x:c r="D122" s="2"/>
      <x:c r="E122" s="2"/>
      <x:c r="F122" s="2"/>
    </x:row>
    <x:row r="123" ht="22" customHeight="1">
      <x:c r="A123" s="2"/>
      <x:c r="B123" s="2"/>
      <x:c r="C123" s="2"/>
      <x:c r="D123" s="2"/>
      <x:c r="E123" s="2"/>
      <x:c r="F123" s="2"/>
    </x:row>
    <x:row r="124" ht="22" customHeight="1">
      <x:c r="A124" s="2"/>
      <x:c r="B124" s="2"/>
      <x:c r="C124" s="2"/>
      <x:c r="D124" s="2"/>
      <x:c r="E124" s="2"/>
      <x:c r="F124" s="2"/>
    </x:row>
    <x:row r="125" ht="22" customHeight="1">
      <x:c r="A125" s="2"/>
      <x:c r="B125" s="2"/>
      <x:c r="C125" s="2"/>
      <x:c r="D125" s="2"/>
      <x:c r="E125" s="2"/>
      <x:c r="F125" s="2"/>
    </x:row>
    <x:row r="126" ht="22" customHeight="1">
      <x:c r="A126" s="2"/>
      <x:c r="B126" s="2"/>
      <x:c r="C126" s="2"/>
      <x:c r="D126" s="2"/>
      <x:c r="E126" s="2"/>
      <x:c r="F126" s="2"/>
    </x:row>
    <x:row r="127" ht="22" customHeight="1">
      <x:c r="A127" s="2"/>
      <x:c r="B127" s="2"/>
      <x:c r="C127" s="2"/>
      <x:c r="D127" s="2"/>
      <x:c r="E127" s="2"/>
      <x:c r="F127" s="2"/>
    </x:row>
    <x:row r="128" ht="22" customHeight="1">
      <x:c r="A128" s="2"/>
      <x:c r="B128" s="2"/>
      <x:c r="C128" s="2"/>
      <x:c r="D128" s="2"/>
      <x:c r="E128" s="2"/>
      <x:c r="F128" s="2"/>
    </x:row>
    <x:row r="129" ht="22" customHeight="1">
      <x:c r="A129" s="2"/>
      <x:c r="B129" s="2"/>
      <x:c r="C129" s="2"/>
      <x:c r="D129" s="2"/>
      <x:c r="E129" s="2"/>
      <x:c r="F129" s="2"/>
    </x:row>
    <x:row r="130" ht="22" customHeight="1">
      <x:c r="A130" s="2"/>
      <x:c r="B130" s="2"/>
      <x:c r="C130" s="2"/>
      <x:c r="D130" s="2"/>
      <x:c r="E130" s="2"/>
      <x:c r="F130" s="2"/>
    </x:row>
    <x:row r="131" ht="22" customHeight="1">
      <x:c r="A131" s="2"/>
      <x:c r="B131" s="2"/>
      <x:c r="C131" s="2"/>
      <x:c r="D131" s="2"/>
      <x:c r="E131" s="2"/>
      <x:c r="F131" s="2"/>
    </x:row>
    <x:row r="132" ht="22" customHeight="1">
      <x:c r="A132" s="2"/>
      <x:c r="B132" s="2"/>
      <x:c r="C132" s="2"/>
      <x:c r="D132" s="2"/>
      <x:c r="E132" s="2"/>
      <x:c r="F132" s="2"/>
    </x:row>
  </x:sheetData>
  <x:pageMargins left="0.7" right="0.7" top="0.75" bottom="0.75" header="0.3" footer="0.3"/>
</x:worksheet>
</file>